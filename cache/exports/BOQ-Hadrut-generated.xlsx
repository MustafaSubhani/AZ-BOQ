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AZ-BOQ\cache\exports\"/>
    </mc:Choice>
  </mc:AlternateContent>
  <xr:revisionPtr revIDLastSave="0" documentId="13_ncr:1_{C06B8DE1-BE26-4C3F-A999-1463165013E6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BOQ" sheetId="1" r:id="rId1"/>
  </sheets>
  <definedNames>
    <definedName name="_xlnm._FilterDatabase" localSheetId="0" hidden="1">BOQ!$A$7:$L$2340</definedName>
    <definedName name="_xlnm.Print_Area" localSheetId="0">BOQ!$A$1:$L$196</definedName>
    <definedName name="_xlnm.Print_Titles" localSheetId="0">BOQ!$7:$9</definedName>
  </definedNames>
  <calcPr calcId="181029"/>
</workbook>
</file>

<file path=xl/calcChain.xml><?xml version="1.0" encoding="utf-8"?>
<calcChain xmlns="http://schemas.openxmlformats.org/spreadsheetml/2006/main">
  <c r="H189" i="1" l="1"/>
  <c r="F189" i="1"/>
  <c r="H188" i="1"/>
  <c r="F188" i="1"/>
  <c r="H187" i="1"/>
  <c r="F187" i="1"/>
  <c r="H185" i="1"/>
  <c r="F185" i="1"/>
  <c r="H183" i="1"/>
  <c r="F183" i="1"/>
  <c r="K182" i="1"/>
  <c r="H182" i="1"/>
  <c r="F182" i="1"/>
  <c r="I182" i="1" s="1"/>
  <c r="H181" i="1"/>
  <c r="F181" i="1"/>
  <c r="H180" i="1"/>
  <c r="F180" i="1"/>
  <c r="H179" i="1"/>
  <c r="F179" i="1"/>
  <c r="H178" i="1"/>
  <c r="F178" i="1"/>
  <c r="H177" i="1"/>
  <c r="F177" i="1"/>
  <c r="H175" i="1"/>
  <c r="F175" i="1"/>
  <c r="H174" i="1"/>
  <c r="F174" i="1"/>
  <c r="H172" i="1"/>
  <c r="F172" i="1"/>
  <c r="H171" i="1"/>
  <c r="F171" i="1"/>
  <c r="H169" i="1"/>
  <c r="F169" i="1"/>
  <c r="H168" i="1"/>
  <c r="F168" i="1"/>
  <c r="H167" i="1"/>
  <c r="F167" i="1"/>
  <c r="H166" i="1"/>
  <c r="F166" i="1"/>
  <c r="H165" i="1"/>
  <c r="F165" i="1"/>
  <c r="H164" i="1"/>
  <c r="F164" i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41" i="1"/>
  <c r="F141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1" i="1"/>
  <c r="F131" i="1"/>
  <c r="H130" i="1"/>
  <c r="F130" i="1"/>
  <c r="H128" i="1"/>
  <c r="F128" i="1"/>
  <c r="H126" i="1"/>
  <c r="F126" i="1"/>
  <c r="H124" i="1"/>
  <c r="F124" i="1"/>
  <c r="H123" i="1"/>
  <c r="F123" i="1"/>
  <c r="H122" i="1"/>
  <c r="F122" i="1"/>
  <c r="H120" i="1"/>
  <c r="F120" i="1"/>
  <c r="H118" i="1"/>
  <c r="F118" i="1"/>
  <c r="H116" i="1"/>
  <c r="F116" i="1"/>
  <c r="H115" i="1"/>
  <c r="F115" i="1"/>
  <c r="H114" i="1"/>
  <c r="F114" i="1"/>
  <c r="H112" i="1"/>
  <c r="F112" i="1"/>
  <c r="H111" i="1"/>
  <c r="F111" i="1"/>
  <c r="H110" i="1"/>
  <c r="F110" i="1"/>
  <c r="H108" i="1"/>
  <c r="F108" i="1"/>
  <c r="H106" i="1"/>
  <c r="F106" i="1"/>
  <c r="H104" i="1"/>
  <c r="F104" i="1"/>
  <c r="H103" i="1"/>
  <c r="F103" i="1"/>
  <c r="H102" i="1"/>
  <c r="F102" i="1"/>
  <c r="H101" i="1"/>
  <c r="F101" i="1"/>
  <c r="H99" i="1"/>
  <c r="F99" i="1"/>
  <c r="H97" i="1"/>
  <c r="F97" i="1"/>
  <c r="H95" i="1"/>
  <c r="F95" i="1"/>
  <c r="H93" i="1"/>
  <c r="F93" i="1"/>
  <c r="H91" i="1"/>
  <c r="F91" i="1"/>
  <c r="H90" i="1"/>
  <c r="F90" i="1"/>
  <c r="H89" i="1"/>
  <c r="F89" i="1"/>
  <c r="H88" i="1"/>
  <c r="F88" i="1"/>
  <c r="H87" i="1"/>
  <c r="F87" i="1"/>
  <c r="H85" i="1"/>
  <c r="F85" i="1"/>
  <c r="H84" i="1"/>
  <c r="F84" i="1"/>
  <c r="H83" i="1"/>
  <c r="F83" i="1"/>
  <c r="H81" i="1"/>
  <c r="F81" i="1"/>
  <c r="H80" i="1"/>
  <c r="F80" i="1"/>
  <c r="H79" i="1"/>
  <c r="F79" i="1"/>
  <c r="H78" i="1"/>
  <c r="F78" i="1"/>
  <c r="H77" i="1"/>
  <c r="F77" i="1"/>
  <c r="H76" i="1"/>
  <c r="F76" i="1"/>
  <c r="H74" i="1"/>
  <c r="F74" i="1"/>
  <c r="H73" i="1"/>
  <c r="F73" i="1"/>
  <c r="H72" i="1"/>
  <c r="F72" i="1"/>
  <c r="H71" i="1"/>
  <c r="F71" i="1"/>
  <c r="H70" i="1"/>
  <c r="F70" i="1"/>
  <c r="H68" i="1"/>
  <c r="F68" i="1"/>
  <c r="H67" i="1"/>
  <c r="F67" i="1"/>
  <c r="H65" i="1"/>
  <c r="F65" i="1"/>
  <c r="H64" i="1"/>
  <c r="F64" i="1"/>
  <c r="H63" i="1"/>
  <c r="F63" i="1"/>
  <c r="H61" i="1"/>
  <c r="F61" i="1"/>
  <c r="H59" i="1"/>
  <c r="F59" i="1"/>
  <c r="H57" i="1"/>
  <c r="F57" i="1"/>
  <c r="H56" i="1"/>
  <c r="F56" i="1"/>
  <c r="H55" i="1"/>
  <c r="F55" i="1"/>
  <c r="H53" i="1"/>
  <c r="F53" i="1"/>
  <c r="H51" i="1"/>
  <c r="F51" i="1"/>
  <c r="H49" i="1"/>
  <c r="F49" i="1"/>
  <c r="H47" i="1"/>
  <c r="F47" i="1"/>
  <c r="H45" i="1"/>
  <c r="F45" i="1"/>
  <c r="H44" i="1"/>
  <c r="F44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8" i="1"/>
  <c r="F18" i="1"/>
  <c r="H17" i="1"/>
  <c r="F17" i="1"/>
  <c r="H16" i="1"/>
  <c r="F16" i="1"/>
  <c r="H15" i="1"/>
  <c r="F15" i="1"/>
  <c r="H14" i="1"/>
  <c r="F14" i="1"/>
  <c r="H13" i="1"/>
  <c r="F13" i="1"/>
  <c r="H11" i="1"/>
  <c r="F11" i="1"/>
  <c r="F190" i="1" s="1"/>
  <c r="G182" i="1" l="1"/>
  <c r="K188" i="1"/>
  <c r="I188" i="1"/>
  <c r="G188" i="1" s="1"/>
  <c r="K174" i="1"/>
  <c r="I174" i="1"/>
  <c r="G174" i="1" s="1"/>
  <c r="I128" i="1"/>
  <c r="K128" i="1"/>
  <c r="G128" i="1" s="1"/>
  <c r="I122" i="1"/>
  <c r="K122" i="1"/>
  <c r="I89" i="1"/>
  <c r="K89" i="1"/>
  <c r="K63" i="1"/>
  <c r="I63" i="1"/>
  <c r="G63" i="1" s="1"/>
  <c r="K51" i="1"/>
  <c r="I51" i="1"/>
  <c r="G51" i="1" s="1"/>
  <c r="K34" i="1"/>
  <c r="I34" i="1"/>
  <c r="F191" i="1"/>
  <c r="F192" i="1" s="1"/>
  <c r="K189" i="1"/>
  <c r="I189" i="1"/>
  <c r="G189" i="1" s="1"/>
  <c r="I187" i="1"/>
  <c r="K187" i="1"/>
  <c r="K185" i="1"/>
  <c r="I185" i="1"/>
  <c r="G185" i="1" s="1"/>
  <c r="I183" i="1"/>
  <c r="K183" i="1"/>
  <c r="K181" i="1"/>
  <c r="I181" i="1"/>
  <c r="G181" i="1" s="1"/>
  <c r="K180" i="1"/>
  <c r="I180" i="1"/>
  <c r="G180" i="1" s="1"/>
  <c r="I179" i="1"/>
  <c r="K179" i="1"/>
  <c r="K178" i="1"/>
  <c r="I178" i="1"/>
  <c r="G178" i="1" s="1"/>
  <c r="K177" i="1"/>
  <c r="I177" i="1"/>
  <c r="G177" i="1" s="1"/>
  <c r="K175" i="1"/>
  <c r="I175" i="1"/>
  <c r="G175" i="1" s="1"/>
  <c r="K172" i="1"/>
  <c r="I172" i="1"/>
  <c r="G172" i="1" s="1"/>
  <c r="K171" i="1"/>
  <c r="I171" i="1"/>
  <c r="G171" i="1" s="1"/>
  <c r="I169" i="1"/>
  <c r="K169" i="1"/>
  <c r="I168" i="1"/>
  <c r="K168" i="1"/>
  <c r="I167" i="1"/>
  <c r="K167" i="1"/>
  <c r="K166" i="1"/>
  <c r="I166" i="1"/>
  <c r="G166" i="1" s="1"/>
  <c r="I165" i="1"/>
  <c r="K165" i="1"/>
  <c r="I164" i="1"/>
  <c r="K164" i="1"/>
  <c r="I162" i="1"/>
  <c r="K162" i="1"/>
  <c r="I161" i="1"/>
  <c r="K161" i="1"/>
  <c r="I160" i="1"/>
  <c r="K160" i="1"/>
  <c r="K159" i="1"/>
  <c r="I159" i="1"/>
  <c r="G159" i="1" s="1"/>
  <c r="K158" i="1"/>
  <c r="I158" i="1"/>
  <c r="G158" i="1" s="1"/>
  <c r="I157" i="1"/>
  <c r="K157" i="1"/>
  <c r="K155" i="1"/>
  <c r="I155" i="1"/>
  <c r="G155" i="1" s="1"/>
  <c r="K154" i="1"/>
  <c r="I154" i="1"/>
  <c r="G154" i="1" s="1"/>
  <c r="K153" i="1"/>
  <c r="I153" i="1"/>
  <c r="G153" i="1" s="1"/>
  <c r="K152" i="1"/>
  <c r="I152" i="1"/>
  <c r="G152" i="1" s="1"/>
  <c r="I151" i="1"/>
  <c r="K151" i="1"/>
  <c r="K150" i="1"/>
  <c r="I150" i="1"/>
  <c r="G150" i="1" s="1"/>
  <c r="K148" i="1"/>
  <c r="I148" i="1"/>
  <c r="G148" i="1" s="1"/>
  <c r="I147" i="1"/>
  <c r="K147" i="1"/>
  <c r="K146" i="1"/>
  <c r="I146" i="1"/>
  <c r="G146" i="1" s="1"/>
  <c r="K145" i="1"/>
  <c r="I145" i="1"/>
  <c r="G145" i="1" s="1"/>
  <c r="K144" i="1"/>
  <c r="I144" i="1"/>
  <c r="G144" i="1" s="1"/>
  <c r="I143" i="1"/>
  <c r="K143" i="1"/>
  <c r="I142" i="1"/>
  <c r="K142" i="1"/>
  <c r="I141" i="1"/>
  <c r="K141" i="1"/>
  <c r="K139" i="1"/>
  <c r="I139" i="1"/>
  <c r="G139" i="1" s="1"/>
  <c r="I138" i="1"/>
  <c r="K138" i="1"/>
  <c r="I137" i="1"/>
  <c r="K137" i="1"/>
  <c r="K136" i="1"/>
  <c r="I136" i="1"/>
  <c r="K135" i="1"/>
  <c r="I135" i="1"/>
  <c r="G135" i="1" s="1"/>
  <c r="I134" i="1"/>
  <c r="K134" i="1"/>
  <c r="K133" i="1"/>
  <c r="I133" i="1"/>
  <c r="G133" i="1" s="1"/>
  <c r="I131" i="1"/>
  <c r="K131" i="1"/>
  <c r="I130" i="1"/>
  <c r="K130" i="1"/>
  <c r="K126" i="1"/>
  <c r="I126" i="1"/>
  <c r="K124" i="1"/>
  <c r="I124" i="1"/>
  <c r="G124" i="1" s="1"/>
  <c r="I123" i="1"/>
  <c r="K123" i="1"/>
  <c r="I120" i="1"/>
  <c r="K120" i="1"/>
  <c r="I118" i="1"/>
  <c r="K118" i="1"/>
  <c r="I116" i="1"/>
  <c r="K116" i="1"/>
  <c r="I115" i="1"/>
  <c r="K115" i="1"/>
  <c r="K114" i="1"/>
  <c r="I114" i="1"/>
  <c r="G114" i="1" s="1"/>
  <c r="K112" i="1"/>
  <c r="I112" i="1"/>
  <c r="G112" i="1" s="1"/>
  <c r="I111" i="1"/>
  <c r="G111" i="1" s="1"/>
  <c r="K111" i="1"/>
  <c r="K110" i="1"/>
  <c r="I110" i="1"/>
  <c r="G110" i="1" s="1"/>
  <c r="K108" i="1"/>
  <c r="I108" i="1"/>
  <c r="G108" i="1" s="1"/>
  <c r="K106" i="1"/>
  <c r="I106" i="1"/>
  <c r="G106" i="1" s="1"/>
  <c r="I104" i="1"/>
  <c r="G104" i="1" s="1"/>
  <c r="K104" i="1"/>
  <c r="I103" i="1"/>
  <c r="K103" i="1"/>
  <c r="I102" i="1"/>
  <c r="K102" i="1"/>
  <c r="I101" i="1"/>
  <c r="K101" i="1"/>
  <c r="I99" i="1"/>
  <c r="K99" i="1"/>
  <c r="I97" i="1"/>
  <c r="K97" i="1"/>
  <c r="K95" i="1"/>
  <c r="I95" i="1"/>
  <c r="G95" i="1" s="1"/>
  <c r="K93" i="1"/>
  <c r="I93" i="1"/>
  <c r="I91" i="1"/>
  <c r="K91" i="1"/>
  <c r="K90" i="1"/>
  <c r="I90" i="1"/>
  <c r="G90" i="1" s="1"/>
  <c r="K88" i="1"/>
  <c r="I88" i="1"/>
  <c r="G88" i="1" s="1"/>
  <c r="K87" i="1"/>
  <c r="I87" i="1"/>
  <c r="G87" i="1" s="1"/>
  <c r="K85" i="1"/>
  <c r="I85" i="1"/>
  <c r="G85" i="1" s="1"/>
  <c r="K84" i="1"/>
  <c r="I84" i="1"/>
  <c r="G84" i="1" s="1"/>
  <c r="K83" i="1"/>
  <c r="I83" i="1"/>
  <c r="G83" i="1" s="1"/>
  <c r="K81" i="1"/>
  <c r="I81" i="1"/>
  <c r="G81" i="1" s="1"/>
  <c r="K80" i="1"/>
  <c r="I80" i="1"/>
  <c r="G80" i="1" s="1"/>
  <c r="K79" i="1"/>
  <c r="I79" i="1"/>
  <c r="G79" i="1" s="1"/>
  <c r="K78" i="1"/>
  <c r="I78" i="1"/>
  <c r="G78" i="1" s="1"/>
  <c r="K77" i="1"/>
  <c r="I77" i="1"/>
  <c r="G77" i="1" s="1"/>
  <c r="K76" i="1"/>
  <c r="I76" i="1"/>
  <c r="G76" i="1" s="1"/>
  <c r="K74" i="1"/>
  <c r="I74" i="1"/>
  <c r="G74" i="1" s="1"/>
  <c r="K73" i="1"/>
  <c r="I73" i="1"/>
  <c r="G73" i="1" s="1"/>
  <c r="K72" i="1"/>
  <c r="I72" i="1"/>
  <c r="G72" i="1" s="1"/>
  <c r="I71" i="1"/>
  <c r="K71" i="1"/>
  <c r="K70" i="1"/>
  <c r="I70" i="1"/>
  <c r="G70" i="1" s="1"/>
  <c r="K68" i="1"/>
  <c r="I68" i="1"/>
  <c r="G68" i="1" s="1"/>
  <c r="K67" i="1"/>
  <c r="I67" i="1"/>
  <c r="G67" i="1" s="1"/>
  <c r="K65" i="1"/>
  <c r="I65" i="1"/>
  <c r="G65" i="1" s="1"/>
  <c r="K64" i="1"/>
  <c r="I64" i="1"/>
  <c r="G64" i="1" s="1"/>
  <c r="K61" i="1"/>
  <c r="I61" i="1"/>
  <c r="G61" i="1" s="1"/>
  <c r="K59" i="1"/>
  <c r="I59" i="1"/>
  <c r="G59" i="1" s="1"/>
  <c r="K57" i="1"/>
  <c r="I57" i="1"/>
  <c r="G57" i="1" s="1"/>
  <c r="K56" i="1"/>
  <c r="I56" i="1"/>
  <c r="G56" i="1" s="1"/>
  <c r="K55" i="1"/>
  <c r="I55" i="1"/>
  <c r="G55" i="1" s="1"/>
  <c r="I53" i="1"/>
  <c r="K53" i="1"/>
  <c r="K49" i="1"/>
  <c r="I49" i="1"/>
  <c r="G49" i="1" s="1"/>
  <c r="I47" i="1"/>
  <c r="K47" i="1"/>
  <c r="K45" i="1"/>
  <c r="I45" i="1"/>
  <c r="G45" i="1" s="1"/>
  <c r="K44" i="1"/>
  <c r="I44" i="1"/>
  <c r="G44" i="1" s="1"/>
  <c r="K42" i="1"/>
  <c r="I42" i="1"/>
  <c r="G42" i="1" s="1"/>
  <c r="K41" i="1"/>
  <c r="I41" i="1"/>
  <c r="G41" i="1" s="1"/>
  <c r="K40" i="1"/>
  <c r="I40" i="1"/>
  <c r="I39" i="1"/>
  <c r="K39" i="1"/>
  <c r="I38" i="1"/>
  <c r="K38" i="1"/>
  <c r="I37" i="1"/>
  <c r="K37" i="1"/>
  <c r="I36" i="1"/>
  <c r="K36" i="1"/>
  <c r="K35" i="1"/>
  <c r="I35" i="1"/>
  <c r="G35" i="1" s="1"/>
  <c r="I33" i="1"/>
  <c r="K33" i="1"/>
  <c r="K32" i="1"/>
  <c r="I32" i="1"/>
  <c r="G32" i="1" s="1"/>
  <c r="K31" i="1"/>
  <c r="I31" i="1"/>
  <c r="G31" i="1" s="1"/>
  <c r="K30" i="1"/>
  <c r="I30" i="1"/>
  <c r="G30" i="1" s="1"/>
  <c r="I29" i="1"/>
  <c r="K29" i="1"/>
  <c r="K28" i="1"/>
  <c r="I28" i="1"/>
  <c r="G28" i="1" s="1"/>
  <c r="K27" i="1"/>
  <c r="I27" i="1"/>
  <c r="G27" i="1" s="1"/>
  <c r="K26" i="1"/>
  <c r="I26" i="1"/>
  <c r="G26" i="1" s="1"/>
  <c r="I25" i="1"/>
  <c r="K25" i="1"/>
  <c r="I24" i="1"/>
  <c r="K24" i="1"/>
  <c r="I23" i="1"/>
  <c r="K23" i="1"/>
  <c r="K22" i="1"/>
  <c r="I22" i="1"/>
  <c r="G22" i="1" s="1"/>
  <c r="K21" i="1"/>
  <c r="I21" i="1"/>
  <c r="G21" i="1" s="1"/>
  <c r="K20" i="1"/>
  <c r="I20" i="1"/>
  <c r="G20" i="1" s="1"/>
  <c r="K18" i="1"/>
  <c r="I18" i="1"/>
  <c r="G18" i="1" s="1"/>
  <c r="K17" i="1"/>
  <c r="I17" i="1"/>
  <c r="G17" i="1" s="1"/>
  <c r="I16" i="1"/>
  <c r="K16" i="1"/>
  <c r="I15" i="1"/>
  <c r="K15" i="1"/>
  <c r="K14" i="1"/>
  <c r="I14" i="1"/>
  <c r="G14" i="1" s="1"/>
  <c r="I13" i="1"/>
  <c r="K13" i="1"/>
  <c r="K11" i="1"/>
  <c r="I11" i="1"/>
  <c r="G11" i="1" s="1"/>
  <c r="G34" i="1"/>
  <c r="G126" i="1" l="1"/>
  <c r="G136" i="1"/>
  <c r="G115" i="1"/>
  <c r="G33" i="1"/>
  <c r="G29" i="1"/>
  <c r="G25" i="1"/>
  <c r="G23" i="1"/>
  <c r="G16" i="1"/>
  <c r="G15" i="1"/>
  <c r="G13" i="1"/>
  <c r="G122" i="1"/>
  <c r="G89" i="1"/>
  <c r="F193" i="1"/>
  <c r="F194" i="1"/>
  <c r="C5" i="1" s="1"/>
  <c r="G179" i="1"/>
  <c r="G169" i="1"/>
  <c r="G168" i="1"/>
  <c r="G167" i="1"/>
  <c r="G165" i="1"/>
  <c r="G164" i="1"/>
  <c r="G162" i="1"/>
  <c r="G161" i="1"/>
  <c r="G160" i="1"/>
  <c r="G157" i="1"/>
  <c r="G151" i="1"/>
  <c r="G147" i="1"/>
  <c r="G143" i="1"/>
  <c r="G142" i="1"/>
  <c r="G141" i="1"/>
  <c r="G138" i="1"/>
  <c r="G137" i="1"/>
  <c r="G134" i="1"/>
  <c r="G131" i="1"/>
  <c r="G130" i="1"/>
  <c r="G123" i="1"/>
  <c r="G120" i="1"/>
  <c r="G118" i="1"/>
  <c r="G116" i="1"/>
  <c r="G103" i="1"/>
  <c r="G101" i="1"/>
  <c r="G99" i="1"/>
  <c r="G97" i="1"/>
  <c r="G93" i="1"/>
  <c r="G91" i="1"/>
  <c r="G102" i="1"/>
  <c r="G24" i="1"/>
  <c r="G71" i="1"/>
  <c r="G53" i="1"/>
  <c r="G47" i="1"/>
  <c r="G40" i="1"/>
  <c r="G39" i="1"/>
  <c r="G38" i="1"/>
  <c r="G37" i="1"/>
  <c r="G36" i="1"/>
  <c r="G187" i="1"/>
  <c r="G183" i="1"/>
</calcChain>
</file>

<file path=xl/sharedStrings.xml><?xml version="1.0" encoding="utf-8"?>
<sst xmlns="http://schemas.openxmlformats.org/spreadsheetml/2006/main" count="391" uniqueCount="219">
  <si>
    <t xml:space="preserve">PROJECT / İnşaat obyekti : </t>
  </si>
  <si>
    <t xml:space="preserve">EMPLOYER / Sifarişçi : </t>
  </si>
  <si>
    <t>LOGO</t>
  </si>
  <si>
    <t xml:space="preserve">CONTRACT NO &amp; DATE / Müqavilə:  № ve Tarix : </t>
  </si>
  <si>
    <t xml:space="preserve">SUBCONTRACTOR / Podratçı : </t>
  </si>
  <si>
    <t>PPC NO / A  K  T № :</t>
  </si>
  <si>
    <t xml:space="preserve">CONTRACT PRICE / Müqavilə üzrə Qiyməti : </t>
  </si>
  <si>
    <t>PPC DATE / Tarix :</t>
  </si>
  <si>
    <t>BOQ No</t>
  </si>
  <si>
    <t xml:space="preserve">                 
Description /  İşin adı</t>
  </si>
  <si>
    <t>Uom / Ölçü 
vahidi</t>
  </si>
  <si>
    <t>Quantity / 
Həcmi</t>
  </si>
  <si>
    <t xml:space="preserve">Unit Price in AZN / 
İş vahidinin
 qiyməti manat </t>
  </si>
  <si>
    <t>Total Unit Price in AZN / Ümumi
qiymət 
manat</t>
  </si>
  <si>
    <t xml:space="preserve">Progress Payment / Yerinə yetirilmişdir  </t>
  </si>
  <si>
    <t>Pogress Up-to date / Tikinti işlərinin əvvəlindən</t>
  </si>
  <si>
    <t>Previous Progress / Əvvəlki dövr</t>
  </si>
  <si>
    <t>This Month Progress  /       O cümlədən hesabat ayı ərzində</t>
  </si>
  <si>
    <t>Total Quantity / 
Həcmi</t>
  </si>
  <si>
    <t>Total Amount / 
Qiyməti</t>
  </si>
  <si>
    <t>Previous Quantity / 
Həcmi</t>
  </si>
  <si>
    <t>Previous Amount / 
Qiyməti</t>
  </si>
  <si>
    <t>This Interim Quantity / 
Həcmi</t>
  </si>
  <si>
    <t>This Interim  Amount / 
Qiyməti</t>
  </si>
  <si>
    <t>1.1</t>
  </si>
  <si>
    <t>(Söküntü işləri)</t>
  </si>
  <si>
    <t>Binaların uçurulma metodu ilə sökülməsi: kərpic, isidilməyən binaların</t>
  </si>
  <si>
    <t>m3</t>
  </si>
  <si>
    <t>2.5</t>
  </si>
  <si>
    <t>4 çıxışlı Yanğın Deposu binası  (Dam örtüyü)</t>
  </si>
  <si>
    <t>Qeyri-istehsalat təyinatlı obyektlər üçün profilləşdirilmiş vərəqlərdən dam örtüyünün quraşdırılması: orta mürəkkəb</t>
  </si>
  <si>
    <t>m2</t>
  </si>
  <si>
    <t>Sinklənmiş polad vərəqdən kiçik örtüklərin (brandmauerlər, parapetlər, çıxıntılar və s.) düzəldilməsi</t>
  </si>
  <si>
    <t>Novların düzəldilməsi: asma</t>
  </si>
  <si>
    <t>m</t>
  </si>
  <si>
    <t>Metal su axıdıcı sistemin qurulması: düz boru bağlantıları (PVC 100 mm )</t>
  </si>
  <si>
    <t>Yüksək elastikliyə, geniş diapazonlu təzyiqə malik,  standartlara cavab verən polietilen su və qaz borusu: diametri 110 mm, divarının qalınlığı 2,7 mm</t>
  </si>
  <si>
    <t>Dam örtüyünün məhəccərlə çəpərlənməsi</t>
  </si>
  <si>
    <t>2.7</t>
  </si>
  <si>
    <t>4 çıxışlı Yanğın Deposu binası  (Döşəmələr)</t>
  </si>
  <si>
    <t>Örtüklərin düzəldilməsi: beton, qalınlığı 30 mm</t>
  </si>
  <si>
    <t>Örtüklərin düzəldilməsi: əlavə 5 mm (Zirzəmi)</t>
  </si>
  <si>
    <t>Birləşdirici qatın düzəldilməsi: sement, qalınlığı 20 mm</t>
  </si>
  <si>
    <t>Birləşdirici qatın düzəldilməsi: sement, birləşdirici qat əlavə 5 mm</t>
  </si>
  <si>
    <t>Rulonlu materiallarla yapışqanlı hidroizolyasiyanın düzəldilməsi: Bitum mastikasında 1-ci qat</t>
  </si>
  <si>
    <t>Rulonlu materiallarla yapışqanlı hidroizolyasiyanın düzəldilməsi: Bitum mastikasında sonrakı qat</t>
  </si>
  <si>
    <t>Sement məhlulunda tavalardan örtüklərin düzəldilməsi: keramik, döşəmələr üçün bir rəngli boya ilə (Zirzəmi)</t>
  </si>
  <si>
    <t>Ağac lifli tavalardan laqaaltı lentvari istilik-səs izolyasiyasının düzəldilməsi</t>
  </si>
  <si>
    <t>Laqaların qoyulması: örtük tavaları üzrə</t>
  </si>
  <si>
    <t>Bir lay fanerdan döşəmələrin əsasının qurulması: sahəsi 20m² qədər (Dikt-20 mm)</t>
  </si>
  <si>
    <t>Örtüklərin düzəldilməsi: açar üsulu ilə laminasiya olunmuş taxtalardan (1-ci mərtəbə)</t>
  </si>
  <si>
    <t>Sement məhlulunda tavalardan örtüklərin düzəldilməsi: keramik, döşəmələr üçün bir rəngli boya ilə (1-ci mərtəbə)</t>
  </si>
  <si>
    <t>Birləşdirici qatın düzəldilməsi: yüngül beton, qalınlığı 20 mm</t>
  </si>
  <si>
    <t>Birləşdirici qatın düzəldilməsi: yüngül beton , birləşdirici qat əlavə 5 mm</t>
  </si>
  <si>
    <t>Örtüklərin düzəldilməsi: açar üsulu ilə laminasiya olunmuş taxtalardan (2-ci mərtəbə)</t>
  </si>
  <si>
    <t>Sement məhlulunda tavalardan örtüklərin düzəldilməsi: keramik, döşəmələr üçün bir rəngli boya ilə (2-ci mərtəbə)</t>
  </si>
  <si>
    <t>Pillələrin və pilləaltlarının pardaqlanmış mərmər tavalarla üzlənməsi (2-ci mərtəbə süni mərmər)</t>
  </si>
  <si>
    <t>2.9</t>
  </si>
  <si>
    <t>4 çıxışlı Yanğın Deposu binası  (Xarici bəzək işləri)</t>
  </si>
  <si>
    <t>Sement-əhəng məhlulu ilə daş üzrə yaxşılaşdırılmış suvama: divarları</t>
  </si>
  <si>
    <t>İsidicinin üzərindən nazik qat suvaq çəkməklə binalarin xarici istilik izolyasiyasinin qurulması, plitənin qalınlığı: 50 mm (istilik izolyasiyası- 50 mm, şüşə lifli tor, yapışdırıcı məhlul, astar, dekorativ suvaq, fasad boyası)</t>
  </si>
  <si>
    <t>2.11</t>
  </si>
  <si>
    <t>4 çıxışlı Yanğın Deposu binası  (Zirzəmiyə giriş pilləkəni Zp1-Zp2)</t>
  </si>
  <si>
    <t>Tutacaqsız metal məhəccərlərin qurulması</t>
  </si>
  <si>
    <t>2.12</t>
  </si>
  <si>
    <t>4 çıxışlı Yanğın Deposu binası  (Artırmalar)</t>
  </si>
  <si>
    <t>Mərmər tavalardan örtüklərin düzəldilməsi, 1 m²-də tavaların sayı: 3 ədədə qədər (süni mərmər)</t>
  </si>
  <si>
    <t>2.19</t>
  </si>
  <si>
    <t>4 çıxışlı Yanğın Deposu binası (İsitmə sistemi)</t>
  </si>
  <si>
    <t>Penopoliuretandan (yarımsilindrlərlə və seqmentlərlə) ədədi məmulatlarla boru kəməri səthlərinin izolyasiya edilməsi</t>
  </si>
  <si>
    <t>m(3)</t>
  </si>
  <si>
    <t>2.20</t>
  </si>
  <si>
    <t>4 çıxışlı Yanğın Deposu binası (Ventilyasiya sistemi)</t>
  </si>
  <si>
    <t>Elastik hava kəməri Dn100</t>
  </si>
  <si>
    <t>2.22</t>
  </si>
  <si>
    <t>4 çıxışlı Yanğın Deposu binası (Elektrik güc avadanlıqları)</t>
  </si>
  <si>
    <t>Naqil üçün Qırçınlı PLASTİK yanmaz Boru (d= 25mm) 50m (PVC boru D25)</t>
  </si>
  <si>
    <t>Quraşdırılmış konstruksiyalar üzrə viniplast boru, döşəmənin əsası üzrə, diametri, mm, qədər: 25</t>
  </si>
  <si>
    <t>0,6/1,0 kV-luq güc kabeli 3х4</t>
  </si>
  <si>
    <t>2.27</t>
  </si>
  <si>
    <t>4 çıxışlı Yanğın Deposu binası.Rabitə şəbəkəsi (Telefon və kompyuter şəbəkələri)</t>
  </si>
  <si>
    <t>Telefon, LAN, koaksial kabel Cat 6-PVC 4x2x0,57</t>
  </si>
  <si>
    <t>3.2</t>
  </si>
  <si>
    <t>Nəzarətçi otağı (Bünövrə)</t>
  </si>
  <si>
    <t>Lentvari bünövrələrin qurulması: dəmir-beton, yuxarı tərəfinin eni 1000 mm-ə qədər olduqda</t>
  </si>
  <si>
    <t>3.5</t>
  </si>
  <si>
    <t>Nəzarətçi otağı (Dam örtüyü)</t>
  </si>
  <si>
    <t>Çatıların qoyulması</t>
  </si>
  <si>
    <t>Hazır dayaq tirlər üzrə metal keramitdən dam örtüklərinin düzəldilməsi: orta mürəkkəbli</t>
  </si>
  <si>
    <t>m(2)</t>
  </si>
  <si>
    <t>3.10</t>
  </si>
  <si>
    <t>Nəzarətçi otağı (Xarici bəzək işləri)</t>
  </si>
  <si>
    <t>Səthləri hazırlamaqla fasadların tərkiblərlə taxtabəndlərdən rənglənməsi: perxlorvinilli</t>
  </si>
  <si>
    <t>4.2</t>
  </si>
  <si>
    <t>Qüllə (Bünövrə)</t>
  </si>
  <si>
    <t>Bünövrə altı əsasların qurulması:qırmadaşlı</t>
  </si>
  <si>
    <t>Dəmir-beton bünövrə tavalarının qurulması: yastı (b25)</t>
  </si>
  <si>
    <t>390x190x188 mm ölçülərində mişarlanmış əhəng daşından bina və qurğuların bütöv divarlarının hörgüsü: 39 sm qalınlığında</t>
  </si>
  <si>
    <t>Beton və daş səthlərin sement-əhəng və ya sement məhlulu ilə suvanması: divarların, sadə (Torpaqla təmasda olan daş hissənin )</t>
  </si>
  <si>
    <t>Yandan hidroizolyasiya: kərpic, beton və but hörgüsünün düzləndirilmiş səthi üzrə yaxmalı bitumlu 2 qat</t>
  </si>
  <si>
    <t>4.3</t>
  </si>
  <si>
    <t>Qüllə (D/b kostruksiyalar)</t>
  </si>
  <si>
    <t>Taxta qəlibdə dəmir-beton sütunların qurulması, hündürlüyü: 4 m-ə qədər, perimetri 2 m-ə qədər (b25)</t>
  </si>
  <si>
    <t>Örtüklər üçün tirlərin, dayaq meydançasından 6 m-ə qədər hündürlükdə olan kranaltı və bağlayıcı tirlərin qurulması, tirlərin hündürlüyü: 500 mm-ə qədər (b25)</t>
  </si>
  <si>
    <t>Tirsiz örtüklərin qurulması, qalınlığı: 200 mm-ə qədər, dayaq meydançasından 6 m-ə qədər hündürlükdə (b25)</t>
  </si>
  <si>
    <t>Kəmərlərin qurulması: qəlibdə (b25, 14.55səv-də,parapetdə K1 )</t>
  </si>
  <si>
    <t>390x190x188 mm ölçülərində mişarlanmış əhəng daşından yaşayış və ictimai binaların xarici divarlarının hörgüsü: 19 sm qalınlığında</t>
  </si>
  <si>
    <t>390x190x188 mm ölçülərində mişarlanmış əhəng daşından yaşayış və ictimai binaların xarici divarlarının hörgüsü: 39 sm qalınlığında</t>
  </si>
  <si>
    <t>4.5</t>
  </si>
  <si>
    <t>Qüllə (Dam örtüyü)</t>
  </si>
  <si>
    <t>Metal su axıdıcı sistemin qurulması: düz boru bağlantıları</t>
  </si>
  <si>
    <t>Örtüyün isidilməsi: keramzitlə (qal.80mm)</t>
  </si>
  <si>
    <t>4.12</t>
  </si>
  <si>
    <t>Qüllə (Yanğın siqnalizasiyası)</t>
  </si>
  <si>
    <t>Yanğın siqnalizasiya sistemi üçün,tüstü xəbərverici (Tüstü xəbərverici )</t>
  </si>
  <si>
    <t>ədəd</t>
  </si>
  <si>
    <t>Avtomatik PS bildiriciləri: partlayışdan mühafizəli istilik, tüstü, işıq</t>
  </si>
  <si>
    <t>Yanğın siqnalizasiya sistemi üçün,əl ilə işləyən xəbərverici (Əl ilə xəbərverici )</t>
  </si>
  <si>
    <t>Avtomatik OS bildiriciləri: şüşədə quraşdırılan zərbə- kontaktlı, kontaktsız elektromaqnit və ya pyezoelektrik</t>
  </si>
  <si>
    <t>Yanğın siqnalizasiya sistemi üçün,baza  (Baza)</t>
  </si>
  <si>
    <t>6.1</t>
  </si>
  <si>
    <t>(Dizel generatoru)</t>
  </si>
  <si>
    <t>Dəmir-beton bünövrə tavalarının qurulması: yastı</t>
  </si>
  <si>
    <t>9.3</t>
  </si>
  <si>
    <t>İstilik məntəqəsi (D/b konstruksiyalar)</t>
  </si>
  <si>
    <t>9.5</t>
  </si>
  <si>
    <t>İstilik məntəqəsi (Dam örtüyü)</t>
  </si>
  <si>
    <t>9.6</t>
  </si>
  <si>
    <t>İstilik məntəqəsi (Qapı və pəncərələr)</t>
  </si>
  <si>
    <t>Yaşayış və ictimai binalarda PVX profildən pəncərə bloklarının qoyulması: açılmıyan, boşluğun sahəsi 2 m²-ə qədər</t>
  </si>
  <si>
    <t>9.8</t>
  </si>
  <si>
    <t>İstilik məntəqəsi (Bəzək işləri)</t>
  </si>
  <si>
    <t>Beton səthlərin əhəng məhlulu ilə bütöv hamarlanması (birqat suvaq): tavanların</t>
  </si>
  <si>
    <t>Polivinilasetatlı suemulsiya tərkiblərlə yaxşılaşdırılmış rəngləmə: suvaq üzrə tavanları</t>
  </si>
  <si>
    <t>10.1</t>
  </si>
  <si>
    <t>V=81 m3-luq yanğın əleyhinə 1-ci su anbarı (Tikinti işləri)</t>
  </si>
  <si>
    <t>11.1</t>
  </si>
  <si>
    <t>V=81 m3-luq yanğın əleyhinə 2-ci su anbarı (Tikinti işləri)</t>
  </si>
  <si>
    <t>12.1</t>
  </si>
  <si>
    <t>V=27 m3-luq 1-ci içməli su anbarı (Tikinti işləri)</t>
  </si>
  <si>
    <t>Divarların və yastı diblərin quraşdırılması, qalınlığı: 150 mm-dən artıq düzbucaqlı qurğuları (b25)</t>
  </si>
  <si>
    <t>Boru kəmərləri bünövrə və zirzəmi divarlarından keçdikdə, kipgəclərin birləşmə yerlərinin doldurulması, boruların diametri: 100 mm-ə qədər</t>
  </si>
  <si>
    <t>13.1</t>
  </si>
  <si>
    <t>V=27 m3-luq 2-ci içməli su anbarı (Tikinti işləri)</t>
  </si>
  <si>
    <t>14.2</t>
  </si>
  <si>
    <t>Su nasos stansiyası (Bünövrə)</t>
  </si>
  <si>
    <t>Dəmir-beton bünövrə tavalarının qurulması: yastı (b20)</t>
  </si>
  <si>
    <t>14.3</t>
  </si>
  <si>
    <t>Su nasos stansiyası (D/b konstruksiyalar)</t>
  </si>
  <si>
    <t>Tirsiz örtüklərin qurulması, qalınlığı: 200 mm-ə qədər, dayaq meydançasından 6 m-ə qədər hündürlükdə (b20)</t>
  </si>
  <si>
    <t>14.5</t>
  </si>
  <si>
    <t>Su nasos stansiyası (Dam örtüyü)</t>
  </si>
  <si>
    <t>14.7</t>
  </si>
  <si>
    <t>Su nasos stansiyası (Döşəmələr)</t>
  </si>
  <si>
    <t>Sement məhlulunda tavalardan örtüklərin düzəldilməsi: keramik,döşəmələr üçün bir rəngli boya ilə (sürüşməyən)</t>
  </si>
  <si>
    <t>14.8</t>
  </si>
  <si>
    <t>Su nasos stansiyası (Bəzək işləri)</t>
  </si>
  <si>
    <t>15.2</t>
  </si>
  <si>
    <t>Avtoyuma (Müxtəlif işlər)</t>
  </si>
  <si>
    <t>Dəmir-beton bünövrə tavalarının qurulması: yastı (b20,Döşəmə tavası)</t>
  </si>
  <si>
    <t>16.1</t>
  </si>
  <si>
    <t>2 yerlik ayaqyolu (Tikinti işləri)</t>
  </si>
  <si>
    <t>Sinklənmiş poladdan dam örtüyünün düzəldilməsi: divar novları ilə</t>
  </si>
  <si>
    <t>Örtüklərin düzəldilməsi: sement, qalınlığı 20 mm</t>
  </si>
  <si>
    <t>Sement məhlulunda tavalardan örtüklərin düzəldilməsi: keramik,döşəmələr üçün bir rəngli boya ilə</t>
  </si>
  <si>
    <t>Tavanların qurulması: məsaməli plitələrdən, sinklənmiş profildən karkas üzrə</t>
  </si>
  <si>
    <t>Beton və daş səthlərin sement-əhəng və ya sement məhlulu ilə suvanması: divarların, sadə (kafel altı)</t>
  </si>
  <si>
    <t>Divar, dirək, pilyastr və mail səthlərin sement məhlulu əsasında (karniz, plintus və künc tavacıqlarından başqa) tualet qarnituru tavacıqları qoyulmadan, hamar üzlənməsi: kərpic və beton üzrə</t>
  </si>
  <si>
    <t>18.1</t>
  </si>
  <si>
    <t>(Şaquli planlaşdırma)</t>
  </si>
  <si>
    <t>Çalovunun tutumu 0,5 (0,5-0,63) m3 olan ekskavatorlarla qruntun özüboşaldan avtomobillərə yüklənməklə qazılması, qruntun qrupu: 2 (Çatışmayan qrunt)</t>
  </si>
  <si>
    <t>Özüboşaldan avtomobil, 17 t daşınma məsafəsi - 5 km. 1-ci sinifli yük</t>
  </si>
  <si>
    <t>ton</t>
  </si>
  <si>
    <t>Qruntu 5 m-ə qədər məsafəyə yerinin dəyişdirilməsi ilə çalaların və xəndəklərin buldozerlərlə doldurulması, buldozerin gücü: 59 (80) kVt (a.g.), 2-ci qrup qrunt</t>
  </si>
  <si>
    <t>əlavə 5 m</t>
  </si>
  <si>
    <t>8 t-luq yumruqcuqlu qoşqulu vərdənə ilə bir iz üzrə birinci gedişdə qruntun sıxlaşdırılması, qatın qalınlığı: 20 sm</t>
  </si>
  <si>
    <t>Bir iz üzrə hər növbəti gediş zamanı(əlavə 6 gediş)</t>
  </si>
  <si>
    <t>Çalovunun tutumu 0,5 (0,5-0,63) m3 olan ekskavatorlarla qruntun özüboşaldan avtomobillərə yüklənməklə qazılması, qruntun qrupu: 1 (Münbit torpaq qatının gətirilməsi)</t>
  </si>
  <si>
    <t>19.1</t>
  </si>
  <si>
    <t>Yollar. (Sahədaxili asfaltbeton yollar 383,7 m²)</t>
  </si>
  <si>
    <t>70-120 mm fraksiyalı qırmadaşdan qalınlığı 12 sm olan əsasların qurulması: birqat</t>
  </si>
  <si>
    <t>Qatın qalınlığı hər 1 sm dəyişdikdə (əlavə 3 sm)</t>
  </si>
  <si>
    <t>Sıx iri-dənəvər AB tipli qaynar asfalt-beton qatışığından qalınlığı 4 sm olan örtüyün qurulması, daş materiallarının sıxlığı: 2,5-2,9 t/m3</t>
  </si>
  <si>
    <t>Örtüyün qalınlığı 0,5 sm dəyişdikdə (əlavə 3 sm)</t>
  </si>
  <si>
    <t>Sıx xırda-dənəvər ABV tipli qaynar asfalt-beton qatışığından qalınlığı 4 sm olan örtüyün qurulması, daş materiallarının sıxlığı: 2,5-2,9 t/m3</t>
  </si>
  <si>
    <t>Örtüyün qalınlığı 0,5 sm dəyişdikdə (əlavə 1 sm)</t>
  </si>
  <si>
    <t>20.1</t>
  </si>
  <si>
    <t>Yollar (Ərazidən kənar asfaltbeton yollar 216 m²)</t>
  </si>
  <si>
    <t>21.1</t>
  </si>
  <si>
    <t>Yollar (Dəmirbeton yollar 1021 m²)</t>
  </si>
  <si>
    <t>22.1</t>
  </si>
  <si>
    <t>Səki (meydançalar) 1437,8 m²)</t>
  </si>
  <si>
    <t>Tökmə xırda dənəvər asfalt-beton qatışığından cığır və səkilərin qalınlığı 3 sm olan birqat asfalt-beton örtüklərinin qurulması</t>
  </si>
  <si>
    <t>Örtüyün qalınlığının 0,5 sm dəyişməsi zamanı (əlavə 1 sm)</t>
  </si>
  <si>
    <t>23.1</t>
  </si>
  <si>
    <t>(Yaşıllaşdırma)</t>
  </si>
  <si>
    <t>Sahənin planlaşdırılması:mexaniki üsulla</t>
  </si>
  <si>
    <t>Sahənin bölünməsi</t>
  </si>
  <si>
    <t>24.1</t>
  </si>
  <si>
    <t>(Qum meydançası)</t>
  </si>
  <si>
    <t>Dərinliyi 2 m-ə qədər olan yamaclı xəndəklərdə qruntun bərkitmələr olmadan əl ilə qazılması, qruntun qrupu: 1</t>
  </si>
  <si>
    <t>Beton hazırlıq qatının qurulması</t>
  </si>
  <si>
    <t>Beton və daş səthlərin sement-əhəng və ya sement məhlulu ilə suvanması: divarların, sadə</t>
  </si>
  <si>
    <t>Divar və bünövrələrin hidroizolyasiyası: yandan, kərpic, beton və but hörgüsünün düzləndirilmiş səthi üzrə yapışdırıcılı 2 qat</t>
  </si>
  <si>
    <t>Bir lay fanerdan döşəmələrin əsasının qurulması: sahəsi 20m² qədər (faner 18 mm)</t>
  </si>
  <si>
    <t>26.2</t>
  </si>
  <si>
    <t>Söhbətgah (Bünövrələr)</t>
  </si>
  <si>
    <t>Sütunların altı üçün ümumi təyinatlı beton bünövrələrin qurulması, həcmi: 3 m3-a qədər (b7.5, beton tumba)</t>
  </si>
  <si>
    <t>26.6</t>
  </si>
  <si>
    <t>Söhbətgah (Döşəmələr)</t>
  </si>
  <si>
    <t>Birləşdirici qatın düzəldilməsi: (əlavə 10mm)</t>
  </si>
  <si>
    <t>Səki plitələrdən örtüklərin qurulması, 1m²-ə qoyulan plitələrin sayı: 55 ədəd</t>
  </si>
  <si>
    <t>Müvəqqəti bina və qurğular 1,8% (mütləq nəzərə alınmalıdır)</t>
  </si>
  <si>
    <t>Nəzərdə tutulmayan xərclər 2% (mütləq nəzərə alınmalıdır)</t>
  </si>
  <si>
    <t>Cəmi:</t>
  </si>
  <si>
    <t>ƏDV18%:</t>
  </si>
  <si>
    <t>Yekun:</t>
  </si>
  <si>
    <t>Employer / Sifarişçi</t>
  </si>
  <si>
    <t>Contractor / Podratçı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</si>
</sst>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000"/>
    <numFmt numFmtId="165" formatCode="0.00000"/>
    <numFmt numFmtId="166" formatCode="_-&quot;AZN&quot;* #,##0.00_-;\-&quot;AZN&quot;* #,##0.00_-;_-&quot;AZN&quot;* &quot;-&quot;??_-;_-@_-"/>
    <numFmt numFmtId="167" formatCode="0.0"/>
    <numFmt numFmtId="168" formatCode="_-* #,##0.0\ _м_а_н_._-;\-* #,##0.0\ _м_а_н_._-;_-* &quot;-&quot;?\ _м_а_н_._-;_-@_-"/>
    <numFmt numFmtId="169" formatCode="_-* #,##0.00\ _м_а_н_._-;\-* #,##0.00\ _м_а_н_._-;_-* &quot;-&quot;??\ _м_а_н_._-;_-@_-"/>
    <numFmt numFmtId="170" formatCode="_-* #,##0.00_-;\-* #,##0.00_-;_-* &quot;-&quot;??_-;_-@_-"/>
  </numFmts>
  <fonts count="2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162"/>
      <scheme val="minor"/>
    </font>
    <font>
      <sz val="11"/>
      <color indexed="8"/>
      <name val="Tahoma"/>
      <family val="2"/>
      <charset val="204"/>
    </font>
    <font>
      <b/>
      <sz val="14"/>
      <color indexed="8"/>
      <name val="Tahoma"/>
      <family val="2"/>
    </font>
    <font>
      <sz val="12"/>
      <color indexed="8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0"/>
      <name val="Arial Tur"/>
      <charset val="162"/>
    </font>
    <font>
      <sz val="11"/>
      <name val="Calibri"/>
      <family val="2"/>
      <charset val="204"/>
    </font>
    <font>
      <b/>
      <sz val="12"/>
      <color indexed="8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  <charset val="204"/>
    </font>
    <font>
      <b/>
      <sz val="10"/>
      <name val="Times New Roman"/>
      <family val="1"/>
    </font>
    <font>
      <b/>
      <sz val="14"/>
      <name val="Times New Roman"/>
      <family val="1"/>
      <charset val="204"/>
    </font>
    <font>
      <u/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162"/>
    </font>
    <font>
      <sz val="14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70" fontId="9" fillId="0" borderId="0"/>
    <xf numFmtId="0" fontId="1" fillId="0" borderId="0"/>
    <xf numFmtId="43" fontId="5" fillId="0" borderId="0"/>
    <xf numFmtId="9" fontId="5" fillId="0" borderId="0"/>
    <xf numFmtId="0" fontId="8" fillId="0" borderId="0"/>
    <xf numFmtId="0" fontId="11" fillId="0" borderId="0"/>
  </cellStyleXfs>
  <cellXfs count="81">
    <xf numFmtId="0" fontId="0" fillId="0" borderId="0" xfId="0"/>
    <xf numFmtId="0" fontId="2" fillId="0" borderId="0" xfId="2" applyFont="1"/>
    <xf numFmtId="0" fontId="3" fillId="0" borderId="0" xfId="2" applyFont="1"/>
    <xf numFmtId="43" fontId="6" fillId="0" borderId="0" xfId="3" applyFont="1"/>
    <xf numFmtId="0" fontId="4" fillId="0" borderId="0" xfId="2" applyFont="1"/>
    <xf numFmtId="164" fontId="4" fillId="0" borderId="0" xfId="2" applyNumberFormat="1" applyFont="1"/>
    <xf numFmtId="165" fontId="4" fillId="0" borderId="0" xfId="2" applyNumberFormat="1" applyFont="1"/>
    <xf numFmtId="0" fontId="4" fillId="0" borderId="0" xfId="2" applyFont="1" applyAlignment="1">
      <alignment horizontal="right"/>
    </xf>
    <xf numFmtId="10" fontId="4" fillId="0" borderId="0" xfId="2" applyNumberFormat="1" applyFont="1"/>
    <xf numFmtId="43" fontId="4" fillId="0" borderId="0" xfId="3" applyFont="1"/>
    <xf numFmtId="10" fontId="4" fillId="0" borderId="0" xfId="4" applyNumberFormat="1" applyFont="1"/>
    <xf numFmtId="4" fontId="4" fillId="0" borderId="0" xfId="3" applyNumberFormat="1" applyFont="1" applyAlignment="1">
      <alignment horizontal="right"/>
    </xf>
    <xf numFmtId="4" fontId="7" fillId="0" borderId="0" xfId="3" applyNumberFormat="1" applyFont="1" applyAlignment="1">
      <alignment horizontal="right" vertical="center"/>
    </xf>
    <xf numFmtId="1" fontId="7" fillId="0" borderId="0" xfId="5" applyNumberFormat="1" applyFont="1" applyAlignment="1">
      <alignment horizontal="left" vertical="center"/>
    </xf>
    <xf numFmtId="166" fontId="10" fillId="2" borderId="0" xfId="1" applyNumberFormat="1" applyFont="1" applyFill="1"/>
    <xf numFmtId="0" fontId="12" fillId="0" borderId="0" xfId="6" applyFont="1" applyAlignment="1">
      <alignment horizontal="center" vertical="center"/>
    </xf>
    <xf numFmtId="49" fontId="13" fillId="0" borderId="0" xfId="6" applyNumberFormat="1" applyFont="1" applyAlignment="1">
      <alignment vertical="center" wrapText="1"/>
    </xf>
    <xf numFmtId="49" fontId="13" fillId="0" borderId="0" xfId="6" applyNumberFormat="1" applyFont="1" applyAlignment="1">
      <alignment horizontal="center" vertical="center" wrapText="1"/>
    </xf>
    <xf numFmtId="2" fontId="13" fillId="0" borderId="0" xfId="6" applyNumberFormat="1" applyFont="1" applyAlignment="1">
      <alignment horizontal="right" vertical="center"/>
    </xf>
    <xf numFmtId="10" fontId="13" fillId="0" borderId="0" xfId="4" applyNumberFormat="1" applyFont="1" applyAlignment="1">
      <alignment horizontal="center"/>
    </xf>
    <xf numFmtId="43" fontId="13" fillId="0" borderId="0" xfId="3" applyFont="1" applyAlignment="1">
      <alignment horizontal="center"/>
    </xf>
    <xf numFmtId="10" fontId="13" fillId="0" borderId="0" xfId="6" applyNumberFormat="1" applyFont="1" applyAlignment="1">
      <alignment horizontal="center"/>
    </xf>
    <xf numFmtId="0" fontId="15" fillId="0" borderId="0" xfId="6" applyFont="1"/>
    <xf numFmtId="164" fontId="15" fillId="0" borderId="0" xfId="6" applyNumberFormat="1" applyFont="1"/>
    <xf numFmtId="165" fontId="15" fillId="0" borderId="0" xfId="6" applyNumberFormat="1" applyFont="1"/>
    <xf numFmtId="0" fontId="17" fillId="0" borderId="0" xfId="6" applyFont="1"/>
    <xf numFmtId="164" fontId="17" fillId="0" borderId="0" xfId="6" applyNumberFormat="1" applyFont="1"/>
    <xf numFmtId="165" fontId="17" fillId="0" borderId="0" xfId="6" applyNumberFormat="1" applyFont="1"/>
    <xf numFmtId="10" fontId="14" fillId="4" borderId="2" xfId="4" applyNumberFormat="1" applyFont="1" applyFill="1" applyBorder="1" applyAlignment="1">
      <alignment horizontal="right" vertical="center" wrapText="1"/>
    </xf>
    <xf numFmtId="43" fontId="14" fillId="4" borderId="2" xfId="3" applyFont="1" applyFill="1" applyBorder="1" applyAlignment="1">
      <alignment horizontal="right" vertical="center" wrapText="1"/>
    </xf>
    <xf numFmtId="4" fontId="14" fillId="4" borderId="2" xfId="3" applyNumberFormat="1" applyFont="1" applyFill="1" applyBorder="1" applyAlignment="1">
      <alignment horizontal="right" vertical="center" wrapText="1"/>
    </xf>
    <xf numFmtId="167" fontId="18" fillId="5" borderId="2" xfId="6" applyNumberFormat="1" applyFont="1" applyFill="1" applyBorder="1" applyAlignment="1">
      <alignment horizontal="center" vertical="center"/>
    </xf>
    <xf numFmtId="0" fontId="18" fillId="5" borderId="0" xfId="6" applyFont="1" applyFill="1"/>
    <xf numFmtId="167" fontId="12" fillId="5" borderId="2" xfId="6" applyNumberFormat="1" applyFont="1" applyFill="1" applyBorder="1" applyAlignment="1">
      <alignment horizontal="center" vertical="center"/>
    </xf>
    <xf numFmtId="0" fontId="19" fillId="6" borderId="2" xfId="6" quotePrefix="1" applyFont="1" applyFill="1" applyBorder="1" applyAlignment="1">
      <alignment horizontal="left" vertical="top" wrapText="1"/>
    </xf>
    <xf numFmtId="0" fontId="20" fillId="6" borderId="2" xfId="6" applyFont="1" applyFill="1" applyBorder="1" applyAlignment="1">
      <alignment horizontal="center" vertical="center" wrapText="1"/>
    </xf>
    <xf numFmtId="4" fontId="20" fillId="6" borderId="2" xfId="6" applyNumberFormat="1" applyFont="1" applyFill="1" applyBorder="1" applyAlignment="1">
      <alignment horizontal="right" vertical="center"/>
    </xf>
    <xf numFmtId="10" fontId="20" fillId="6" borderId="2" xfId="4" applyNumberFormat="1" applyFont="1" applyFill="1" applyBorder="1" applyAlignment="1">
      <alignment horizontal="center" vertical="center"/>
    </xf>
    <xf numFmtId="43" fontId="20" fillId="6" borderId="2" xfId="3" applyFont="1" applyFill="1" applyBorder="1" applyAlignment="1">
      <alignment horizontal="center" vertical="center"/>
    </xf>
    <xf numFmtId="0" fontId="21" fillId="6" borderId="0" xfId="6" applyFont="1" applyFill="1"/>
    <xf numFmtId="0" fontId="22" fillId="2" borderId="2" xfId="6" quotePrefix="1" applyFont="1" applyFill="1" applyBorder="1" applyAlignment="1">
      <alignment horizontal="left" vertical="top" wrapText="1"/>
    </xf>
    <xf numFmtId="0" fontId="16" fillId="2" borderId="2" xfId="6" applyFont="1" applyFill="1" applyBorder="1" applyAlignment="1">
      <alignment horizontal="center" vertical="center" wrapText="1"/>
    </xf>
    <xf numFmtId="4" fontId="16" fillId="2" borderId="2" xfId="6" applyNumberFormat="1" applyFont="1" applyFill="1" applyBorder="1" applyAlignment="1">
      <alignment horizontal="right" vertical="center"/>
    </xf>
    <xf numFmtId="10" fontId="20" fillId="2" borderId="2" xfId="4" applyNumberFormat="1" applyFont="1" applyFill="1" applyBorder="1" applyAlignment="1">
      <alignment horizontal="center" vertical="center"/>
    </xf>
    <xf numFmtId="43" fontId="20" fillId="2" borderId="2" xfId="3" applyFont="1" applyFill="1" applyBorder="1" applyAlignment="1">
      <alignment horizontal="center" vertical="center"/>
    </xf>
    <xf numFmtId="0" fontId="18" fillId="6" borderId="0" xfId="6" applyFont="1" applyFill="1"/>
    <xf numFmtId="0" fontId="23" fillId="6" borderId="0" xfId="6" applyFont="1" applyFill="1"/>
    <xf numFmtId="2" fontId="18" fillId="5" borderId="2" xfId="6" applyNumberFormat="1" applyFont="1" applyFill="1" applyBorder="1" applyAlignment="1">
      <alignment horizontal="center" vertical="center"/>
    </xf>
    <xf numFmtId="0" fontId="18" fillId="6" borderId="0" xfId="6" applyFont="1" applyFill="1" applyAlignment="1">
      <alignment vertical="center"/>
    </xf>
    <xf numFmtId="0" fontId="21" fillId="6" borderId="0" xfId="6" applyFont="1" applyFill="1" applyAlignment="1">
      <alignment vertical="center"/>
    </xf>
    <xf numFmtId="0" fontId="22" fillId="6" borderId="2" xfId="6" quotePrefix="1" applyFont="1" applyFill="1" applyBorder="1" applyAlignment="1">
      <alignment horizontal="left" vertical="top" wrapText="1"/>
    </xf>
    <xf numFmtId="0" fontId="16" fillId="6" borderId="2" xfId="6" applyFont="1" applyFill="1" applyBorder="1" applyAlignment="1">
      <alignment horizontal="center" vertical="center" wrapText="1"/>
    </xf>
    <xf numFmtId="4" fontId="16" fillId="6" borderId="2" xfId="6" applyNumberFormat="1" applyFont="1" applyFill="1" applyBorder="1" applyAlignment="1">
      <alignment horizontal="right" vertical="center"/>
    </xf>
    <xf numFmtId="0" fontId="22" fillId="7" borderId="2" xfId="6" quotePrefix="1" applyFont="1" applyFill="1" applyBorder="1" applyAlignment="1">
      <alignment horizontal="left" vertical="top" wrapText="1"/>
    </xf>
    <xf numFmtId="0" fontId="16" fillId="7" borderId="2" xfId="6" applyFont="1" applyFill="1" applyBorder="1" applyAlignment="1">
      <alignment horizontal="center" vertical="center" wrapText="1"/>
    </xf>
    <xf numFmtId="4" fontId="16" fillId="7" borderId="2" xfId="6" applyNumberFormat="1" applyFont="1" applyFill="1" applyBorder="1" applyAlignment="1">
      <alignment horizontal="right" vertical="center"/>
    </xf>
    <xf numFmtId="10" fontId="16" fillId="7" borderId="2" xfId="4" applyNumberFormat="1" applyFont="1" applyFill="1" applyBorder="1" applyAlignment="1">
      <alignment horizontal="center" vertical="center"/>
    </xf>
    <xf numFmtId="0" fontId="24" fillId="6" borderId="0" xfId="6" applyFont="1" applyFill="1"/>
    <xf numFmtId="0" fontId="25" fillId="6" borderId="0" xfId="6" applyFont="1" applyFill="1" applyAlignment="1">
      <alignment horizontal="center" vertical="center"/>
    </xf>
    <xf numFmtId="49" fontId="14" fillId="6" borderId="0" xfId="6" applyNumberFormat="1" applyFont="1" applyFill="1" applyAlignment="1">
      <alignment horizontal="center" vertical="center" wrapText="1"/>
    </xf>
    <xf numFmtId="2" fontId="13" fillId="6" borderId="0" xfId="6" applyNumberFormat="1" applyFont="1" applyFill="1" applyAlignment="1">
      <alignment horizontal="right" vertical="center"/>
    </xf>
    <xf numFmtId="0" fontId="27" fillId="0" borderId="0" xfId="6" applyFont="1"/>
    <xf numFmtId="4" fontId="13" fillId="0" borderId="0" xfId="3" applyNumberFormat="1" applyFont="1" applyAlignment="1">
      <alignment horizontal="right"/>
    </xf>
    <xf numFmtId="0" fontId="14" fillId="6" borderId="0" xfId="6" applyFont="1" applyFill="1" applyAlignment="1">
      <alignment horizontal="center" vertical="center"/>
    </xf>
    <xf numFmtId="0" fontId="4" fillId="0" borderId="0" xfId="2" applyFont="1" applyAlignment="1">
      <alignment horizontal="center"/>
    </xf>
    <xf numFmtId="0" fontId="4" fillId="0" borderId="0" xfId="2" applyFont="1"/>
    <xf numFmtId="0" fontId="14" fillId="3" borderId="2" xfId="6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6" fillId="3" borderId="2" xfId="6" applyFont="1" applyFill="1" applyBorder="1" applyAlignment="1">
      <alignment horizontal="center" vertical="center" wrapText="1"/>
    </xf>
    <xf numFmtId="0" fontId="14" fillId="0" borderId="1" xfId="6" applyFont="1" applyBorder="1" applyAlignment="1">
      <alignment horizontal="center" wrapText="1"/>
    </xf>
    <xf numFmtId="0" fontId="0" fillId="0" borderId="1" xfId="0" applyBorder="1"/>
    <xf numFmtId="168" fontId="14" fillId="3" borderId="2" xfId="6" applyNumberFormat="1" applyFont="1" applyFill="1" applyBorder="1" applyAlignment="1">
      <alignment horizontal="right" vertical="center" wrapText="1"/>
    </xf>
    <xf numFmtId="0" fontId="14" fillId="4" borderId="2" xfId="6" applyFont="1" applyFill="1" applyBorder="1" applyAlignment="1">
      <alignment horizontal="center" vertical="center" wrapText="1"/>
    </xf>
    <xf numFmtId="0" fontId="0" fillId="0" borderId="6" xfId="0" applyBorder="1"/>
    <xf numFmtId="169" fontId="14" fillId="3" borderId="2" xfId="6" applyNumberFormat="1" applyFont="1" applyFill="1" applyBorder="1" applyAlignment="1">
      <alignment horizontal="right" vertical="center" wrapText="1"/>
    </xf>
    <xf numFmtId="2" fontId="14" fillId="3" borderId="2" xfId="6" applyNumberFormat="1" applyFont="1" applyFill="1" applyBorder="1" applyAlignment="1">
      <alignment horizontal="right" vertical="center" wrapText="1"/>
    </xf>
    <xf numFmtId="43" fontId="6" fillId="0" borderId="0" xfId="3" applyFont="1" applyAlignment="1">
      <alignment horizontal="center" vertical="center"/>
    </xf>
    <xf numFmtId="49" fontId="14" fillId="3" borderId="2" xfId="6" applyNumberFormat="1" applyFont="1" applyFill="1" applyBorder="1" applyAlignment="1">
      <alignment horizontal="center" vertical="center" wrapText="1"/>
    </xf>
    <xf numFmtId="14" fontId="7" fillId="0" borderId="0" xfId="5" applyNumberFormat="1" applyFont="1" applyAlignment="1">
      <alignment horizontal="left" vertical="center"/>
    </xf>
    <xf numFmtId="0" fontId="0" fillId="0" borderId="5" xfId="0" applyBorder="1"/>
  </cellXfs>
  <cellStyles count="7">
    <cellStyle name="Comma" xfId="1" builtinId="3"/>
    <cellStyle name="Comma 2" xfId="3" xr:uid="{00000000-0005-0000-0000-000003000000}"/>
    <cellStyle name="Normal" xfId="0" builtinId="0"/>
    <cellStyle name="Normal 2 4" xfId="6" xr:uid="{00000000-0005-0000-0000-000006000000}"/>
    <cellStyle name="Normal 4" xfId="2" xr:uid="{00000000-0005-0000-0000-000002000000}"/>
    <cellStyle name="Normal 59" xfId="5" xr:uid="{00000000-0005-0000-0000-000005000000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A1:BC2342"/>
  <sheetViews>
    <sheetView tabSelected="1" view="pageBreakPreview" zoomScale="70" zoomScaleNormal="70" zoomScaleSheetLayoutView="70" workbookViewId="0">
      <pane ySplit="9" topLeftCell="A217" activePane="bottomLeft" state="frozen"/>
      <selection pane="bottomLeft" activeCell="D231" sqref="D231"/>
    </sheetView>
  </sheetViews>
  <sheetFormatPr defaultColWidth="8.88671875" defaultRowHeight="15.6" outlineLevelRow="1" x14ac:dyDescent="0.3"/>
  <cols>
    <col min="1" max="1" width="13" style="15" customWidth="1"/>
    <col min="2" max="2" width="60.77734375" style="16" customWidth="1"/>
    <col min="3" max="3" width="25.5546875" style="17" customWidth="1"/>
    <col min="4" max="4" width="15.5546875" style="18" customWidth="1"/>
    <col min="5" max="5" width="13.44140625" style="18" customWidth="1"/>
    <col min="6" max="6" width="17.6640625" style="18" customWidth="1"/>
    <col min="7" max="7" width="15.88671875" style="19" customWidth="1"/>
    <col min="8" max="8" width="18" style="20" customWidth="1"/>
    <col min="9" max="9" width="14.5546875" style="19" customWidth="1"/>
    <col min="10" max="10" width="17.6640625" style="62" customWidth="1"/>
    <col min="11" max="11" width="14.5546875" style="21" customWidth="1"/>
    <col min="12" max="12" width="16.109375" style="20" customWidth="1"/>
    <col min="13" max="49" width="8.88671875" style="22" customWidth="1"/>
    <col min="50" max="50" width="11.33203125" style="22" customWidth="1"/>
    <col min="51" max="51" width="18.44140625" style="22" customWidth="1"/>
    <col min="52" max="52" width="18.44140625" style="23" customWidth="1"/>
    <col min="53" max="54" width="8.88671875" style="22" customWidth="1"/>
    <col min="55" max="55" width="8.88671875" style="24" customWidth="1"/>
    <col min="56" max="56" width="8.88671875" style="22" customWidth="1"/>
    <col min="57" max="16384" width="8.88671875" style="22"/>
  </cols>
  <sheetData>
    <row r="1" spans="1:55" s="4" customFormat="1" ht="27.75" customHeight="1" x14ac:dyDescent="0.3">
      <c r="A1" s="1"/>
      <c r="B1" s="2" t="s">
        <v>0</v>
      </c>
      <c r="C1" s="64"/>
      <c r="D1" s="65"/>
      <c r="E1" s="65"/>
      <c r="F1" s="65"/>
      <c r="G1" s="65"/>
      <c r="H1" s="65"/>
      <c r="I1" s="65"/>
      <c r="J1" s="65"/>
      <c r="K1" s="65"/>
      <c r="L1" s="3"/>
      <c r="AZ1" s="5"/>
      <c r="BC1" s="6"/>
    </row>
    <row r="2" spans="1:55" s="4" customFormat="1" ht="27.75" customHeight="1" x14ac:dyDescent="0.3">
      <c r="A2" s="1"/>
      <c r="B2" s="2" t="s">
        <v>1</v>
      </c>
      <c r="D2" s="7"/>
      <c r="E2" s="7"/>
      <c r="F2" s="7"/>
      <c r="G2" s="8"/>
      <c r="H2" s="9"/>
      <c r="I2" s="10"/>
      <c r="J2" s="11"/>
      <c r="K2" s="8"/>
      <c r="L2" s="77" t="s">
        <v>2</v>
      </c>
      <c r="AZ2" s="5"/>
      <c r="BC2" s="6"/>
    </row>
    <row r="3" spans="1:55" s="4" customFormat="1" ht="27.75" customHeight="1" x14ac:dyDescent="0.3">
      <c r="A3" s="1"/>
      <c r="B3" s="2" t="s">
        <v>3</v>
      </c>
      <c r="D3" s="7"/>
      <c r="E3" s="7"/>
      <c r="F3" s="7"/>
      <c r="G3" s="8"/>
      <c r="H3" s="9"/>
      <c r="I3" s="10"/>
      <c r="J3" s="11"/>
      <c r="K3" s="8"/>
      <c r="L3" s="65"/>
      <c r="AZ3" s="5"/>
      <c r="BC3" s="6"/>
    </row>
    <row r="4" spans="1:55" s="4" customFormat="1" ht="27.75" customHeight="1" x14ac:dyDescent="0.3">
      <c r="A4" s="1"/>
      <c r="B4" s="2" t="s">
        <v>4</v>
      </c>
      <c r="D4" s="7"/>
      <c r="E4" s="7"/>
      <c r="F4" s="7"/>
      <c r="G4" s="8"/>
      <c r="H4" s="9"/>
      <c r="I4" s="10"/>
      <c r="J4" s="12" t="s">
        <v>5</v>
      </c>
      <c r="K4" s="13"/>
      <c r="L4" s="65"/>
      <c r="AZ4" s="5"/>
      <c r="BC4" s="6"/>
    </row>
    <row r="5" spans="1:55" s="4" customFormat="1" ht="27.75" customHeight="1" x14ac:dyDescent="0.3">
      <c r="A5" s="1"/>
      <c r="B5" s="2" t="s">
        <v>6</v>
      </c>
      <c r="C5" s="14">
        <f>F194</f>
        <v>571468.97161479201</v>
      </c>
      <c r="D5" s="7"/>
      <c r="E5" s="7"/>
      <c r="F5" s="7"/>
      <c r="G5" s="8"/>
      <c r="H5" s="9"/>
      <c r="I5" s="10"/>
      <c r="J5" s="12" t="s">
        <v>7</v>
      </c>
      <c r="K5" s="79"/>
      <c r="L5" s="65"/>
      <c r="AZ5" s="5"/>
      <c r="BC5" s="6"/>
    </row>
    <row r="6" spans="1:55" ht="19.5" customHeight="1" x14ac:dyDescent="0.3">
      <c r="I6" s="70"/>
      <c r="J6" s="71"/>
    </row>
    <row r="7" spans="1:55" s="25" customFormat="1" ht="31.5" customHeight="1" x14ac:dyDescent="0.3">
      <c r="A7" s="69" t="s">
        <v>8</v>
      </c>
      <c r="B7" s="78" t="s">
        <v>9</v>
      </c>
      <c r="C7" s="66" t="s">
        <v>10</v>
      </c>
      <c r="D7" s="76" t="s">
        <v>11</v>
      </c>
      <c r="E7" s="72" t="s">
        <v>12</v>
      </c>
      <c r="F7" s="75" t="s">
        <v>13</v>
      </c>
      <c r="G7" s="73" t="s">
        <v>14</v>
      </c>
      <c r="H7" s="80"/>
      <c r="I7" s="80"/>
      <c r="J7" s="80"/>
      <c r="K7" s="80"/>
      <c r="L7" s="74"/>
      <c r="AZ7" s="26"/>
      <c r="BC7" s="27"/>
    </row>
    <row r="8" spans="1:55" s="25" customFormat="1" ht="56.25" customHeight="1" x14ac:dyDescent="0.3">
      <c r="A8" s="67"/>
      <c r="B8" s="67"/>
      <c r="C8" s="67"/>
      <c r="D8" s="67"/>
      <c r="E8" s="67"/>
      <c r="F8" s="67"/>
      <c r="G8" s="73" t="s">
        <v>15</v>
      </c>
      <c r="H8" s="74"/>
      <c r="I8" s="73" t="s">
        <v>16</v>
      </c>
      <c r="J8" s="74"/>
      <c r="K8" s="73" t="s">
        <v>17</v>
      </c>
      <c r="L8" s="74"/>
      <c r="AZ8" s="26"/>
      <c r="BC8" s="27"/>
    </row>
    <row r="9" spans="1:55" s="25" customFormat="1" ht="72.75" customHeight="1" x14ac:dyDescent="0.25">
      <c r="A9" s="68"/>
      <c r="B9" s="68"/>
      <c r="C9" s="68"/>
      <c r="D9" s="68"/>
      <c r="E9" s="68"/>
      <c r="F9" s="68"/>
      <c r="G9" s="28" t="s">
        <v>18</v>
      </c>
      <c r="H9" s="29" t="s">
        <v>19</v>
      </c>
      <c r="I9" s="28" t="s">
        <v>20</v>
      </c>
      <c r="J9" s="30" t="s">
        <v>21</v>
      </c>
      <c r="K9" s="30" t="s">
        <v>22</v>
      </c>
      <c r="L9" s="29" t="s">
        <v>23</v>
      </c>
      <c r="AZ9" s="26"/>
      <c r="BC9" s="27"/>
    </row>
    <row r="10" spans="1:55" s="32" customFormat="1" ht="15.45" customHeight="1" x14ac:dyDescent="0.3">
      <c r="A10" s="31" t="s">
        <v>24</v>
      </c>
      <c r="B10" s="40" t="s">
        <v>25</v>
      </c>
      <c r="C10" s="41">
        <v>0</v>
      </c>
      <c r="D10" s="42"/>
      <c r="E10" s="42"/>
      <c r="F10" s="42"/>
      <c r="G10" s="43"/>
      <c r="H10" s="44"/>
      <c r="I10" s="43"/>
      <c r="J10" s="44"/>
      <c r="K10" s="43"/>
      <c r="L10" s="44">
        <v>0</v>
      </c>
    </row>
    <row r="11" spans="1:55" s="39" customFormat="1" ht="28.95" customHeight="1" outlineLevel="1" x14ac:dyDescent="0.25">
      <c r="A11" s="33">
        <v>1</v>
      </c>
      <c r="B11" s="34" t="s">
        <v>26</v>
      </c>
      <c r="C11" s="35" t="s">
        <v>27</v>
      </c>
      <c r="D11" s="36">
        <v>7625.4</v>
      </c>
      <c r="E11" s="36">
        <v>7.5</v>
      </c>
      <c r="F11" s="36">
        <f>+E11*D11</f>
        <v>57190.5</v>
      </c>
      <c r="G11" s="37">
        <f>I11+K11</f>
        <v>0</v>
      </c>
      <c r="H11" s="38">
        <f>J11+L11</f>
        <v>0</v>
      </c>
      <c r="I11" s="37">
        <f>J11/F11</f>
        <v>0</v>
      </c>
      <c r="J11" s="38">
        <v>0</v>
      </c>
      <c r="K11" s="37">
        <f>L11/F11</f>
        <v>0</v>
      </c>
      <c r="L11" s="38">
        <v>0</v>
      </c>
    </row>
    <row r="12" spans="1:55" s="39" customFormat="1" ht="15.45" customHeight="1" outlineLevel="1" x14ac:dyDescent="0.25">
      <c r="A12" s="31" t="s">
        <v>28</v>
      </c>
      <c r="B12" s="40" t="s">
        <v>29</v>
      </c>
      <c r="C12" s="41">
        <v>0</v>
      </c>
      <c r="D12" s="42"/>
      <c r="E12" s="42"/>
      <c r="F12" s="42"/>
      <c r="G12" s="43"/>
      <c r="H12" s="44"/>
      <c r="I12" s="43"/>
      <c r="J12" s="44"/>
      <c r="K12" s="43"/>
      <c r="L12" s="44">
        <v>0</v>
      </c>
    </row>
    <row r="13" spans="1:55" s="39" customFormat="1" ht="28.95" customHeight="1" outlineLevel="1" x14ac:dyDescent="0.25">
      <c r="A13" s="33">
        <v>1</v>
      </c>
      <c r="B13" s="34" t="s">
        <v>30</v>
      </c>
      <c r="C13" s="35" t="s">
        <v>31</v>
      </c>
      <c r="D13" s="36">
        <v>1660</v>
      </c>
      <c r="E13" s="36">
        <v>15.4</v>
      </c>
      <c r="F13" s="36">
        <f t="shared" ref="F13:F18" si="0">+E13*D13</f>
        <v>25564</v>
      </c>
      <c r="G13" s="37">
        <f t="shared" ref="G13:H18" si="1">I13+K13</f>
        <v>0</v>
      </c>
      <c r="H13" s="38">
        <f t="shared" si="1"/>
        <v>0</v>
      </c>
      <c r="I13" s="37">
        <f t="shared" ref="I13:I18" si="2">J13/F13</f>
        <v>0</v>
      </c>
      <c r="J13" s="38">
        <v>0</v>
      </c>
      <c r="K13" s="37">
        <f t="shared" ref="K13:K18" si="3">L13/F13</f>
        <v>0</v>
      </c>
      <c r="L13" s="38">
        <v>0</v>
      </c>
    </row>
    <row r="14" spans="1:55" s="39" customFormat="1" ht="28.95" customHeight="1" outlineLevel="1" x14ac:dyDescent="0.25">
      <c r="A14" s="33">
        <v>2</v>
      </c>
      <c r="B14" s="34" t="s">
        <v>32</v>
      </c>
      <c r="C14" s="35" t="s">
        <v>31</v>
      </c>
      <c r="D14" s="36">
        <v>230.5</v>
      </c>
      <c r="E14" s="36">
        <v>24.487995999999999</v>
      </c>
      <c r="F14" s="36">
        <f t="shared" si="0"/>
        <v>5644.4830780000002</v>
      </c>
      <c r="G14" s="37">
        <f t="shared" si="1"/>
        <v>0</v>
      </c>
      <c r="H14" s="38">
        <f t="shared" si="1"/>
        <v>0</v>
      </c>
      <c r="I14" s="37">
        <f t="shared" si="2"/>
        <v>0</v>
      </c>
      <c r="J14" s="38">
        <v>0</v>
      </c>
      <c r="K14" s="37">
        <f t="shared" si="3"/>
        <v>0</v>
      </c>
      <c r="L14" s="38">
        <v>0</v>
      </c>
    </row>
    <row r="15" spans="1:55" s="45" customFormat="1" ht="15.45" customHeight="1" x14ac:dyDescent="0.3">
      <c r="A15" s="33">
        <v>3</v>
      </c>
      <c r="B15" s="34" t="s">
        <v>33</v>
      </c>
      <c r="C15" s="35" t="s">
        <v>34</v>
      </c>
      <c r="D15" s="36">
        <v>154.19999999999999</v>
      </c>
      <c r="E15" s="36">
        <v>14.38</v>
      </c>
      <c r="F15" s="36">
        <f t="shared" si="0"/>
        <v>2217.3959999999997</v>
      </c>
      <c r="G15" s="37">
        <f t="shared" si="1"/>
        <v>0</v>
      </c>
      <c r="H15" s="38">
        <f t="shared" si="1"/>
        <v>0</v>
      </c>
      <c r="I15" s="37">
        <f t="shared" si="2"/>
        <v>0</v>
      </c>
      <c r="J15" s="38">
        <v>0</v>
      </c>
      <c r="K15" s="37">
        <f t="shared" si="3"/>
        <v>0</v>
      </c>
      <c r="L15" s="38">
        <v>0</v>
      </c>
    </row>
    <row r="16" spans="1:55" s="39" customFormat="1" ht="28.95" customHeight="1" outlineLevel="1" x14ac:dyDescent="0.25">
      <c r="A16" s="33">
        <v>4</v>
      </c>
      <c r="B16" s="34" t="s">
        <v>35</v>
      </c>
      <c r="C16" s="35" t="s">
        <v>34</v>
      </c>
      <c r="D16" s="36">
        <v>190.5</v>
      </c>
      <c r="E16" s="36">
        <v>9.2800000000000011</v>
      </c>
      <c r="F16" s="36">
        <f t="shared" si="0"/>
        <v>1767.8400000000001</v>
      </c>
      <c r="G16" s="37">
        <f t="shared" si="1"/>
        <v>0</v>
      </c>
      <c r="H16" s="38">
        <f t="shared" si="1"/>
        <v>0</v>
      </c>
      <c r="I16" s="37">
        <f t="shared" si="2"/>
        <v>0</v>
      </c>
      <c r="J16" s="38">
        <v>0</v>
      </c>
      <c r="K16" s="37">
        <f t="shared" si="3"/>
        <v>0</v>
      </c>
      <c r="L16" s="38">
        <v>0</v>
      </c>
    </row>
    <row r="17" spans="1:12" s="39" customFormat="1" ht="43.5" customHeight="1" outlineLevel="1" x14ac:dyDescent="0.25">
      <c r="A17" s="33">
        <v>5</v>
      </c>
      <c r="B17" s="34" t="s">
        <v>36</v>
      </c>
      <c r="C17" s="35" t="s">
        <v>34</v>
      </c>
      <c r="D17" s="36">
        <v>190.5</v>
      </c>
      <c r="E17" s="36">
        <v>3.6884000000000001</v>
      </c>
      <c r="F17" s="36">
        <f t="shared" si="0"/>
        <v>702.64020000000005</v>
      </c>
      <c r="G17" s="37">
        <f t="shared" si="1"/>
        <v>0</v>
      </c>
      <c r="H17" s="38">
        <f t="shared" si="1"/>
        <v>0</v>
      </c>
      <c r="I17" s="37">
        <f t="shared" si="2"/>
        <v>0</v>
      </c>
      <c r="J17" s="38">
        <v>0</v>
      </c>
      <c r="K17" s="37">
        <f t="shared" si="3"/>
        <v>0</v>
      </c>
      <c r="L17" s="38">
        <v>0</v>
      </c>
    </row>
    <row r="18" spans="1:12" s="39" customFormat="1" ht="15.45" customHeight="1" outlineLevel="1" x14ac:dyDescent="0.25">
      <c r="A18" s="33">
        <v>6</v>
      </c>
      <c r="B18" s="34" t="s">
        <v>37</v>
      </c>
      <c r="C18" s="35" t="s">
        <v>34</v>
      </c>
      <c r="D18" s="36">
        <v>145.69999999999999</v>
      </c>
      <c r="E18" s="36">
        <v>71.5</v>
      </c>
      <c r="F18" s="36">
        <f t="shared" si="0"/>
        <v>10417.549999999999</v>
      </c>
      <c r="G18" s="37">
        <f t="shared" si="1"/>
        <v>0</v>
      </c>
      <c r="H18" s="38">
        <f t="shared" si="1"/>
        <v>0</v>
      </c>
      <c r="I18" s="37">
        <f t="shared" si="2"/>
        <v>0</v>
      </c>
      <c r="J18" s="38">
        <v>0</v>
      </c>
      <c r="K18" s="37">
        <f t="shared" si="3"/>
        <v>0</v>
      </c>
      <c r="L18" s="38">
        <v>0</v>
      </c>
    </row>
    <row r="19" spans="1:12" s="39" customFormat="1" ht="15.45" customHeight="1" outlineLevel="1" x14ac:dyDescent="0.25">
      <c r="A19" s="31" t="s">
        <v>38</v>
      </c>
      <c r="B19" s="40" t="s">
        <v>39</v>
      </c>
      <c r="C19" s="41">
        <v>0</v>
      </c>
      <c r="D19" s="42"/>
      <c r="E19" s="42"/>
      <c r="F19" s="42"/>
      <c r="G19" s="43"/>
      <c r="H19" s="44"/>
      <c r="I19" s="43"/>
      <c r="J19" s="44"/>
      <c r="K19" s="43"/>
      <c r="L19" s="44">
        <v>0</v>
      </c>
    </row>
    <row r="20" spans="1:12" s="39" customFormat="1" ht="15.45" customHeight="1" outlineLevel="1" x14ac:dyDescent="0.25">
      <c r="A20" s="33">
        <v>1</v>
      </c>
      <c r="B20" s="34" t="s">
        <v>40</v>
      </c>
      <c r="C20" s="35" t="s">
        <v>31</v>
      </c>
      <c r="D20" s="36">
        <v>1344</v>
      </c>
      <c r="E20" s="36">
        <v>15.4</v>
      </c>
      <c r="F20" s="36">
        <f t="shared" ref="F20:F42" si="4">+E20*D20</f>
        <v>20697.600000000002</v>
      </c>
      <c r="G20" s="37">
        <f t="shared" ref="G20:G42" si="5">I20+K20</f>
        <v>0</v>
      </c>
      <c r="H20" s="38">
        <f t="shared" ref="H20:H42" si="6">J20+L20</f>
        <v>0</v>
      </c>
      <c r="I20" s="37">
        <f t="shared" ref="I20:I42" si="7">J20/F20</f>
        <v>0</v>
      </c>
      <c r="J20" s="38">
        <v>0</v>
      </c>
      <c r="K20" s="37">
        <f t="shared" ref="K20:K42" si="8">L20/F20</f>
        <v>0</v>
      </c>
      <c r="L20" s="38">
        <v>0</v>
      </c>
    </row>
    <row r="21" spans="1:12" s="39" customFormat="1" ht="15.45" customHeight="1" outlineLevel="1" x14ac:dyDescent="0.25">
      <c r="A21" s="33">
        <v>2</v>
      </c>
      <c r="B21" s="34" t="s">
        <v>41</v>
      </c>
      <c r="C21" s="35" t="s">
        <v>31</v>
      </c>
      <c r="D21" s="36">
        <v>1344</v>
      </c>
      <c r="E21" s="36">
        <v>2.65</v>
      </c>
      <c r="F21" s="36">
        <f t="shared" si="4"/>
        <v>3561.6</v>
      </c>
      <c r="G21" s="37">
        <f t="shared" si="5"/>
        <v>0</v>
      </c>
      <c r="H21" s="38">
        <f t="shared" si="6"/>
        <v>0</v>
      </c>
      <c r="I21" s="37">
        <f t="shared" si="7"/>
        <v>0</v>
      </c>
      <c r="J21" s="38">
        <v>0</v>
      </c>
      <c r="K21" s="37">
        <f t="shared" si="8"/>
        <v>0</v>
      </c>
      <c r="L21" s="38">
        <v>0</v>
      </c>
    </row>
    <row r="22" spans="1:12" s="39" customFormat="1" ht="15.45" customHeight="1" outlineLevel="1" x14ac:dyDescent="0.25">
      <c r="A22" s="33">
        <v>3</v>
      </c>
      <c r="B22" s="34" t="s">
        <v>42</v>
      </c>
      <c r="C22" s="35" t="s">
        <v>31</v>
      </c>
      <c r="D22" s="36">
        <v>43.8</v>
      </c>
      <c r="E22" s="36">
        <v>5.4732580000000004</v>
      </c>
      <c r="F22" s="36">
        <f t="shared" si="4"/>
        <v>239.72870040000001</v>
      </c>
      <c r="G22" s="37">
        <f t="shared" si="5"/>
        <v>0</v>
      </c>
      <c r="H22" s="38">
        <f t="shared" si="6"/>
        <v>0</v>
      </c>
      <c r="I22" s="37">
        <f t="shared" si="7"/>
        <v>0</v>
      </c>
      <c r="J22" s="38">
        <v>0</v>
      </c>
      <c r="K22" s="37">
        <f t="shared" si="8"/>
        <v>0</v>
      </c>
      <c r="L22" s="38">
        <v>0</v>
      </c>
    </row>
    <row r="23" spans="1:12" s="45" customFormat="1" ht="15.45" customHeight="1" x14ac:dyDescent="0.3">
      <c r="A23" s="33">
        <v>4</v>
      </c>
      <c r="B23" s="34" t="s">
        <v>43</v>
      </c>
      <c r="C23" s="35" t="s">
        <v>31</v>
      </c>
      <c r="D23" s="36">
        <v>43.8</v>
      </c>
      <c r="E23" s="36">
        <v>1.4259999999999999</v>
      </c>
      <c r="F23" s="36">
        <f t="shared" si="4"/>
        <v>62.458799999999997</v>
      </c>
      <c r="G23" s="37">
        <f t="shared" si="5"/>
        <v>0</v>
      </c>
      <c r="H23" s="38">
        <f t="shared" si="6"/>
        <v>0</v>
      </c>
      <c r="I23" s="37">
        <f t="shared" si="7"/>
        <v>0</v>
      </c>
      <c r="J23" s="38">
        <v>0</v>
      </c>
      <c r="K23" s="37">
        <f t="shared" si="8"/>
        <v>0</v>
      </c>
      <c r="L23" s="38">
        <v>0</v>
      </c>
    </row>
    <row r="24" spans="1:12" s="39" customFormat="1" ht="28.95" customHeight="1" outlineLevel="1" x14ac:dyDescent="0.25">
      <c r="A24" s="33">
        <v>5</v>
      </c>
      <c r="B24" s="34" t="s">
        <v>44</v>
      </c>
      <c r="C24" s="35" t="s">
        <v>31</v>
      </c>
      <c r="D24" s="36">
        <v>43.8</v>
      </c>
      <c r="E24" s="36">
        <v>9.2799999999999994</v>
      </c>
      <c r="F24" s="36">
        <f t="shared" si="4"/>
        <v>406.46399999999994</v>
      </c>
      <c r="G24" s="37">
        <f t="shared" si="5"/>
        <v>0</v>
      </c>
      <c r="H24" s="38">
        <f t="shared" si="6"/>
        <v>0</v>
      </c>
      <c r="I24" s="37">
        <f t="shared" si="7"/>
        <v>0</v>
      </c>
      <c r="J24" s="38">
        <v>0</v>
      </c>
      <c r="K24" s="37">
        <f t="shared" si="8"/>
        <v>0</v>
      </c>
      <c r="L24" s="38">
        <v>0</v>
      </c>
    </row>
    <row r="25" spans="1:12" s="39" customFormat="1" ht="28.95" customHeight="1" outlineLevel="1" x14ac:dyDescent="0.25">
      <c r="A25" s="33">
        <v>6</v>
      </c>
      <c r="B25" s="34" t="s">
        <v>45</v>
      </c>
      <c r="C25" s="35" t="s">
        <v>31</v>
      </c>
      <c r="D25" s="36">
        <v>43.8</v>
      </c>
      <c r="E25" s="36">
        <v>8.26</v>
      </c>
      <c r="F25" s="36">
        <f t="shared" si="4"/>
        <v>361.78799999999995</v>
      </c>
      <c r="G25" s="37">
        <f t="shared" si="5"/>
        <v>0</v>
      </c>
      <c r="H25" s="38">
        <f t="shared" si="6"/>
        <v>0</v>
      </c>
      <c r="I25" s="37">
        <f t="shared" si="7"/>
        <v>0</v>
      </c>
      <c r="J25" s="38">
        <v>0</v>
      </c>
      <c r="K25" s="37">
        <f t="shared" si="8"/>
        <v>0</v>
      </c>
      <c r="L25" s="38">
        <v>0</v>
      </c>
    </row>
    <row r="26" spans="1:12" s="39" customFormat="1" ht="15.45" customHeight="1" outlineLevel="1" x14ac:dyDescent="0.25">
      <c r="A26" s="33">
        <v>7</v>
      </c>
      <c r="B26" s="34" t="s">
        <v>42</v>
      </c>
      <c r="C26" s="35" t="s">
        <v>31</v>
      </c>
      <c r="D26" s="36">
        <v>43.8</v>
      </c>
      <c r="E26" s="36">
        <v>5.4732580000000004</v>
      </c>
      <c r="F26" s="36">
        <f t="shared" si="4"/>
        <v>239.72870040000001</v>
      </c>
      <c r="G26" s="37">
        <f t="shared" si="5"/>
        <v>0</v>
      </c>
      <c r="H26" s="38">
        <f t="shared" si="6"/>
        <v>0</v>
      </c>
      <c r="I26" s="37">
        <f t="shared" si="7"/>
        <v>0</v>
      </c>
      <c r="J26" s="38">
        <v>0</v>
      </c>
      <c r="K26" s="37">
        <f t="shared" si="8"/>
        <v>0</v>
      </c>
      <c r="L26" s="38">
        <v>0</v>
      </c>
    </row>
    <row r="27" spans="1:12" s="39" customFormat="1" ht="28.95" customHeight="1" outlineLevel="1" x14ac:dyDescent="0.25">
      <c r="A27" s="33">
        <v>8</v>
      </c>
      <c r="B27" s="34" t="s">
        <v>46</v>
      </c>
      <c r="C27" s="35" t="s">
        <v>31</v>
      </c>
      <c r="D27" s="36">
        <v>43.8</v>
      </c>
      <c r="E27" s="36">
        <v>39.170284000000009</v>
      </c>
      <c r="F27" s="36">
        <f t="shared" si="4"/>
        <v>1715.6584392000002</v>
      </c>
      <c r="G27" s="37">
        <f t="shared" si="5"/>
        <v>0</v>
      </c>
      <c r="H27" s="38">
        <f t="shared" si="6"/>
        <v>0</v>
      </c>
      <c r="I27" s="37">
        <f t="shared" si="7"/>
        <v>0</v>
      </c>
      <c r="J27" s="38">
        <v>0</v>
      </c>
      <c r="K27" s="37">
        <f t="shared" si="8"/>
        <v>0</v>
      </c>
      <c r="L27" s="38">
        <v>0</v>
      </c>
    </row>
    <row r="28" spans="1:12" s="39" customFormat="1" ht="28.95" customHeight="1" outlineLevel="1" x14ac:dyDescent="0.25">
      <c r="A28" s="33">
        <v>9</v>
      </c>
      <c r="B28" s="34" t="s">
        <v>47</v>
      </c>
      <c r="C28" s="35" t="s">
        <v>31</v>
      </c>
      <c r="D28" s="36">
        <v>230.6</v>
      </c>
      <c r="E28" s="36">
        <v>5.2</v>
      </c>
      <c r="F28" s="36">
        <f t="shared" si="4"/>
        <v>1199.1200000000001</v>
      </c>
      <c r="G28" s="37">
        <f t="shared" si="5"/>
        <v>0</v>
      </c>
      <c r="H28" s="38">
        <f t="shared" si="6"/>
        <v>0</v>
      </c>
      <c r="I28" s="37">
        <f t="shared" si="7"/>
        <v>0</v>
      </c>
      <c r="J28" s="38">
        <v>0</v>
      </c>
      <c r="K28" s="37">
        <f t="shared" si="8"/>
        <v>0</v>
      </c>
      <c r="L28" s="38">
        <v>0</v>
      </c>
    </row>
    <row r="29" spans="1:12" s="39" customFormat="1" ht="15.45" customHeight="1" outlineLevel="1" x14ac:dyDescent="0.25">
      <c r="A29" s="33">
        <v>10</v>
      </c>
      <c r="B29" s="34" t="s">
        <v>48</v>
      </c>
      <c r="C29" s="35" t="s">
        <v>31</v>
      </c>
      <c r="D29" s="36">
        <v>230.6</v>
      </c>
      <c r="E29" s="36">
        <v>9.1775920000000006</v>
      </c>
      <c r="F29" s="36">
        <f t="shared" si="4"/>
        <v>2116.3527152000001</v>
      </c>
      <c r="G29" s="37">
        <f t="shared" si="5"/>
        <v>0</v>
      </c>
      <c r="H29" s="38">
        <f t="shared" si="6"/>
        <v>0</v>
      </c>
      <c r="I29" s="37">
        <f t="shared" si="7"/>
        <v>0</v>
      </c>
      <c r="J29" s="38">
        <v>0</v>
      </c>
      <c r="K29" s="37">
        <f t="shared" si="8"/>
        <v>0</v>
      </c>
      <c r="L29" s="38">
        <v>0</v>
      </c>
    </row>
    <row r="30" spans="1:12" s="39" customFormat="1" ht="28.95" customHeight="1" outlineLevel="1" x14ac:dyDescent="0.25">
      <c r="A30" s="33">
        <v>11</v>
      </c>
      <c r="B30" s="34" t="s">
        <v>49</v>
      </c>
      <c r="C30" s="35" t="s">
        <v>31</v>
      </c>
      <c r="D30" s="36">
        <v>230.6</v>
      </c>
      <c r="E30" s="36">
        <v>11.65813</v>
      </c>
      <c r="F30" s="36">
        <f t="shared" si="4"/>
        <v>2688.3647780000001</v>
      </c>
      <c r="G30" s="37">
        <f t="shared" si="5"/>
        <v>0</v>
      </c>
      <c r="H30" s="38">
        <f t="shared" si="6"/>
        <v>0</v>
      </c>
      <c r="I30" s="37">
        <f t="shared" si="7"/>
        <v>0</v>
      </c>
      <c r="J30" s="38">
        <v>0</v>
      </c>
      <c r="K30" s="37">
        <f t="shared" si="8"/>
        <v>0</v>
      </c>
      <c r="L30" s="38">
        <v>0</v>
      </c>
    </row>
    <row r="31" spans="1:12" s="39" customFormat="1" ht="28.95" customHeight="1" outlineLevel="1" x14ac:dyDescent="0.25">
      <c r="A31" s="33">
        <v>12</v>
      </c>
      <c r="B31" s="34" t="s">
        <v>50</v>
      </c>
      <c r="C31" s="35" t="s">
        <v>31</v>
      </c>
      <c r="D31" s="36">
        <v>230.6</v>
      </c>
      <c r="E31" s="36">
        <v>27.759951999999998</v>
      </c>
      <c r="F31" s="36">
        <f t="shared" si="4"/>
        <v>6401.4449311999997</v>
      </c>
      <c r="G31" s="37">
        <f t="shared" si="5"/>
        <v>0</v>
      </c>
      <c r="H31" s="38">
        <f t="shared" si="6"/>
        <v>0</v>
      </c>
      <c r="I31" s="37">
        <f t="shared" si="7"/>
        <v>0</v>
      </c>
      <c r="J31" s="38">
        <v>0</v>
      </c>
      <c r="K31" s="37">
        <f t="shared" si="8"/>
        <v>0</v>
      </c>
      <c r="L31" s="38">
        <v>0</v>
      </c>
    </row>
    <row r="32" spans="1:12" s="39" customFormat="1" ht="15.45" customHeight="1" outlineLevel="1" x14ac:dyDescent="0.25">
      <c r="A32" s="33">
        <v>13</v>
      </c>
      <c r="B32" s="34" t="s">
        <v>42</v>
      </c>
      <c r="C32" s="35" t="s">
        <v>31</v>
      </c>
      <c r="D32" s="36">
        <v>188.2</v>
      </c>
      <c r="E32" s="36">
        <v>5.4732580000000004</v>
      </c>
      <c r="F32" s="36">
        <f t="shared" si="4"/>
        <v>1030.0671556</v>
      </c>
      <c r="G32" s="37">
        <f t="shared" si="5"/>
        <v>0</v>
      </c>
      <c r="H32" s="38">
        <f t="shared" si="6"/>
        <v>0</v>
      </c>
      <c r="I32" s="37">
        <f t="shared" si="7"/>
        <v>0</v>
      </c>
      <c r="J32" s="38">
        <v>0</v>
      </c>
      <c r="K32" s="37">
        <f t="shared" si="8"/>
        <v>0</v>
      </c>
      <c r="L32" s="38">
        <v>0</v>
      </c>
    </row>
    <row r="33" spans="1:12" s="39" customFormat="1" ht="15.45" customHeight="1" outlineLevel="1" x14ac:dyDescent="0.25">
      <c r="A33" s="33">
        <v>14</v>
      </c>
      <c r="B33" s="34" t="s">
        <v>43</v>
      </c>
      <c r="C33" s="35" t="s">
        <v>31</v>
      </c>
      <c r="D33" s="36">
        <v>188.2</v>
      </c>
      <c r="E33" s="36">
        <v>1.4259999999999999</v>
      </c>
      <c r="F33" s="36">
        <f t="shared" si="4"/>
        <v>268.3732</v>
      </c>
      <c r="G33" s="37">
        <f t="shared" si="5"/>
        <v>0</v>
      </c>
      <c r="H33" s="38">
        <f t="shared" si="6"/>
        <v>0</v>
      </c>
      <c r="I33" s="37">
        <f t="shared" si="7"/>
        <v>0</v>
      </c>
      <c r="J33" s="38">
        <v>0</v>
      </c>
      <c r="K33" s="37">
        <f t="shared" si="8"/>
        <v>0</v>
      </c>
      <c r="L33" s="38">
        <v>0</v>
      </c>
    </row>
    <row r="34" spans="1:12" s="39" customFormat="1" ht="28.95" customHeight="1" outlineLevel="1" x14ac:dyDescent="0.25">
      <c r="A34" s="33">
        <v>15</v>
      </c>
      <c r="B34" s="34" t="s">
        <v>44</v>
      </c>
      <c r="C34" s="35" t="s">
        <v>31</v>
      </c>
      <c r="D34" s="36">
        <v>188.2</v>
      </c>
      <c r="E34" s="36">
        <v>9.2799999999999994</v>
      </c>
      <c r="F34" s="36">
        <f t="shared" si="4"/>
        <v>1746.4959999999999</v>
      </c>
      <c r="G34" s="37">
        <f t="shared" si="5"/>
        <v>0</v>
      </c>
      <c r="H34" s="38">
        <f t="shared" si="6"/>
        <v>0</v>
      </c>
      <c r="I34" s="37">
        <f t="shared" si="7"/>
        <v>0</v>
      </c>
      <c r="J34" s="38">
        <v>0</v>
      </c>
      <c r="K34" s="37">
        <f t="shared" si="8"/>
        <v>0</v>
      </c>
      <c r="L34" s="38">
        <v>0</v>
      </c>
    </row>
    <row r="35" spans="1:12" s="39" customFormat="1" ht="28.95" customHeight="1" outlineLevel="1" x14ac:dyDescent="0.25">
      <c r="A35" s="33">
        <v>16</v>
      </c>
      <c r="B35" s="34" t="s">
        <v>45</v>
      </c>
      <c r="C35" s="35" t="s">
        <v>31</v>
      </c>
      <c r="D35" s="36">
        <v>188.2</v>
      </c>
      <c r="E35" s="36">
        <v>8.26</v>
      </c>
      <c r="F35" s="36">
        <f t="shared" si="4"/>
        <v>1554.5319999999999</v>
      </c>
      <c r="G35" s="37">
        <f t="shared" si="5"/>
        <v>0</v>
      </c>
      <c r="H35" s="38">
        <f t="shared" si="6"/>
        <v>0</v>
      </c>
      <c r="I35" s="37">
        <f t="shared" si="7"/>
        <v>0</v>
      </c>
      <c r="J35" s="38">
        <v>0</v>
      </c>
      <c r="K35" s="37">
        <f t="shared" si="8"/>
        <v>0</v>
      </c>
      <c r="L35" s="38">
        <v>0</v>
      </c>
    </row>
    <row r="36" spans="1:12" s="39" customFormat="1" ht="15.45" customHeight="1" outlineLevel="1" x14ac:dyDescent="0.25">
      <c r="A36" s="33">
        <v>17</v>
      </c>
      <c r="B36" s="34" t="s">
        <v>42</v>
      </c>
      <c r="C36" s="35" t="s">
        <v>31</v>
      </c>
      <c r="D36" s="36">
        <v>188.2</v>
      </c>
      <c r="E36" s="36">
        <v>5.4732580000000004</v>
      </c>
      <c r="F36" s="36">
        <f t="shared" si="4"/>
        <v>1030.0671556</v>
      </c>
      <c r="G36" s="37">
        <f t="shared" si="5"/>
        <v>0</v>
      </c>
      <c r="H36" s="38">
        <f t="shared" si="6"/>
        <v>0</v>
      </c>
      <c r="I36" s="37">
        <f t="shared" si="7"/>
        <v>0</v>
      </c>
      <c r="J36" s="38">
        <v>0</v>
      </c>
      <c r="K36" s="37">
        <f t="shared" si="8"/>
        <v>0</v>
      </c>
      <c r="L36" s="38">
        <v>0</v>
      </c>
    </row>
    <row r="37" spans="1:12" s="39" customFormat="1" ht="28.95" customHeight="1" outlineLevel="1" x14ac:dyDescent="0.25">
      <c r="A37" s="33">
        <v>18</v>
      </c>
      <c r="B37" s="34" t="s">
        <v>51</v>
      </c>
      <c r="C37" s="35" t="s">
        <v>31</v>
      </c>
      <c r="D37" s="36">
        <v>188.2</v>
      </c>
      <c r="E37" s="36">
        <v>39.170284000000009</v>
      </c>
      <c r="F37" s="36">
        <f t="shared" si="4"/>
        <v>7371.8474488000011</v>
      </c>
      <c r="G37" s="37">
        <f t="shared" si="5"/>
        <v>0</v>
      </c>
      <c r="H37" s="38">
        <f t="shared" si="6"/>
        <v>0</v>
      </c>
      <c r="I37" s="37">
        <f t="shared" si="7"/>
        <v>0</v>
      </c>
      <c r="J37" s="38">
        <v>0</v>
      </c>
      <c r="K37" s="37">
        <f t="shared" si="8"/>
        <v>0</v>
      </c>
      <c r="L37" s="38">
        <v>0</v>
      </c>
    </row>
    <row r="38" spans="1:12" s="39" customFormat="1" ht="15.45" customHeight="1" outlineLevel="1" x14ac:dyDescent="0.25">
      <c r="A38" s="33">
        <v>19</v>
      </c>
      <c r="B38" s="34" t="s">
        <v>52</v>
      </c>
      <c r="C38" s="35" t="s">
        <v>31</v>
      </c>
      <c r="D38" s="36">
        <v>538.4</v>
      </c>
      <c r="E38" s="36">
        <v>7.0734339999999998</v>
      </c>
      <c r="F38" s="36">
        <f t="shared" si="4"/>
        <v>3808.3368655999998</v>
      </c>
      <c r="G38" s="37">
        <f t="shared" si="5"/>
        <v>0</v>
      </c>
      <c r="H38" s="38">
        <f t="shared" si="6"/>
        <v>0</v>
      </c>
      <c r="I38" s="37">
        <f t="shared" si="7"/>
        <v>0</v>
      </c>
      <c r="J38" s="38">
        <v>0</v>
      </c>
      <c r="K38" s="37">
        <f t="shared" si="8"/>
        <v>0</v>
      </c>
      <c r="L38" s="38">
        <v>0</v>
      </c>
    </row>
    <row r="39" spans="1:12" s="39" customFormat="1" ht="28.95" customHeight="1" outlineLevel="1" x14ac:dyDescent="0.25">
      <c r="A39" s="33">
        <v>20</v>
      </c>
      <c r="B39" s="34" t="s">
        <v>53</v>
      </c>
      <c r="C39" s="35" t="s">
        <v>31</v>
      </c>
      <c r="D39" s="36">
        <v>538.4</v>
      </c>
      <c r="E39" s="36">
        <v>1.885</v>
      </c>
      <c r="F39" s="36">
        <f t="shared" si="4"/>
        <v>1014.884</v>
      </c>
      <c r="G39" s="37">
        <f t="shared" si="5"/>
        <v>0</v>
      </c>
      <c r="H39" s="38">
        <f t="shared" si="6"/>
        <v>0</v>
      </c>
      <c r="I39" s="37">
        <f t="shared" si="7"/>
        <v>0</v>
      </c>
      <c r="J39" s="38">
        <v>0</v>
      </c>
      <c r="K39" s="37">
        <f t="shared" si="8"/>
        <v>0</v>
      </c>
      <c r="L39" s="38">
        <v>0</v>
      </c>
    </row>
    <row r="40" spans="1:12" s="39" customFormat="1" ht="28.95" customHeight="1" outlineLevel="1" x14ac:dyDescent="0.25">
      <c r="A40" s="33">
        <v>21</v>
      </c>
      <c r="B40" s="34" t="s">
        <v>54</v>
      </c>
      <c r="C40" s="35" t="s">
        <v>31</v>
      </c>
      <c r="D40" s="36">
        <v>538.4</v>
      </c>
      <c r="E40" s="36">
        <v>27.759951999999998</v>
      </c>
      <c r="F40" s="36">
        <f t="shared" si="4"/>
        <v>14945.958156799999</v>
      </c>
      <c r="G40" s="37">
        <f t="shared" si="5"/>
        <v>0</v>
      </c>
      <c r="H40" s="38">
        <f t="shared" si="6"/>
        <v>0</v>
      </c>
      <c r="I40" s="37">
        <f t="shared" si="7"/>
        <v>0</v>
      </c>
      <c r="J40" s="38">
        <v>0</v>
      </c>
      <c r="K40" s="37">
        <f t="shared" si="8"/>
        <v>0</v>
      </c>
      <c r="L40" s="38">
        <v>0</v>
      </c>
    </row>
    <row r="41" spans="1:12" s="39" customFormat="1" ht="28.95" customHeight="1" outlineLevel="1" x14ac:dyDescent="0.25">
      <c r="A41" s="33">
        <v>22</v>
      </c>
      <c r="B41" s="34" t="s">
        <v>55</v>
      </c>
      <c r="C41" s="35" t="s">
        <v>31</v>
      </c>
      <c r="D41" s="36">
        <v>39</v>
      </c>
      <c r="E41" s="36">
        <v>39.170284000000009</v>
      </c>
      <c r="F41" s="36">
        <f t="shared" si="4"/>
        <v>1527.6410760000003</v>
      </c>
      <c r="G41" s="37">
        <f t="shared" si="5"/>
        <v>0</v>
      </c>
      <c r="H41" s="38">
        <f t="shared" si="6"/>
        <v>0</v>
      </c>
      <c r="I41" s="37">
        <f t="shared" si="7"/>
        <v>0</v>
      </c>
      <c r="J41" s="38">
        <v>0</v>
      </c>
      <c r="K41" s="37">
        <f t="shared" si="8"/>
        <v>0</v>
      </c>
      <c r="L41" s="38">
        <v>0</v>
      </c>
    </row>
    <row r="42" spans="1:12" s="39" customFormat="1" ht="28.95" customHeight="1" outlineLevel="1" x14ac:dyDescent="0.25">
      <c r="A42" s="33">
        <v>23</v>
      </c>
      <c r="B42" s="34" t="s">
        <v>56</v>
      </c>
      <c r="C42" s="35" t="s">
        <v>31</v>
      </c>
      <c r="D42" s="36">
        <v>35.4</v>
      </c>
      <c r="E42" s="36">
        <v>120.11309799999999</v>
      </c>
      <c r="F42" s="36">
        <f t="shared" si="4"/>
        <v>4252.0036691999994</v>
      </c>
      <c r="G42" s="37">
        <f t="shared" si="5"/>
        <v>0</v>
      </c>
      <c r="H42" s="38">
        <f t="shared" si="6"/>
        <v>0</v>
      </c>
      <c r="I42" s="37">
        <f t="shared" si="7"/>
        <v>0</v>
      </c>
      <c r="J42" s="38">
        <v>0</v>
      </c>
      <c r="K42" s="37">
        <f t="shared" si="8"/>
        <v>0</v>
      </c>
      <c r="L42" s="38">
        <v>0</v>
      </c>
    </row>
    <row r="43" spans="1:12" s="39" customFormat="1" ht="15.45" customHeight="1" outlineLevel="1" x14ac:dyDescent="0.25">
      <c r="A43" s="31" t="s">
        <v>57</v>
      </c>
      <c r="B43" s="40" t="s">
        <v>58</v>
      </c>
      <c r="C43" s="41">
        <v>0</v>
      </c>
      <c r="D43" s="42"/>
      <c r="E43" s="42"/>
      <c r="F43" s="42"/>
      <c r="G43" s="43"/>
      <c r="H43" s="44"/>
      <c r="I43" s="43"/>
      <c r="J43" s="44"/>
      <c r="K43" s="43"/>
      <c r="L43" s="44">
        <v>0</v>
      </c>
    </row>
    <row r="44" spans="1:12" s="39" customFormat="1" ht="15.45" customHeight="1" outlineLevel="1" x14ac:dyDescent="0.25">
      <c r="A44" s="33">
        <v>1</v>
      </c>
      <c r="B44" s="34" t="s">
        <v>59</v>
      </c>
      <c r="C44" s="35" t="s">
        <v>31</v>
      </c>
      <c r="D44" s="36">
        <v>860</v>
      </c>
      <c r="E44" s="36">
        <v>10.327336000000001</v>
      </c>
      <c r="F44" s="36">
        <f>+E44*D44</f>
        <v>8881.508960000001</v>
      </c>
      <c r="G44" s="37">
        <f>I44+K44</f>
        <v>0</v>
      </c>
      <c r="H44" s="38">
        <f>J44+L44</f>
        <v>0</v>
      </c>
      <c r="I44" s="37">
        <f>J44/F44</f>
        <v>0</v>
      </c>
      <c r="J44" s="38">
        <v>0</v>
      </c>
      <c r="K44" s="37">
        <f>L44/F44</f>
        <v>0</v>
      </c>
      <c r="L44" s="38">
        <v>0</v>
      </c>
    </row>
    <row r="45" spans="1:12" s="45" customFormat="1" ht="58.05" customHeight="1" x14ac:dyDescent="0.3">
      <c r="A45" s="33">
        <v>2</v>
      </c>
      <c r="B45" s="34" t="s">
        <v>60</v>
      </c>
      <c r="C45" s="35" t="s">
        <v>31</v>
      </c>
      <c r="D45" s="36">
        <v>860</v>
      </c>
      <c r="E45" s="36">
        <v>35.799999999999997</v>
      </c>
      <c r="F45" s="36">
        <f>+E45*D45</f>
        <v>30787.999999999996</v>
      </c>
      <c r="G45" s="37">
        <f>I45+K45</f>
        <v>0</v>
      </c>
      <c r="H45" s="38">
        <f>J45+L45</f>
        <v>0</v>
      </c>
      <c r="I45" s="37">
        <f>J45/F45</f>
        <v>0</v>
      </c>
      <c r="J45" s="38">
        <v>0</v>
      </c>
      <c r="K45" s="37">
        <f>L45/F45</f>
        <v>0</v>
      </c>
      <c r="L45" s="38">
        <v>0</v>
      </c>
    </row>
    <row r="46" spans="1:12" s="39" customFormat="1" ht="15.45" customHeight="1" outlineLevel="1" x14ac:dyDescent="0.25">
      <c r="A46" s="31" t="s">
        <v>61</v>
      </c>
      <c r="B46" s="40" t="s">
        <v>62</v>
      </c>
      <c r="C46" s="41">
        <v>0</v>
      </c>
      <c r="D46" s="42"/>
      <c r="E46" s="42"/>
      <c r="F46" s="42"/>
      <c r="G46" s="43"/>
      <c r="H46" s="44"/>
      <c r="I46" s="43"/>
      <c r="J46" s="44"/>
      <c r="K46" s="43"/>
      <c r="L46" s="44">
        <v>0</v>
      </c>
    </row>
    <row r="47" spans="1:12" s="39" customFormat="1" ht="15.45" customHeight="1" outlineLevel="1" x14ac:dyDescent="0.25">
      <c r="A47" s="33">
        <v>1</v>
      </c>
      <c r="B47" s="34" t="s">
        <v>63</v>
      </c>
      <c r="C47" s="35" t="s">
        <v>34</v>
      </c>
      <c r="D47" s="36">
        <v>13.2</v>
      </c>
      <c r="E47" s="36">
        <v>40.9</v>
      </c>
      <c r="F47" s="36">
        <f>+E47*D47</f>
        <v>539.88</v>
      </c>
      <c r="G47" s="37">
        <f>I47+K47</f>
        <v>0</v>
      </c>
      <c r="H47" s="38">
        <f>J47+L47</f>
        <v>0</v>
      </c>
      <c r="I47" s="37">
        <f>J47/F47</f>
        <v>0</v>
      </c>
      <c r="J47" s="38">
        <v>0</v>
      </c>
      <c r="K47" s="37">
        <f>L47/F47</f>
        <v>0</v>
      </c>
      <c r="L47" s="38">
        <v>0</v>
      </c>
    </row>
    <row r="48" spans="1:12" s="39" customFormat="1" ht="15.45" customHeight="1" outlineLevel="1" x14ac:dyDescent="0.25">
      <c r="A48" s="31" t="s">
        <v>64</v>
      </c>
      <c r="B48" s="40" t="s">
        <v>65</v>
      </c>
      <c r="C48" s="41">
        <v>0</v>
      </c>
      <c r="D48" s="42"/>
      <c r="E48" s="42"/>
      <c r="F48" s="42"/>
      <c r="G48" s="43"/>
      <c r="H48" s="44"/>
      <c r="I48" s="43"/>
      <c r="J48" s="44"/>
      <c r="K48" s="43"/>
      <c r="L48" s="44">
        <v>0</v>
      </c>
    </row>
    <row r="49" spans="1:12" s="39" customFormat="1" ht="28.95" customHeight="1" outlineLevel="1" x14ac:dyDescent="0.25">
      <c r="A49" s="33">
        <v>1</v>
      </c>
      <c r="B49" s="34" t="s">
        <v>66</v>
      </c>
      <c r="C49" s="35" t="s">
        <v>31</v>
      </c>
      <c r="D49" s="36">
        <v>24.6</v>
      </c>
      <c r="E49" s="36">
        <v>65.815948000000006</v>
      </c>
      <c r="F49" s="36">
        <f>+E49*D49</f>
        <v>1619.0723208000002</v>
      </c>
      <c r="G49" s="37">
        <f>I49+K49</f>
        <v>0</v>
      </c>
      <c r="H49" s="38">
        <f>J49+L49</f>
        <v>0</v>
      </c>
      <c r="I49" s="37">
        <f>J49/F49</f>
        <v>0</v>
      </c>
      <c r="J49" s="38">
        <v>0</v>
      </c>
      <c r="K49" s="37">
        <f>L49/F49</f>
        <v>0</v>
      </c>
      <c r="L49" s="38">
        <v>0</v>
      </c>
    </row>
    <row r="50" spans="1:12" s="39" customFormat="1" ht="15.45" customHeight="1" outlineLevel="1" x14ac:dyDescent="0.25">
      <c r="A50" s="31" t="s">
        <v>67</v>
      </c>
      <c r="B50" s="40" t="s">
        <v>68</v>
      </c>
      <c r="C50" s="41">
        <v>0</v>
      </c>
      <c r="D50" s="42"/>
      <c r="E50" s="42"/>
      <c r="F50" s="42"/>
      <c r="G50" s="43"/>
      <c r="H50" s="44"/>
      <c r="I50" s="43"/>
      <c r="J50" s="44"/>
      <c r="K50" s="43"/>
      <c r="L50" s="44">
        <v>0</v>
      </c>
    </row>
    <row r="51" spans="1:12" s="39" customFormat="1" ht="28.95" customHeight="1" outlineLevel="1" x14ac:dyDescent="0.25">
      <c r="A51" s="33">
        <v>1</v>
      </c>
      <c r="B51" s="34" t="s">
        <v>69</v>
      </c>
      <c r="C51" s="35" t="s">
        <v>70</v>
      </c>
      <c r="D51" s="36">
        <v>2.92</v>
      </c>
      <c r="E51" s="36">
        <v>508.24360000000001</v>
      </c>
      <c r="F51" s="36">
        <f>+E51*D51</f>
        <v>1484.071312</v>
      </c>
      <c r="G51" s="37">
        <f>I51+K51</f>
        <v>0</v>
      </c>
      <c r="H51" s="38">
        <f>J51+L51</f>
        <v>0</v>
      </c>
      <c r="I51" s="37">
        <f>J51/F51</f>
        <v>0</v>
      </c>
      <c r="J51" s="38">
        <v>0</v>
      </c>
      <c r="K51" s="37">
        <f>L51/F51</f>
        <v>0</v>
      </c>
      <c r="L51" s="38">
        <v>0</v>
      </c>
    </row>
    <row r="52" spans="1:12" s="39" customFormat="1" ht="15.45" customHeight="1" outlineLevel="1" x14ac:dyDescent="0.25">
      <c r="A52" s="31" t="s">
        <v>71</v>
      </c>
      <c r="B52" s="40" t="s">
        <v>72</v>
      </c>
      <c r="C52" s="41">
        <v>0</v>
      </c>
      <c r="D52" s="42"/>
      <c r="E52" s="42"/>
      <c r="F52" s="42"/>
      <c r="G52" s="43"/>
      <c r="H52" s="44"/>
      <c r="I52" s="43"/>
      <c r="J52" s="44"/>
      <c r="K52" s="43"/>
      <c r="L52" s="44">
        <v>0</v>
      </c>
    </row>
    <row r="53" spans="1:12" s="39" customFormat="1" ht="15.45" customHeight="1" outlineLevel="1" x14ac:dyDescent="0.25">
      <c r="A53" s="33">
        <v>1</v>
      </c>
      <c r="B53" s="34" t="s">
        <v>73</v>
      </c>
      <c r="C53" s="35" t="s">
        <v>34</v>
      </c>
      <c r="D53" s="36">
        <v>6</v>
      </c>
      <c r="E53" s="36">
        <v>17.886800000000001</v>
      </c>
      <c r="F53" s="36">
        <f>+E53*D53</f>
        <v>107.32080000000001</v>
      </c>
      <c r="G53" s="37">
        <f>I53+K53</f>
        <v>0</v>
      </c>
      <c r="H53" s="38">
        <f>J53+L53</f>
        <v>0</v>
      </c>
      <c r="I53" s="37">
        <f>J53/F53</f>
        <v>0</v>
      </c>
      <c r="J53" s="38">
        <v>0</v>
      </c>
      <c r="K53" s="37">
        <f>L53/F53</f>
        <v>0</v>
      </c>
      <c r="L53" s="38">
        <v>0</v>
      </c>
    </row>
    <row r="54" spans="1:12" s="39" customFormat="1" ht="15.45" customHeight="1" outlineLevel="1" x14ac:dyDescent="0.25">
      <c r="A54" s="31" t="s">
        <v>74</v>
      </c>
      <c r="B54" s="40" t="s">
        <v>75</v>
      </c>
      <c r="C54" s="41">
        <v>0</v>
      </c>
      <c r="D54" s="42"/>
      <c r="E54" s="42"/>
      <c r="F54" s="42"/>
      <c r="G54" s="43"/>
      <c r="H54" s="44"/>
      <c r="I54" s="43"/>
      <c r="J54" s="44"/>
      <c r="K54" s="43"/>
      <c r="L54" s="44">
        <v>0</v>
      </c>
    </row>
    <row r="55" spans="1:12" s="39" customFormat="1" ht="15.45" customHeight="1" outlineLevel="1" x14ac:dyDescent="0.25">
      <c r="A55" s="33">
        <v>1</v>
      </c>
      <c r="B55" s="34" t="s">
        <v>76</v>
      </c>
      <c r="C55" s="35" t="s">
        <v>34</v>
      </c>
      <c r="D55" s="36">
        <v>2510</v>
      </c>
      <c r="E55" s="36">
        <v>0.9</v>
      </c>
      <c r="F55" s="36">
        <f>+E55*D55</f>
        <v>2259</v>
      </c>
      <c r="G55" s="37">
        <f t="shared" ref="G55:H57" si="9">I55+K55</f>
        <v>0</v>
      </c>
      <c r="H55" s="38">
        <f t="shared" si="9"/>
        <v>0</v>
      </c>
      <c r="I55" s="37">
        <f>J55/F55</f>
        <v>0</v>
      </c>
      <c r="J55" s="38">
        <v>0</v>
      </c>
      <c r="K55" s="37">
        <f>L55/F55</f>
        <v>0</v>
      </c>
      <c r="L55" s="38">
        <v>0</v>
      </c>
    </row>
    <row r="56" spans="1:12" s="39" customFormat="1" ht="28.95" customHeight="1" outlineLevel="1" x14ac:dyDescent="0.25">
      <c r="A56" s="33">
        <v>2</v>
      </c>
      <c r="B56" s="34" t="s">
        <v>77</v>
      </c>
      <c r="C56" s="35" t="s">
        <v>34</v>
      </c>
      <c r="D56" s="36">
        <v>2510</v>
      </c>
      <c r="E56" s="36">
        <v>2.242</v>
      </c>
      <c r="F56" s="36">
        <f>+E56*D56</f>
        <v>5627.42</v>
      </c>
      <c r="G56" s="37">
        <f t="shared" si="9"/>
        <v>0</v>
      </c>
      <c r="H56" s="38">
        <f t="shared" si="9"/>
        <v>0</v>
      </c>
      <c r="I56" s="37">
        <f>J56/F56</f>
        <v>0</v>
      </c>
      <c r="J56" s="38">
        <v>0</v>
      </c>
      <c r="K56" s="37">
        <f>L56/F56</f>
        <v>0</v>
      </c>
      <c r="L56" s="38">
        <v>0</v>
      </c>
    </row>
    <row r="57" spans="1:12" s="39" customFormat="1" ht="15.45" customHeight="1" outlineLevel="1" x14ac:dyDescent="0.25">
      <c r="A57" s="33">
        <v>3</v>
      </c>
      <c r="B57" s="34" t="s">
        <v>78</v>
      </c>
      <c r="C57" s="35" t="s">
        <v>34</v>
      </c>
      <c r="D57" s="36">
        <v>2140</v>
      </c>
      <c r="E57" s="36">
        <v>6.1</v>
      </c>
      <c r="F57" s="36">
        <f>+E57*D57</f>
        <v>13054</v>
      </c>
      <c r="G57" s="37">
        <f t="shared" si="9"/>
        <v>0</v>
      </c>
      <c r="H57" s="38">
        <f t="shared" si="9"/>
        <v>0</v>
      </c>
      <c r="I57" s="37">
        <f>J57/F57</f>
        <v>0</v>
      </c>
      <c r="J57" s="38">
        <v>0</v>
      </c>
      <c r="K57" s="37">
        <f>L57/F57</f>
        <v>0</v>
      </c>
      <c r="L57" s="38">
        <v>0</v>
      </c>
    </row>
    <row r="58" spans="1:12" s="39" customFormat="1" ht="28.95" customHeight="1" outlineLevel="1" x14ac:dyDescent="0.25">
      <c r="A58" s="31" t="s">
        <v>79</v>
      </c>
      <c r="B58" s="40" t="s">
        <v>80</v>
      </c>
      <c r="C58" s="41">
        <v>0</v>
      </c>
      <c r="D58" s="42"/>
      <c r="E58" s="42"/>
      <c r="F58" s="42"/>
      <c r="G58" s="43"/>
      <c r="H58" s="44"/>
      <c r="I58" s="43"/>
      <c r="J58" s="44"/>
      <c r="K58" s="43"/>
      <c r="L58" s="44">
        <v>0</v>
      </c>
    </row>
    <row r="59" spans="1:12" s="39" customFormat="1" ht="15.45" customHeight="1" outlineLevel="1" x14ac:dyDescent="0.25">
      <c r="A59" s="33">
        <v>1</v>
      </c>
      <c r="B59" s="34" t="s">
        <v>81</v>
      </c>
      <c r="C59" s="35" t="s">
        <v>34</v>
      </c>
      <c r="D59" s="36">
        <v>1580</v>
      </c>
      <c r="E59" s="36">
        <v>1.1894</v>
      </c>
      <c r="F59" s="36">
        <f>+E59*D59</f>
        <v>1879.252</v>
      </c>
      <c r="G59" s="37">
        <f>I59+K59</f>
        <v>0</v>
      </c>
      <c r="H59" s="38">
        <f>J59+L59</f>
        <v>0</v>
      </c>
      <c r="I59" s="37">
        <f>J59/F59</f>
        <v>0</v>
      </c>
      <c r="J59" s="38">
        <v>0</v>
      </c>
      <c r="K59" s="37">
        <f>L59/F59</f>
        <v>0</v>
      </c>
      <c r="L59" s="38">
        <v>0</v>
      </c>
    </row>
    <row r="60" spans="1:12" s="39" customFormat="1" ht="15.45" customHeight="1" outlineLevel="1" x14ac:dyDescent="0.25">
      <c r="A60" s="31" t="s">
        <v>82</v>
      </c>
      <c r="B60" s="40" t="s">
        <v>83</v>
      </c>
      <c r="C60" s="41">
        <v>0</v>
      </c>
      <c r="D60" s="42"/>
      <c r="E60" s="42"/>
      <c r="F60" s="42"/>
      <c r="G60" s="43"/>
      <c r="H60" s="44"/>
      <c r="I60" s="43"/>
      <c r="J60" s="44"/>
      <c r="K60" s="43"/>
      <c r="L60" s="44">
        <v>0</v>
      </c>
    </row>
    <row r="61" spans="1:12" s="39" customFormat="1" ht="28.95" customHeight="1" outlineLevel="1" x14ac:dyDescent="0.25">
      <c r="A61" s="33">
        <v>1</v>
      </c>
      <c r="B61" s="34" t="s">
        <v>84</v>
      </c>
      <c r="C61" s="35" t="s">
        <v>70</v>
      </c>
      <c r="D61" s="36">
        <v>1.92</v>
      </c>
      <c r="E61" s="36">
        <v>177.7</v>
      </c>
      <c r="F61" s="36">
        <f>+E61*D61</f>
        <v>341.18399999999997</v>
      </c>
      <c r="G61" s="37">
        <f>I61+K61</f>
        <v>0</v>
      </c>
      <c r="H61" s="38">
        <f>J61+L61</f>
        <v>0</v>
      </c>
      <c r="I61" s="37">
        <f>J61/F61</f>
        <v>0</v>
      </c>
      <c r="J61" s="38">
        <v>0</v>
      </c>
      <c r="K61" s="37">
        <f>L61/F61</f>
        <v>0</v>
      </c>
      <c r="L61" s="38">
        <v>0</v>
      </c>
    </row>
    <row r="62" spans="1:12" s="39" customFormat="1" ht="15.45" customHeight="1" outlineLevel="1" x14ac:dyDescent="0.25">
      <c r="A62" s="31" t="s">
        <v>85</v>
      </c>
      <c r="B62" s="40" t="s">
        <v>86</v>
      </c>
      <c r="C62" s="41">
        <v>0</v>
      </c>
      <c r="D62" s="42"/>
      <c r="E62" s="42"/>
      <c r="F62" s="42"/>
      <c r="G62" s="43"/>
      <c r="H62" s="44"/>
      <c r="I62" s="43"/>
      <c r="J62" s="44"/>
      <c r="K62" s="43"/>
      <c r="L62" s="44">
        <v>0</v>
      </c>
    </row>
    <row r="63" spans="1:12" s="39" customFormat="1" ht="15.45" customHeight="1" outlineLevel="1" x14ac:dyDescent="0.25">
      <c r="A63" s="33">
        <v>1</v>
      </c>
      <c r="B63" s="34" t="s">
        <v>87</v>
      </c>
      <c r="C63" s="35" t="s">
        <v>70</v>
      </c>
      <c r="D63" s="36">
        <v>0.23</v>
      </c>
      <c r="E63" s="36">
        <v>803.44180000000006</v>
      </c>
      <c r="F63" s="36">
        <f>+E63*D63</f>
        <v>184.79161400000001</v>
      </c>
      <c r="G63" s="37">
        <f t="shared" ref="G63:H65" si="10">I63+K63</f>
        <v>0</v>
      </c>
      <c r="H63" s="38">
        <f t="shared" si="10"/>
        <v>0</v>
      </c>
      <c r="I63" s="37">
        <f>J63/F63</f>
        <v>0</v>
      </c>
      <c r="J63" s="38">
        <v>0</v>
      </c>
      <c r="K63" s="37">
        <f>L63/F63</f>
        <v>0</v>
      </c>
      <c r="L63" s="38">
        <v>0</v>
      </c>
    </row>
    <row r="64" spans="1:12" s="39" customFormat="1" ht="28.95" customHeight="1" outlineLevel="1" x14ac:dyDescent="0.25">
      <c r="A64" s="33">
        <v>2</v>
      </c>
      <c r="B64" s="34" t="s">
        <v>88</v>
      </c>
      <c r="C64" s="35" t="s">
        <v>89</v>
      </c>
      <c r="D64" s="36">
        <v>9.6</v>
      </c>
      <c r="E64" s="36">
        <v>19.7758</v>
      </c>
      <c r="F64" s="36">
        <f>+E64*D64</f>
        <v>189.84768</v>
      </c>
      <c r="G64" s="37">
        <f t="shared" si="10"/>
        <v>0</v>
      </c>
      <c r="H64" s="38">
        <f t="shared" si="10"/>
        <v>0</v>
      </c>
      <c r="I64" s="37">
        <f>J64/F64</f>
        <v>0</v>
      </c>
      <c r="J64" s="38">
        <v>0</v>
      </c>
      <c r="K64" s="37">
        <f>L64/F64</f>
        <v>0</v>
      </c>
      <c r="L64" s="38">
        <v>0</v>
      </c>
    </row>
    <row r="65" spans="1:12" s="39" customFormat="1" ht="15.45" customHeight="1" outlineLevel="1" x14ac:dyDescent="0.25">
      <c r="A65" s="33">
        <v>3</v>
      </c>
      <c r="B65" s="34" t="s">
        <v>33</v>
      </c>
      <c r="C65" s="35" t="s">
        <v>34</v>
      </c>
      <c r="D65" s="36">
        <v>12.8</v>
      </c>
      <c r="E65" s="36">
        <v>14.3188</v>
      </c>
      <c r="F65" s="36">
        <f>+E65*D65</f>
        <v>183.28064000000001</v>
      </c>
      <c r="G65" s="37">
        <f t="shared" si="10"/>
        <v>0</v>
      </c>
      <c r="H65" s="38">
        <f t="shared" si="10"/>
        <v>0</v>
      </c>
      <c r="I65" s="37">
        <f>J65/F65</f>
        <v>0</v>
      </c>
      <c r="J65" s="38">
        <v>0</v>
      </c>
      <c r="K65" s="37">
        <f>L65/F65</f>
        <v>0</v>
      </c>
      <c r="L65" s="38">
        <v>0</v>
      </c>
    </row>
    <row r="66" spans="1:12" s="39" customFormat="1" ht="15.45" customHeight="1" outlineLevel="1" x14ac:dyDescent="0.25">
      <c r="A66" s="31" t="s">
        <v>90</v>
      </c>
      <c r="B66" s="40" t="s">
        <v>91</v>
      </c>
      <c r="C66" s="41">
        <v>0</v>
      </c>
      <c r="D66" s="42"/>
      <c r="E66" s="42"/>
      <c r="F66" s="42"/>
      <c r="G66" s="43"/>
      <c r="H66" s="44"/>
      <c r="I66" s="43"/>
      <c r="J66" s="44"/>
      <c r="K66" s="43"/>
      <c r="L66" s="44">
        <v>0</v>
      </c>
    </row>
    <row r="67" spans="1:12" s="39" customFormat="1" ht="15.45" customHeight="1" outlineLevel="1" x14ac:dyDescent="0.25">
      <c r="A67" s="33">
        <v>1</v>
      </c>
      <c r="B67" s="34" t="s">
        <v>59</v>
      </c>
      <c r="C67" s="35" t="s">
        <v>89</v>
      </c>
      <c r="D67" s="36">
        <v>33.200000000000003</v>
      </c>
      <c r="E67" s="36">
        <v>10.320399999999999</v>
      </c>
      <c r="F67" s="36">
        <f>+E67*D67</f>
        <v>342.63728000000003</v>
      </c>
      <c r="G67" s="37">
        <f>I67+K67</f>
        <v>0</v>
      </c>
      <c r="H67" s="38">
        <f>J67+L67</f>
        <v>0</v>
      </c>
      <c r="I67" s="37">
        <f>J67/F67</f>
        <v>0</v>
      </c>
      <c r="J67" s="38">
        <v>0</v>
      </c>
      <c r="K67" s="37">
        <f>L67/F67</f>
        <v>0</v>
      </c>
      <c r="L67" s="38">
        <v>0</v>
      </c>
    </row>
    <row r="68" spans="1:12" s="39" customFormat="1" ht="28.95" customHeight="1" outlineLevel="1" x14ac:dyDescent="0.25">
      <c r="A68" s="33">
        <v>2</v>
      </c>
      <c r="B68" s="34" t="s">
        <v>92</v>
      </c>
      <c r="C68" s="35" t="s">
        <v>89</v>
      </c>
      <c r="D68" s="36">
        <v>33.200000000000003</v>
      </c>
      <c r="E68" s="36">
        <v>4.9857999999999993</v>
      </c>
      <c r="F68" s="36">
        <f>+E68*D68</f>
        <v>165.52856</v>
      </c>
      <c r="G68" s="37">
        <f>I68+K68</f>
        <v>0</v>
      </c>
      <c r="H68" s="38">
        <f>J68+L68</f>
        <v>0</v>
      </c>
      <c r="I68" s="37">
        <f>J68/F68</f>
        <v>0</v>
      </c>
      <c r="J68" s="38">
        <v>0</v>
      </c>
      <c r="K68" s="37">
        <f>L68/F68</f>
        <v>0</v>
      </c>
      <c r="L68" s="38">
        <v>0</v>
      </c>
    </row>
    <row r="69" spans="1:12" s="39" customFormat="1" ht="15.45" customHeight="1" outlineLevel="1" x14ac:dyDescent="0.25">
      <c r="A69" s="31" t="s">
        <v>93</v>
      </c>
      <c r="B69" s="40" t="s">
        <v>94</v>
      </c>
      <c r="C69" s="41">
        <v>0</v>
      </c>
      <c r="D69" s="42"/>
      <c r="E69" s="42"/>
      <c r="F69" s="42"/>
      <c r="G69" s="43"/>
      <c r="H69" s="44"/>
      <c r="I69" s="43"/>
      <c r="J69" s="44"/>
      <c r="K69" s="43"/>
      <c r="L69" s="44">
        <v>0</v>
      </c>
    </row>
    <row r="70" spans="1:12" s="39" customFormat="1" ht="15.45" customHeight="1" outlineLevel="1" x14ac:dyDescent="0.25">
      <c r="A70" s="33">
        <v>1</v>
      </c>
      <c r="B70" s="34" t="s">
        <v>95</v>
      </c>
      <c r="C70" s="35" t="s">
        <v>70</v>
      </c>
      <c r="D70" s="36">
        <v>13.86</v>
      </c>
      <c r="E70" s="36">
        <v>36.616</v>
      </c>
      <c r="F70" s="36">
        <f>+E70*D70</f>
        <v>507.49775999999997</v>
      </c>
      <c r="G70" s="37">
        <f t="shared" ref="G70:H74" si="11">I70+K70</f>
        <v>0</v>
      </c>
      <c r="H70" s="38">
        <f t="shared" si="11"/>
        <v>0</v>
      </c>
      <c r="I70" s="37">
        <f>J70/F70</f>
        <v>0</v>
      </c>
      <c r="J70" s="38">
        <v>0</v>
      </c>
      <c r="K70" s="37">
        <f>L70/F70</f>
        <v>0</v>
      </c>
      <c r="L70" s="38">
        <v>0</v>
      </c>
    </row>
    <row r="71" spans="1:12" s="39" customFormat="1" ht="15.45" customHeight="1" outlineLevel="1" x14ac:dyDescent="0.25">
      <c r="A71" s="33">
        <v>2</v>
      </c>
      <c r="B71" s="34" t="s">
        <v>96</v>
      </c>
      <c r="C71" s="35" t="s">
        <v>70</v>
      </c>
      <c r="D71" s="36">
        <v>52.67</v>
      </c>
      <c r="E71" s="36">
        <v>126.7636</v>
      </c>
      <c r="F71" s="36">
        <f>+E71*D71</f>
        <v>6676.6388120000001</v>
      </c>
      <c r="G71" s="37">
        <f t="shared" si="11"/>
        <v>0</v>
      </c>
      <c r="H71" s="38">
        <f t="shared" si="11"/>
        <v>0</v>
      </c>
      <c r="I71" s="37">
        <f>J71/F71</f>
        <v>0</v>
      </c>
      <c r="J71" s="38">
        <v>0</v>
      </c>
      <c r="K71" s="37">
        <f>L71/F71</f>
        <v>0</v>
      </c>
      <c r="L71" s="38">
        <v>0</v>
      </c>
    </row>
    <row r="72" spans="1:12" s="45" customFormat="1" ht="28.95" customHeight="1" x14ac:dyDescent="0.3">
      <c r="A72" s="33">
        <v>3</v>
      </c>
      <c r="B72" s="34" t="s">
        <v>97</v>
      </c>
      <c r="C72" s="35" t="s">
        <v>89</v>
      </c>
      <c r="D72" s="36">
        <v>127.2</v>
      </c>
      <c r="E72" s="36">
        <v>52.936000000000007</v>
      </c>
      <c r="F72" s="36">
        <f>+E72*D72</f>
        <v>6733.4592000000011</v>
      </c>
      <c r="G72" s="37">
        <f t="shared" si="11"/>
        <v>0</v>
      </c>
      <c r="H72" s="38">
        <f t="shared" si="11"/>
        <v>0</v>
      </c>
      <c r="I72" s="37">
        <f>J72/F72</f>
        <v>0</v>
      </c>
      <c r="J72" s="38">
        <v>0</v>
      </c>
      <c r="K72" s="37">
        <f>L72/F72</f>
        <v>0</v>
      </c>
      <c r="L72" s="38">
        <v>0</v>
      </c>
    </row>
    <row r="73" spans="1:12" s="39" customFormat="1" ht="28.95" customHeight="1" outlineLevel="1" x14ac:dyDescent="0.25">
      <c r="A73" s="33">
        <v>4</v>
      </c>
      <c r="B73" s="34" t="s">
        <v>98</v>
      </c>
      <c r="C73" s="35" t="s">
        <v>89</v>
      </c>
      <c r="D73" s="36">
        <v>127.2</v>
      </c>
      <c r="E73" s="36">
        <v>10.8202</v>
      </c>
      <c r="F73" s="36">
        <f>+E73*D73</f>
        <v>1376.32944</v>
      </c>
      <c r="G73" s="37">
        <f t="shared" si="11"/>
        <v>0</v>
      </c>
      <c r="H73" s="38">
        <f t="shared" si="11"/>
        <v>0</v>
      </c>
      <c r="I73" s="37">
        <f>J73/F73</f>
        <v>0</v>
      </c>
      <c r="J73" s="38">
        <v>0</v>
      </c>
      <c r="K73" s="37">
        <f>L73/F73</f>
        <v>0</v>
      </c>
      <c r="L73" s="38">
        <v>0</v>
      </c>
    </row>
    <row r="74" spans="1:12" s="39" customFormat="1" ht="28.95" customHeight="1" outlineLevel="1" x14ac:dyDescent="0.25">
      <c r="A74" s="33">
        <v>5</v>
      </c>
      <c r="B74" s="34" t="s">
        <v>99</v>
      </c>
      <c r="C74" s="35" t="s">
        <v>89</v>
      </c>
      <c r="D74" s="36">
        <v>156.9</v>
      </c>
      <c r="E74" s="36">
        <v>3.67</v>
      </c>
      <c r="F74" s="36">
        <f>+E74*D74</f>
        <v>575.82299999999998</v>
      </c>
      <c r="G74" s="37">
        <f t="shared" si="11"/>
        <v>0</v>
      </c>
      <c r="H74" s="38">
        <f t="shared" si="11"/>
        <v>0</v>
      </c>
      <c r="I74" s="37">
        <f>J74/F74</f>
        <v>0</v>
      </c>
      <c r="J74" s="38">
        <v>0</v>
      </c>
      <c r="K74" s="37">
        <f>L74/F74</f>
        <v>0</v>
      </c>
      <c r="L74" s="38">
        <v>0</v>
      </c>
    </row>
    <row r="75" spans="1:12" s="39" customFormat="1" ht="15.45" customHeight="1" outlineLevel="1" x14ac:dyDescent="0.25">
      <c r="A75" s="31" t="s">
        <v>100</v>
      </c>
      <c r="B75" s="40" t="s">
        <v>101</v>
      </c>
      <c r="C75" s="41">
        <v>0</v>
      </c>
      <c r="D75" s="42"/>
      <c r="E75" s="42"/>
      <c r="F75" s="42"/>
      <c r="G75" s="43"/>
      <c r="H75" s="44"/>
      <c r="I75" s="43"/>
      <c r="J75" s="44"/>
      <c r="K75" s="43"/>
      <c r="L75" s="44">
        <v>0</v>
      </c>
    </row>
    <row r="76" spans="1:12" s="39" customFormat="1" ht="28.95" customHeight="1" outlineLevel="1" x14ac:dyDescent="0.25">
      <c r="A76" s="33">
        <v>1</v>
      </c>
      <c r="B76" s="34" t="s">
        <v>102</v>
      </c>
      <c r="C76" s="35" t="s">
        <v>70</v>
      </c>
      <c r="D76" s="36">
        <v>26.84</v>
      </c>
      <c r="E76" s="36">
        <v>281.11200000000002</v>
      </c>
      <c r="F76" s="36">
        <f t="shared" ref="F76:F81" si="12">+E76*D76</f>
        <v>7545.046080000001</v>
      </c>
      <c r="G76" s="37">
        <f t="shared" ref="G76:H81" si="13">I76+K76</f>
        <v>0</v>
      </c>
      <c r="H76" s="38">
        <f t="shared" si="13"/>
        <v>0</v>
      </c>
      <c r="I76" s="37">
        <f t="shared" ref="I76:I81" si="14">J76/F76</f>
        <v>0</v>
      </c>
      <c r="J76" s="38">
        <v>0</v>
      </c>
      <c r="K76" s="37">
        <f t="shared" ref="K76:K81" si="15">L76/F76</f>
        <v>0</v>
      </c>
      <c r="L76" s="38">
        <v>0</v>
      </c>
    </row>
    <row r="77" spans="1:12" s="39" customFormat="1" ht="43.5" customHeight="1" outlineLevel="1" x14ac:dyDescent="0.25">
      <c r="A77" s="33">
        <v>2</v>
      </c>
      <c r="B77" s="34" t="s">
        <v>103</v>
      </c>
      <c r="C77" s="35" t="s">
        <v>70</v>
      </c>
      <c r="D77" s="36">
        <v>17.84</v>
      </c>
      <c r="E77" s="36">
        <v>381.23320000000001</v>
      </c>
      <c r="F77" s="36">
        <f t="shared" si="12"/>
        <v>6801.200288</v>
      </c>
      <c r="G77" s="37">
        <f t="shared" si="13"/>
        <v>0</v>
      </c>
      <c r="H77" s="38">
        <f t="shared" si="13"/>
        <v>0</v>
      </c>
      <c r="I77" s="37">
        <f t="shared" si="14"/>
        <v>0</v>
      </c>
      <c r="J77" s="38">
        <v>0</v>
      </c>
      <c r="K77" s="37">
        <f t="shared" si="15"/>
        <v>0</v>
      </c>
      <c r="L77" s="38">
        <v>0</v>
      </c>
    </row>
    <row r="78" spans="1:12" s="39" customFormat="1" ht="28.95" customHeight="1" outlineLevel="1" x14ac:dyDescent="0.25">
      <c r="A78" s="33">
        <v>3</v>
      </c>
      <c r="B78" s="34" t="s">
        <v>104</v>
      </c>
      <c r="C78" s="35" t="s">
        <v>70</v>
      </c>
      <c r="D78" s="36">
        <v>27.58</v>
      </c>
      <c r="E78" s="36">
        <v>280</v>
      </c>
      <c r="F78" s="36">
        <f t="shared" si="12"/>
        <v>7722.4</v>
      </c>
      <c r="G78" s="37">
        <f t="shared" si="13"/>
        <v>0</v>
      </c>
      <c r="H78" s="38">
        <f t="shared" si="13"/>
        <v>0</v>
      </c>
      <c r="I78" s="37">
        <f t="shared" si="14"/>
        <v>0</v>
      </c>
      <c r="J78" s="38">
        <v>0</v>
      </c>
      <c r="K78" s="37">
        <f t="shared" si="15"/>
        <v>0</v>
      </c>
      <c r="L78" s="38">
        <v>0</v>
      </c>
    </row>
    <row r="79" spans="1:12" s="39" customFormat="1" ht="15.45" customHeight="1" outlineLevel="1" x14ac:dyDescent="0.25">
      <c r="A79" s="33">
        <v>4</v>
      </c>
      <c r="B79" s="34" t="s">
        <v>105</v>
      </c>
      <c r="C79" s="35" t="s">
        <v>70</v>
      </c>
      <c r="D79" s="36">
        <v>0.25600000000000001</v>
      </c>
      <c r="E79" s="36">
        <v>249.38800000000001</v>
      </c>
      <c r="F79" s="36">
        <f t="shared" si="12"/>
        <v>63.843328</v>
      </c>
      <c r="G79" s="37">
        <f t="shared" si="13"/>
        <v>0</v>
      </c>
      <c r="H79" s="38">
        <f t="shared" si="13"/>
        <v>0</v>
      </c>
      <c r="I79" s="37">
        <f t="shared" si="14"/>
        <v>0</v>
      </c>
      <c r="J79" s="38">
        <v>0</v>
      </c>
      <c r="K79" s="37">
        <f t="shared" si="15"/>
        <v>0</v>
      </c>
      <c r="L79" s="38">
        <v>0</v>
      </c>
    </row>
    <row r="80" spans="1:12" s="45" customFormat="1" ht="28.95" customHeight="1" x14ac:dyDescent="0.3">
      <c r="A80" s="33">
        <v>5</v>
      </c>
      <c r="B80" s="34" t="s">
        <v>106</v>
      </c>
      <c r="C80" s="35" t="s">
        <v>89</v>
      </c>
      <c r="D80" s="36">
        <v>23.52</v>
      </c>
      <c r="E80" s="36">
        <v>30.802</v>
      </c>
      <c r="F80" s="36">
        <f t="shared" si="12"/>
        <v>724.46303999999998</v>
      </c>
      <c r="G80" s="37">
        <f t="shared" si="13"/>
        <v>0</v>
      </c>
      <c r="H80" s="38">
        <f t="shared" si="13"/>
        <v>0</v>
      </c>
      <c r="I80" s="37">
        <f t="shared" si="14"/>
        <v>0</v>
      </c>
      <c r="J80" s="38">
        <v>0</v>
      </c>
      <c r="K80" s="37">
        <f t="shared" si="15"/>
        <v>0</v>
      </c>
      <c r="L80" s="38">
        <v>0</v>
      </c>
    </row>
    <row r="81" spans="1:12" s="39" customFormat="1" ht="28.95" customHeight="1" outlineLevel="1" x14ac:dyDescent="0.25">
      <c r="A81" s="33">
        <v>6</v>
      </c>
      <c r="B81" s="34" t="s">
        <v>107</v>
      </c>
      <c r="C81" s="35" t="s">
        <v>89</v>
      </c>
      <c r="D81" s="36">
        <v>24.44</v>
      </c>
      <c r="E81" s="36">
        <v>41.92</v>
      </c>
      <c r="F81" s="36">
        <f t="shared" si="12"/>
        <v>1024.5248000000001</v>
      </c>
      <c r="G81" s="37">
        <f t="shared" si="13"/>
        <v>0</v>
      </c>
      <c r="H81" s="38">
        <f t="shared" si="13"/>
        <v>0</v>
      </c>
      <c r="I81" s="37">
        <f t="shared" si="14"/>
        <v>0</v>
      </c>
      <c r="J81" s="38">
        <v>0</v>
      </c>
      <c r="K81" s="37">
        <f t="shared" si="15"/>
        <v>0</v>
      </c>
      <c r="L81" s="38">
        <v>0</v>
      </c>
    </row>
    <row r="82" spans="1:12" s="39" customFormat="1" ht="15.45" customHeight="1" outlineLevel="1" x14ac:dyDescent="0.25">
      <c r="A82" s="31" t="s">
        <v>108</v>
      </c>
      <c r="B82" s="40" t="s">
        <v>109</v>
      </c>
      <c r="C82" s="41">
        <v>0</v>
      </c>
      <c r="D82" s="42"/>
      <c r="E82" s="42"/>
      <c r="F82" s="42"/>
      <c r="G82" s="43"/>
      <c r="H82" s="44"/>
      <c r="I82" s="43"/>
      <c r="J82" s="44"/>
      <c r="K82" s="43"/>
      <c r="L82" s="44">
        <v>0</v>
      </c>
    </row>
    <row r="83" spans="1:12" s="39" customFormat="1" ht="15.45" customHeight="1" outlineLevel="1" x14ac:dyDescent="0.25">
      <c r="A83" s="33">
        <v>1</v>
      </c>
      <c r="B83" s="34" t="s">
        <v>110</v>
      </c>
      <c r="C83" s="35" t="s">
        <v>34</v>
      </c>
      <c r="D83" s="36">
        <v>16.3</v>
      </c>
      <c r="E83" s="36">
        <v>9.0555999999999983</v>
      </c>
      <c r="F83" s="36">
        <f>+E83*D83</f>
        <v>147.60627999999997</v>
      </c>
      <c r="G83" s="37">
        <f t="shared" ref="G83:H85" si="16">I83+K83</f>
        <v>0</v>
      </c>
      <c r="H83" s="38">
        <f t="shared" si="16"/>
        <v>0</v>
      </c>
      <c r="I83" s="37">
        <f>J83/F83</f>
        <v>0</v>
      </c>
      <c r="J83" s="38">
        <v>0</v>
      </c>
      <c r="K83" s="37">
        <f>L83/F83</f>
        <v>0</v>
      </c>
      <c r="L83" s="38">
        <v>0</v>
      </c>
    </row>
    <row r="84" spans="1:12" s="39" customFormat="1" ht="43.5" customHeight="1" outlineLevel="1" x14ac:dyDescent="0.25">
      <c r="A84" s="33">
        <v>2</v>
      </c>
      <c r="B84" s="34" t="s">
        <v>36</v>
      </c>
      <c r="C84" s="35" t="s">
        <v>34</v>
      </c>
      <c r="D84" s="36">
        <v>16.3</v>
      </c>
      <c r="E84" s="36">
        <v>3.6884000000000001</v>
      </c>
      <c r="F84" s="36">
        <f>+E84*D84</f>
        <v>60.120920000000005</v>
      </c>
      <c r="G84" s="37">
        <f t="shared" si="16"/>
        <v>0</v>
      </c>
      <c r="H84" s="38">
        <f t="shared" si="16"/>
        <v>0</v>
      </c>
      <c r="I84" s="37">
        <f>J84/F84</f>
        <v>0</v>
      </c>
      <c r="J84" s="38">
        <v>0</v>
      </c>
      <c r="K84" s="37">
        <f>L84/F84</f>
        <v>0</v>
      </c>
      <c r="L84" s="38">
        <v>0</v>
      </c>
    </row>
    <row r="85" spans="1:12" s="39" customFormat="1" ht="15.45" customHeight="1" outlineLevel="1" x14ac:dyDescent="0.25">
      <c r="A85" s="33">
        <v>3</v>
      </c>
      <c r="B85" s="34" t="s">
        <v>111</v>
      </c>
      <c r="C85" s="35" t="s">
        <v>70</v>
      </c>
      <c r="D85" s="36">
        <v>1.08</v>
      </c>
      <c r="E85" s="36">
        <v>114.1564</v>
      </c>
      <c r="F85" s="36">
        <f>+E85*D85</f>
        <v>123.28891200000001</v>
      </c>
      <c r="G85" s="37">
        <f t="shared" si="16"/>
        <v>0</v>
      </c>
      <c r="H85" s="38">
        <f t="shared" si="16"/>
        <v>0</v>
      </c>
      <c r="I85" s="37">
        <f>J85/F85</f>
        <v>0</v>
      </c>
      <c r="J85" s="38">
        <v>0</v>
      </c>
      <c r="K85" s="37">
        <f>L85/F85</f>
        <v>0</v>
      </c>
      <c r="L85" s="38">
        <v>0</v>
      </c>
    </row>
    <row r="86" spans="1:12" s="39" customFormat="1" ht="15.45" customHeight="1" outlineLevel="1" x14ac:dyDescent="0.25">
      <c r="A86" s="31" t="s">
        <v>112</v>
      </c>
      <c r="B86" s="40" t="s">
        <v>113</v>
      </c>
      <c r="C86" s="41">
        <v>0</v>
      </c>
      <c r="D86" s="42"/>
      <c r="E86" s="42"/>
      <c r="F86" s="42"/>
      <c r="G86" s="43"/>
      <c r="H86" s="44"/>
      <c r="I86" s="43"/>
      <c r="J86" s="44"/>
      <c r="K86" s="43"/>
      <c r="L86" s="44">
        <v>0</v>
      </c>
    </row>
    <row r="87" spans="1:12" s="39" customFormat="1" ht="28.95" customHeight="1" outlineLevel="1" x14ac:dyDescent="0.25">
      <c r="A87" s="33">
        <v>1</v>
      </c>
      <c r="B87" s="34" t="s">
        <v>114</v>
      </c>
      <c r="C87" s="35" t="s">
        <v>115</v>
      </c>
      <c r="D87" s="36">
        <v>12</v>
      </c>
      <c r="E87" s="36">
        <v>18.784400000000002</v>
      </c>
      <c r="F87" s="36">
        <f>+E87*D87</f>
        <v>225.4128</v>
      </c>
      <c r="G87" s="37">
        <f t="shared" ref="G87:H91" si="17">I87+K87</f>
        <v>0</v>
      </c>
      <c r="H87" s="38">
        <f t="shared" si="17"/>
        <v>0</v>
      </c>
      <c r="I87" s="37">
        <f>J87/F87</f>
        <v>0</v>
      </c>
      <c r="J87" s="38">
        <v>0</v>
      </c>
      <c r="K87" s="37">
        <f>L87/F87</f>
        <v>0</v>
      </c>
      <c r="L87" s="38">
        <v>0</v>
      </c>
    </row>
    <row r="88" spans="1:12" s="39" customFormat="1" ht="28.95" customHeight="1" outlineLevel="1" x14ac:dyDescent="0.25">
      <c r="A88" s="33">
        <v>2</v>
      </c>
      <c r="B88" s="34" t="s">
        <v>116</v>
      </c>
      <c r="C88" s="35" t="s">
        <v>115</v>
      </c>
      <c r="D88" s="36">
        <v>12</v>
      </c>
      <c r="E88" s="36">
        <v>27.2014</v>
      </c>
      <c r="F88" s="36">
        <f>+E88*D88</f>
        <v>326.41679999999997</v>
      </c>
      <c r="G88" s="37">
        <f t="shared" si="17"/>
        <v>0</v>
      </c>
      <c r="H88" s="38">
        <f t="shared" si="17"/>
        <v>0</v>
      </c>
      <c r="I88" s="37">
        <f>J88/F88</f>
        <v>0</v>
      </c>
      <c r="J88" s="38">
        <v>0</v>
      </c>
      <c r="K88" s="37">
        <f>L88/F88</f>
        <v>0</v>
      </c>
      <c r="L88" s="38">
        <v>0</v>
      </c>
    </row>
    <row r="89" spans="1:12" s="39" customFormat="1" ht="28.95" customHeight="1" outlineLevel="1" x14ac:dyDescent="0.25">
      <c r="A89" s="33">
        <v>3</v>
      </c>
      <c r="B89" s="34" t="s">
        <v>117</v>
      </c>
      <c r="C89" s="35" t="s">
        <v>115</v>
      </c>
      <c r="D89" s="36">
        <v>5</v>
      </c>
      <c r="E89" s="36">
        <v>22.905200000000001</v>
      </c>
      <c r="F89" s="36">
        <f>+E89*D89</f>
        <v>114.52600000000001</v>
      </c>
      <c r="G89" s="37">
        <f t="shared" si="17"/>
        <v>0</v>
      </c>
      <c r="H89" s="38">
        <f t="shared" si="17"/>
        <v>0</v>
      </c>
      <c r="I89" s="37">
        <f>J89/F89</f>
        <v>0</v>
      </c>
      <c r="J89" s="38">
        <v>0</v>
      </c>
      <c r="K89" s="37">
        <f>L89/F89</f>
        <v>0</v>
      </c>
      <c r="L89" s="38">
        <v>0</v>
      </c>
    </row>
    <row r="90" spans="1:12" s="39" customFormat="1" ht="28.95" customHeight="1" outlineLevel="1" x14ac:dyDescent="0.25">
      <c r="A90" s="33">
        <v>4</v>
      </c>
      <c r="B90" s="34" t="s">
        <v>118</v>
      </c>
      <c r="C90" s="35" t="s">
        <v>115</v>
      </c>
      <c r="D90" s="36">
        <v>5</v>
      </c>
      <c r="E90" s="36">
        <v>11.779</v>
      </c>
      <c r="F90" s="36">
        <f>+E90*D90</f>
        <v>58.894999999999996</v>
      </c>
      <c r="G90" s="37">
        <f t="shared" si="17"/>
        <v>0</v>
      </c>
      <c r="H90" s="38">
        <f t="shared" si="17"/>
        <v>0</v>
      </c>
      <c r="I90" s="37">
        <f>J90/F90</f>
        <v>0</v>
      </c>
      <c r="J90" s="38">
        <v>0</v>
      </c>
      <c r="K90" s="37">
        <f>L90/F90</f>
        <v>0</v>
      </c>
      <c r="L90" s="38">
        <v>0</v>
      </c>
    </row>
    <row r="91" spans="1:12" s="39" customFormat="1" ht="15.45" customHeight="1" outlineLevel="1" x14ac:dyDescent="0.25">
      <c r="A91" s="33">
        <v>5</v>
      </c>
      <c r="B91" s="34" t="s">
        <v>119</v>
      </c>
      <c r="C91" s="35" t="s">
        <v>115</v>
      </c>
      <c r="D91" s="36">
        <v>12</v>
      </c>
      <c r="E91" s="36">
        <v>2.6785999999999999</v>
      </c>
      <c r="F91" s="36">
        <f>+E91*D91</f>
        <v>32.1432</v>
      </c>
      <c r="G91" s="37">
        <f t="shared" si="17"/>
        <v>0</v>
      </c>
      <c r="H91" s="38">
        <f t="shared" si="17"/>
        <v>0</v>
      </c>
      <c r="I91" s="37">
        <f>J91/F91</f>
        <v>0</v>
      </c>
      <c r="J91" s="38">
        <v>0</v>
      </c>
      <c r="K91" s="37">
        <f>L91/F91</f>
        <v>0</v>
      </c>
      <c r="L91" s="38">
        <v>0</v>
      </c>
    </row>
    <row r="92" spans="1:12" s="39" customFormat="1" ht="15.45" customHeight="1" outlineLevel="1" x14ac:dyDescent="0.25">
      <c r="A92" s="31" t="s">
        <v>120</v>
      </c>
      <c r="B92" s="40" t="s">
        <v>121</v>
      </c>
      <c r="C92" s="41">
        <v>0</v>
      </c>
      <c r="D92" s="42"/>
      <c r="E92" s="42"/>
      <c r="F92" s="42"/>
      <c r="G92" s="43"/>
      <c r="H92" s="44"/>
      <c r="I92" s="43"/>
      <c r="J92" s="44"/>
      <c r="K92" s="43"/>
      <c r="L92" s="44">
        <v>0</v>
      </c>
    </row>
    <row r="93" spans="1:12" s="39" customFormat="1" ht="15.45" customHeight="1" outlineLevel="1" x14ac:dyDescent="0.25">
      <c r="A93" s="33">
        <v>1</v>
      </c>
      <c r="B93" s="34" t="s">
        <v>122</v>
      </c>
      <c r="C93" s="35" t="s">
        <v>70</v>
      </c>
      <c r="D93" s="36">
        <v>3.05</v>
      </c>
      <c r="E93" s="36">
        <v>111.1066</v>
      </c>
      <c r="F93" s="36">
        <f>+E93*D93</f>
        <v>338.87512999999996</v>
      </c>
      <c r="G93" s="37">
        <f>I93+K93</f>
        <v>0</v>
      </c>
      <c r="H93" s="38">
        <f>J93+L93</f>
        <v>0</v>
      </c>
      <c r="I93" s="37">
        <f>J93/F93</f>
        <v>0</v>
      </c>
      <c r="J93" s="38">
        <v>0</v>
      </c>
      <c r="K93" s="37">
        <f>L93/F93</f>
        <v>0</v>
      </c>
      <c r="L93" s="38">
        <v>0</v>
      </c>
    </row>
    <row r="94" spans="1:12" s="39" customFormat="1" ht="15.45" customHeight="1" outlineLevel="1" x14ac:dyDescent="0.25">
      <c r="A94" s="31" t="s">
        <v>123</v>
      </c>
      <c r="B94" s="40" t="s">
        <v>124</v>
      </c>
      <c r="C94" s="41">
        <v>0</v>
      </c>
      <c r="D94" s="42"/>
      <c r="E94" s="42"/>
      <c r="F94" s="42"/>
      <c r="G94" s="43"/>
      <c r="H94" s="44"/>
      <c r="I94" s="43"/>
      <c r="J94" s="44"/>
      <c r="K94" s="43"/>
      <c r="L94" s="44">
        <v>0</v>
      </c>
    </row>
    <row r="95" spans="1:12" s="39" customFormat="1" ht="28.95" customHeight="1" outlineLevel="1" x14ac:dyDescent="0.25">
      <c r="A95" s="33">
        <v>1</v>
      </c>
      <c r="B95" s="34" t="s">
        <v>104</v>
      </c>
      <c r="C95" s="35" t="s">
        <v>70</v>
      </c>
      <c r="D95" s="36">
        <v>4.2300000000000004</v>
      </c>
      <c r="E95" s="36">
        <v>280</v>
      </c>
      <c r="F95" s="36">
        <f>+E95*D95</f>
        <v>1184.4000000000001</v>
      </c>
      <c r="G95" s="37">
        <f>I95+K95</f>
        <v>0</v>
      </c>
      <c r="H95" s="38">
        <f>J95+L95</f>
        <v>0</v>
      </c>
      <c r="I95" s="37">
        <f>J95/F95</f>
        <v>0</v>
      </c>
      <c r="J95" s="38">
        <v>0</v>
      </c>
      <c r="K95" s="37">
        <f>L95/F95</f>
        <v>0</v>
      </c>
      <c r="L95" s="38">
        <v>0</v>
      </c>
    </row>
    <row r="96" spans="1:12" s="39" customFormat="1" ht="15.45" customHeight="1" outlineLevel="1" x14ac:dyDescent="0.25">
      <c r="A96" s="31" t="s">
        <v>125</v>
      </c>
      <c r="B96" s="40" t="s">
        <v>126</v>
      </c>
      <c r="C96" s="41">
        <v>0</v>
      </c>
      <c r="D96" s="42"/>
      <c r="E96" s="42"/>
      <c r="F96" s="42"/>
      <c r="G96" s="43"/>
      <c r="H96" s="44"/>
      <c r="I96" s="43"/>
      <c r="J96" s="44"/>
      <c r="K96" s="43"/>
      <c r="L96" s="44">
        <v>0</v>
      </c>
    </row>
    <row r="97" spans="1:12" s="39" customFormat="1" ht="15.45" customHeight="1" outlineLevel="1" x14ac:dyDescent="0.25">
      <c r="A97" s="33">
        <v>1</v>
      </c>
      <c r="B97" s="34" t="s">
        <v>87</v>
      </c>
      <c r="C97" s="35" t="s">
        <v>70</v>
      </c>
      <c r="D97" s="36">
        <v>1.2589999999999999</v>
      </c>
      <c r="E97" s="36">
        <v>803.86</v>
      </c>
      <c r="F97" s="36">
        <f>+E97*D97</f>
        <v>1012.0597399999999</v>
      </c>
      <c r="G97" s="37">
        <f>I97+K97</f>
        <v>0</v>
      </c>
      <c r="H97" s="38">
        <f>J97+L97</f>
        <v>0</v>
      </c>
      <c r="I97" s="37">
        <f>J97/F97</f>
        <v>0</v>
      </c>
      <c r="J97" s="38">
        <v>0</v>
      </c>
      <c r="K97" s="37">
        <f>L97/F97</f>
        <v>0</v>
      </c>
      <c r="L97" s="38">
        <v>0</v>
      </c>
    </row>
    <row r="98" spans="1:12" s="39" customFormat="1" ht="15.45" customHeight="1" outlineLevel="1" x14ac:dyDescent="0.25">
      <c r="A98" s="31" t="s">
        <v>127</v>
      </c>
      <c r="B98" s="40" t="s">
        <v>128</v>
      </c>
      <c r="C98" s="41">
        <v>0</v>
      </c>
      <c r="D98" s="42"/>
      <c r="E98" s="42"/>
      <c r="F98" s="42"/>
      <c r="G98" s="43"/>
      <c r="H98" s="44"/>
      <c r="I98" s="43"/>
      <c r="J98" s="44"/>
      <c r="K98" s="43"/>
      <c r="L98" s="44">
        <v>0</v>
      </c>
    </row>
    <row r="99" spans="1:12" s="39" customFormat="1" ht="28.95" customHeight="1" outlineLevel="1" x14ac:dyDescent="0.25">
      <c r="A99" s="33">
        <v>1</v>
      </c>
      <c r="B99" s="34" t="s">
        <v>129</v>
      </c>
      <c r="C99" s="35" t="s">
        <v>89</v>
      </c>
      <c r="D99" s="36">
        <v>2.16</v>
      </c>
      <c r="E99" s="36">
        <v>157.88380000000001</v>
      </c>
      <c r="F99" s="36">
        <f>+E99*D99</f>
        <v>341.02900800000003</v>
      </c>
      <c r="G99" s="37">
        <f>I99+K99</f>
        <v>0</v>
      </c>
      <c r="H99" s="38">
        <f>J99+L99</f>
        <v>0</v>
      </c>
      <c r="I99" s="37">
        <f>J99/F99</f>
        <v>0</v>
      </c>
      <c r="J99" s="38">
        <v>0</v>
      </c>
      <c r="K99" s="37">
        <f>L99/F99</f>
        <v>0</v>
      </c>
      <c r="L99" s="38">
        <v>0</v>
      </c>
    </row>
    <row r="100" spans="1:12" s="39" customFormat="1" ht="15.45" customHeight="1" outlineLevel="1" x14ac:dyDescent="0.25">
      <c r="A100" s="31" t="s">
        <v>130</v>
      </c>
      <c r="B100" s="40" t="s">
        <v>131</v>
      </c>
      <c r="C100" s="41">
        <v>0</v>
      </c>
      <c r="D100" s="42"/>
      <c r="E100" s="42"/>
      <c r="F100" s="42"/>
      <c r="G100" s="43"/>
      <c r="H100" s="44"/>
      <c r="I100" s="43"/>
      <c r="J100" s="44"/>
      <c r="K100" s="43"/>
      <c r="L100" s="44">
        <v>0</v>
      </c>
    </row>
    <row r="101" spans="1:12" s="45" customFormat="1" ht="28.95" customHeight="1" x14ac:dyDescent="0.3">
      <c r="A101" s="33">
        <v>1</v>
      </c>
      <c r="B101" s="34" t="s">
        <v>132</v>
      </c>
      <c r="C101" s="35" t="s">
        <v>89</v>
      </c>
      <c r="D101" s="36">
        <v>20.16</v>
      </c>
      <c r="E101" s="36">
        <v>6.5157999999999996</v>
      </c>
      <c r="F101" s="36">
        <f>+E101*D101</f>
        <v>131.35852800000001</v>
      </c>
      <c r="G101" s="37">
        <f t="shared" ref="G101:H104" si="18">I101+K101</f>
        <v>0</v>
      </c>
      <c r="H101" s="38">
        <f t="shared" si="18"/>
        <v>0</v>
      </c>
      <c r="I101" s="37">
        <f>J101/F101</f>
        <v>0</v>
      </c>
      <c r="J101" s="38">
        <v>0</v>
      </c>
      <c r="K101" s="37">
        <f>L101/F101</f>
        <v>0</v>
      </c>
      <c r="L101" s="38">
        <v>0</v>
      </c>
    </row>
    <row r="102" spans="1:12" s="39" customFormat="1" ht="28.95" customHeight="1" outlineLevel="1" x14ac:dyDescent="0.25">
      <c r="A102" s="33">
        <v>2</v>
      </c>
      <c r="B102" s="34" t="s">
        <v>133</v>
      </c>
      <c r="C102" s="35" t="s">
        <v>89</v>
      </c>
      <c r="D102" s="36">
        <v>20.16</v>
      </c>
      <c r="E102" s="36">
        <v>8.2498000000000005</v>
      </c>
      <c r="F102" s="36">
        <f>+E102*D102</f>
        <v>166.315968</v>
      </c>
      <c r="G102" s="37">
        <f t="shared" si="18"/>
        <v>0</v>
      </c>
      <c r="H102" s="38">
        <f t="shared" si="18"/>
        <v>0</v>
      </c>
      <c r="I102" s="37">
        <f>J102/F102</f>
        <v>0</v>
      </c>
      <c r="J102" s="38">
        <v>0</v>
      </c>
      <c r="K102" s="37">
        <f>L102/F102</f>
        <v>0</v>
      </c>
      <c r="L102" s="38">
        <v>0</v>
      </c>
    </row>
    <row r="103" spans="1:12" s="39" customFormat="1" ht="15.45" customHeight="1" outlineLevel="1" x14ac:dyDescent="0.25">
      <c r="A103" s="33">
        <v>3</v>
      </c>
      <c r="B103" s="34" t="s">
        <v>59</v>
      </c>
      <c r="C103" s="35" t="s">
        <v>89</v>
      </c>
      <c r="D103" s="36">
        <v>85</v>
      </c>
      <c r="E103" s="36">
        <v>10.320399999999999</v>
      </c>
      <c r="F103" s="36">
        <f>+E103*D103</f>
        <v>877.23399999999992</v>
      </c>
      <c r="G103" s="37">
        <f t="shared" si="18"/>
        <v>0</v>
      </c>
      <c r="H103" s="38">
        <f t="shared" si="18"/>
        <v>0</v>
      </c>
      <c r="I103" s="37">
        <f>J103/F103</f>
        <v>0</v>
      </c>
      <c r="J103" s="38">
        <v>0</v>
      </c>
      <c r="K103" s="37">
        <f>L103/F103</f>
        <v>0</v>
      </c>
      <c r="L103" s="38">
        <v>0</v>
      </c>
    </row>
    <row r="104" spans="1:12" s="39" customFormat="1" ht="28.95" customHeight="1" outlineLevel="1" x14ac:dyDescent="0.25">
      <c r="A104" s="33">
        <v>4</v>
      </c>
      <c r="B104" s="34" t="s">
        <v>92</v>
      </c>
      <c r="C104" s="35" t="s">
        <v>89</v>
      </c>
      <c r="D104" s="36">
        <v>85</v>
      </c>
      <c r="E104" s="36">
        <v>4.9857999999999993</v>
      </c>
      <c r="F104" s="36">
        <f>+E104*D104</f>
        <v>423.79299999999995</v>
      </c>
      <c r="G104" s="37">
        <f t="shared" si="18"/>
        <v>0</v>
      </c>
      <c r="H104" s="38">
        <f t="shared" si="18"/>
        <v>0</v>
      </c>
      <c r="I104" s="37">
        <f>J104/F104</f>
        <v>0</v>
      </c>
      <c r="J104" s="38">
        <v>0</v>
      </c>
      <c r="K104" s="37">
        <f>L104/F104</f>
        <v>0</v>
      </c>
      <c r="L104" s="38">
        <v>0</v>
      </c>
    </row>
    <row r="105" spans="1:12" s="39" customFormat="1" ht="15.45" customHeight="1" outlineLevel="1" x14ac:dyDescent="0.25">
      <c r="A105" s="31" t="s">
        <v>134</v>
      </c>
      <c r="B105" s="40" t="s">
        <v>135</v>
      </c>
      <c r="C105" s="41">
        <v>0</v>
      </c>
      <c r="D105" s="42"/>
      <c r="E105" s="42"/>
      <c r="F105" s="42"/>
      <c r="G105" s="43"/>
      <c r="H105" s="44"/>
      <c r="I105" s="43"/>
      <c r="J105" s="44"/>
      <c r="K105" s="43"/>
      <c r="L105" s="44">
        <v>0</v>
      </c>
    </row>
    <row r="106" spans="1:12" s="39" customFormat="1" ht="28.95" customHeight="1" outlineLevel="1" x14ac:dyDescent="0.25">
      <c r="A106" s="33">
        <v>1</v>
      </c>
      <c r="B106" s="34" t="s">
        <v>104</v>
      </c>
      <c r="C106" s="35" t="s">
        <v>70</v>
      </c>
      <c r="D106" s="36">
        <v>4.13</v>
      </c>
      <c r="E106" s="36">
        <v>280</v>
      </c>
      <c r="F106" s="36">
        <f>+E106*D106</f>
        <v>1156.3999999999999</v>
      </c>
      <c r="G106" s="37">
        <f>I106+K106</f>
        <v>0</v>
      </c>
      <c r="H106" s="38">
        <f>J106+L106</f>
        <v>0</v>
      </c>
      <c r="I106" s="37">
        <f>J106/F106</f>
        <v>0</v>
      </c>
      <c r="J106" s="38">
        <v>0</v>
      </c>
      <c r="K106" s="37">
        <f>L106/F106</f>
        <v>0</v>
      </c>
      <c r="L106" s="38">
        <v>0</v>
      </c>
    </row>
    <row r="107" spans="1:12" s="39" customFormat="1" ht="15.45" customHeight="1" outlineLevel="1" x14ac:dyDescent="0.25">
      <c r="A107" s="31" t="s">
        <v>136</v>
      </c>
      <c r="B107" s="40" t="s">
        <v>137</v>
      </c>
      <c r="C107" s="41">
        <v>0</v>
      </c>
      <c r="D107" s="42"/>
      <c r="E107" s="42"/>
      <c r="F107" s="42"/>
      <c r="G107" s="43"/>
      <c r="H107" s="44"/>
      <c r="I107" s="43"/>
      <c r="J107" s="44"/>
      <c r="K107" s="43"/>
      <c r="L107" s="44">
        <v>0</v>
      </c>
    </row>
    <row r="108" spans="1:12" s="39" customFormat="1" ht="28.95" customHeight="1" outlineLevel="1" x14ac:dyDescent="0.25">
      <c r="A108" s="33">
        <v>1</v>
      </c>
      <c r="B108" s="34" t="s">
        <v>104</v>
      </c>
      <c r="C108" s="35" t="s">
        <v>70</v>
      </c>
      <c r="D108" s="36">
        <v>4.13</v>
      </c>
      <c r="E108" s="36">
        <v>280</v>
      </c>
      <c r="F108" s="36">
        <f>+E108*D108</f>
        <v>1156.3999999999999</v>
      </c>
      <c r="G108" s="37">
        <f>I108+K108</f>
        <v>0</v>
      </c>
      <c r="H108" s="38">
        <f>J108+L108</f>
        <v>0</v>
      </c>
      <c r="I108" s="37">
        <f>J108/F108</f>
        <v>0</v>
      </c>
      <c r="J108" s="38">
        <v>0</v>
      </c>
      <c r="K108" s="37">
        <f>L108/F108</f>
        <v>0</v>
      </c>
      <c r="L108" s="38">
        <v>0</v>
      </c>
    </row>
    <row r="109" spans="1:12" s="39" customFormat="1" ht="15.45" customHeight="1" outlineLevel="1" x14ac:dyDescent="0.25">
      <c r="A109" s="31" t="s">
        <v>138</v>
      </c>
      <c r="B109" s="40" t="s">
        <v>139</v>
      </c>
      <c r="C109" s="41">
        <v>0</v>
      </c>
      <c r="D109" s="42"/>
      <c r="E109" s="42"/>
      <c r="F109" s="42"/>
      <c r="G109" s="43"/>
      <c r="H109" s="44"/>
      <c r="I109" s="43"/>
      <c r="J109" s="44"/>
      <c r="K109" s="43"/>
      <c r="L109" s="44">
        <v>0</v>
      </c>
    </row>
    <row r="110" spans="1:12" s="39" customFormat="1" ht="28.95" customHeight="1" outlineLevel="1" x14ac:dyDescent="0.25">
      <c r="A110" s="33">
        <v>1</v>
      </c>
      <c r="B110" s="34" t="s">
        <v>140</v>
      </c>
      <c r="C110" s="35" t="s">
        <v>70</v>
      </c>
      <c r="D110" s="36">
        <v>14.49</v>
      </c>
      <c r="E110" s="36">
        <v>212.52520000000001</v>
      </c>
      <c r="F110" s="36">
        <f>+E110*D110</f>
        <v>3079.4901480000003</v>
      </c>
      <c r="G110" s="37">
        <f t="shared" ref="G110:H112" si="19">I110+K110</f>
        <v>0</v>
      </c>
      <c r="H110" s="38">
        <f t="shared" si="19"/>
        <v>0</v>
      </c>
      <c r="I110" s="37">
        <f>J110/F110</f>
        <v>0</v>
      </c>
      <c r="J110" s="38">
        <v>0</v>
      </c>
      <c r="K110" s="37">
        <f>L110/F110</f>
        <v>0</v>
      </c>
      <c r="L110" s="38">
        <v>0</v>
      </c>
    </row>
    <row r="111" spans="1:12" s="39" customFormat="1" ht="28.95" customHeight="1" outlineLevel="1" x14ac:dyDescent="0.25">
      <c r="A111" s="33">
        <v>2</v>
      </c>
      <c r="B111" s="34" t="s">
        <v>104</v>
      </c>
      <c r="C111" s="35" t="s">
        <v>70</v>
      </c>
      <c r="D111" s="36">
        <v>1.58</v>
      </c>
      <c r="E111" s="36">
        <v>280</v>
      </c>
      <c r="F111" s="36">
        <f>+E111*D111</f>
        <v>442.40000000000003</v>
      </c>
      <c r="G111" s="37">
        <f t="shared" si="19"/>
        <v>0</v>
      </c>
      <c r="H111" s="38">
        <f t="shared" si="19"/>
        <v>0</v>
      </c>
      <c r="I111" s="37">
        <f>J111/F111</f>
        <v>0</v>
      </c>
      <c r="J111" s="38">
        <v>0</v>
      </c>
      <c r="K111" s="37">
        <f>L111/F111</f>
        <v>0</v>
      </c>
      <c r="L111" s="38">
        <v>0</v>
      </c>
    </row>
    <row r="112" spans="1:12" s="39" customFormat="1" ht="28.95" customHeight="1" outlineLevel="1" x14ac:dyDescent="0.25">
      <c r="A112" s="33">
        <v>3</v>
      </c>
      <c r="B112" s="34" t="s">
        <v>141</v>
      </c>
      <c r="C112" s="35" t="s">
        <v>115</v>
      </c>
      <c r="D112" s="36">
        <v>3</v>
      </c>
      <c r="E112" s="36">
        <v>29.4862</v>
      </c>
      <c r="F112" s="36">
        <f>+E112*D112</f>
        <v>88.458600000000004</v>
      </c>
      <c r="G112" s="37">
        <f t="shared" si="19"/>
        <v>0</v>
      </c>
      <c r="H112" s="38">
        <f t="shared" si="19"/>
        <v>0</v>
      </c>
      <c r="I112" s="37">
        <f>J112/F112</f>
        <v>0</v>
      </c>
      <c r="J112" s="38">
        <v>0</v>
      </c>
      <c r="K112" s="37">
        <f>L112/F112</f>
        <v>0</v>
      </c>
      <c r="L112" s="38">
        <v>0</v>
      </c>
    </row>
    <row r="113" spans="1:12" s="39" customFormat="1" ht="15.45" customHeight="1" outlineLevel="1" x14ac:dyDescent="0.25">
      <c r="A113" s="31" t="s">
        <v>142</v>
      </c>
      <c r="B113" s="40" t="s">
        <v>143</v>
      </c>
      <c r="C113" s="41">
        <v>0</v>
      </c>
      <c r="D113" s="42"/>
      <c r="E113" s="42"/>
      <c r="F113" s="42"/>
      <c r="G113" s="43"/>
      <c r="H113" s="44"/>
      <c r="I113" s="43"/>
      <c r="J113" s="44"/>
      <c r="K113" s="43"/>
      <c r="L113" s="44">
        <v>0</v>
      </c>
    </row>
    <row r="114" spans="1:12" s="39" customFormat="1" ht="28.95" customHeight="1" outlineLevel="1" x14ac:dyDescent="0.25">
      <c r="A114" s="33">
        <v>1</v>
      </c>
      <c r="B114" s="34" t="s">
        <v>140</v>
      </c>
      <c r="C114" s="35" t="s">
        <v>70</v>
      </c>
      <c r="D114" s="36">
        <v>14.49</v>
      </c>
      <c r="E114" s="36">
        <v>212.52520000000001</v>
      </c>
      <c r="F114" s="36">
        <f>+E114*D114</f>
        <v>3079.4901480000003</v>
      </c>
      <c r="G114" s="37">
        <f t="shared" ref="G114:H116" si="20">I114+K114</f>
        <v>0</v>
      </c>
      <c r="H114" s="38">
        <f t="shared" si="20"/>
        <v>0</v>
      </c>
      <c r="I114" s="37">
        <f>J114/F114</f>
        <v>0</v>
      </c>
      <c r="J114" s="38">
        <v>0</v>
      </c>
      <c r="K114" s="37">
        <f>L114/F114</f>
        <v>0</v>
      </c>
      <c r="L114" s="38">
        <v>0</v>
      </c>
    </row>
    <row r="115" spans="1:12" s="39" customFormat="1" ht="28.95" customHeight="1" outlineLevel="1" x14ac:dyDescent="0.25">
      <c r="A115" s="33">
        <v>2</v>
      </c>
      <c r="B115" s="34" t="s">
        <v>104</v>
      </c>
      <c r="C115" s="35" t="s">
        <v>70</v>
      </c>
      <c r="D115" s="36">
        <v>1.58</v>
      </c>
      <c r="E115" s="36">
        <v>280</v>
      </c>
      <c r="F115" s="36">
        <f>+E115*D115</f>
        <v>442.40000000000003</v>
      </c>
      <c r="G115" s="37">
        <f t="shared" si="20"/>
        <v>0</v>
      </c>
      <c r="H115" s="38">
        <f t="shared" si="20"/>
        <v>0</v>
      </c>
      <c r="I115" s="37">
        <f>J115/F115</f>
        <v>0</v>
      </c>
      <c r="J115" s="38">
        <v>0</v>
      </c>
      <c r="K115" s="37">
        <f>L115/F115</f>
        <v>0</v>
      </c>
      <c r="L115" s="38">
        <v>0</v>
      </c>
    </row>
    <row r="116" spans="1:12" s="39" customFormat="1" ht="28.95" customHeight="1" outlineLevel="1" x14ac:dyDescent="0.25">
      <c r="A116" s="33">
        <v>3</v>
      </c>
      <c r="B116" s="34" t="s">
        <v>141</v>
      </c>
      <c r="C116" s="35" t="s">
        <v>115</v>
      </c>
      <c r="D116" s="36">
        <v>3</v>
      </c>
      <c r="E116" s="36">
        <v>29.4862</v>
      </c>
      <c r="F116" s="36">
        <f>+E116*D116</f>
        <v>88.458600000000004</v>
      </c>
      <c r="G116" s="37">
        <f t="shared" si="20"/>
        <v>0</v>
      </c>
      <c r="H116" s="38">
        <f t="shared" si="20"/>
        <v>0</v>
      </c>
      <c r="I116" s="37">
        <f>J116/F116</f>
        <v>0</v>
      </c>
      <c r="J116" s="38">
        <v>0</v>
      </c>
      <c r="K116" s="37">
        <f>L116/F116</f>
        <v>0</v>
      </c>
      <c r="L116" s="38">
        <v>0</v>
      </c>
    </row>
    <row r="117" spans="1:12" s="45" customFormat="1" ht="15.45" customHeight="1" x14ac:dyDescent="0.3">
      <c r="A117" s="31" t="s">
        <v>144</v>
      </c>
      <c r="B117" s="40" t="s">
        <v>145</v>
      </c>
      <c r="C117" s="41">
        <v>0</v>
      </c>
      <c r="D117" s="42"/>
      <c r="E117" s="42"/>
      <c r="F117" s="42"/>
      <c r="G117" s="43"/>
      <c r="H117" s="44"/>
      <c r="I117" s="43"/>
      <c r="J117" s="44"/>
      <c r="K117" s="43"/>
      <c r="L117" s="44">
        <v>0</v>
      </c>
    </row>
    <row r="118" spans="1:12" s="39" customFormat="1" ht="15.45" customHeight="1" outlineLevel="1" x14ac:dyDescent="0.25">
      <c r="A118" s="33">
        <v>1</v>
      </c>
      <c r="B118" s="34" t="s">
        <v>146</v>
      </c>
      <c r="C118" s="35" t="s">
        <v>70</v>
      </c>
      <c r="D118" s="36">
        <v>8.4600000000000009</v>
      </c>
      <c r="E118" s="36">
        <v>117.2572</v>
      </c>
      <c r="F118" s="36">
        <f>+E118*D118</f>
        <v>991.99591200000009</v>
      </c>
      <c r="G118" s="37">
        <f>I118+K118</f>
        <v>0</v>
      </c>
      <c r="H118" s="38">
        <f>J118+L118</f>
        <v>0</v>
      </c>
      <c r="I118" s="37">
        <f>J118/F118</f>
        <v>0</v>
      </c>
      <c r="J118" s="38">
        <v>0</v>
      </c>
      <c r="K118" s="37">
        <f>L118/F118</f>
        <v>0</v>
      </c>
      <c r="L118" s="38">
        <v>0</v>
      </c>
    </row>
    <row r="119" spans="1:12" s="39" customFormat="1" ht="15.45" customHeight="1" outlineLevel="1" x14ac:dyDescent="0.25">
      <c r="A119" s="31" t="s">
        <v>147</v>
      </c>
      <c r="B119" s="40" t="s">
        <v>148</v>
      </c>
      <c r="C119" s="41">
        <v>0</v>
      </c>
      <c r="D119" s="42"/>
      <c r="E119" s="42"/>
      <c r="F119" s="42"/>
      <c r="G119" s="43"/>
      <c r="H119" s="44"/>
      <c r="I119" s="43"/>
      <c r="J119" s="44"/>
      <c r="K119" s="43"/>
      <c r="L119" s="44">
        <v>0</v>
      </c>
    </row>
    <row r="120" spans="1:12" s="39" customFormat="1" ht="28.95" customHeight="1" outlineLevel="1" x14ac:dyDescent="0.25">
      <c r="A120" s="33">
        <v>1</v>
      </c>
      <c r="B120" s="34" t="s">
        <v>149</v>
      </c>
      <c r="C120" s="35" t="s">
        <v>70</v>
      </c>
      <c r="D120" s="36">
        <v>2.91</v>
      </c>
      <c r="E120" s="36">
        <v>255</v>
      </c>
      <c r="F120" s="36">
        <f>+E120*D120</f>
        <v>742.05000000000007</v>
      </c>
      <c r="G120" s="37">
        <f>I120+K120</f>
        <v>0</v>
      </c>
      <c r="H120" s="38">
        <f>J120+L120</f>
        <v>0</v>
      </c>
      <c r="I120" s="37">
        <f>J120/F120</f>
        <v>0</v>
      </c>
      <c r="J120" s="38">
        <v>0</v>
      </c>
      <c r="K120" s="37">
        <f>L120/F120</f>
        <v>0</v>
      </c>
      <c r="L120" s="38">
        <v>0</v>
      </c>
    </row>
    <row r="121" spans="1:12" s="39" customFormat="1" ht="15.45" customHeight="1" outlineLevel="1" x14ac:dyDescent="0.25">
      <c r="A121" s="31" t="s">
        <v>150</v>
      </c>
      <c r="B121" s="40" t="s">
        <v>151</v>
      </c>
      <c r="C121" s="41">
        <v>0</v>
      </c>
      <c r="D121" s="42"/>
      <c r="E121" s="42"/>
      <c r="F121" s="42"/>
      <c r="G121" s="43"/>
      <c r="H121" s="44"/>
      <c r="I121" s="43"/>
      <c r="J121" s="44"/>
      <c r="K121" s="43"/>
      <c r="L121" s="44">
        <v>0</v>
      </c>
    </row>
    <row r="122" spans="1:12" s="39" customFormat="1" ht="15.45" customHeight="1" outlineLevel="1" x14ac:dyDescent="0.25">
      <c r="A122" s="33">
        <v>1</v>
      </c>
      <c r="B122" s="34" t="s">
        <v>87</v>
      </c>
      <c r="C122" s="35" t="s">
        <v>70</v>
      </c>
      <c r="D122" s="36">
        <v>0.33</v>
      </c>
      <c r="E122" s="36">
        <v>803.44180000000006</v>
      </c>
      <c r="F122" s="36">
        <f>+E122*D122</f>
        <v>265.13579400000003</v>
      </c>
      <c r="G122" s="37">
        <f t="shared" ref="G122:H124" si="21">I122+K122</f>
        <v>0</v>
      </c>
      <c r="H122" s="38">
        <f t="shared" si="21"/>
        <v>0</v>
      </c>
      <c r="I122" s="37">
        <f>J122/F122</f>
        <v>0</v>
      </c>
      <c r="J122" s="38">
        <v>0</v>
      </c>
      <c r="K122" s="37">
        <f>L122/F122</f>
        <v>0</v>
      </c>
      <c r="L122" s="38">
        <v>0</v>
      </c>
    </row>
    <row r="123" spans="1:12" s="39" customFormat="1" ht="28.95" customHeight="1" outlineLevel="1" x14ac:dyDescent="0.25">
      <c r="A123" s="33">
        <v>2</v>
      </c>
      <c r="B123" s="34" t="s">
        <v>88</v>
      </c>
      <c r="C123" s="35" t="s">
        <v>89</v>
      </c>
      <c r="D123" s="36">
        <v>27.64</v>
      </c>
      <c r="E123" s="36">
        <v>19.7758</v>
      </c>
      <c r="F123" s="36">
        <f>+E123*D123</f>
        <v>546.60311200000001</v>
      </c>
      <c r="G123" s="37">
        <f t="shared" si="21"/>
        <v>0</v>
      </c>
      <c r="H123" s="38">
        <f t="shared" si="21"/>
        <v>0</v>
      </c>
      <c r="I123" s="37">
        <f>J123/F123</f>
        <v>0</v>
      </c>
      <c r="J123" s="38">
        <v>0</v>
      </c>
      <c r="K123" s="37">
        <f>L123/F123</f>
        <v>0</v>
      </c>
      <c r="L123" s="38">
        <v>0</v>
      </c>
    </row>
    <row r="124" spans="1:12" s="39" customFormat="1" ht="15.45" customHeight="1" outlineLevel="1" x14ac:dyDescent="0.25">
      <c r="A124" s="33">
        <v>3</v>
      </c>
      <c r="B124" s="34" t="s">
        <v>33</v>
      </c>
      <c r="C124" s="35" t="s">
        <v>34</v>
      </c>
      <c r="D124" s="36">
        <v>17.600000000000001</v>
      </c>
      <c r="E124" s="36">
        <v>14.3188</v>
      </c>
      <c r="F124" s="36">
        <f>+E124*D124</f>
        <v>252.01088000000001</v>
      </c>
      <c r="G124" s="37">
        <f t="shared" si="21"/>
        <v>0</v>
      </c>
      <c r="H124" s="38">
        <f t="shared" si="21"/>
        <v>0</v>
      </c>
      <c r="I124" s="37">
        <f>J124/F124</f>
        <v>0</v>
      </c>
      <c r="J124" s="38">
        <v>0</v>
      </c>
      <c r="K124" s="37">
        <f>L124/F124</f>
        <v>0</v>
      </c>
      <c r="L124" s="38">
        <v>0</v>
      </c>
    </row>
    <row r="125" spans="1:12" s="39" customFormat="1" ht="15.45" customHeight="1" outlineLevel="1" x14ac:dyDescent="0.25">
      <c r="A125" s="31" t="s">
        <v>152</v>
      </c>
      <c r="B125" s="40" t="s">
        <v>153</v>
      </c>
      <c r="C125" s="41">
        <v>0</v>
      </c>
      <c r="D125" s="42"/>
      <c r="E125" s="42"/>
      <c r="F125" s="42"/>
      <c r="G125" s="43"/>
      <c r="H125" s="44"/>
      <c r="I125" s="43"/>
      <c r="J125" s="44"/>
      <c r="K125" s="43"/>
      <c r="L125" s="44">
        <v>0</v>
      </c>
    </row>
    <row r="126" spans="1:12" s="39" customFormat="1" ht="28.95" customHeight="1" outlineLevel="1" x14ac:dyDescent="0.25">
      <c r="A126" s="33">
        <v>1</v>
      </c>
      <c r="B126" s="34" t="s">
        <v>154</v>
      </c>
      <c r="C126" s="35" t="s">
        <v>89</v>
      </c>
      <c r="D126" s="36">
        <v>16</v>
      </c>
      <c r="E126" s="36">
        <v>32.403399999999998</v>
      </c>
      <c r="F126" s="36">
        <f>+E126*D126</f>
        <v>518.45439999999996</v>
      </c>
      <c r="G126" s="37">
        <f>I126+K126</f>
        <v>0</v>
      </c>
      <c r="H126" s="38">
        <f>J126+L126</f>
        <v>0</v>
      </c>
      <c r="I126" s="37">
        <f>J126/F126</f>
        <v>0</v>
      </c>
      <c r="J126" s="38">
        <v>0</v>
      </c>
      <c r="K126" s="37">
        <f>L126/F126</f>
        <v>0</v>
      </c>
      <c r="L126" s="38">
        <v>0</v>
      </c>
    </row>
    <row r="127" spans="1:12" s="39" customFormat="1" ht="15.45" customHeight="1" outlineLevel="1" x14ac:dyDescent="0.25">
      <c r="A127" s="31" t="s">
        <v>155</v>
      </c>
      <c r="B127" s="40" t="s">
        <v>156</v>
      </c>
      <c r="C127" s="41">
        <v>0</v>
      </c>
      <c r="D127" s="42"/>
      <c r="E127" s="42"/>
      <c r="F127" s="42"/>
      <c r="G127" s="43"/>
      <c r="H127" s="44"/>
      <c r="I127" s="43"/>
      <c r="J127" s="44"/>
      <c r="K127" s="43"/>
      <c r="L127" s="44">
        <v>0</v>
      </c>
    </row>
    <row r="128" spans="1:12" s="39" customFormat="1" ht="15.45" customHeight="1" outlineLevel="1" x14ac:dyDescent="0.25">
      <c r="A128" s="33">
        <v>1</v>
      </c>
      <c r="B128" s="34" t="s">
        <v>59</v>
      </c>
      <c r="C128" s="35" t="s">
        <v>89</v>
      </c>
      <c r="D128" s="36">
        <v>63.4</v>
      </c>
      <c r="E128" s="36">
        <v>10.320399999999999</v>
      </c>
      <c r="F128" s="36">
        <f>+E128*D128</f>
        <v>654.31335999999999</v>
      </c>
      <c r="G128" s="37">
        <f>I128+K128</f>
        <v>0</v>
      </c>
      <c r="H128" s="38">
        <f>J128+L128</f>
        <v>0</v>
      </c>
      <c r="I128" s="37">
        <f>J128/F128</f>
        <v>0</v>
      </c>
      <c r="J128" s="38">
        <v>0</v>
      </c>
      <c r="K128" s="37">
        <f>L128/F128</f>
        <v>0</v>
      </c>
      <c r="L128" s="38">
        <v>0</v>
      </c>
    </row>
    <row r="129" spans="1:12" s="39" customFormat="1" ht="15.45" customHeight="1" outlineLevel="1" x14ac:dyDescent="0.25">
      <c r="A129" s="31" t="s">
        <v>157</v>
      </c>
      <c r="B129" s="40" t="s">
        <v>158</v>
      </c>
      <c r="C129" s="41">
        <v>0</v>
      </c>
      <c r="D129" s="42"/>
      <c r="E129" s="42"/>
      <c r="F129" s="42"/>
      <c r="G129" s="43"/>
      <c r="H129" s="44"/>
      <c r="I129" s="43"/>
      <c r="J129" s="44"/>
      <c r="K129" s="43"/>
      <c r="L129" s="44">
        <v>0</v>
      </c>
    </row>
    <row r="130" spans="1:12" s="39" customFormat="1" ht="15.45" customHeight="1" outlineLevel="1" x14ac:dyDescent="0.25">
      <c r="A130" s="33">
        <v>1</v>
      </c>
      <c r="B130" s="34" t="s">
        <v>146</v>
      </c>
      <c r="C130" s="35" t="s">
        <v>70</v>
      </c>
      <c r="D130" s="36">
        <v>18.5</v>
      </c>
      <c r="E130" s="36">
        <v>117.15519999999999</v>
      </c>
      <c r="F130" s="36">
        <f>+E130*D130</f>
        <v>2167.3712</v>
      </c>
      <c r="G130" s="37">
        <f>I130+K130</f>
        <v>0</v>
      </c>
      <c r="H130" s="38">
        <f>J130+L130</f>
        <v>0</v>
      </c>
      <c r="I130" s="37">
        <f>J130/F130</f>
        <v>0</v>
      </c>
      <c r="J130" s="38">
        <v>0</v>
      </c>
      <c r="K130" s="37">
        <f>L130/F130</f>
        <v>0</v>
      </c>
      <c r="L130" s="38">
        <v>0</v>
      </c>
    </row>
    <row r="131" spans="1:12" s="39" customFormat="1" ht="15.45" customHeight="1" outlineLevel="1" x14ac:dyDescent="0.25">
      <c r="A131" s="33">
        <v>2</v>
      </c>
      <c r="B131" s="34" t="s">
        <v>159</v>
      </c>
      <c r="C131" s="35" t="s">
        <v>70</v>
      </c>
      <c r="D131" s="36">
        <v>14.6</v>
      </c>
      <c r="E131" s="36">
        <v>117.15519999999999</v>
      </c>
      <c r="F131" s="36">
        <f>+E131*D131</f>
        <v>1710.4659199999999</v>
      </c>
      <c r="G131" s="37">
        <f>I131+K131</f>
        <v>0</v>
      </c>
      <c r="H131" s="38">
        <f>J131+L131</f>
        <v>0</v>
      </c>
      <c r="I131" s="37">
        <f>J131/F131</f>
        <v>0</v>
      </c>
      <c r="J131" s="38">
        <v>0</v>
      </c>
      <c r="K131" s="37">
        <f>L131/F131</f>
        <v>0</v>
      </c>
      <c r="L131" s="38">
        <v>0</v>
      </c>
    </row>
    <row r="132" spans="1:12" s="39" customFormat="1" ht="15.45" customHeight="1" outlineLevel="1" x14ac:dyDescent="0.25">
      <c r="A132" s="31" t="s">
        <v>160</v>
      </c>
      <c r="B132" s="40" t="s">
        <v>161</v>
      </c>
      <c r="C132" s="41">
        <v>0</v>
      </c>
      <c r="D132" s="42"/>
      <c r="E132" s="42"/>
      <c r="F132" s="42"/>
      <c r="G132" s="43"/>
      <c r="H132" s="44"/>
      <c r="I132" s="43"/>
      <c r="J132" s="44"/>
      <c r="K132" s="43"/>
      <c r="L132" s="44">
        <v>0</v>
      </c>
    </row>
    <row r="133" spans="1:12" s="39" customFormat="1" ht="15.45" customHeight="1" outlineLevel="1" x14ac:dyDescent="0.25">
      <c r="A133" s="33">
        <v>1</v>
      </c>
      <c r="B133" s="34" t="s">
        <v>146</v>
      </c>
      <c r="C133" s="35" t="s">
        <v>70</v>
      </c>
      <c r="D133" s="36">
        <v>3.35</v>
      </c>
      <c r="E133" s="36">
        <v>117.2572</v>
      </c>
      <c r="F133" s="36">
        <f t="shared" ref="F133:F139" si="22">+E133*D133</f>
        <v>392.81162</v>
      </c>
      <c r="G133" s="37">
        <f t="shared" ref="G133:H139" si="23">I133+K133</f>
        <v>0</v>
      </c>
      <c r="H133" s="38">
        <f t="shared" si="23"/>
        <v>0</v>
      </c>
      <c r="I133" s="37">
        <f t="shared" ref="I133:I139" si="24">J133/F133</f>
        <v>0</v>
      </c>
      <c r="J133" s="38">
        <v>0</v>
      </c>
      <c r="K133" s="37">
        <f t="shared" ref="K133:K139" si="25">L133/F133</f>
        <v>0</v>
      </c>
      <c r="L133" s="38">
        <v>0</v>
      </c>
    </row>
    <row r="134" spans="1:12" s="39" customFormat="1" ht="15.45" customHeight="1" outlineLevel="1" x14ac:dyDescent="0.25">
      <c r="A134" s="33">
        <v>2</v>
      </c>
      <c r="B134" s="34" t="s">
        <v>162</v>
      </c>
      <c r="C134" s="35" t="s">
        <v>89</v>
      </c>
      <c r="D134" s="36">
        <v>12.5</v>
      </c>
      <c r="E134" s="36">
        <v>40.247199999999999</v>
      </c>
      <c r="F134" s="36">
        <f t="shared" si="22"/>
        <v>503.09</v>
      </c>
      <c r="G134" s="37">
        <f t="shared" si="23"/>
        <v>0</v>
      </c>
      <c r="H134" s="38">
        <f t="shared" si="23"/>
        <v>0</v>
      </c>
      <c r="I134" s="37">
        <f t="shared" si="24"/>
        <v>0</v>
      </c>
      <c r="J134" s="38">
        <v>0</v>
      </c>
      <c r="K134" s="37">
        <f t="shared" si="25"/>
        <v>0</v>
      </c>
      <c r="L134" s="38">
        <v>0</v>
      </c>
    </row>
    <row r="135" spans="1:12" s="39" customFormat="1" ht="15.45" customHeight="1" outlineLevel="1" x14ac:dyDescent="0.25">
      <c r="A135" s="33">
        <v>3</v>
      </c>
      <c r="B135" s="34" t="s">
        <v>163</v>
      </c>
      <c r="C135" s="35" t="s">
        <v>89</v>
      </c>
      <c r="D135" s="36">
        <v>5.14</v>
      </c>
      <c r="E135" s="36">
        <v>5.4244000000000003</v>
      </c>
      <c r="F135" s="36">
        <f t="shared" si="22"/>
        <v>27.881416000000002</v>
      </c>
      <c r="G135" s="37">
        <f t="shared" si="23"/>
        <v>0</v>
      </c>
      <c r="H135" s="38">
        <f t="shared" si="23"/>
        <v>0</v>
      </c>
      <c r="I135" s="37">
        <f t="shared" si="24"/>
        <v>0</v>
      </c>
      <c r="J135" s="38">
        <v>0</v>
      </c>
      <c r="K135" s="37">
        <f t="shared" si="25"/>
        <v>0</v>
      </c>
      <c r="L135" s="38">
        <v>0</v>
      </c>
    </row>
    <row r="136" spans="1:12" s="39" customFormat="1" ht="28.95" customHeight="1" outlineLevel="1" x14ac:dyDescent="0.25">
      <c r="A136" s="33">
        <v>4</v>
      </c>
      <c r="B136" s="34" t="s">
        <v>164</v>
      </c>
      <c r="C136" s="35" t="s">
        <v>89</v>
      </c>
      <c r="D136" s="36">
        <v>5.14</v>
      </c>
      <c r="E136" s="36">
        <v>32.403399999999998</v>
      </c>
      <c r="F136" s="36">
        <f t="shared" si="22"/>
        <v>166.55347599999999</v>
      </c>
      <c r="G136" s="37">
        <f t="shared" si="23"/>
        <v>0</v>
      </c>
      <c r="H136" s="38">
        <f t="shared" si="23"/>
        <v>0</v>
      </c>
      <c r="I136" s="37">
        <f t="shared" si="24"/>
        <v>0</v>
      </c>
      <c r="J136" s="38">
        <v>0</v>
      </c>
      <c r="K136" s="37">
        <f t="shared" si="25"/>
        <v>0</v>
      </c>
      <c r="L136" s="38">
        <v>0</v>
      </c>
    </row>
    <row r="137" spans="1:12" s="39" customFormat="1" ht="28.95" customHeight="1" outlineLevel="1" x14ac:dyDescent="0.25">
      <c r="A137" s="33">
        <v>5</v>
      </c>
      <c r="B137" s="34" t="s">
        <v>165</v>
      </c>
      <c r="C137" s="35" t="s">
        <v>89</v>
      </c>
      <c r="D137" s="36">
        <v>5.46</v>
      </c>
      <c r="E137" s="36">
        <v>27.079000000000001</v>
      </c>
      <c r="F137" s="36">
        <f t="shared" si="22"/>
        <v>147.85133999999999</v>
      </c>
      <c r="G137" s="37">
        <f t="shared" si="23"/>
        <v>0</v>
      </c>
      <c r="H137" s="38">
        <f t="shared" si="23"/>
        <v>0</v>
      </c>
      <c r="I137" s="37">
        <f t="shared" si="24"/>
        <v>0</v>
      </c>
      <c r="J137" s="38">
        <v>0</v>
      </c>
      <c r="K137" s="37">
        <f t="shared" si="25"/>
        <v>0</v>
      </c>
      <c r="L137" s="38">
        <v>0</v>
      </c>
    </row>
    <row r="138" spans="1:12" s="39" customFormat="1" ht="28.95" customHeight="1" outlineLevel="1" x14ac:dyDescent="0.25">
      <c r="A138" s="33">
        <v>6</v>
      </c>
      <c r="B138" s="34" t="s">
        <v>166</v>
      </c>
      <c r="C138" s="35" t="s">
        <v>89</v>
      </c>
      <c r="D138" s="36">
        <v>34</v>
      </c>
      <c r="E138" s="36">
        <v>10.8202</v>
      </c>
      <c r="F138" s="36">
        <f t="shared" si="22"/>
        <v>367.88679999999999</v>
      </c>
      <c r="G138" s="37">
        <f t="shared" si="23"/>
        <v>0</v>
      </c>
      <c r="H138" s="38">
        <f t="shared" si="23"/>
        <v>0</v>
      </c>
      <c r="I138" s="37">
        <f t="shared" si="24"/>
        <v>0</v>
      </c>
      <c r="J138" s="38">
        <v>0</v>
      </c>
      <c r="K138" s="37">
        <f t="shared" si="25"/>
        <v>0</v>
      </c>
      <c r="L138" s="38">
        <v>0</v>
      </c>
    </row>
    <row r="139" spans="1:12" s="39" customFormat="1" ht="43.5" customHeight="1" outlineLevel="1" x14ac:dyDescent="0.25">
      <c r="A139" s="33">
        <v>7</v>
      </c>
      <c r="B139" s="34" t="s">
        <v>167</v>
      </c>
      <c r="C139" s="35" t="s">
        <v>89</v>
      </c>
      <c r="D139" s="36">
        <v>34</v>
      </c>
      <c r="E139" s="36">
        <v>40.186</v>
      </c>
      <c r="F139" s="36">
        <f t="shared" si="22"/>
        <v>1366.3240000000001</v>
      </c>
      <c r="G139" s="37">
        <f t="shared" si="23"/>
        <v>0</v>
      </c>
      <c r="H139" s="38">
        <f t="shared" si="23"/>
        <v>0</v>
      </c>
      <c r="I139" s="37">
        <f t="shared" si="24"/>
        <v>0</v>
      </c>
      <c r="J139" s="38">
        <v>0</v>
      </c>
      <c r="K139" s="37">
        <f t="shared" si="25"/>
        <v>0</v>
      </c>
      <c r="L139" s="38">
        <v>0</v>
      </c>
    </row>
    <row r="140" spans="1:12" s="39" customFormat="1" ht="15.45" customHeight="1" outlineLevel="1" x14ac:dyDescent="0.25">
      <c r="A140" s="31" t="s">
        <v>168</v>
      </c>
      <c r="B140" s="40" t="s">
        <v>169</v>
      </c>
      <c r="C140" s="41">
        <v>0</v>
      </c>
      <c r="D140" s="42"/>
      <c r="E140" s="42"/>
      <c r="F140" s="42"/>
      <c r="G140" s="43"/>
      <c r="H140" s="44"/>
      <c r="I140" s="43"/>
      <c r="J140" s="44"/>
      <c r="K140" s="43"/>
      <c r="L140" s="44">
        <v>0</v>
      </c>
    </row>
    <row r="141" spans="1:12" s="39" customFormat="1" ht="43.5" customHeight="1" outlineLevel="1" x14ac:dyDescent="0.25">
      <c r="A141" s="33">
        <v>1</v>
      </c>
      <c r="B141" s="34" t="s">
        <v>170</v>
      </c>
      <c r="C141" s="35" t="s">
        <v>70</v>
      </c>
      <c r="D141" s="36">
        <v>8683</v>
      </c>
      <c r="E141" s="36">
        <v>0.9</v>
      </c>
      <c r="F141" s="36">
        <f t="shared" ref="F141:F148" si="26">+E141*D141</f>
        <v>7814.7</v>
      </c>
      <c r="G141" s="37">
        <f t="shared" ref="G141:H148" si="27">I141+K141</f>
        <v>0</v>
      </c>
      <c r="H141" s="38">
        <f t="shared" si="27"/>
        <v>0</v>
      </c>
      <c r="I141" s="37">
        <f t="shared" ref="I141:I148" si="28">J141/F141</f>
        <v>0</v>
      </c>
      <c r="J141" s="38">
        <v>0</v>
      </c>
      <c r="K141" s="37">
        <f t="shared" ref="K141:K148" si="29">L141/F141</f>
        <v>0</v>
      </c>
      <c r="L141" s="38">
        <v>0</v>
      </c>
    </row>
    <row r="142" spans="1:12" s="39" customFormat="1" ht="15.45" customHeight="1" outlineLevel="1" x14ac:dyDescent="0.25">
      <c r="A142" s="33">
        <v>2</v>
      </c>
      <c r="B142" s="34" t="s">
        <v>171</v>
      </c>
      <c r="C142" s="35" t="s">
        <v>172</v>
      </c>
      <c r="D142" s="36">
        <v>15195.25</v>
      </c>
      <c r="E142" s="36">
        <v>1.63</v>
      </c>
      <c r="F142" s="36">
        <f t="shared" si="26"/>
        <v>24768.2575</v>
      </c>
      <c r="G142" s="37">
        <f t="shared" si="27"/>
        <v>0</v>
      </c>
      <c r="H142" s="38">
        <f t="shared" si="27"/>
        <v>0</v>
      </c>
      <c r="I142" s="37">
        <f t="shared" si="28"/>
        <v>0</v>
      </c>
      <c r="J142" s="38">
        <v>0</v>
      </c>
      <c r="K142" s="37">
        <f t="shared" si="29"/>
        <v>0</v>
      </c>
      <c r="L142" s="38">
        <v>0</v>
      </c>
    </row>
    <row r="143" spans="1:12" s="39" customFormat="1" ht="43.5" customHeight="1" outlineLevel="1" x14ac:dyDescent="0.25">
      <c r="A143" s="33">
        <v>3</v>
      </c>
      <c r="B143" s="34" t="s">
        <v>173</v>
      </c>
      <c r="C143" s="35" t="s">
        <v>70</v>
      </c>
      <c r="D143" s="36">
        <v>12996</v>
      </c>
      <c r="E143" s="36">
        <v>0.9</v>
      </c>
      <c r="F143" s="36">
        <f t="shared" si="26"/>
        <v>11696.4</v>
      </c>
      <c r="G143" s="37">
        <f t="shared" si="27"/>
        <v>0</v>
      </c>
      <c r="H143" s="38">
        <f t="shared" si="27"/>
        <v>0</v>
      </c>
      <c r="I143" s="37">
        <f t="shared" si="28"/>
        <v>0</v>
      </c>
      <c r="J143" s="38">
        <v>0</v>
      </c>
      <c r="K143" s="37">
        <f t="shared" si="29"/>
        <v>0</v>
      </c>
      <c r="L143" s="38">
        <v>0</v>
      </c>
    </row>
    <row r="144" spans="1:12" s="39" customFormat="1" ht="15.45" customHeight="1" outlineLevel="1" x14ac:dyDescent="0.25">
      <c r="A144" s="33">
        <v>4</v>
      </c>
      <c r="B144" s="34" t="s">
        <v>174</v>
      </c>
      <c r="C144" s="35" t="s">
        <v>70</v>
      </c>
      <c r="D144" s="36">
        <v>12996</v>
      </c>
      <c r="E144" s="36">
        <v>0.9</v>
      </c>
      <c r="F144" s="36">
        <f t="shared" si="26"/>
        <v>11696.4</v>
      </c>
      <c r="G144" s="37">
        <f t="shared" si="27"/>
        <v>0</v>
      </c>
      <c r="H144" s="38">
        <f t="shared" si="27"/>
        <v>0</v>
      </c>
      <c r="I144" s="37">
        <f t="shared" si="28"/>
        <v>0</v>
      </c>
      <c r="J144" s="38">
        <v>0</v>
      </c>
      <c r="K144" s="37">
        <f t="shared" si="29"/>
        <v>0</v>
      </c>
      <c r="L144" s="38">
        <v>0</v>
      </c>
    </row>
    <row r="145" spans="1:12" s="39" customFormat="1" ht="28.95" customHeight="1" outlineLevel="1" x14ac:dyDescent="0.25">
      <c r="A145" s="33">
        <v>5</v>
      </c>
      <c r="B145" s="34" t="s">
        <v>175</v>
      </c>
      <c r="C145" s="35" t="s">
        <v>70</v>
      </c>
      <c r="D145" s="36">
        <v>12996</v>
      </c>
      <c r="E145" s="36">
        <v>0.9</v>
      </c>
      <c r="F145" s="36">
        <f t="shared" si="26"/>
        <v>11696.4</v>
      </c>
      <c r="G145" s="37">
        <f t="shared" si="27"/>
        <v>0</v>
      </c>
      <c r="H145" s="38">
        <f t="shared" si="27"/>
        <v>0</v>
      </c>
      <c r="I145" s="37">
        <f t="shared" si="28"/>
        <v>0</v>
      </c>
      <c r="J145" s="38">
        <v>0</v>
      </c>
      <c r="K145" s="37">
        <f t="shared" si="29"/>
        <v>0</v>
      </c>
      <c r="L145" s="38">
        <v>0</v>
      </c>
    </row>
    <row r="146" spans="1:12" s="39" customFormat="1" ht="15.45" customHeight="1" outlineLevel="1" x14ac:dyDescent="0.25">
      <c r="A146" s="33">
        <v>6</v>
      </c>
      <c r="B146" s="34" t="s">
        <v>176</v>
      </c>
      <c r="C146" s="35" t="s">
        <v>70</v>
      </c>
      <c r="D146" s="36">
        <v>12996</v>
      </c>
      <c r="E146" s="36">
        <v>0.9</v>
      </c>
      <c r="F146" s="36">
        <f t="shared" si="26"/>
        <v>11696.4</v>
      </c>
      <c r="G146" s="37">
        <f t="shared" si="27"/>
        <v>0</v>
      </c>
      <c r="H146" s="38">
        <f t="shared" si="27"/>
        <v>0</v>
      </c>
      <c r="I146" s="37">
        <f t="shared" si="28"/>
        <v>0</v>
      </c>
      <c r="J146" s="38">
        <v>0</v>
      </c>
      <c r="K146" s="37">
        <f t="shared" si="29"/>
        <v>0</v>
      </c>
      <c r="L146" s="38">
        <v>0</v>
      </c>
    </row>
    <row r="147" spans="1:12" s="39" customFormat="1" ht="43.5" customHeight="1" outlineLevel="1" x14ac:dyDescent="0.25">
      <c r="A147" s="33">
        <v>7</v>
      </c>
      <c r="B147" s="34" t="s">
        <v>177</v>
      </c>
      <c r="C147" s="35" t="s">
        <v>70</v>
      </c>
      <c r="D147" s="36">
        <v>522</v>
      </c>
      <c r="E147" s="36">
        <v>0.9</v>
      </c>
      <c r="F147" s="36">
        <f t="shared" si="26"/>
        <v>469.8</v>
      </c>
      <c r="G147" s="37">
        <f t="shared" si="27"/>
        <v>0</v>
      </c>
      <c r="H147" s="38">
        <f t="shared" si="27"/>
        <v>0</v>
      </c>
      <c r="I147" s="37">
        <f t="shared" si="28"/>
        <v>0</v>
      </c>
      <c r="J147" s="38">
        <v>0</v>
      </c>
      <c r="K147" s="37">
        <f t="shared" si="29"/>
        <v>0</v>
      </c>
      <c r="L147" s="38">
        <v>0</v>
      </c>
    </row>
    <row r="148" spans="1:12" s="39" customFormat="1" ht="15.45" customHeight="1" outlineLevel="1" x14ac:dyDescent="0.25">
      <c r="A148" s="33">
        <v>8</v>
      </c>
      <c r="B148" s="34" t="s">
        <v>171</v>
      </c>
      <c r="C148" s="35" t="s">
        <v>172</v>
      </c>
      <c r="D148" s="36">
        <v>626.4</v>
      </c>
      <c r="E148" s="36">
        <v>1.63</v>
      </c>
      <c r="F148" s="36">
        <f t="shared" si="26"/>
        <v>1021.0319999999999</v>
      </c>
      <c r="G148" s="37">
        <f t="shared" si="27"/>
        <v>0</v>
      </c>
      <c r="H148" s="38">
        <f t="shared" si="27"/>
        <v>0</v>
      </c>
      <c r="I148" s="37">
        <f t="shared" si="28"/>
        <v>0</v>
      </c>
      <c r="J148" s="38">
        <v>0</v>
      </c>
      <c r="K148" s="37">
        <f t="shared" si="29"/>
        <v>0</v>
      </c>
      <c r="L148" s="38">
        <v>0</v>
      </c>
    </row>
    <row r="149" spans="1:12" s="39" customFormat="1" ht="15.45" customHeight="1" outlineLevel="1" x14ac:dyDescent="0.25">
      <c r="A149" s="31" t="s">
        <v>178</v>
      </c>
      <c r="B149" s="40" t="s">
        <v>179</v>
      </c>
      <c r="C149" s="41">
        <v>0</v>
      </c>
      <c r="D149" s="42"/>
      <c r="E149" s="42"/>
      <c r="F149" s="42"/>
      <c r="G149" s="43"/>
      <c r="H149" s="44"/>
      <c r="I149" s="43"/>
      <c r="J149" s="44"/>
      <c r="K149" s="43"/>
      <c r="L149" s="44">
        <v>0</v>
      </c>
    </row>
    <row r="150" spans="1:12" s="39" customFormat="1" ht="28.95" customHeight="1" outlineLevel="1" x14ac:dyDescent="0.25">
      <c r="A150" s="33">
        <v>1</v>
      </c>
      <c r="B150" s="34" t="s">
        <v>180</v>
      </c>
      <c r="C150" s="35" t="s">
        <v>89</v>
      </c>
      <c r="D150" s="36">
        <v>599.70000000000005</v>
      </c>
      <c r="E150" s="36">
        <v>4.1891800000000003</v>
      </c>
      <c r="F150" s="36">
        <f t="shared" ref="F150:F155" si="30">+E150*D150</f>
        <v>2512.2512460000003</v>
      </c>
      <c r="G150" s="37">
        <f t="shared" ref="G150:H155" si="31">I150+K150</f>
        <v>0</v>
      </c>
      <c r="H150" s="38">
        <f t="shared" si="31"/>
        <v>0</v>
      </c>
      <c r="I150" s="37">
        <f t="shared" ref="I150:I155" si="32">J150/F150</f>
        <v>0</v>
      </c>
      <c r="J150" s="38">
        <v>0</v>
      </c>
      <c r="K150" s="37">
        <f t="shared" ref="K150:K155" si="33">L150/F150</f>
        <v>0</v>
      </c>
      <c r="L150" s="38">
        <v>0</v>
      </c>
    </row>
    <row r="151" spans="1:12" s="39" customFormat="1" ht="15.45" customHeight="1" outlineLevel="1" x14ac:dyDescent="0.25">
      <c r="A151" s="33">
        <v>2</v>
      </c>
      <c r="B151" s="34" t="s">
        <v>181</v>
      </c>
      <c r="C151" s="35" t="s">
        <v>89</v>
      </c>
      <c r="D151" s="36">
        <v>383.7</v>
      </c>
      <c r="E151" s="36">
        <v>0.81122000000000005</v>
      </c>
      <c r="F151" s="36">
        <f t="shared" si="30"/>
        <v>311.26511399999998</v>
      </c>
      <c r="G151" s="37">
        <f t="shared" si="31"/>
        <v>0</v>
      </c>
      <c r="H151" s="38">
        <f t="shared" si="31"/>
        <v>0</v>
      </c>
      <c r="I151" s="37">
        <f t="shared" si="32"/>
        <v>0</v>
      </c>
      <c r="J151" s="38">
        <v>0</v>
      </c>
      <c r="K151" s="37">
        <f t="shared" si="33"/>
        <v>0</v>
      </c>
      <c r="L151" s="38">
        <v>0</v>
      </c>
    </row>
    <row r="152" spans="1:12" s="39" customFormat="1" ht="28.95" customHeight="1" outlineLevel="1" x14ac:dyDescent="0.25">
      <c r="A152" s="33">
        <v>3</v>
      </c>
      <c r="B152" s="34" t="s">
        <v>182</v>
      </c>
      <c r="C152" s="35" t="s">
        <v>89</v>
      </c>
      <c r="D152" s="36">
        <v>383.7</v>
      </c>
      <c r="E152" s="36">
        <v>7.0788399999999996</v>
      </c>
      <c r="F152" s="36">
        <f t="shared" si="30"/>
        <v>2716.1509079999996</v>
      </c>
      <c r="G152" s="37">
        <f t="shared" si="31"/>
        <v>0</v>
      </c>
      <c r="H152" s="38">
        <f t="shared" si="31"/>
        <v>0</v>
      </c>
      <c r="I152" s="37">
        <f t="shared" si="32"/>
        <v>0</v>
      </c>
      <c r="J152" s="38">
        <v>0</v>
      </c>
      <c r="K152" s="37">
        <f t="shared" si="33"/>
        <v>0</v>
      </c>
      <c r="L152" s="38">
        <v>0</v>
      </c>
    </row>
    <row r="153" spans="1:12" s="39" customFormat="1" ht="15.45" customHeight="1" outlineLevel="1" x14ac:dyDescent="0.25">
      <c r="A153" s="33">
        <v>4</v>
      </c>
      <c r="B153" s="34" t="s">
        <v>183</v>
      </c>
      <c r="C153" s="35" t="s">
        <v>89</v>
      </c>
      <c r="D153" s="36">
        <v>383.7</v>
      </c>
      <c r="E153" s="36">
        <v>4.6726599999999996</v>
      </c>
      <c r="F153" s="36">
        <f t="shared" si="30"/>
        <v>1792.8996419999999</v>
      </c>
      <c r="G153" s="37">
        <f t="shared" si="31"/>
        <v>0</v>
      </c>
      <c r="H153" s="38">
        <f t="shared" si="31"/>
        <v>0</v>
      </c>
      <c r="I153" s="37">
        <f t="shared" si="32"/>
        <v>0</v>
      </c>
      <c r="J153" s="38">
        <v>0</v>
      </c>
      <c r="K153" s="37">
        <f t="shared" si="33"/>
        <v>0</v>
      </c>
      <c r="L153" s="38">
        <v>0</v>
      </c>
    </row>
    <row r="154" spans="1:12" s="39" customFormat="1" ht="43.5" customHeight="1" outlineLevel="1" x14ac:dyDescent="0.25">
      <c r="A154" s="33">
        <v>5</v>
      </c>
      <c r="B154" s="34" t="s">
        <v>184</v>
      </c>
      <c r="C154" s="35" t="s">
        <v>89</v>
      </c>
      <c r="D154" s="36">
        <v>383.7</v>
      </c>
      <c r="E154" s="36">
        <v>7.1288199999999993</v>
      </c>
      <c r="F154" s="36">
        <f t="shared" si="30"/>
        <v>2735.3282339999996</v>
      </c>
      <c r="G154" s="37">
        <f t="shared" si="31"/>
        <v>0</v>
      </c>
      <c r="H154" s="38">
        <f t="shared" si="31"/>
        <v>0</v>
      </c>
      <c r="I154" s="37">
        <f t="shared" si="32"/>
        <v>0</v>
      </c>
      <c r="J154" s="38">
        <v>0</v>
      </c>
      <c r="K154" s="37">
        <f t="shared" si="33"/>
        <v>0</v>
      </c>
      <c r="L154" s="38">
        <v>0</v>
      </c>
    </row>
    <row r="155" spans="1:12" s="39" customFormat="1" ht="15.45" customHeight="1" outlineLevel="1" x14ac:dyDescent="0.25">
      <c r="A155" s="33">
        <v>6</v>
      </c>
      <c r="B155" s="34" t="s">
        <v>185</v>
      </c>
      <c r="C155" s="35" t="s">
        <v>89</v>
      </c>
      <c r="D155" s="36">
        <v>383.7</v>
      </c>
      <c r="E155" s="36">
        <v>1.7259199999999999</v>
      </c>
      <c r="F155" s="36">
        <f t="shared" si="30"/>
        <v>662.23550399999999</v>
      </c>
      <c r="G155" s="37">
        <f t="shared" si="31"/>
        <v>0</v>
      </c>
      <c r="H155" s="38">
        <f t="shared" si="31"/>
        <v>0</v>
      </c>
      <c r="I155" s="37">
        <f t="shared" si="32"/>
        <v>0</v>
      </c>
      <c r="J155" s="38">
        <v>0</v>
      </c>
      <c r="K155" s="37">
        <f t="shared" si="33"/>
        <v>0</v>
      </c>
      <c r="L155" s="38">
        <v>0</v>
      </c>
    </row>
    <row r="156" spans="1:12" s="39" customFormat="1" ht="15.45" customHeight="1" outlineLevel="1" x14ac:dyDescent="0.25">
      <c r="A156" s="31" t="s">
        <v>186</v>
      </c>
      <c r="B156" s="40" t="s">
        <v>187</v>
      </c>
      <c r="C156" s="41">
        <v>0</v>
      </c>
      <c r="D156" s="42"/>
      <c r="E156" s="42"/>
      <c r="F156" s="42"/>
      <c r="G156" s="43"/>
      <c r="H156" s="44"/>
      <c r="I156" s="43"/>
      <c r="J156" s="44"/>
      <c r="K156" s="43"/>
      <c r="L156" s="44">
        <v>0</v>
      </c>
    </row>
    <row r="157" spans="1:12" s="39" customFormat="1" ht="28.95" customHeight="1" outlineLevel="1" x14ac:dyDescent="0.25">
      <c r="A157" s="33">
        <v>1</v>
      </c>
      <c r="B157" s="34" t="s">
        <v>180</v>
      </c>
      <c r="C157" s="35" t="s">
        <v>89</v>
      </c>
      <c r="D157" s="36">
        <v>599.70000000000005</v>
      </c>
      <c r="E157" s="36">
        <v>4.1891800000000003</v>
      </c>
      <c r="F157" s="36">
        <f t="shared" ref="F157:F162" si="34">+E157*D157</f>
        <v>2512.2512460000003</v>
      </c>
      <c r="G157" s="37">
        <f t="shared" ref="G157:H162" si="35">I157+K157</f>
        <v>0</v>
      </c>
      <c r="H157" s="38">
        <f t="shared" si="35"/>
        <v>0</v>
      </c>
      <c r="I157" s="37">
        <f t="shared" ref="I157:I162" si="36">J157/F157</f>
        <v>0</v>
      </c>
      <c r="J157" s="38">
        <v>0</v>
      </c>
      <c r="K157" s="37">
        <f t="shared" ref="K157:K162" si="37">L157/F157</f>
        <v>0</v>
      </c>
      <c r="L157" s="38">
        <v>0</v>
      </c>
    </row>
    <row r="158" spans="1:12" s="39" customFormat="1" ht="15.45" customHeight="1" outlineLevel="1" x14ac:dyDescent="0.25">
      <c r="A158" s="33">
        <v>2</v>
      </c>
      <c r="B158" s="34" t="s">
        <v>181</v>
      </c>
      <c r="C158" s="35" t="s">
        <v>89</v>
      </c>
      <c r="D158" s="36">
        <v>216</v>
      </c>
      <c r="E158" s="36">
        <v>0.9</v>
      </c>
      <c r="F158" s="36">
        <f t="shared" si="34"/>
        <v>194.4</v>
      </c>
      <c r="G158" s="37">
        <f t="shared" si="35"/>
        <v>0</v>
      </c>
      <c r="H158" s="38">
        <f t="shared" si="35"/>
        <v>0</v>
      </c>
      <c r="I158" s="37">
        <f t="shared" si="36"/>
        <v>0</v>
      </c>
      <c r="J158" s="38">
        <v>0</v>
      </c>
      <c r="K158" s="37">
        <f t="shared" si="37"/>
        <v>0</v>
      </c>
      <c r="L158" s="38">
        <v>0</v>
      </c>
    </row>
    <row r="159" spans="1:12" s="39" customFormat="1" ht="28.95" customHeight="1" outlineLevel="1" x14ac:dyDescent="0.25">
      <c r="A159" s="33">
        <v>3</v>
      </c>
      <c r="B159" s="34" t="s">
        <v>182</v>
      </c>
      <c r="C159" s="35" t="s">
        <v>89</v>
      </c>
      <c r="D159" s="36">
        <v>216</v>
      </c>
      <c r="E159" s="36">
        <v>7.0768000000000004</v>
      </c>
      <c r="F159" s="36">
        <f t="shared" si="34"/>
        <v>1528.5888</v>
      </c>
      <c r="G159" s="37">
        <f t="shared" si="35"/>
        <v>0</v>
      </c>
      <c r="H159" s="38">
        <f t="shared" si="35"/>
        <v>0</v>
      </c>
      <c r="I159" s="37">
        <f t="shared" si="36"/>
        <v>0</v>
      </c>
      <c r="J159" s="38">
        <v>0</v>
      </c>
      <c r="K159" s="37">
        <f t="shared" si="37"/>
        <v>0</v>
      </c>
      <c r="L159" s="38">
        <v>0</v>
      </c>
    </row>
    <row r="160" spans="1:12" s="39" customFormat="1" ht="15.45" customHeight="1" outlineLevel="1" x14ac:dyDescent="0.25">
      <c r="A160" s="33">
        <v>4</v>
      </c>
      <c r="B160" s="34" t="s">
        <v>183</v>
      </c>
      <c r="C160" s="35" t="s">
        <v>89</v>
      </c>
      <c r="D160" s="36">
        <v>216</v>
      </c>
      <c r="E160" s="36">
        <v>4.6185999999999998</v>
      </c>
      <c r="F160" s="36">
        <f t="shared" si="34"/>
        <v>997.61759999999992</v>
      </c>
      <c r="G160" s="37">
        <f t="shared" si="35"/>
        <v>0</v>
      </c>
      <c r="H160" s="38">
        <f t="shared" si="35"/>
        <v>0</v>
      </c>
      <c r="I160" s="37">
        <f t="shared" si="36"/>
        <v>0</v>
      </c>
      <c r="J160" s="38">
        <v>0</v>
      </c>
      <c r="K160" s="37">
        <f t="shared" si="37"/>
        <v>0</v>
      </c>
      <c r="L160" s="38">
        <v>0</v>
      </c>
    </row>
    <row r="161" spans="1:12" s="39" customFormat="1" ht="43.5" customHeight="1" outlineLevel="1" x14ac:dyDescent="0.25">
      <c r="A161" s="33">
        <v>5</v>
      </c>
      <c r="B161" s="34" t="s">
        <v>184</v>
      </c>
      <c r="C161" s="35" t="s">
        <v>89</v>
      </c>
      <c r="D161" s="36">
        <v>216</v>
      </c>
      <c r="E161" s="36">
        <v>7.1176000000000004</v>
      </c>
      <c r="F161" s="36">
        <f t="shared" si="34"/>
        <v>1537.4016000000001</v>
      </c>
      <c r="G161" s="37">
        <f t="shared" si="35"/>
        <v>0</v>
      </c>
      <c r="H161" s="38">
        <f t="shared" si="35"/>
        <v>0</v>
      </c>
      <c r="I161" s="37">
        <f t="shared" si="36"/>
        <v>0</v>
      </c>
      <c r="J161" s="38">
        <v>0</v>
      </c>
      <c r="K161" s="37">
        <f t="shared" si="37"/>
        <v>0</v>
      </c>
      <c r="L161" s="38">
        <v>0</v>
      </c>
    </row>
    <row r="162" spans="1:12" s="39" customFormat="1" ht="15.45" customHeight="1" outlineLevel="1" x14ac:dyDescent="0.25">
      <c r="A162" s="33">
        <v>6</v>
      </c>
      <c r="B162" s="34" t="s">
        <v>185</v>
      </c>
      <c r="C162" s="35" t="s">
        <v>89</v>
      </c>
      <c r="D162" s="36">
        <v>216</v>
      </c>
      <c r="E162" s="36">
        <v>1.7259199999999999</v>
      </c>
      <c r="F162" s="36">
        <f t="shared" si="34"/>
        <v>372.79872</v>
      </c>
      <c r="G162" s="37">
        <f t="shared" si="35"/>
        <v>0</v>
      </c>
      <c r="H162" s="38">
        <f t="shared" si="35"/>
        <v>0</v>
      </c>
      <c r="I162" s="37">
        <f t="shared" si="36"/>
        <v>0</v>
      </c>
      <c r="J162" s="38">
        <v>0</v>
      </c>
      <c r="K162" s="37">
        <f t="shared" si="37"/>
        <v>0</v>
      </c>
      <c r="L162" s="38">
        <v>0</v>
      </c>
    </row>
    <row r="163" spans="1:12" s="39" customFormat="1" ht="15.45" customHeight="1" outlineLevel="1" x14ac:dyDescent="0.25">
      <c r="A163" s="31" t="s">
        <v>188</v>
      </c>
      <c r="B163" s="40" t="s">
        <v>189</v>
      </c>
      <c r="C163" s="41">
        <v>0</v>
      </c>
      <c r="D163" s="42"/>
      <c r="E163" s="42"/>
      <c r="F163" s="42"/>
      <c r="G163" s="43"/>
      <c r="H163" s="44"/>
      <c r="I163" s="43"/>
      <c r="J163" s="44"/>
      <c r="K163" s="43"/>
      <c r="L163" s="44">
        <v>0</v>
      </c>
    </row>
    <row r="164" spans="1:12" s="39" customFormat="1" ht="28.95" customHeight="1" outlineLevel="1" x14ac:dyDescent="0.25">
      <c r="A164" s="33">
        <v>1</v>
      </c>
      <c r="B164" s="34" t="s">
        <v>180</v>
      </c>
      <c r="C164" s="35" t="s">
        <v>89</v>
      </c>
      <c r="D164" s="36">
        <v>1021</v>
      </c>
      <c r="E164" s="36">
        <v>4.1891800000000003</v>
      </c>
      <c r="F164" s="36">
        <f t="shared" ref="F164:F169" si="38">+E164*D164</f>
        <v>4277.1527800000003</v>
      </c>
      <c r="G164" s="37">
        <f t="shared" ref="G164:H169" si="39">I164+K164</f>
        <v>0</v>
      </c>
      <c r="H164" s="38">
        <f t="shared" si="39"/>
        <v>0</v>
      </c>
      <c r="I164" s="37">
        <f t="shared" ref="I164:I169" si="40">J164/F164</f>
        <v>0</v>
      </c>
      <c r="J164" s="38">
        <v>0</v>
      </c>
      <c r="K164" s="37">
        <f t="shared" ref="K164:K169" si="41">L164/F164</f>
        <v>0</v>
      </c>
      <c r="L164" s="38">
        <v>0</v>
      </c>
    </row>
    <row r="165" spans="1:12" s="39" customFormat="1" ht="15.45" customHeight="1" outlineLevel="1" x14ac:dyDescent="0.25">
      <c r="A165" s="33">
        <v>2</v>
      </c>
      <c r="B165" s="34" t="s">
        <v>181</v>
      </c>
      <c r="C165" s="35" t="s">
        <v>89</v>
      </c>
      <c r="D165" s="36">
        <v>1021</v>
      </c>
      <c r="E165" s="36">
        <v>0.9</v>
      </c>
      <c r="F165" s="36">
        <f t="shared" si="38"/>
        <v>918.9</v>
      </c>
      <c r="G165" s="37">
        <f t="shared" si="39"/>
        <v>0</v>
      </c>
      <c r="H165" s="38">
        <f t="shared" si="39"/>
        <v>0</v>
      </c>
      <c r="I165" s="37">
        <f t="shared" si="40"/>
        <v>0</v>
      </c>
      <c r="J165" s="38">
        <v>0</v>
      </c>
      <c r="K165" s="37">
        <f t="shared" si="41"/>
        <v>0</v>
      </c>
      <c r="L165" s="38">
        <v>0</v>
      </c>
    </row>
    <row r="166" spans="1:12" s="39" customFormat="1" ht="28.95" customHeight="1" outlineLevel="1" x14ac:dyDescent="0.25">
      <c r="A166" s="33">
        <v>3</v>
      </c>
      <c r="B166" s="34" t="s">
        <v>182</v>
      </c>
      <c r="C166" s="35" t="s">
        <v>89</v>
      </c>
      <c r="D166" s="36">
        <v>1021</v>
      </c>
      <c r="E166" s="36">
        <v>7.0768000000000004</v>
      </c>
      <c r="F166" s="36">
        <f t="shared" si="38"/>
        <v>7225.4128000000001</v>
      </c>
      <c r="G166" s="37">
        <f t="shared" si="39"/>
        <v>0</v>
      </c>
      <c r="H166" s="38">
        <f t="shared" si="39"/>
        <v>0</v>
      </c>
      <c r="I166" s="37">
        <f t="shared" si="40"/>
        <v>0</v>
      </c>
      <c r="J166" s="38">
        <v>0</v>
      </c>
      <c r="K166" s="37">
        <f t="shared" si="41"/>
        <v>0</v>
      </c>
      <c r="L166" s="38">
        <v>0</v>
      </c>
    </row>
    <row r="167" spans="1:12" s="39" customFormat="1" ht="15.45" customHeight="1" outlineLevel="1" x14ac:dyDescent="0.25">
      <c r="A167" s="33">
        <v>4</v>
      </c>
      <c r="B167" s="34" t="s">
        <v>183</v>
      </c>
      <c r="C167" s="35" t="s">
        <v>89</v>
      </c>
      <c r="D167" s="36">
        <v>1021</v>
      </c>
      <c r="E167" s="36">
        <v>4.7420599999999986</v>
      </c>
      <c r="F167" s="36">
        <f t="shared" si="38"/>
        <v>4841.6432599999989</v>
      </c>
      <c r="G167" s="37">
        <f t="shared" si="39"/>
        <v>0</v>
      </c>
      <c r="H167" s="38">
        <f t="shared" si="39"/>
        <v>0</v>
      </c>
      <c r="I167" s="37">
        <f t="shared" si="40"/>
        <v>0</v>
      </c>
      <c r="J167" s="38">
        <v>0</v>
      </c>
      <c r="K167" s="37">
        <f t="shared" si="41"/>
        <v>0</v>
      </c>
      <c r="L167" s="38">
        <v>0</v>
      </c>
    </row>
    <row r="168" spans="1:12" s="39" customFormat="1" ht="43.5" customHeight="1" outlineLevel="1" x14ac:dyDescent="0.25">
      <c r="A168" s="33">
        <v>5</v>
      </c>
      <c r="B168" s="34" t="s">
        <v>184</v>
      </c>
      <c r="C168" s="35" t="s">
        <v>89</v>
      </c>
      <c r="D168" s="36">
        <v>1021</v>
      </c>
      <c r="E168" s="36">
        <v>7.1267799999999992</v>
      </c>
      <c r="F168" s="36">
        <f t="shared" si="38"/>
        <v>7276.4423799999995</v>
      </c>
      <c r="G168" s="37">
        <f t="shared" si="39"/>
        <v>0</v>
      </c>
      <c r="H168" s="38">
        <f t="shared" si="39"/>
        <v>0</v>
      </c>
      <c r="I168" s="37">
        <f t="shared" si="40"/>
        <v>0</v>
      </c>
      <c r="J168" s="38">
        <v>0</v>
      </c>
      <c r="K168" s="37">
        <f t="shared" si="41"/>
        <v>0</v>
      </c>
      <c r="L168" s="38">
        <v>0</v>
      </c>
    </row>
    <row r="169" spans="1:12" s="39" customFormat="1" ht="15.45" customHeight="1" outlineLevel="1" x14ac:dyDescent="0.25">
      <c r="A169" s="33">
        <v>6</v>
      </c>
      <c r="B169" s="34" t="s">
        <v>185</v>
      </c>
      <c r="C169" s="35" t="s">
        <v>89</v>
      </c>
      <c r="D169" s="36">
        <v>1021</v>
      </c>
      <c r="E169" s="36">
        <v>1.7259199999999999</v>
      </c>
      <c r="F169" s="36">
        <f t="shared" si="38"/>
        <v>1762.1643199999999</v>
      </c>
      <c r="G169" s="37">
        <f t="shared" si="39"/>
        <v>0</v>
      </c>
      <c r="H169" s="38">
        <f t="shared" si="39"/>
        <v>0</v>
      </c>
      <c r="I169" s="37">
        <f t="shared" si="40"/>
        <v>0</v>
      </c>
      <c r="J169" s="38">
        <v>0</v>
      </c>
      <c r="K169" s="37">
        <f t="shared" si="41"/>
        <v>0</v>
      </c>
      <c r="L169" s="38">
        <v>0</v>
      </c>
    </row>
    <row r="170" spans="1:12" s="39" customFormat="1" ht="15.45" customHeight="1" outlineLevel="1" x14ac:dyDescent="0.25">
      <c r="A170" s="31" t="s">
        <v>190</v>
      </c>
      <c r="B170" s="40" t="s">
        <v>191</v>
      </c>
      <c r="C170" s="41">
        <v>0</v>
      </c>
      <c r="D170" s="42"/>
      <c r="E170" s="42"/>
      <c r="F170" s="42"/>
      <c r="G170" s="43"/>
      <c r="H170" s="44"/>
      <c r="I170" s="43"/>
      <c r="J170" s="44"/>
      <c r="K170" s="43"/>
      <c r="L170" s="44">
        <v>0</v>
      </c>
    </row>
    <row r="171" spans="1:12" s="39" customFormat="1" ht="28.95" customHeight="1" outlineLevel="1" x14ac:dyDescent="0.25">
      <c r="A171" s="33">
        <v>1</v>
      </c>
      <c r="B171" s="34" t="s">
        <v>192</v>
      </c>
      <c r="C171" s="35" t="s">
        <v>89</v>
      </c>
      <c r="D171" s="36">
        <v>1437.8</v>
      </c>
      <c r="E171" s="36">
        <v>6.9748000000000001</v>
      </c>
      <c r="F171" s="36">
        <f>+E171*D171</f>
        <v>10028.36744</v>
      </c>
      <c r="G171" s="37">
        <f>I171+K171</f>
        <v>0</v>
      </c>
      <c r="H171" s="38">
        <f>J171+L171</f>
        <v>0</v>
      </c>
      <c r="I171" s="37">
        <f>J171/F171</f>
        <v>0</v>
      </c>
      <c r="J171" s="38">
        <v>0</v>
      </c>
      <c r="K171" s="37">
        <f>L171/F171</f>
        <v>0</v>
      </c>
      <c r="L171" s="38">
        <v>0</v>
      </c>
    </row>
    <row r="172" spans="1:12" s="39" customFormat="1" ht="15.45" customHeight="1" outlineLevel="1" x14ac:dyDescent="0.25">
      <c r="A172" s="33">
        <v>2</v>
      </c>
      <c r="B172" s="34" t="s">
        <v>193</v>
      </c>
      <c r="C172" s="35" t="s">
        <v>89</v>
      </c>
      <c r="D172" s="36">
        <v>1437.8</v>
      </c>
      <c r="E172" s="36">
        <v>2.2624</v>
      </c>
      <c r="F172" s="36">
        <f>+E172*D172</f>
        <v>3252.8787199999997</v>
      </c>
      <c r="G172" s="37">
        <f>I172+K172</f>
        <v>0</v>
      </c>
      <c r="H172" s="38">
        <f>J172+L172</f>
        <v>0</v>
      </c>
      <c r="I172" s="37">
        <f>J172/F172</f>
        <v>0</v>
      </c>
      <c r="J172" s="38">
        <v>0</v>
      </c>
      <c r="K172" s="37">
        <f>L172/F172</f>
        <v>0</v>
      </c>
      <c r="L172" s="38">
        <v>0</v>
      </c>
    </row>
    <row r="173" spans="1:12" s="39" customFormat="1" ht="15.45" customHeight="1" outlineLevel="1" x14ac:dyDescent="0.25">
      <c r="A173" s="31" t="s">
        <v>194</v>
      </c>
      <c r="B173" s="40" t="s">
        <v>195</v>
      </c>
      <c r="C173" s="41">
        <v>0</v>
      </c>
      <c r="D173" s="42"/>
      <c r="E173" s="42"/>
      <c r="F173" s="42"/>
      <c r="G173" s="43"/>
      <c r="H173" s="44"/>
      <c r="I173" s="43"/>
      <c r="J173" s="44"/>
      <c r="K173" s="43"/>
      <c r="L173" s="44">
        <v>0</v>
      </c>
    </row>
    <row r="174" spans="1:12" s="39" customFormat="1" ht="15.45" customHeight="1" outlineLevel="1" x14ac:dyDescent="0.25">
      <c r="A174" s="33">
        <v>1</v>
      </c>
      <c r="B174" s="34" t="s">
        <v>196</v>
      </c>
      <c r="C174" s="35" t="s">
        <v>89</v>
      </c>
      <c r="D174" s="36">
        <v>3482.3</v>
      </c>
      <c r="E174" s="36">
        <v>0.9</v>
      </c>
      <c r="F174" s="36">
        <f>+E174*D174</f>
        <v>3134.07</v>
      </c>
      <c r="G174" s="37">
        <f>I174+K174</f>
        <v>0</v>
      </c>
      <c r="H174" s="38">
        <f>J174+L174</f>
        <v>0</v>
      </c>
      <c r="I174" s="37">
        <f>J174/F174</f>
        <v>0</v>
      </c>
      <c r="J174" s="38">
        <v>0</v>
      </c>
      <c r="K174" s="37">
        <f>L174/F174</f>
        <v>0</v>
      </c>
      <c r="L174" s="38">
        <v>0</v>
      </c>
    </row>
    <row r="175" spans="1:12" s="39" customFormat="1" ht="15.45" customHeight="1" outlineLevel="1" x14ac:dyDescent="0.25">
      <c r="A175" s="33">
        <v>2</v>
      </c>
      <c r="B175" s="34" t="s">
        <v>197</v>
      </c>
      <c r="C175" s="35" t="s">
        <v>89</v>
      </c>
      <c r="D175" s="36">
        <v>3482.3</v>
      </c>
      <c r="E175" s="36">
        <v>1.2692000000000001</v>
      </c>
      <c r="F175" s="36">
        <f>+E175*D175</f>
        <v>4419.7351600000002</v>
      </c>
      <c r="G175" s="37">
        <f>I175+K175</f>
        <v>0</v>
      </c>
      <c r="H175" s="38">
        <f>J175+L175</f>
        <v>0</v>
      </c>
      <c r="I175" s="37">
        <f>J175/F175</f>
        <v>0</v>
      </c>
      <c r="J175" s="38">
        <v>0</v>
      </c>
      <c r="K175" s="37">
        <f>L175/F175</f>
        <v>0</v>
      </c>
      <c r="L175" s="38">
        <v>0</v>
      </c>
    </row>
    <row r="176" spans="1:12" s="39" customFormat="1" ht="15.45" customHeight="1" outlineLevel="1" x14ac:dyDescent="0.25">
      <c r="A176" s="31" t="s">
        <v>198</v>
      </c>
      <c r="B176" s="40" t="s">
        <v>199</v>
      </c>
      <c r="C176" s="41">
        <v>0</v>
      </c>
      <c r="D176" s="42"/>
      <c r="E176" s="42"/>
      <c r="F176" s="42"/>
      <c r="G176" s="43"/>
      <c r="H176" s="44"/>
      <c r="I176" s="43"/>
      <c r="J176" s="44"/>
      <c r="K176" s="43"/>
      <c r="L176" s="44">
        <v>0</v>
      </c>
    </row>
    <row r="177" spans="1:12" s="39" customFormat="1" ht="28.95" customHeight="1" outlineLevel="1" x14ac:dyDescent="0.25">
      <c r="A177" s="33">
        <v>1</v>
      </c>
      <c r="B177" s="34" t="s">
        <v>200</v>
      </c>
      <c r="C177" s="35" t="s">
        <v>70</v>
      </c>
      <c r="D177" s="36">
        <v>24</v>
      </c>
      <c r="E177" s="36">
        <v>8.9600000000000009</v>
      </c>
      <c r="F177" s="36">
        <f t="shared" ref="F177:F183" si="42">+E177*D177</f>
        <v>215.04000000000002</v>
      </c>
      <c r="G177" s="37">
        <f t="shared" ref="G177:H183" si="43">I177+K177</f>
        <v>0</v>
      </c>
      <c r="H177" s="38">
        <f t="shared" si="43"/>
        <v>0</v>
      </c>
      <c r="I177" s="37">
        <f t="shared" ref="I177:I183" si="44">J177/F177</f>
        <v>0</v>
      </c>
      <c r="J177" s="38">
        <v>0</v>
      </c>
      <c r="K177" s="37">
        <f t="shared" ref="K177:K183" si="45">L177/F177</f>
        <v>0</v>
      </c>
      <c r="L177" s="38">
        <v>0</v>
      </c>
    </row>
    <row r="178" spans="1:12" s="39" customFormat="1" ht="15.45" customHeight="1" outlineLevel="1" x14ac:dyDescent="0.25">
      <c r="A178" s="33">
        <v>2</v>
      </c>
      <c r="B178" s="34" t="s">
        <v>171</v>
      </c>
      <c r="C178" s="35" t="s">
        <v>172</v>
      </c>
      <c r="D178" s="36">
        <v>46</v>
      </c>
      <c r="E178" s="36">
        <v>1.63</v>
      </c>
      <c r="F178" s="36">
        <f t="shared" si="42"/>
        <v>74.97999999999999</v>
      </c>
      <c r="G178" s="37">
        <f t="shared" si="43"/>
        <v>0</v>
      </c>
      <c r="H178" s="38">
        <f t="shared" si="43"/>
        <v>0</v>
      </c>
      <c r="I178" s="37">
        <f t="shared" si="44"/>
        <v>0</v>
      </c>
      <c r="J178" s="38">
        <v>0</v>
      </c>
      <c r="K178" s="37">
        <f t="shared" si="45"/>
        <v>0</v>
      </c>
      <c r="L178" s="38">
        <v>0</v>
      </c>
    </row>
    <row r="179" spans="1:12" s="39" customFormat="1" ht="15.45" customHeight="1" outlineLevel="1" x14ac:dyDescent="0.25">
      <c r="A179" s="33">
        <v>3</v>
      </c>
      <c r="B179" s="34" t="s">
        <v>201</v>
      </c>
      <c r="C179" s="35" t="s">
        <v>70</v>
      </c>
      <c r="D179" s="36">
        <v>0.7</v>
      </c>
      <c r="E179" s="36">
        <v>124.1</v>
      </c>
      <c r="F179" s="36">
        <f t="shared" si="42"/>
        <v>86.86999999999999</v>
      </c>
      <c r="G179" s="37">
        <f t="shared" si="43"/>
        <v>0</v>
      </c>
      <c r="H179" s="38">
        <f t="shared" si="43"/>
        <v>0</v>
      </c>
      <c r="I179" s="37">
        <f t="shared" si="44"/>
        <v>0</v>
      </c>
      <c r="J179" s="38">
        <v>0</v>
      </c>
      <c r="K179" s="37">
        <f t="shared" si="45"/>
        <v>0</v>
      </c>
      <c r="L179" s="38">
        <v>0</v>
      </c>
    </row>
    <row r="180" spans="1:12" s="39" customFormat="1" ht="28.95" customHeight="1" outlineLevel="1" x14ac:dyDescent="0.25">
      <c r="A180" s="33">
        <v>4</v>
      </c>
      <c r="B180" s="34" t="s">
        <v>97</v>
      </c>
      <c r="C180" s="35" t="s">
        <v>89</v>
      </c>
      <c r="D180" s="36">
        <v>10.5</v>
      </c>
      <c r="E180" s="36">
        <v>52.936000000000007</v>
      </c>
      <c r="F180" s="36">
        <f t="shared" si="42"/>
        <v>555.82800000000009</v>
      </c>
      <c r="G180" s="37">
        <f t="shared" si="43"/>
        <v>0</v>
      </c>
      <c r="H180" s="38">
        <f t="shared" si="43"/>
        <v>0</v>
      </c>
      <c r="I180" s="37">
        <f t="shared" si="44"/>
        <v>0</v>
      </c>
      <c r="J180" s="38">
        <v>0</v>
      </c>
      <c r="K180" s="37">
        <f t="shared" si="45"/>
        <v>0</v>
      </c>
      <c r="L180" s="38">
        <v>0</v>
      </c>
    </row>
    <row r="181" spans="1:12" s="39" customFormat="1" ht="28.95" customHeight="1" outlineLevel="1" x14ac:dyDescent="0.25">
      <c r="A181" s="33">
        <v>5</v>
      </c>
      <c r="B181" s="34" t="s">
        <v>202</v>
      </c>
      <c r="C181" s="35" t="s">
        <v>89</v>
      </c>
      <c r="D181" s="36">
        <v>26</v>
      </c>
      <c r="E181" s="36">
        <v>10.8202</v>
      </c>
      <c r="F181" s="36">
        <f t="shared" si="42"/>
        <v>281.3252</v>
      </c>
      <c r="G181" s="37">
        <f t="shared" si="43"/>
        <v>0</v>
      </c>
      <c r="H181" s="38">
        <f t="shared" si="43"/>
        <v>0</v>
      </c>
      <c r="I181" s="37">
        <f t="shared" si="44"/>
        <v>0</v>
      </c>
      <c r="J181" s="38">
        <v>0</v>
      </c>
      <c r="K181" s="37">
        <f t="shared" si="45"/>
        <v>0</v>
      </c>
      <c r="L181" s="38">
        <v>0</v>
      </c>
    </row>
    <row r="182" spans="1:12" s="39" customFormat="1" ht="28.95" customHeight="1" outlineLevel="1" x14ac:dyDescent="0.25">
      <c r="A182" s="33">
        <v>6</v>
      </c>
      <c r="B182" s="34" t="s">
        <v>203</v>
      </c>
      <c r="C182" s="35" t="s">
        <v>89</v>
      </c>
      <c r="D182" s="36">
        <v>21</v>
      </c>
      <c r="E182" s="36">
        <v>12.115600000000001</v>
      </c>
      <c r="F182" s="36">
        <f t="shared" si="42"/>
        <v>254.42760000000001</v>
      </c>
      <c r="G182" s="37">
        <f t="shared" si="43"/>
        <v>0</v>
      </c>
      <c r="H182" s="38">
        <f t="shared" si="43"/>
        <v>0</v>
      </c>
      <c r="I182" s="37">
        <f t="shared" si="44"/>
        <v>0</v>
      </c>
      <c r="J182" s="38">
        <v>0</v>
      </c>
      <c r="K182" s="37">
        <f t="shared" si="45"/>
        <v>0</v>
      </c>
      <c r="L182" s="38">
        <v>0</v>
      </c>
    </row>
    <row r="183" spans="1:12" s="39" customFormat="1" ht="28.95" customHeight="1" outlineLevel="1" x14ac:dyDescent="0.25">
      <c r="A183" s="33">
        <v>7</v>
      </c>
      <c r="B183" s="34" t="s">
        <v>204</v>
      </c>
      <c r="C183" s="35" t="s">
        <v>89</v>
      </c>
      <c r="D183" s="36">
        <v>21</v>
      </c>
      <c r="E183" s="36">
        <v>5.6794000000000011</v>
      </c>
      <c r="F183" s="36">
        <f t="shared" si="42"/>
        <v>119.26740000000002</v>
      </c>
      <c r="G183" s="37">
        <f t="shared" si="43"/>
        <v>0</v>
      </c>
      <c r="H183" s="38">
        <f t="shared" si="43"/>
        <v>0</v>
      </c>
      <c r="I183" s="37">
        <f t="shared" si="44"/>
        <v>0</v>
      </c>
      <c r="J183" s="38">
        <v>0</v>
      </c>
      <c r="K183" s="37">
        <f t="shared" si="45"/>
        <v>0</v>
      </c>
      <c r="L183" s="38">
        <v>0</v>
      </c>
    </row>
    <row r="184" spans="1:12" s="39" customFormat="1" ht="15.45" customHeight="1" outlineLevel="1" x14ac:dyDescent="0.25">
      <c r="A184" s="31" t="s">
        <v>205</v>
      </c>
      <c r="B184" s="40" t="s">
        <v>206</v>
      </c>
      <c r="C184" s="41">
        <v>0</v>
      </c>
      <c r="D184" s="42"/>
      <c r="E184" s="42"/>
      <c r="F184" s="42"/>
      <c r="G184" s="43"/>
      <c r="H184" s="44"/>
      <c r="I184" s="43"/>
      <c r="J184" s="44"/>
      <c r="K184" s="43"/>
      <c r="L184" s="44">
        <v>0</v>
      </c>
    </row>
    <row r="185" spans="1:12" s="39" customFormat="1" ht="28.95" customHeight="1" outlineLevel="1" x14ac:dyDescent="0.25">
      <c r="A185" s="33">
        <v>1</v>
      </c>
      <c r="B185" s="34" t="s">
        <v>207</v>
      </c>
      <c r="C185" s="35" t="s">
        <v>70</v>
      </c>
      <c r="D185" s="36">
        <v>0.32</v>
      </c>
      <c r="E185" s="36">
        <v>143.8486</v>
      </c>
      <c r="F185" s="36">
        <f>+E185*D185</f>
        <v>46.031552000000005</v>
      </c>
      <c r="G185" s="37">
        <f>I185+K185</f>
        <v>0</v>
      </c>
      <c r="H185" s="38">
        <f>J185+L185</f>
        <v>0</v>
      </c>
      <c r="I185" s="37">
        <f>J185/F185</f>
        <v>0</v>
      </c>
      <c r="J185" s="38">
        <v>0</v>
      </c>
      <c r="K185" s="37">
        <f>L185/F185</f>
        <v>0</v>
      </c>
      <c r="L185" s="38">
        <v>0</v>
      </c>
    </row>
    <row r="186" spans="1:12" s="39" customFormat="1" ht="15.45" customHeight="1" outlineLevel="1" x14ac:dyDescent="0.25">
      <c r="A186" s="31" t="s">
        <v>208</v>
      </c>
      <c r="B186" s="40" t="s">
        <v>209</v>
      </c>
      <c r="C186" s="41">
        <v>0</v>
      </c>
      <c r="D186" s="42"/>
      <c r="E186" s="42"/>
      <c r="F186" s="42"/>
      <c r="G186" s="43"/>
      <c r="H186" s="44"/>
      <c r="I186" s="43"/>
      <c r="J186" s="44"/>
      <c r="K186" s="43"/>
      <c r="L186" s="44">
        <v>0</v>
      </c>
    </row>
    <row r="187" spans="1:12" s="39" customFormat="1" ht="15.45" customHeight="1" outlineLevel="1" x14ac:dyDescent="0.25">
      <c r="A187" s="33">
        <v>1</v>
      </c>
      <c r="B187" s="34" t="s">
        <v>42</v>
      </c>
      <c r="C187" s="35" t="s">
        <v>89</v>
      </c>
      <c r="D187" s="36">
        <v>17.66</v>
      </c>
      <c r="E187" s="36">
        <v>5.4732580000000004</v>
      </c>
      <c r="F187" s="36">
        <f>+E187*D187</f>
        <v>96.657736280000009</v>
      </c>
      <c r="G187" s="37">
        <f t="shared" ref="G187:H189" si="46">I187+K187</f>
        <v>0</v>
      </c>
      <c r="H187" s="38">
        <f t="shared" si="46"/>
        <v>0</v>
      </c>
      <c r="I187" s="37">
        <f>J187/F187</f>
        <v>0</v>
      </c>
      <c r="J187" s="38">
        <v>0</v>
      </c>
      <c r="K187" s="37">
        <f>L187/F187</f>
        <v>0</v>
      </c>
      <c r="L187" s="38">
        <v>0</v>
      </c>
    </row>
    <row r="188" spans="1:12" s="39" customFormat="1" ht="15.45" customHeight="1" outlineLevel="1" x14ac:dyDescent="0.25">
      <c r="A188" s="33">
        <v>2</v>
      </c>
      <c r="B188" s="34" t="s">
        <v>210</v>
      </c>
      <c r="C188" s="35" t="s">
        <v>89</v>
      </c>
      <c r="D188" s="36">
        <v>17.66</v>
      </c>
      <c r="E188" s="36">
        <v>1.4770000000000001</v>
      </c>
      <c r="F188" s="36">
        <f>+E188*D188</f>
        <v>26.083820000000003</v>
      </c>
      <c r="G188" s="37">
        <f t="shared" si="46"/>
        <v>0</v>
      </c>
      <c r="H188" s="38">
        <f t="shared" si="46"/>
        <v>0</v>
      </c>
      <c r="I188" s="37">
        <f>J188/F188</f>
        <v>0</v>
      </c>
      <c r="J188" s="38">
        <v>0</v>
      </c>
      <c r="K188" s="37">
        <f>L188/F188</f>
        <v>0</v>
      </c>
      <c r="L188" s="38">
        <v>0</v>
      </c>
    </row>
    <row r="189" spans="1:12" s="46" customFormat="1" ht="28.95" customHeight="1" outlineLevel="1" x14ac:dyDescent="0.35">
      <c r="A189" s="33">
        <v>3</v>
      </c>
      <c r="B189" s="34" t="s">
        <v>211</v>
      </c>
      <c r="C189" s="35" t="s">
        <v>89</v>
      </c>
      <c r="D189" s="36">
        <v>17.66</v>
      </c>
      <c r="E189" s="36">
        <v>210.52600000000001</v>
      </c>
      <c r="F189" s="36">
        <f>+E189*D189</f>
        <v>3717.8891600000002</v>
      </c>
      <c r="G189" s="37">
        <f t="shared" si="46"/>
        <v>0</v>
      </c>
      <c r="H189" s="38">
        <f t="shared" si="46"/>
        <v>0</v>
      </c>
      <c r="I189" s="37">
        <f>J189/F189</f>
        <v>0</v>
      </c>
      <c r="J189" s="38">
        <v>0</v>
      </c>
      <c r="K189" s="37">
        <f>L189/F189</f>
        <v>0</v>
      </c>
      <c r="L189" s="38">
        <v>0</v>
      </c>
    </row>
    <row r="190" spans="1:12" s="39" customFormat="1" ht="18" customHeight="1" outlineLevel="1" x14ac:dyDescent="0.25">
      <c r="A190" s="47"/>
      <c r="B190" s="50" t="s">
        <v>212</v>
      </c>
      <c r="C190" s="51"/>
      <c r="D190" s="52"/>
      <c r="E190" s="52"/>
      <c r="F190" s="52">
        <f>SUM(F10:F189)*1.8%</f>
        <v>8395.2803419034462</v>
      </c>
      <c r="G190" s="37"/>
      <c r="H190" s="38"/>
      <c r="I190" s="37"/>
      <c r="J190" s="38"/>
      <c r="K190" s="37"/>
      <c r="L190" s="38"/>
    </row>
    <row r="191" spans="1:12" s="39" customFormat="1" ht="18" customHeight="1" outlineLevel="1" x14ac:dyDescent="0.25">
      <c r="A191" s="47"/>
      <c r="B191" s="50" t="s">
        <v>213</v>
      </c>
      <c r="C191" s="51"/>
      <c r="D191" s="52"/>
      <c r="E191" s="52"/>
      <c r="F191" s="52">
        <f>SUM(F10:F190)*2%</f>
        <v>9495.9948756196754</v>
      </c>
      <c r="G191" s="37"/>
      <c r="H191" s="38"/>
      <c r="I191" s="37"/>
      <c r="J191" s="38"/>
      <c r="K191" s="37"/>
      <c r="L191" s="38"/>
    </row>
    <row r="192" spans="1:12" s="39" customFormat="1" ht="18" customHeight="1" outlineLevel="1" x14ac:dyDescent="0.25">
      <c r="A192" s="47"/>
      <c r="B192" s="53" t="s">
        <v>214</v>
      </c>
      <c r="C192" s="54"/>
      <c r="D192" s="55"/>
      <c r="E192" s="55"/>
      <c r="F192" s="55">
        <f>SUM(F10:F191)</f>
        <v>484295.73865660338</v>
      </c>
      <c r="G192" s="56"/>
      <c r="H192" s="55"/>
      <c r="I192" s="56"/>
      <c r="J192" s="55"/>
      <c r="K192" s="56"/>
      <c r="L192" s="55"/>
    </row>
    <row r="193" spans="1:12" s="39" customFormat="1" ht="18" customHeight="1" outlineLevel="1" x14ac:dyDescent="0.25">
      <c r="A193" s="47"/>
      <c r="B193" s="53" t="s">
        <v>215</v>
      </c>
      <c r="C193" s="54"/>
      <c r="D193" s="55"/>
      <c r="E193" s="55"/>
      <c r="F193" s="55">
        <f>F192*18%</f>
        <v>87173.232958188601</v>
      </c>
      <c r="G193" s="56"/>
      <c r="H193" s="55"/>
      <c r="I193" s="56"/>
      <c r="J193" s="55"/>
      <c r="K193" s="56"/>
      <c r="L193" s="55"/>
    </row>
    <row r="194" spans="1:12" s="39" customFormat="1" ht="18" customHeight="1" outlineLevel="1" x14ac:dyDescent="0.25">
      <c r="A194" s="47"/>
      <c r="B194" s="53" t="s">
        <v>216</v>
      </c>
      <c r="C194" s="54"/>
      <c r="D194" s="55"/>
      <c r="E194" s="55"/>
      <c r="F194" s="55">
        <f>F192+F193</f>
        <v>571468.97161479201</v>
      </c>
      <c r="G194" s="56"/>
      <c r="H194" s="55"/>
      <c r="I194" s="56"/>
      <c r="J194" s="55"/>
      <c r="K194" s="56"/>
      <c r="L194" s="55"/>
    </row>
    <row r="195" spans="1:12" s="39" customFormat="1" ht="13.2" outlineLevel="1" x14ac:dyDescent="0.25"/>
    <row r="196" spans="1:12" s="39" customFormat="1" outlineLevel="1" x14ac:dyDescent="0.25">
      <c r="A196" s="58"/>
      <c r="B196" s="59" t="s">
        <v>217</v>
      </c>
      <c r="C196" s="59"/>
      <c r="D196" s="59"/>
      <c r="E196" s="60"/>
      <c r="F196" s="63" t="s">
        <v>218</v>
      </c>
    </row>
    <row r="197" spans="1:12" s="39" customFormat="1" ht="27.75" customHeight="1" outlineLevel="1" x14ac:dyDescent="0.25"/>
    <row r="198" spans="1:12" s="45" customFormat="1" ht="17.25" customHeight="1" x14ac:dyDescent="0.3"/>
    <row r="199" spans="1:12" s="39" customFormat="1" ht="27.75" customHeight="1" outlineLevel="1" x14ac:dyDescent="0.25"/>
    <row r="200" spans="1:12" s="39" customFormat="1" ht="13.2" outlineLevel="1" x14ac:dyDescent="0.25"/>
    <row r="201" spans="1:12" s="39" customFormat="1" ht="27.75" customHeight="1" outlineLevel="1" x14ac:dyDescent="0.25"/>
    <row r="202" spans="1:12" s="39" customFormat="1" ht="27.75" customHeight="1" outlineLevel="1" x14ac:dyDescent="0.25"/>
    <row r="203" spans="1:12" s="39" customFormat="1" ht="27.75" customHeight="1" outlineLevel="1" x14ac:dyDescent="0.25"/>
    <row r="204" spans="1:12" s="39" customFormat="1" ht="13.2" outlineLevel="1" x14ac:dyDescent="0.25"/>
    <row r="205" spans="1:12" s="39" customFormat="1" ht="27.75" customHeight="1" outlineLevel="1" x14ac:dyDescent="0.25"/>
    <row r="206" spans="1:12" s="39" customFormat="1" ht="13.2" outlineLevel="1" x14ac:dyDescent="0.25"/>
    <row r="207" spans="1:12" s="39" customFormat="1" ht="27.75" customHeight="1" outlineLevel="1" x14ac:dyDescent="0.25"/>
    <row r="208" spans="1:12" s="39" customFormat="1" ht="27.75" customHeight="1" outlineLevel="1" x14ac:dyDescent="0.25"/>
    <row r="209" s="39" customFormat="1" ht="27.75" customHeight="1" outlineLevel="1" x14ac:dyDescent="0.25"/>
    <row r="210" s="39" customFormat="1" ht="41.7" customHeight="1" outlineLevel="1" x14ac:dyDescent="0.25"/>
    <row r="211" s="45" customFormat="1" ht="17.25" customHeight="1" x14ac:dyDescent="0.3"/>
    <row r="212" s="39" customFormat="1" ht="13.2" outlineLevel="1" x14ac:dyDescent="0.25"/>
    <row r="213" s="39" customFormat="1" ht="41.7" customHeight="1" outlineLevel="1" x14ac:dyDescent="0.25"/>
    <row r="214" s="39" customFormat="1" ht="13.2" outlineLevel="1" x14ac:dyDescent="0.25"/>
    <row r="215" s="39" customFormat="1" ht="27.75" customHeight="1" outlineLevel="1" x14ac:dyDescent="0.25"/>
    <row r="216" s="39" customFormat="1" ht="27.75" customHeight="1" outlineLevel="1" x14ac:dyDescent="0.25"/>
    <row r="217" s="45" customFormat="1" ht="17.25" customHeight="1" x14ac:dyDescent="0.3"/>
    <row r="218" s="39" customFormat="1" ht="13.2" outlineLevel="1" x14ac:dyDescent="0.25"/>
    <row r="219" s="39" customFormat="1" ht="13.2" outlineLevel="1" x14ac:dyDescent="0.25"/>
    <row r="220" s="39" customFormat="1" ht="13.2" outlineLevel="1" x14ac:dyDescent="0.25"/>
    <row r="221" s="39" customFormat="1" ht="13.2" outlineLevel="1" x14ac:dyDescent="0.25"/>
    <row r="222" s="39" customFormat="1" ht="13.2" outlineLevel="1" x14ac:dyDescent="0.25"/>
    <row r="223" s="39" customFormat="1" ht="13.2" outlineLevel="1" x14ac:dyDescent="0.25"/>
    <row r="224" s="39" customFormat="1" ht="27.75" customHeight="1" outlineLevel="1" x14ac:dyDescent="0.25"/>
    <row r="225" s="39" customFormat="1" ht="13.2" outlineLevel="1" x14ac:dyDescent="0.25"/>
    <row r="226" s="39" customFormat="1" ht="13.2" outlineLevel="1" x14ac:dyDescent="0.25"/>
    <row r="227" s="39" customFormat="1" ht="13.2" outlineLevel="1" x14ac:dyDescent="0.25"/>
    <row r="228" s="39" customFormat="1" ht="13.2" outlineLevel="1" x14ac:dyDescent="0.25"/>
    <row r="229" s="39" customFormat="1" ht="13.2" outlineLevel="1" x14ac:dyDescent="0.25"/>
    <row r="230" s="39" customFormat="1" ht="13.2" outlineLevel="1" x14ac:dyDescent="0.25"/>
    <row r="231" s="39" customFormat="1" ht="13.2" outlineLevel="1" x14ac:dyDescent="0.25"/>
    <row r="232" s="39" customFormat="1" ht="13.2" outlineLevel="1" x14ac:dyDescent="0.25"/>
    <row r="233" s="39" customFormat="1" ht="13.2" outlineLevel="1" x14ac:dyDescent="0.25"/>
    <row r="234" s="39" customFormat="1" ht="13.2" outlineLevel="1" x14ac:dyDescent="0.25"/>
    <row r="235" s="39" customFormat="1" ht="13.2" outlineLevel="1" x14ac:dyDescent="0.25"/>
    <row r="236" s="39" customFormat="1" ht="13.2" outlineLevel="1" x14ac:dyDescent="0.25"/>
    <row r="237" s="45" customFormat="1" ht="17.25" customHeight="1" x14ac:dyDescent="0.3"/>
    <row r="238" s="39" customFormat="1" ht="13.2" outlineLevel="1" x14ac:dyDescent="0.25"/>
    <row r="239" s="39" customFormat="1" ht="13.2" outlineLevel="1" x14ac:dyDescent="0.25"/>
    <row r="240" s="39" customFormat="1" ht="13.2" outlineLevel="1" x14ac:dyDescent="0.25"/>
    <row r="241" s="39" customFormat="1" ht="13.2" outlineLevel="1" x14ac:dyDescent="0.25"/>
    <row r="242" s="39" customFormat="1" ht="13.2" outlineLevel="1" x14ac:dyDescent="0.25"/>
    <row r="243" s="39" customFormat="1" ht="13.2" outlineLevel="1" x14ac:dyDescent="0.25"/>
    <row r="244" s="39" customFormat="1" ht="27.75" customHeight="1" outlineLevel="1" x14ac:dyDescent="0.25"/>
    <row r="245" s="39" customFormat="1" ht="13.2" outlineLevel="1" x14ac:dyDescent="0.25"/>
    <row r="246" s="39" customFormat="1" ht="13.2" outlineLevel="1" x14ac:dyDescent="0.25"/>
    <row r="247" s="45" customFormat="1" ht="17.25" customHeight="1" x14ac:dyDescent="0.3"/>
    <row r="248" s="39" customFormat="1" ht="13.2" outlineLevel="1" x14ac:dyDescent="0.25"/>
    <row r="249" s="39" customFormat="1" ht="13.2" outlineLevel="1" x14ac:dyDescent="0.25"/>
    <row r="250" s="39" customFormat="1" ht="27.75" customHeight="1" outlineLevel="1" x14ac:dyDescent="0.25"/>
    <row r="251" s="39" customFormat="1" ht="13.2" outlineLevel="1" x14ac:dyDescent="0.25"/>
    <row r="252" s="39" customFormat="1" ht="13.2" outlineLevel="1" x14ac:dyDescent="0.25"/>
    <row r="253" s="39" customFormat="1" ht="13.2" outlineLevel="1" x14ac:dyDescent="0.25"/>
    <row r="254" s="39" customFormat="1" ht="13.2" outlineLevel="1" x14ac:dyDescent="0.25"/>
    <row r="255" s="39" customFormat="1" ht="13.2" outlineLevel="1" x14ac:dyDescent="0.25"/>
    <row r="256" s="39" customFormat="1" ht="13.2" outlineLevel="1" x14ac:dyDescent="0.25"/>
    <row r="257" s="39" customFormat="1" ht="13.2" outlineLevel="1" x14ac:dyDescent="0.25"/>
    <row r="258" s="39" customFormat="1" ht="27.75" customHeight="1" outlineLevel="1" x14ac:dyDescent="0.25"/>
    <row r="259" s="48" customFormat="1" ht="27" customHeight="1" x14ac:dyDescent="0.3"/>
    <row r="260" s="39" customFormat="1" ht="27.75" customHeight="1" outlineLevel="1" x14ac:dyDescent="0.25"/>
    <row r="261" s="39" customFormat="1" ht="13.2" outlineLevel="1" x14ac:dyDescent="0.25"/>
    <row r="262" s="39" customFormat="1" ht="27.75" customHeight="1" outlineLevel="1" x14ac:dyDescent="0.25"/>
    <row r="263" s="39" customFormat="1" ht="27.75" customHeight="1" outlineLevel="1" x14ac:dyDescent="0.25"/>
    <row r="264" s="39" customFormat="1" ht="27.75" customHeight="1" outlineLevel="1" x14ac:dyDescent="0.25"/>
    <row r="265" s="39" customFormat="1" ht="13.2" outlineLevel="1" x14ac:dyDescent="0.25"/>
    <row r="266" s="39" customFormat="1" ht="27.75" customHeight="1" outlineLevel="1" x14ac:dyDescent="0.25"/>
    <row r="267" s="39" customFormat="1" ht="27.75" customHeight="1" outlineLevel="1" x14ac:dyDescent="0.25"/>
    <row r="268" s="39" customFormat="1" ht="27.75" customHeight="1" outlineLevel="1" x14ac:dyDescent="0.25"/>
    <row r="269" s="39" customFormat="1" ht="27.75" customHeight="1" outlineLevel="1" x14ac:dyDescent="0.25"/>
    <row r="270" s="39" customFormat="1" ht="27.75" customHeight="1" outlineLevel="1" x14ac:dyDescent="0.25"/>
    <row r="271" s="39" customFormat="1" ht="27.75" customHeight="1" outlineLevel="1" x14ac:dyDescent="0.25"/>
    <row r="272" s="39" customFormat="1" ht="27.75" customHeight="1" outlineLevel="1" x14ac:dyDescent="0.25"/>
    <row r="273" s="39" customFormat="1" ht="27.75" customHeight="1" outlineLevel="1" x14ac:dyDescent="0.25"/>
    <row r="274" s="39" customFormat="1" ht="27.75" customHeight="1" outlineLevel="1" x14ac:dyDescent="0.25"/>
    <row r="275" s="39" customFormat="1" ht="27.75" customHeight="1" outlineLevel="1" x14ac:dyDescent="0.25"/>
    <row r="276" s="39" customFormat="1" ht="27.75" customHeight="1" outlineLevel="1" x14ac:dyDescent="0.25"/>
    <row r="277" s="39" customFormat="1" ht="41.7" customHeight="1" outlineLevel="1" x14ac:dyDescent="0.25"/>
    <row r="278" s="39" customFormat="1" ht="27.75" customHeight="1" outlineLevel="1" x14ac:dyDescent="0.25"/>
    <row r="279" s="39" customFormat="1" ht="41.7" customHeight="1" outlineLevel="1" x14ac:dyDescent="0.25"/>
    <row r="280" s="39" customFormat="1" ht="13.2" outlineLevel="1" x14ac:dyDescent="0.25"/>
    <row r="281" s="46" customFormat="1" ht="27.75" customHeight="1" outlineLevel="1" x14ac:dyDescent="0.35"/>
    <row r="282" s="39" customFormat="1" ht="13.2" outlineLevel="1" x14ac:dyDescent="0.25"/>
    <row r="283" s="39" customFormat="1" ht="27.75" customHeight="1" outlineLevel="1" x14ac:dyDescent="0.25"/>
    <row r="284" s="39" customFormat="1" ht="13.2" outlineLevel="1" x14ac:dyDescent="0.25"/>
    <row r="285" s="39" customFormat="1" ht="27.75" customHeight="1" outlineLevel="1" x14ac:dyDescent="0.25"/>
    <row r="286" s="39" customFormat="1" ht="13.2" outlineLevel="1" x14ac:dyDescent="0.25"/>
    <row r="287" s="39" customFormat="1" ht="13.2" outlineLevel="1" x14ac:dyDescent="0.25"/>
    <row r="288" s="39" customFormat="1" ht="13.2" outlineLevel="1" x14ac:dyDescent="0.25"/>
    <row r="289" s="39" customFormat="1" ht="27.75" customHeight="1" outlineLevel="1" x14ac:dyDescent="0.25"/>
    <row r="290" s="39" customFormat="1" ht="27.75" customHeight="1" outlineLevel="1" x14ac:dyDescent="0.25"/>
    <row r="291" s="39" customFormat="1" ht="27.75" customHeight="1" outlineLevel="1" x14ac:dyDescent="0.25"/>
    <row r="292" s="39" customFormat="1" ht="13.2" outlineLevel="1" x14ac:dyDescent="0.25"/>
    <row r="293" s="39" customFormat="1" ht="27.75" customHeight="1" outlineLevel="1" x14ac:dyDescent="0.25"/>
    <row r="294" s="39" customFormat="1" ht="27.75" customHeight="1" outlineLevel="1" x14ac:dyDescent="0.25"/>
    <row r="295" s="39" customFormat="1" ht="27.75" customHeight="1" outlineLevel="1" x14ac:dyDescent="0.25"/>
    <row r="296" s="39" customFormat="1" ht="27.75" customHeight="1" outlineLevel="1" x14ac:dyDescent="0.25"/>
    <row r="297" s="39" customFormat="1" ht="27.75" customHeight="1" outlineLevel="1" x14ac:dyDescent="0.25"/>
    <row r="298" s="39" customFormat="1" ht="27.75" customHeight="1" outlineLevel="1" x14ac:dyDescent="0.25"/>
    <row r="299" s="39" customFormat="1" ht="13.2" outlineLevel="1" x14ac:dyDescent="0.25"/>
    <row r="300" s="39" customFormat="1" ht="27.75" customHeight="1" outlineLevel="1" x14ac:dyDescent="0.25"/>
    <row r="301" s="39" customFormat="1" ht="27.75" customHeight="1" outlineLevel="1" x14ac:dyDescent="0.25"/>
    <row r="302" s="45" customFormat="1" ht="27" customHeight="1" x14ac:dyDescent="0.3"/>
    <row r="303" s="39" customFormat="1" ht="27.75" customHeight="1" outlineLevel="1" x14ac:dyDescent="0.25"/>
    <row r="304" s="39" customFormat="1" ht="27.75" customHeight="1" outlineLevel="1" x14ac:dyDescent="0.25"/>
    <row r="305" s="39" customFormat="1" ht="27.75" customHeight="1" outlineLevel="1" x14ac:dyDescent="0.25"/>
    <row r="306" s="39" customFormat="1" ht="27.75" customHeight="1" outlineLevel="1" x14ac:dyDescent="0.25"/>
    <row r="307" s="39" customFormat="1" ht="27.75" customHeight="1" outlineLevel="1" x14ac:dyDescent="0.25"/>
    <row r="308" s="39" customFormat="1" ht="27.75" customHeight="1" outlineLevel="1" x14ac:dyDescent="0.25"/>
    <row r="309" s="39" customFormat="1" ht="27.75" customHeight="1" outlineLevel="1" x14ac:dyDescent="0.25"/>
    <row r="310" s="39" customFormat="1" ht="27.75" customHeight="1" outlineLevel="1" x14ac:dyDescent="0.25"/>
    <row r="311" s="39" customFormat="1" ht="27.75" customHeight="1" outlineLevel="1" x14ac:dyDescent="0.25"/>
    <row r="312" s="39" customFormat="1" ht="27.75" customHeight="1" outlineLevel="1" x14ac:dyDescent="0.25"/>
    <row r="313" s="39" customFormat="1" ht="27.75" customHeight="1" outlineLevel="1" x14ac:dyDescent="0.25"/>
    <row r="314" s="39" customFormat="1" ht="27.75" customHeight="1" outlineLevel="1" x14ac:dyDescent="0.25"/>
    <row r="315" s="39" customFormat="1" ht="27.75" customHeight="1" outlineLevel="1" x14ac:dyDescent="0.25"/>
    <row r="316" s="39" customFormat="1" ht="27.75" customHeight="1" outlineLevel="1" x14ac:dyDescent="0.25"/>
    <row r="317" s="39" customFormat="1" ht="41.7" customHeight="1" outlineLevel="1" x14ac:dyDescent="0.25"/>
    <row r="318" s="39" customFormat="1" ht="27.75" customHeight="1" outlineLevel="1" x14ac:dyDescent="0.25"/>
    <row r="319" s="39" customFormat="1" ht="27.75" customHeight="1" outlineLevel="1" x14ac:dyDescent="0.25"/>
    <row r="320" s="39" customFormat="1" ht="13.2" outlineLevel="1" x14ac:dyDescent="0.25"/>
    <row r="321" s="39" customFormat="1" ht="27.75" customHeight="1" outlineLevel="1" x14ac:dyDescent="0.25"/>
    <row r="322" s="39" customFormat="1" ht="13.2" outlineLevel="1" x14ac:dyDescent="0.25"/>
    <row r="323" s="39" customFormat="1" ht="13.2" outlineLevel="1" x14ac:dyDescent="0.25"/>
    <row r="324" s="39" customFormat="1" ht="13.2" outlineLevel="1" x14ac:dyDescent="0.25"/>
    <row r="325" s="39" customFormat="1" ht="13.2" outlineLevel="1" x14ac:dyDescent="0.25"/>
    <row r="326" s="39" customFormat="1" ht="13.2" outlineLevel="1" x14ac:dyDescent="0.25"/>
    <row r="327" s="39" customFormat="1" ht="27.75" customHeight="1" outlineLevel="1" x14ac:dyDescent="0.25"/>
    <row r="328" s="39" customFormat="1" ht="27.75" customHeight="1" outlineLevel="1" x14ac:dyDescent="0.25"/>
    <row r="329" s="45" customFormat="1" ht="27" customHeight="1" x14ac:dyDescent="0.3"/>
    <row r="330" s="39" customFormat="1" ht="27.75" customHeight="1" outlineLevel="1" x14ac:dyDescent="0.25"/>
    <row r="331" s="39" customFormat="1" ht="27.75" customHeight="1" outlineLevel="1" x14ac:dyDescent="0.25"/>
    <row r="332" s="39" customFormat="1" ht="27.75" customHeight="1" outlineLevel="1" x14ac:dyDescent="0.25"/>
    <row r="333" s="39" customFormat="1" ht="27.75" customHeight="1" outlineLevel="1" x14ac:dyDescent="0.25"/>
    <row r="334" s="39" customFormat="1" ht="27.75" customHeight="1" outlineLevel="1" x14ac:dyDescent="0.25"/>
    <row r="335" s="39" customFormat="1" ht="13.2" outlineLevel="1" x14ac:dyDescent="0.25"/>
    <row r="336" s="39" customFormat="1" ht="13.2" outlineLevel="1" x14ac:dyDescent="0.25"/>
    <row r="337" s="39" customFormat="1" ht="13.2" outlineLevel="1" x14ac:dyDescent="0.25"/>
    <row r="338" s="39" customFormat="1" ht="13.2" outlineLevel="1" x14ac:dyDescent="0.25"/>
    <row r="339" s="39" customFormat="1" ht="13.2" outlineLevel="1" x14ac:dyDescent="0.25"/>
    <row r="340" s="39" customFormat="1" ht="13.2" outlineLevel="1" x14ac:dyDescent="0.25"/>
    <row r="341" s="39" customFormat="1" ht="13.2" outlineLevel="1" x14ac:dyDescent="0.25"/>
    <row r="342" s="39" customFormat="1" ht="13.2" outlineLevel="1" x14ac:dyDescent="0.25"/>
    <row r="343" s="39" customFormat="1" ht="13.2" outlineLevel="1" x14ac:dyDescent="0.25"/>
    <row r="344" s="39" customFormat="1" ht="27.75" customHeight="1" outlineLevel="1" x14ac:dyDescent="0.25"/>
    <row r="345" s="39" customFormat="1" ht="27.75" customHeight="1" outlineLevel="1" x14ac:dyDescent="0.25"/>
    <row r="346" s="39" customFormat="1" ht="27.75" customHeight="1" outlineLevel="1" x14ac:dyDescent="0.25"/>
    <row r="347" s="45" customFormat="1" ht="27" customHeight="1" x14ac:dyDescent="0.3"/>
    <row r="348" s="39" customFormat="1" ht="27.75" customHeight="1" outlineLevel="1" x14ac:dyDescent="0.25"/>
    <row r="349" s="39" customFormat="1" ht="27.75" customHeight="1" outlineLevel="1" x14ac:dyDescent="0.25"/>
    <row r="350" s="39" customFormat="1" ht="27.75" customHeight="1" outlineLevel="1" x14ac:dyDescent="0.25"/>
    <row r="351" s="39" customFormat="1" ht="27.75" customHeight="1" outlineLevel="1" x14ac:dyDescent="0.25"/>
    <row r="352" s="39" customFormat="1" ht="27.75" customHeight="1" outlineLevel="1" x14ac:dyDescent="0.25"/>
    <row r="353" s="39" customFormat="1" ht="27.75" customHeight="1" outlineLevel="1" x14ac:dyDescent="0.25"/>
    <row r="354" s="39" customFormat="1" ht="27.75" customHeight="1" outlineLevel="1" x14ac:dyDescent="0.25"/>
    <row r="355" s="39" customFormat="1" ht="13.2" outlineLevel="1" x14ac:dyDescent="0.25"/>
    <row r="356" s="39" customFormat="1" ht="13.2" outlineLevel="1" x14ac:dyDescent="0.25"/>
    <row r="357" s="39" customFormat="1" ht="13.2" outlineLevel="1" x14ac:dyDescent="0.25"/>
    <row r="358" s="39" customFormat="1" ht="13.2" outlineLevel="1" x14ac:dyDescent="0.25"/>
    <row r="359" s="39" customFormat="1" ht="13.2" outlineLevel="1" x14ac:dyDescent="0.25"/>
    <row r="360" s="39" customFormat="1" ht="13.2" outlineLevel="1" x14ac:dyDescent="0.25"/>
    <row r="361" s="39" customFormat="1" ht="41.7" customHeight="1" outlineLevel="1" x14ac:dyDescent="0.25"/>
    <row r="362" s="39" customFormat="1" ht="13.2" outlineLevel="1" x14ac:dyDescent="0.25"/>
    <row r="363" s="39" customFormat="1" ht="27.75" customHeight="1" outlineLevel="1" x14ac:dyDescent="0.25"/>
    <row r="364" s="39" customFormat="1" ht="13.2" outlineLevel="1" x14ac:dyDescent="0.25"/>
    <row r="365" s="39" customFormat="1" ht="27.75" customHeight="1" outlineLevel="1" x14ac:dyDescent="0.25"/>
    <row r="366" s="39" customFormat="1" ht="27.75" customHeight="1" outlineLevel="1" x14ac:dyDescent="0.25"/>
    <row r="367" s="39" customFormat="1" ht="41.7" customHeight="1" outlineLevel="1" x14ac:dyDescent="0.25"/>
    <row r="368" s="45" customFormat="1" ht="27" customHeight="1" x14ac:dyDescent="0.3"/>
    <row r="369" s="39" customFormat="1" ht="27.75" customHeight="1" outlineLevel="1" x14ac:dyDescent="0.25"/>
    <row r="370" s="39" customFormat="1" ht="27.75" customHeight="1" outlineLevel="1" x14ac:dyDescent="0.25"/>
    <row r="371" s="39" customFormat="1" ht="27.75" customHeight="1" outlineLevel="1" x14ac:dyDescent="0.25"/>
    <row r="372" s="39" customFormat="1" ht="27.75" customHeight="1" outlineLevel="1" x14ac:dyDescent="0.25"/>
    <row r="373" s="39" customFormat="1" ht="27.75" customHeight="1" outlineLevel="1" x14ac:dyDescent="0.25"/>
    <row r="374" s="39" customFormat="1" ht="13.2" outlineLevel="1" x14ac:dyDescent="0.25"/>
    <row r="375" s="39" customFormat="1" ht="13.2" outlineLevel="1" x14ac:dyDescent="0.25"/>
    <row r="376" s="46" customFormat="1" ht="17.7" customHeight="1" outlineLevel="1" x14ac:dyDescent="0.35"/>
    <row r="377" s="39" customFormat="1" ht="13.2" outlineLevel="1" x14ac:dyDescent="0.25"/>
    <row r="378" s="39" customFormat="1" ht="13.2" outlineLevel="1" x14ac:dyDescent="0.25"/>
    <row r="379" s="39" customFormat="1" ht="27.75" customHeight="1" outlineLevel="1" x14ac:dyDescent="0.25"/>
    <row r="380" s="39" customFormat="1" ht="27.75" customHeight="1" outlineLevel="1" x14ac:dyDescent="0.25"/>
    <row r="381" s="39" customFormat="1" ht="27.75" customHeight="1" outlineLevel="1" x14ac:dyDescent="0.25"/>
    <row r="382" s="45" customFormat="1" ht="27" customHeight="1" x14ac:dyDescent="0.3"/>
    <row r="383" s="39" customFormat="1" ht="27.75" customHeight="1" outlineLevel="1" x14ac:dyDescent="0.25"/>
    <row r="384" s="39" customFormat="1" ht="27.75" customHeight="1" outlineLevel="1" x14ac:dyDescent="0.25"/>
    <row r="385" s="39" customFormat="1" ht="27.75" customHeight="1" outlineLevel="1" x14ac:dyDescent="0.25"/>
    <row r="386" s="39" customFormat="1" ht="27.75" customHeight="1" outlineLevel="1" x14ac:dyDescent="0.25"/>
    <row r="387" s="39" customFormat="1" ht="27.75" customHeight="1" outlineLevel="1" x14ac:dyDescent="0.25"/>
    <row r="388" s="39" customFormat="1" ht="41.7" customHeight="1" outlineLevel="1" x14ac:dyDescent="0.25"/>
    <row r="389" s="39" customFormat="1" ht="13.2" outlineLevel="1" x14ac:dyDescent="0.25"/>
    <row r="390" s="39" customFormat="1" ht="27.75" customHeight="1" outlineLevel="1" x14ac:dyDescent="0.25"/>
    <row r="391" s="39" customFormat="1" ht="13.2" outlineLevel="1" x14ac:dyDescent="0.25"/>
    <row r="392" s="39" customFormat="1" ht="13.2" outlineLevel="1" x14ac:dyDescent="0.25"/>
    <row r="393" s="39" customFormat="1" ht="27.75" customHeight="1" outlineLevel="1" x14ac:dyDescent="0.25"/>
    <row r="394" s="39" customFormat="1" ht="27.75" customHeight="1" outlineLevel="1" x14ac:dyDescent="0.25"/>
    <row r="395" s="39" customFormat="1" ht="27.75" customHeight="1" outlineLevel="1" x14ac:dyDescent="0.25"/>
    <row r="396" s="39" customFormat="1" ht="41.7" customHeight="1" outlineLevel="1" x14ac:dyDescent="0.25"/>
    <row r="397" s="45" customFormat="1" ht="17.25" customHeight="1" x14ac:dyDescent="0.3"/>
    <row r="398" s="39" customFormat="1" ht="27.75" customHeight="1" outlineLevel="1" x14ac:dyDescent="0.25"/>
    <row r="399" s="39" customFormat="1" ht="27.75" customHeight="1" outlineLevel="1" x14ac:dyDescent="0.25"/>
    <row r="400" s="39" customFormat="1" ht="27.75" customHeight="1" outlineLevel="1" x14ac:dyDescent="0.25"/>
    <row r="401" s="39" customFormat="1" ht="27.75" customHeight="1" outlineLevel="1" x14ac:dyDescent="0.25"/>
    <row r="402" s="46" customFormat="1" ht="27.75" customHeight="1" outlineLevel="1" x14ac:dyDescent="0.35"/>
    <row r="403" s="39" customFormat="1" ht="27.75" customHeight="1" outlineLevel="1" x14ac:dyDescent="0.25"/>
    <row r="404" s="39" customFormat="1" ht="27.75" customHeight="1" outlineLevel="1" x14ac:dyDescent="0.25"/>
    <row r="405" s="39" customFormat="1" ht="39.75" customHeight="1" outlineLevel="1" x14ac:dyDescent="0.25"/>
    <row r="406" s="39" customFormat="1" ht="27.75" customHeight="1" outlineLevel="1" x14ac:dyDescent="0.25"/>
    <row r="407" s="39" customFormat="1" ht="27.75" customHeight="1" outlineLevel="1" x14ac:dyDescent="0.25"/>
    <row r="408" s="46" customFormat="1" ht="27.75" customHeight="1" outlineLevel="1" x14ac:dyDescent="0.35"/>
    <row r="409" s="39" customFormat="1" ht="27.75" customHeight="1" outlineLevel="1" x14ac:dyDescent="0.25"/>
    <row r="410" s="39" customFormat="1" ht="27.75" customHeight="1" outlineLevel="1" x14ac:dyDescent="0.25"/>
    <row r="411" s="39" customFormat="1" ht="27.75" customHeight="1" outlineLevel="1" x14ac:dyDescent="0.25"/>
    <row r="412" s="39" customFormat="1" ht="13.2" outlineLevel="1" x14ac:dyDescent="0.25"/>
    <row r="413" s="39" customFormat="1" ht="13.2" outlineLevel="1" x14ac:dyDescent="0.25"/>
    <row r="414" s="39" customFormat="1" ht="13.2" outlineLevel="1" x14ac:dyDescent="0.25"/>
    <row r="415" s="39" customFormat="1" ht="13.2" outlineLevel="1" x14ac:dyDescent="0.25"/>
    <row r="416" s="39" customFormat="1" ht="13.2" outlineLevel="1" x14ac:dyDescent="0.25"/>
    <row r="417" s="39" customFormat="1" ht="13.2" outlineLevel="1" x14ac:dyDescent="0.25"/>
    <row r="418" s="39" customFormat="1" ht="13.2" outlineLevel="1" x14ac:dyDescent="0.25"/>
    <row r="419" s="39" customFormat="1" ht="13.2" outlineLevel="1" x14ac:dyDescent="0.25"/>
    <row r="420" s="39" customFormat="1" ht="13.2" outlineLevel="1" x14ac:dyDescent="0.25"/>
    <row r="421" s="39" customFormat="1" ht="13.2" outlineLevel="1" x14ac:dyDescent="0.25"/>
    <row r="422" s="39" customFormat="1" ht="13.2" outlineLevel="1" x14ac:dyDescent="0.25"/>
    <row r="423" s="39" customFormat="1" ht="13.2" outlineLevel="1" x14ac:dyDescent="0.25"/>
    <row r="424" s="39" customFormat="1" ht="13.2" outlineLevel="1" x14ac:dyDescent="0.25"/>
    <row r="425" s="39" customFormat="1" ht="27.75" customHeight="1" outlineLevel="1" x14ac:dyDescent="0.25"/>
    <row r="426" s="39" customFormat="1" ht="27.75" customHeight="1" outlineLevel="1" x14ac:dyDescent="0.25"/>
    <row r="427" s="39" customFormat="1" ht="13.2" outlineLevel="1" x14ac:dyDescent="0.25"/>
    <row r="428" s="39" customFormat="1" ht="13.2" outlineLevel="1" x14ac:dyDescent="0.25"/>
    <row r="429" s="39" customFormat="1" ht="13.2" outlineLevel="1" x14ac:dyDescent="0.25"/>
    <row r="430" s="39" customFormat="1" ht="13.2" outlineLevel="1" x14ac:dyDescent="0.25"/>
    <row r="431" s="39" customFormat="1" ht="13.2" outlineLevel="1" x14ac:dyDescent="0.25"/>
    <row r="432" s="39" customFormat="1" ht="27.75" customHeight="1" outlineLevel="1" x14ac:dyDescent="0.25"/>
    <row r="433" s="39" customFormat="1" ht="13.2" outlineLevel="1" x14ac:dyDescent="0.25"/>
    <row r="434" s="39" customFormat="1" ht="27.75" customHeight="1" outlineLevel="1" x14ac:dyDescent="0.25"/>
    <row r="435" s="39" customFormat="1" ht="27.75" customHeight="1" outlineLevel="1" x14ac:dyDescent="0.25"/>
    <row r="436" s="39" customFormat="1" ht="13.2" outlineLevel="1" x14ac:dyDescent="0.25"/>
    <row r="437" s="39" customFormat="1" ht="13.2" outlineLevel="1" x14ac:dyDescent="0.25"/>
    <row r="438" s="39" customFormat="1" ht="13.2" outlineLevel="1" x14ac:dyDescent="0.25"/>
    <row r="439" s="39" customFormat="1" ht="13.2" outlineLevel="1" x14ac:dyDescent="0.25"/>
    <row r="440" s="39" customFormat="1" ht="27.75" customHeight="1" outlineLevel="1" x14ac:dyDescent="0.25"/>
    <row r="441" s="39" customFormat="1" ht="27.75" customHeight="1" outlineLevel="1" x14ac:dyDescent="0.25"/>
    <row r="442" s="39" customFormat="1" ht="13.2" outlineLevel="1" x14ac:dyDescent="0.25"/>
    <row r="443" s="39" customFormat="1" ht="13.2" outlineLevel="1" x14ac:dyDescent="0.25"/>
    <row r="444" s="39" customFormat="1" ht="13.2" outlineLevel="1" x14ac:dyDescent="0.25"/>
    <row r="445" s="39" customFormat="1" ht="13.2" outlineLevel="1" x14ac:dyDescent="0.25"/>
    <row r="446" s="39" customFormat="1" ht="13.2" outlineLevel="1" x14ac:dyDescent="0.25"/>
    <row r="447" s="39" customFormat="1" ht="27.75" customHeight="1" outlineLevel="1" x14ac:dyDescent="0.25"/>
    <row r="448" s="45" customFormat="1" ht="17.25" customHeight="1" x14ac:dyDescent="0.3"/>
    <row r="449" s="39" customFormat="1" ht="13.2" outlineLevel="1" x14ac:dyDescent="0.25"/>
    <row r="450" s="39" customFormat="1" ht="27.75" customHeight="1" outlineLevel="1" x14ac:dyDescent="0.25"/>
    <row r="451" s="39" customFormat="1" ht="27.75" customHeight="1" outlineLevel="1" x14ac:dyDescent="0.25"/>
    <row r="452" s="39" customFormat="1" ht="13.2" outlineLevel="1" x14ac:dyDescent="0.25"/>
    <row r="453" s="39" customFormat="1" ht="27.75" customHeight="1" outlineLevel="1" x14ac:dyDescent="0.25"/>
    <row r="454" s="39" customFormat="1" ht="27.75" customHeight="1" outlineLevel="1" x14ac:dyDescent="0.25"/>
    <row r="455" s="39" customFormat="1" ht="27.75" customHeight="1" outlineLevel="1" x14ac:dyDescent="0.25"/>
    <row r="456" s="39" customFormat="1" ht="13.2" outlineLevel="1" x14ac:dyDescent="0.25"/>
    <row r="457" s="39" customFormat="1" ht="27.75" customHeight="1" outlineLevel="1" x14ac:dyDescent="0.25"/>
    <row r="458" s="39" customFormat="1" ht="13.2" outlineLevel="1" x14ac:dyDescent="0.25"/>
    <row r="459" s="39" customFormat="1" ht="27.75" customHeight="1" outlineLevel="1" x14ac:dyDescent="0.25"/>
    <row r="460" s="39" customFormat="1" ht="27.75" customHeight="1" outlineLevel="1" x14ac:dyDescent="0.25"/>
    <row r="461" s="39" customFormat="1" ht="13.2" outlineLevel="1" x14ac:dyDescent="0.25"/>
    <row r="462" s="39" customFormat="1" ht="27.75" customHeight="1" outlineLevel="1" x14ac:dyDescent="0.25"/>
    <row r="463" s="39" customFormat="1" ht="27.75" customHeight="1" outlineLevel="1" x14ac:dyDescent="0.25"/>
    <row r="464" s="39" customFormat="1" ht="27.75" customHeight="1" outlineLevel="1" x14ac:dyDescent="0.25"/>
    <row r="465" s="39" customFormat="1" ht="13.2" outlineLevel="1" x14ac:dyDescent="0.25"/>
    <row r="466" s="45" customFormat="1" ht="17.25" customHeight="1" x14ac:dyDescent="0.3"/>
    <row r="467" s="39" customFormat="1" ht="13.2" outlineLevel="1" x14ac:dyDescent="0.25"/>
    <row r="468" s="39" customFormat="1" ht="27.75" customHeight="1" outlineLevel="1" x14ac:dyDescent="0.25"/>
    <row r="469" s="39" customFormat="1" ht="27.75" customHeight="1" outlineLevel="1" x14ac:dyDescent="0.25"/>
    <row r="470" s="39" customFormat="1" ht="13.2" outlineLevel="1" x14ac:dyDescent="0.25"/>
    <row r="471" s="39" customFormat="1" ht="13.2" outlineLevel="1" x14ac:dyDescent="0.25"/>
    <row r="472" s="45" customFormat="1" ht="17.25" customHeight="1" x14ac:dyDescent="0.3"/>
    <row r="473" s="39" customFormat="1" ht="13.2" outlineLevel="1" x14ac:dyDescent="0.25"/>
    <row r="474" s="39" customFormat="1" ht="27.75" customHeight="1" outlineLevel="1" x14ac:dyDescent="0.25"/>
    <row r="475" s="39" customFormat="1" ht="13.2" outlineLevel="1" x14ac:dyDescent="0.25"/>
    <row r="476" s="39" customFormat="1" ht="13.2" outlineLevel="1" x14ac:dyDescent="0.25"/>
    <row r="477" s="39" customFormat="1" ht="13.2" outlineLevel="1" x14ac:dyDescent="0.25"/>
    <row r="478" s="39" customFormat="1" ht="13.2" outlineLevel="1" x14ac:dyDescent="0.25"/>
    <row r="479" s="39" customFormat="1" ht="13.2" outlineLevel="1" x14ac:dyDescent="0.25"/>
    <row r="480" s="39" customFormat="1" ht="13.2" outlineLevel="1" x14ac:dyDescent="0.25"/>
    <row r="481" s="39" customFormat="1" ht="13.2" outlineLevel="1" x14ac:dyDescent="0.25"/>
    <row r="482" s="39" customFormat="1" ht="13.2" outlineLevel="1" x14ac:dyDescent="0.25"/>
    <row r="483" s="39" customFormat="1" ht="13.2" outlineLevel="1" x14ac:dyDescent="0.25"/>
    <row r="484" s="39" customFormat="1" ht="13.2" outlineLevel="1" x14ac:dyDescent="0.25"/>
    <row r="485" s="39" customFormat="1" ht="13.2" outlineLevel="1" x14ac:dyDescent="0.25"/>
    <row r="486" s="39" customFormat="1" ht="13.2" outlineLevel="1" x14ac:dyDescent="0.25"/>
    <row r="487" s="39" customFormat="1" ht="41.7" customHeight="1" outlineLevel="1" x14ac:dyDescent="0.25"/>
    <row r="488" s="39" customFormat="1" ht="13.2" outlineLevel="1" x14ac:dyDescent="0.25"/>
    <row r="489" s="39" customFormat="1" ht="27.75" customHeight="1" outlineLevel="1" x14ac:dyDescent="0.25"/>
    <row r="490" s="39" customFormat="1" ht="27.75" customHeight="1" outlineLevel="1" x14ac:dyDescent="0.25"/>
    <row r="491" s="39" customFormat="1" ht="27.75" customHeight="1" outlineLevel="1" x14ac:dyDescent="0.25"/>
    <row r="492" s="39" customFormat="1" ht="27.75" customHeight="1" outlineLevel="1" x14ac:dyDescent="0.25"/>
    <row r="493" s="39" customFormat="1" ht="13.2" outlineLevel="1" x14ac:dyDescent="0.25"/>
    <row r="494" s="39" customFormat="1" ht="13.2" outlineLevel="1" x14ac:dyDescent="0.25"/>
    <row r="495" s="39" customFormat="1" ht="13.2" outlineLevel="1" x14ac:dyDescent="0.25"/>
    <row r="496" s="39" customFormat="1" ht="13.2" outlineLevel="1" x14ac:dyDescent="0.25"/>
    <row r="497" s="39" customFormat="1" ht="13.2" outlineLevel="1" x14ac:dyDescent="0.25"/>
    <row r="498" s="39" customFormat="1" ht="13.2" outlineLevel="1" x14ac:dyDescent="0.25"/>
    <row r="499" s="39" customFormat="1" ht="27.75" customHeight="1" outlineLevel="1" x14ac:dyDescent="0.25"/>
    <row r="500" s="39" customFormat="1" ht="27.75" customHeight="1" outlineLevel="1" x14ac:dyDescent="0.25"/>
    <row r="501" s="39" customFormat="1" ht="27.75" customHeight="1" outlineLevel="1" x14ac:dyDescent="0.25"/>
    <row r="502" s="39" customFormat="1" ht="27.75" customHeight="1" outlineLevel="1" x14ac:dyDescent="0.25"/>
    <row r="503" s="39" customFormat="1" ht="13.2" outlineLevel="1" x14ac:dyDescent="0.25"/>
    <row r="504" s="39" customFormat="1" ht="13.2" outlineLevel="1" x14ac:dyDescent="0.25"/>
    <row r="505" s="39" customFormat="1" ht="13.2" outlineLevel="1" x14ac:dyDescent="0.25"/>
    <row r="506" s="39" customFormat="1" ht="13.2" outlineLevel="1" x14ac:dyDescent="0.25"/>
    <row r="507" s="39" customFormat="1" ht="13.2" outlineLevel="1" x14ac:dyDescent="0.25"/>
    <row r="508" s="39" customFormat="1" ht="27.75" customHeight="1" outlineLevel="1" x14ac:dyDescent="0.25"/>
    <row r="509" s="39" customFormat="1" ht="27.75" customHeight="1" outlineLevel="1" x14ac:dyDescent="0.25"/>
    <row r="510" s="39" customFormat="1" ht="13.2" outlineLevel="1" x14ac:dyDescent="0.25"/>
    <row r="511" s="39" customFormat="1" ht="13.2" outlineLevel="1" x14ac:dyDescent="0.25"/>
    <row r="512" s="39" customFormat="1" ht="13.2" outlineLevel="1" x14ac:dyDescent="0.25"/>
    <row r="513" s="39" customFormat="1" ht="13.2" outlineLevel="1" x14ac:dyDescent="0.25"/>
    <row r="514" s="39" customFormat="1" ht="13.2" outlineLevel="1" x14ac:dyDescent="0.25"/>
    <row r="515" s="39" customFormat="1" ht="13.2" outlineLevel="1" x14ac:dyDescent="0.25"/>
    <row r="516" s="39" customFormat="1" ht="27.75" customHeight="1" outlineLevel="1" x14ac:dyDescent="0.25"/>
    <row r="517" s="39" customFormat="1" ht="27.75" customHeight="1" outlineLevel="1" x14ac:dyDescent="0.25"/>
    <row r="518" s="39" customFormat="1" ht="13.2" outlineLevel="1" x14ac:dyDescent="0.25"/>
    <row r="519" s="39" customFormat="1" ht="13.2" outlineLevel="1" x14ac:dyDescent="0.25"/>
    <row r="520" s="39" customFormat="1" ht="13.2" outlineLevel="1" x14ac:dyDescent="0.25"/>
    <row r="521" s="39" customFormat="1" ht="13.2" outlineLevel="1" x14ac:dyDescent="0.25"/>
    <row r="522" s="39" customFormat="1" ht="13.2" outlineLevel="1" x14ac:dyDescent="0.25"/>
    <row r="523" s="39" customFormat="1" ht="13.2" outlineLevel="1" x14ac:dyDescent="0.25"/>
    <row r="524" s="39" customFormat="1" ht="13.2" outlineLevel="1" x14ac:dyDescent="0.25"/>
    <row r="525" s="39" customFormat="1" ht="13.2" outlineLevel="1" x14ac:dyDescent="0.25"/>
    <row r="526" s="39" customFormat="1" ht="27.75" customHeight="1" outlineLevel="1" x14ac:dyDescent="0.25"/>
    <row r="527" s="39" customFormat="1" ht="13.2" outlineLevel="1" x14ac:dyDescent="0.25"/>
    <row r="528" s="39" customFormat="1" ht="27.75" customHeight="1" outlineLevel="1" x14ac:dyDescent="0.25"/>
    <row r="529" s="39" customFormat="1" ht="13.2" outlineLevel="1" x14ac:dyDescent="0.25"/>
    <row r="530" s="39" customFormat="1" ht="27.75" customHeight="1" outlineLevel="1" x14ac:dyDescent="0.25"/>
    <row r="531" s="39" customFormat="1" ht="27.75" customHeight="1" outlineLevel="1" x14ac:dyDescent="0.25"/>
    <row r="532" s="39" customFormat="1" ht="13.2" outlineLevel="1" x14ac:dyDescent="0.25"/>
    <row r="533" s="39" customFormat="1" ht="13.2" outlineLevel="1" x14ac:dyDescent="0.25"/>
    <row r="534" s="39" customFormat="1" ht="13.2" outlineLevel="1" x14ac:dyDescent="0.25"/>
    <row r="535" s="39" customFormat="1" ht="13.2" outlineLevel="1" x14ac:dyDescent="0.25"/>
    <row r="536" s="39" customFormat="1" ht="13.2" outlineLevel="1" x14ac:dyDescent="0.25"/>
    <row r="537" s="39" customFormat="1" ht="13.2" outlineLevel="1" x14ac:dyDescent="0.25"/>
    <row r="538" s="39" customFormat="1" ht="13.2" outlineLevel="1" x14ac:dyDescent="0.25"/>
    <row r="539" s="39" customFormat="1" ht="13.2" outlineLevel="1" x14ac:dyDescent="0.25"/>
    <row r="540" s="39" customFormat="1" ht="27.75" customHeight="1" outlineLevel="1" x14ac:dyDescent="0.25"/>
    <row r="541" s="39" customFormat="1" ht="13.2" outlineLevel="1" x14ac:dyDescent="0.25"/>
    <row r="542" s="39" customFormat="1" ht="27.75" customHeight="1" outlineLevel="1" x14ac:dyDescent="0.25"/>
    <row r="543" s="39" customFormat="1" ht="13.2" outlineLevel="1" x14ac:dyDescent="0.25"/>
    <row r="544" s="39" customFormat="1" ht="27.75" customHeight="1" outlineLevel="1" x14ac:dyDescent="0.25"/>
    <row r="545" s="39" customFormat="1" ht="27.75" customHeight="1" outlineLevel="1" x14ac:dyDescent="0.25"/>
    <row r="546" s="39" customFormat="1" ht="13.2" outlineLevel="1" x14ac:dyDescent="0.25"/>
    <row r="547" s="39" customFormat="1" ht="13.2" outlineLevel="1" x14ac:dyDescent="0.25"/>
    <row r="548" s="39" customFormat="1" ht="13.2" outlineLevel="1" x14ac:dyDescent="0.25"/>
    <row r="549" s="39" customFormat="1" ht="13.2" outlineLevel="1" x14ac:dyDescent="0.25"/>
    <row r="550" s="39" customFormat="1" ht="13.2" outlineLevel="1" x14ac:dyDescent="0.25"/>
    <row r="551" s="39" customFormat="1" ht="13.2" outlineLevel="1" x14ac:dyDescent="0.25"/>
    <row r="552" s="39" customFormat="1" ht="27.75" customHeight="1" outlineLevel="1" x14ac:dyDescent="0.25"/>
    <row r="553" s="39" customFormat="1" ht="13.2" outlineLevel="1" x14ac:dyDescent="0.25"/>
    <row r="554" s="39" customFormat="1" ht="27.75" customHeight="1" outlineLevel="1" x14ac:dyDescent="0.25"/>
    <row r="555" s="39" customFormat="1" ht="13.2" outlineLevel="1" x14ac:dyDescent="0.25"/>
    <row r="556" s="39" customFormat="1" ht="27.75" customHeight="1" outlineLevel="1" x14ac:dyDescent="0.25"/>
    <row r="557" s="39" customFormat="1" ht="27.75" customHeight="1" outlineLevel="1" x14ac:dyDescent="0.25"/>
    <row r="558" s="39" customFormat="1" ht="13.2" outlineLevel="1" x14ac:dyDescent="0.25"/>
    <row r="559" s="39" customFormat="1" ht="13.2" outlineLevel="1" x14ac:dyDescent="0.25"/>
    <row r="560" s="39" customFormat="1" ht="13.2" outlineLevel="1" x14ac:dyDescent="0.25"/>
    <row r="561" s="39" customFormat="1" ht="13.2" outlineLevel="1" x14ac:dyDescent="0.25"/>
    <row r="562" s="39" customFormat="1" ht="13.2" outlineLevel="1" x14ac:dyDescent="0.25"/>
    <row r="563" s="39" customFormat="1" ht="13.2" outlineLevel="1" x14ac:dyDescent="0.25"/>
    <row r="564" s="39" customFormat="1" ht="27.75" customHeight="1" outlineLevel="1" x14ac:dyDescent="0.25"/>
    <row r="565" s="39" customFormat="1" ht="27.75" customHeight="1" outlineLevel="1" x14ac:dyDescent="0.25"/>
    <row r="566" s="39" customFormat="1" ht="13.2" outlineLevel="1" x14ac:dyDescent="0.25"/>
    <row r="567" s="39" customFormat="1" ht="13.2" outlineLevel="1" x14ac:dyDescent="0.25"/>
    <row r="568" s="39" customFormat="1" ht="13.2" outlineLevel="1" x14ac:dyDescent="0.25"/>
    <row r="569" s="39" customFormat="1" ht="13.2" outlineLevel="1" x14ac:dyDescent="0.25"/>
    <row r="570" s="46" customFormat="1" ht="17.7" customHeight="1" outlineLevel="1" x14ac:dyDescent="0.35"/>
    <row r="571" s="39" customFormat="1" ht="13.2" outlineLevel="1" x14ac:dyDescent="0.25"/>
    <row r="572" s="39" customFormat="1" ht="27.75" customHeight="1" outlineLevel="1" x14ac:dyDescent="0.25"/>
    <row r="573" s="39" customFormat="1" ht="27.75" customHeight="1" outlineLevel="1" x14ac:dyDescent="0.25"/>
    <row r="574" s="39" customFormat="1" ht="13.2" outlineLevel="1" x14ac:dyDescent="0.25"/>
    <row r="575" s="39" customFormat="1" ht="13.2" outlineLevel="1" x14ac:dyDescent="0.25"/>
    <row r="576" s="39" customFormat="1" ht="13.2" outlineLevel="1" x14ac:dyDescent="0.25"/>
    <row r="577" s="39" customFormat="1" ht="13.2" outlineLevel="1" x14ac:dyDescent="0.25"/>
    <row r="578" s="39" customFormat="1" ht="13.2" outlineLevel="1" x14ac:dyDescent="0.25"/>
    <row r="579" s="39" customFormat="1" ht="27.75" customHeight="1" outlineLevel="1" x14ac:dyDescent="0.25"/>
    <row r="580" s="39" customFormat="1" ht="13.2" outlineLevel="1" x14ac:dyDescent="0.25"/>
    <row r="581" s="39" customFormat="1" ht="13.2" outlineLevel="1" x14ac:dyDescent="0.25"/>
    <row r="582" s="39" customFormat="1" ht="13.2" outlineLevel="1" x14ac:dyDescent="0.25"/>
    <row r="583" s="39" customFormat="1" ht="13.2" outlineLevel="1" x14ac:dyDescent="0.25"/>
    <row r="584" s="39" customFormat="1" ht="13.2" outlineLevel="1" x14ac:dyDescent="0.25"/>
    <row r="585" s="39" customFormat="1" ht="13.2" outlineLevel="1" x14ac:dyDescent="0.25"/>
    <row r="586" s="39" customFormat="1" ht="27.75" customHeight="1" outlineLevel="1" x14ac:dyDescent="0.25"/>
    <row r="587" s="39" customFormat="1" ht="41.7" customHeight="1" outlineLevel="1" x14ac:dyDescent="0.25"/>
    <row r="588" s="39" customFormat="1" ht="41.7" customHeight="1" outlineLevel="1" x14ac:dyDescent="0.25"/>
    <row r="589" s="39" customFormat="1" ht="27.75" customHeight="1" outlineLevel="1" x14ac:dyDescent="0.25"/>
    <row r="590" s="39" customFormat="1" ht="13.2" outlineLevel="1" x14ac:dyDescent="0.25"/>
    <row r="591" s="39" customFormat="1" ht="27.75" customHeight="1" outlineLevel="1" x14ac:dyDescent="0.25"/>
    <row r="592" s="39" customFormat="1" ht="13.2" outlineLevel="1" x14ac:dyDescent="0.25"/>
    <row r="593" s="49" customFormat="1" ht="13.2" outlineLevel="1" x14ac:dyDescent="0.3"/>
    <row r="594" s="39" customFormat="1" ht="13.2" outlineLevel="1" x14ac:dyDescent="0.25"/>
    <row r="595" s="39" customFormat="1" ht="13.2" outlineLevel="1" x14ac:dyDescent="0.25"/>
    <row r="596" s="39" customFormat="1" ht="13.2" outlineLevel="1" x14ac:dyDescent="0.25"/>
    <row r="597" s="46" customFormat="1" ht="17.7" customHeight="1" outlineLevel="1" x14ac:dyDescent="0.35"/>
    <row r="598" s="39" customFormat="1" ht="13.2" outlineLevel="1" x14ac:dyDescent="0.25"/>
    <row r="599" s="39" customFormat="1" ht="13.2" outlineLevel="1" x14ac:dyDescent="0.25"/>
    <row r="600" s="39" customFormat="1" ht="13.2" outlineLevel="1" x14ac:dyDescent="0.25"/>
    <row r="601" s="39" customFormat="1" ht="13.2" outlineLevel="1" x14ac:dyDescent="0.25"/>
    <row r="602" s="39" customFormat="1" ht="13.2" outlineLevel="1" x14ac:dyDescent="0.25"/>
    <row r="603" s="39" customFormat="1" ht="27.75" customHeight="1" outlineLevel="1" x14ac:dyDescent="0.25"/>
    <row r="604" s="39" customFormat="1" ht="13.2" outlineLevel="1" x14ac:dyDescent="0.25"/>
    <row r="605" s="39" customFormat="1" ht="27.75" customHeight="1" outlineLevel="1" x14ac:dyDescent="0.25"/>
    <row r="606" s="39" customFormat="1" ht="13.2" outlineLevel="1" x14ac:dyDescent="0.25"/>
    <row r="607" s="39" customFormat="1" ht="13.2" outlineLevel="1" x14ac:dyDescent="0.25"/>
    <row r="608" s="39" customFormat="1" ht="13.2" outlineLevel="1" x14ac:dyDescent="0.25"/>
    <row r="609" s="39" customFormat="1" ht="27.75" customHeight="1" outlineLevel="1" x14ac:dyDescent="0.25"/>
    <row r="610" s="39" customFormat="1" ht="13.2" outlineLevel="1" x14ac:dyDescent="0.25"/>
    <row r="611" s="39" customFormat="1" ht="13.2" outlineLevel="1" x14ac:dyDescent="0.25"/>
    <row r="612" s="45" customFormat="1" ht="17.25" customHeight="1" x14ac:dyDescent="0.3"/>
    <row r="613" s="39" customFormat="1" ht="27.75" customHeight="1" outlineLevel="1" x14ac:dyDescent="0.25"/>
    <row r="614" s="39" customFormat="1" ht="13.2" outlineLevel="1" x14ac:dyDescent="0.25"/>
    <row r="615" s="39" customFormat="1" ht="13.2" outlineLevel="1" x14ac:dyDescent="0.25"/>
    <row r="616" s="39" customFormat="1" ht="13.2" outlineLevel="1" x14ac:dyDescent="0.25"/>
    <row r="617" s="39" customFormat="1" ht="27.75" customHeight="1" outlineLevel="1" x14ac:dyDescent="0.25"/>
    <row r="618" s="39" customFormat="1" ht="13.2" outlineLevel="1" x14ac:dyDescent="0.25"/>
    <row r="619" s="46" customFormat="1" ht="17.7" customHeight="1" outlineLevel="1" x14ac:dyDescent="0.35"/>
    <row r="620" s="39" customFormat="1" ht="13.2" outlineLevel="1" x14ac:dyDescent="0.25"/>
    <row r="621" s="39" customFormat="1" ht="13.2" outlineLevel="1" x14ac:dyDescent="0.25"/>
    <row r="622" s="39" customFormat="1" ht="13.2" outlineLevel="1" x14ac:dyDescent="0.25"/>
    <row r="623" s="39" customFormat="1" ht="27.75" customHeight="1" outlineLevel="1" x14ac:dyDescent="0.25"/>
    <row r="624" s="39" customFormat="1" ht="13.2" outlineLevel="1" x14ac:dyDescent="0.25"/>
    <row r="625" s="39" customFormat="1" ht="13.2" outlineLevel="1" x14ac:dyDescent="0.25"/>
    <row r="626" s="39" customFormat="1" ht="13.2" outlineLevel="1" x14ac:dyDescent="0.25"/>
    <row r="627" s="39" customFormat="1" ht="13.2" outlineLevel="1" x14ac:dyDescent="0.25"/>
    <row r="628" s="39" customFormat="1" ht="13.2" outlineLevel="1" x14ac:dyDescent="0.25"/>
    <row r="629" s="39" customFormat="1" ht="13.2" outlineLevel="1" x14ac:dyDescent="0.25"/>
    <row r="630" s="39" customFormat="1" ht="13.2" outlineLevel="1" x14ac:dyDescent="0.25"/>
    <row r="631" s="39" customFormat="1" ht="13.2" outlineLevel="1" x14ac:dyDescent="0.25"/>
    <row r="632" s="39" customFormat="1" ht="13.2" outlineLevel="1" x14ac:dyDescent="0.25"/>
    <row r="633" s="39" customFormat="1" ht="13.2" outlineLevel="1" x14ac:dyDescent="0.25"/>
    <row r="634" s="39" customFormat="1" ht="13.2" outlineLevel="1" x14ac:dyDescent="0.25"/>
    <row r="635" s="39" customFormat="1" ht="13.2" outlineLevel="1" x14ac:dyDescent="0.25"/>
    <row r="636" s="39" customFormat="1" ht="13.2" outlineLevel="1" x14ac:dyDescent="0.25"/>
    <row r="637" s="39" customFormat="1" ht="13.2" outlineLevel="1" x14ac:dyDescent="0.25"/>
    <row r="638" s="39" customFormat="1" ht="13.2" outlineLevel="1" x14ac:dyDescent="0.25"/>
    <row r="639" s="39" customFormat="1" ht="27.75" customHeight="1" outlineLevel="1" x14ac:dyDescent="0.25"/>
    <row r="640" s="39" customFormat="1" ht="13.2" outlineLevel="1" x14ac:dyDescent="0.25"/>
    <row r="641" s="39" customFormat="1" ht="13.2" outlineLevel="1" x14ac:dyDescent="0.25"/>
    <row r="642" s="39" customFormat="1" ht="27.75" customHeight="1" outlineLevel="1" x14ac:dyDescent="0.25"/>
    <row r="643" s="39" customFormat="1" ht="27.75" customHeight="1" outlineLevel="1" x14ac:dyDescent="0.25"/>
    <row r="644" s="39" customFormat="1" ht="13.2" outlineLevel="1" x14ac:dyDescent="0.25"/>
    <row r="645" s="39" customFormat="1" ht="13.2" outlineLevel="1" x14ac:dyDescent="0.25"/>
    <row r="646" s="39" customFormat="1" ht="27.75" customHeight="1" outlineLevel="1" x14ac:dyDescent="0.25"/>
    <row r="647" s="39" customFormat="1" ht="13.2" outlineLevel="1" x14ac:dyDescent="0.25"/>
    <row r="648" s="39" customFormat="1" ht="27.75" customHeight="1" outlineLevel="1" x14ac:dyDescent="0.25"/>
    <row r="649" s="39" customFormat="1" ht="13.2" outlineLevel="1" x14ac:dyDescent="0.25"/>
    <row r="650" s="39" customFormat="1" ht="13.2" outlineLevel="1" x14ac:dyDescent="0.25"/>
    <row r="651" s="39" customFormat="1" ht="13.2" outlineLevel="1" x14ac:dyDescent="0.25"/>
    <row r="652" s="39" customFormat="1" ht="13.2" outlineLevel="1" x14ac:dyDescent="0.25"/>
    <row r="653" s="39" customFormat="1" ht="27.75" customHeight="1" outlineLevel="1" x14ac:dyDescent="0.25"/>
    <row r="654" s="45" customFormat="1" ht="17.25" customHeight="1" x14ac:dyDescent="0.3"/>
    <row r="655" s="39" customFormat="1" ht="13.2" outlineLevel="1" x14ac:dyDescent="0.25"/>
    <row r="656" s="39" customFormat="1" ht="13.2" outlineLevel="1" x14ac:dyDescent="0.25"/>
    <row r="657" s="39" customFormat="1" ht="13.2" outlineLevel="1" x14ac:dyDescent="0.25"/>
    <row r="658" s="39" customFormat="1" ht="13.2" outlineLevel="1" x14ac:dyDescent="0.25"/>
    <row r="659" s="39" customFormat="1" ht="13.2" outlineLevel="1" x14ac:dyDescent="0.25"/>
    <row r="660" s="39" customFormat="1" ht="27.75" customHeight="1" outlineLevel="1" x14ac:dyDescent="0.25"/>
    <row r="661" s="39" customFormat="1" ht="13.2" outlineLevel="1" x14ac:dyDescent="0.25"/>
    <row r="662" s="39" customFormat="1" ht="13.2" outlineLevel="1" x14ac:dyDescent="0.25"/>
    <row r="663" s="39" customFormat="1" ht="27.75" customHeight="1" outlineLevel="1" x14ac:dyDescent="0.25"/>
    <row r="664" s="39" customFormat="1" ht="13.2" outlineLevel="1" x14ac:dyDescent="0.25"/>
    <row r="665" s="39" customFormat="1" ht="27.75" customHeight="1" outlineLevel="1" x14ac:dyDescent="0.25"/>
    <row r="666" s="39" customFormat="1" ht="27.75" customHeight="1" outlineLevel="1" x14ac:dyDescent="0.25"/>
    <row r="667" s="39" customFormat="1" ht="13.2" outlineLevel="1" x14ac:dyDescent="0.25"/>
    <row r="668" s="39" customFormat="1" ht="13.2" outlineLevel="1" x14ac:dyDescent="0.25"/>
    <row r="669" s="39" customFormat="1" ht="13.2" outlineLevel="1" x14ac:dyDescent="0.25"/>
    <row r="670" s="39" customFormat="1" ht="13.2" outlineLevel="1" x14ac:dyDescent="0.25"/>
    <row r="671" s="39" customFormat="1" ht="27.75" customHeight="1" outlineLevel="1" x14ac:dyDescent="0.25"/>
    <row r="672" s="39" customFormat="1" ht="27.75" customHeight="1" outlineLevel="1" x14ac:dyDescent="0.25"/>
    <row r="673" s="39" customFormat="1" ht="13.2" outlineLevel="1" x14ac:dyDescent="0.25"/>
    <row r="674" s="39" customFormat="1" ht="27.75" customHeight="1" outlineLevel="1" x14ac:dyDescent="0.25"/>
    <row r="675" s="39" customFormat="1" ht="69.45" customHeight="1" outlineLevel="1" x14ac:dyDescent="0.25"/>
    <row r="676" s="39" customFormat="1" ht="13.2" outlineLevel="1" x14ac:dyDescent="0.25"/>
    <row r="677" s="45" customFormat="1" ht="17.25" customHeight="1" x14ac:dyDescent="0.3"/>
    <row r="678" s="39" customFormat="1" ht="13.2" outlineLevel="1" x14ac:dyDescent="0.25"/>
    <row r="679" s="39" customFormat="1" ht="13.2" outlineLevel="1" x14ac:dyDescent="0.25"/>
    <row r="680" s="39" customFormat="1" ht="27.75" customHeight="1" outlineLevel="1" x14ac:dyDescent="0.25"/>
    <row r="681" s="39" customFormat="1" ht="27.75" customHeight="1" outlineLevel="1" x14ac:dyDescent="0.25"/>
    <row r="682" s="39" customFormat="1" ht="13.2" outlineLevel="1" x14ac:dyDescent="0.25"/>
    <row r="683" s="39" customFormat="1" ht="13.2" outlineLevel="1" x14ac:dyDescent="0.25"/>
    <row r="684" s="39" customFormat="1" ht="13.2" outlineLevel="1" x14ac:dyDescent="0.25"/>
    <row r="685" s="39" customFormat="1" ht="13.2" outlineLevel="1" x14ac:dyDescent="0.25"/>
    <row r="686" s="39" customFormat="1" ht="13.2" outlineLevel="1" x14ac:dyDescent="0.25"/>
    <row r="687" s="39" customFormat="1" ht="13.2" outlineLevel="1" x14ac:dyDescent="0.25"/>
    <row r="688" s="39" customFormat="1" ht="27.75" customHeight="1" outlineLevel="1" x14ac:dyDescent="0.25"/>
    <row r="689" s="39" customFormat="1" ht="27.75" customHeight="1" outlineLevel="1" x14ac:dyDescent="0.25"/>
    <row r="690" s="39" customFormat="1" ht="13.2" outlineLevel="1" x14ac:dyDescent="0.25"/>
    <row r="691" s="39" customFormat="1" ht="13.2" outlineLevel="1" x14ac:dyDescent="0.25"/>
    <row r="692" s="39" customFormat="1" ht="13.2" outlineLevel="1" x14ac:dyDescent="0.25"/>
    <row r="693" s="39" customFormat="1" ht="13.2" outlineLevel="1" x14ac:dyDescent="0.25"/>
    <row r="694" s="39" customFormat="1" ht="13.2" outlineLevel="1" x14ac:dyDescent="0.25"/>
    <row r="695" s="39" customFormat="1" ht="27.75" customHeight="1" outlineLevel="1" x14ac:dyDescent="0.25"/>
    <row r="696" s="39" customFormat="1" ht="27.75" customHeight="1" outlineLevel="1" x14ac:dyDescent="0.25"/>
    <row r="697" s="39" customFormat="1" ht="13.2" outlineLevel="1" x14ac:dyDescent="0.25"/>
    <row r="698" s="45" customFormat="1" ht="17.25" customHeight="1" x14ac:dyDescent="0.3"/>
    <row r="699" s="39" customFormat="1" ht="27.75" customHeight="1" outlineLevel="1" x14ac:dyDescent="0.25"/>
    <row r="700" s="39" customFormat="1" ht="13.2" outlineLevel="1" x14ac:dyDescent="0.25"/>
    <row r="701" s="39" customFormat="1" ht="13.2" outlineLevel="1" x14ac:dyDescent="0.25"/>
    <row r="702" s="39" customFormat="1" ht="13.2" outlineLevel="1" x14ac:dyDescent="0.25"/>
    <row r="703" s="39" customFormat="1" ht="27.75" customHeight="1" outlineLevel="1" x14ac:dyDescent="0.25"/>
    <row r="704" s="46" customFormat="1" ht="27.75" customHeight="1" outlineLevel="1" x14ac:dyDescent="0.35"/>
    <row r="705" s="39" customFormat="1" ht="27.75" customHeight="1" outlineLevel="1" x14ac:dyDescent="0.25"/>
    <row r="706" s="39" customFormat="1" ht="13.2" outlineLevel="1" x14ac:dyDescent="0.25"/>
    <row r="707" s="39" customFormat="1" ht="13.2" outlineLevel="1" x14ac:dyDescent="0.25"/>
    <row r="708" s="39" customFormat="1" ht="13.2" outlineLevel="1" x14ac:dyDescent="0.25"/>
    <row r="709" s="39" customFormat="1" ht="41.7" customHeight="1" outlineLevel="1" x14ac:dyDescent="0.25"/>
    <row r="710" s="39" customFormat="1" ht="27.75" customHeight="1" outlineLevel="1" x14ac:dyDescent="0.25"/>
    <row r="711" s="39" customFormat="1" ht="13.2" outlineLevel="1" x14ac:dyDescent="0.25"/>
    <row r="712" s="39" customFormat="1" ht="13.2" outlineLevel="1" x14ac:dyDescent="0.25"/>
    <row r="713" s="39" customFormat="1" ht="13.2" outlineLevel="1" x14ac:dyDescent="0.25"/>
    <row r="714" s="39" customFormat="1" ht="27.75" customHeight="1" outlineLevel="1" x14ac:dyDescent="0.25"/>
    <row r="715" s="39" customFormat="1" ht="27.75" customHeight="1" outlineLevel="1" x14ac:dyDescent="0.25"/>
    <row r="716" s="39" customFormat="1" ht="13.2" outlineLevel="1" x14ac:dyDescent="0.25"/>
    <row r="717" s="39" customFormat="1" ht="27.75" customHeight="1" outlineLevel="1" x14ac:dyDescent="0.25"/>
    <row r="718" s="39" customFormat="1" ht="13.2" outlineLevel="1" x14ac:dyDescent="0.25"/>
    <row r="719" s="39" customFormat="1" ht="13.2" outlineLevel="1" x14ac:dyDescent="0.25"/>
    <row r="720" s="45" customFormat="1" ht="27" customHeight="1" x14ac:dyDescent="0.3"/>
    <row r="721" s="39" customFormat="1" ht="13.2" outlineLevel="1" x14ac:dyDescent="0.25"/>
    <row r="722" s="39" customFormat="1" ht="27.75" customHeight="1" outlineLevel="1" x14ac:dyDescent="0.25"/>
    <row r="723" s="39" customFormat="1" ht="13.2" outlineLevel="1" x14ac:dyDescent="0.25"/>
    <row r="724" s="39" customFormat="1" ht="13.2" outlineLevel="1" x14ac:dyDescent="0.25"/>
    <row r="725" s="39" customFormat="1" ht="13.2" outlineLevel="1" x14ac:dyDescent="0.25"/>
    <row r="726" s="39" customFormat="1" ht="27.75" customHeight="1" outlineLevel="1" x14ac:dyDescent="0.25"/>
    <row r="727" s="39" customFormat="1" ht="13.2" outlineLevel="1" x14ac:dyDescent="0.25"/>
    <row r="728" s="39" customFormat="1" ht="27.75" customHeight="1" outlineLevel="1" x14ac:dyDescent="0.25"/>
    <row r="729" s="39" customFormat="1" ht="27.75" customHeight="1" outlineLevel="1" x14ac:dyDescent="0.25"/>
    <row r="730" s="39" customFormat="1" ht="13.2" outlineLevel="1" x14ac:dyDescent="0.25"/>
    <row r="731" s="39" customFormat="1" ht="13.2" outlineLevel="1" x14ac:dyDescent="0.25"/>
    <row r="732" s="39" customFormat="1" ht="13.2" outlineLevel="1" x14ac:dyDescent="0.25"/>
    <row r="733" s="39" customFormat="1" ht="13.2" outlineLevel="1" x14ac:dyDescent="0.25"/>
    <row r="734" s="39" customFormat="1" ht="13.2" outlineLevel="1" x14ac:dyDescent="0.25"/>
    <row r="735" s="39" customFormat="1" ht="27.75" customHeight="1" outlineLevel="1" x14ac:dyDescent="0.25"/>
    <row r="736" s="39" customFormat="1" ht="13.2" outlineLevel="1" x14ac:dyDescent="0.25"/>
    <row r="737" s="39" customFormat="1" ht="27.75" customHeight="1" outlineLevel="1" x14ac:dyDescent="0.25"/>
    <row r="738" s="39" customFormat="1" ht="13.2" outlineLevel="1" x14ac:dyDescent="0.25"/>
    <row r="739" s="39" customFormat="1" ht="13.2" outlineLevel="1" x14ac:dyDescent="0.25"/>
    <row r="740" s="39" customFormat="1" ht="13.2" outlineLevel="1" x14ac:dyDescent="0.25"/>
    <row r="741" s="39" customFormat="1" ht="27.75" customHeight="1" outlineLevel="1" x14ac:dyDescent="0.25"/>
    <row r="742" s="39" customFormat="1" ht="13.2" outlineLevel="1" x14ac:dyDescent="0.25"/>
    <row r="743" s="39" customFormat="1" ht="13.2" outlineLevel="1" x14ac:dyDescent="0.25"/>
    <row r="744" s="39" customFormat="1" ht="13.2" outlineLevel="1" x14ac:dyDescent="0.25"/>
    <row r="745" s="45" customFormat="1" ht="17.25" customHeight="1" x14ac:dyDescent="0.3"/>
    <row r="746" s="39" customFormat="1" ht="13.2" outlineLevel="1" x14ac:dyDescent="0.25"/>
    <row r="747" s="39" customFormat="1" ht="13.2" outlineLevel="1" x14ac:dyDescent="0.25"/>
    <row r="748" s="39" customFormat="1" ht="13.2" outlineLevel="1" x14ac:dyDescent="0.25"/>
    <row r="749" s="39" customFormat="1" ht="27.75" customHeight="1" outlineLevel="1" x14ac:dyDescent="0.25"/>
    <row r="750" s="39" customFormat="1" ht="13.2" outlineLevel="1" x14ac:dyDescent="0.25"/>
    <row r="751" s="39" customFormat="1" ht="13.2" outlineLevel="1" x14ac:dyDescent="0.25"/>
    <row r="752" s="39" customFormat="1" ht="13.2" outlineLevel="1" x14ac:dyDescent="0.25"/>
    <row r="753" s="39" customFormat="1" ht="13.2" outlineLevel="1" x14ac:dyDescent="0.25"/>
    <row r="754" s="39" customFormat="1" ht="13.2" outlineLevel="1" x14ac:dyDescent="0.25"/>
    <row r="755" s="39" customFormat="1" ht="13.2" outlineLevel="1" x14ac:dyDescent="0.25"/>
    <row r="756" s="39" customFormat="1" ht="27.75" customHeight="1" outlineLevel="1" x14ac:dyDescent="0.25"/>
    <row r="757" s="39" customFormat="1" ht="13.2" outlineLevel="1" x14ac:dyDescent="0.25"/>
    <row r="758" s="39" customFormat="1" ht="13.2" outlineLevel="1" x14ac:dyDescent="0.25"/>
    <row r="759" s="39" customFormat="1" ht="13.2" outlineLevel="1" x14ac:dyDescent="0.25"/>
    <row r="760" s="39" customFormat="1" ht="13.2" outlineLevel="1" x14ac:dyDescent="0.25"/>
    <row r="761" s="39" customFormat="1" ht="13.2" outlineLevel="1" x14ac:dyDescent="0.25"/>
    <row r="762" s="39" customFormat="1" ht="13.2" outlineLevel="1" x14ac:dyDescent="0.25"/>
    <row r="763" s="39" customFormat="1" ht="13.2" outlineLevel="1" x14ac:dyDescent="0.25"/>
    <row r="764" s="39" customFormat="1" ht="13.2" outlineLevel="1" x14ac:dyDescent="0.25"/>
    <row r="765" s="45" customFormat="1" ht="17.25" customHeight="1" x14ac:dyDescent="0.3"/>
    <row r="766" s="39" customFormat="1" ht="13.2" outlineLevel="1" x14ac:dyDescent="0.25"/>
    <row r="767" s="39" customFormat="1" ht="27.75" customHeight="1" outlineLevel="1" x14ac:dyDescent="0.25"/>
    <row r="768" s="39" customFormat="1" ht="13.2" outlineLevel="1" x14ac:dyDescent="0.25"/>
    <row r="769" s="39" customFormat="1" ht="13.2" outlineLevel="1" x14ac:dyDescent="0.25"/>
    <row r="770" s="39" customFormat="1" ht="13.2" outlineLevel="1" x14ac:dyDescent="0.25"/>
    <row r="771" s="39" customFormat="1" ht="13.2" outlineLevel="1" x14ac:dyDescent="0.25"/>
    <row r="772" s="39" customFormat="1" ht="13.2" outlineLevel="1" x14ac:dyDescent="0.25"/>
    <row r="773" s="39" customFormat="1" ht="27.75" customHeight="1" outlineLevel="1" x14ac:dyDescent="0.25"/>
    <row r="774" s="39" customFormat="1" ht="13.2" outlineLevel="1" x14ac:dyDescent="0.25"/>
    <row r="775" s="39" customFormat="1" ht="27.75" customHeight="1" outlineLevel="1" x14ac:dyDescent="0.25"/>
    <row r="776" s="39" customFormat="1" ht="27.75" customHeight="1" outlineLevel="1" x14ac:dyDescent="0.25"/>
    <row r="777" s="39" customFormat="1" ht="27.75" customHeight="1" outlineLevel="1" x14ac:dyDescent="0.25"/>
    <row r="778" s="39" customFormat="1" ht="13.2" outlineLevel="1" x14ac:dyDescent="0.25"/>
    <row r="779" s="39" customFormat="1" ht="13.2" outlineLevel="1" x14ac:dyDescent="0.25"/>
    <row r="780" s="39" customFormat="1" ht="13.2" outlineLevel="1" x14ac:dyDescent="0.25"/>
    <row r="781" s="39" customFormat="1" ht="27.75" customHeight="1" outlineLevel="1" x14ac:dyDescent="0.25"/>
    <row r="782" s="39" customFormat="1" ht="27.75" customHeight="1" outlineLevel="1" x14ac:dyDescent="0.25"/>
    <row r="783" s="45" customFormat="1" ht="17.25" customHeight="1" x14ac:dyDescent="0.3"/>
    <row r="784" s="39" customFormat="1" ht="13.2" outlineLevel="1" x14ac:dyDescent="0.25"/>
    <row r="785" s="39" customFormat="1" ht="13.2" outlineLevel="1" x14ac:dyDescent="0.25"/>
    <row r="786" s="39" customFormat="1" ht="13.2" outlineLevel="1" x14ac:dyDescent="0.25"/>
    <row r="787" s="39" customFormat="1" ht="13.2" outlineLevel="1" x14ac:dyDescent="0.25"/>
    <row r="788" s="39" customFormat="1" ht="27.75" customHeight="1" outlineLevel="1" x14ac:dyDescent="0.25"/>
    <row r="789" s="39" customFormat="1" ht="13.2" outlineLevel="1" x14ac:dyDescent="0.25"/>
    <row r="790" s="39" customFormat="1" ht="13.2" outlineLevel="1" x14ac:dyDescent="0.25"/>
    <row r="791" s="39" customFormat="1" ht="13.2" outlineLevel="1" x14ac:dyDescent="0.25"/>
    <row r="792" s="39" customFormat="1" ht="13.2" outlineLevel="1" x14ac:dyDescent="0.25"/>
    <row r="793" s="39" customFormat="1" ht="13.2" outlineLevel="1" x14ac:dyDescent="0.25"/>
    <row r="794" s="39" customFormat="1" ht="13.2" outlineLevel="1" x14ac:dyDescent="0.25"/>
    <row r="795" s="39" customFormat="1" ht="13.2" outlineLevel="1" x14ac:dyDescent="0.25"/>
    <row r="796" s="39" customFormat="1" ht="13.2" outlineLevel="1" x14ac:dyDescent="0.25"/>
    <row r="797" s="39" customFormat="1" ht="13.2" outlineLevel="1" x14ac:dyDescent="0.25"/>
    <row r="798" s="39" customFormat="1" ht="13.2" outlineLevel="1" x14ac:dyDescent="0.25"/>
    <row r="799" s="39" customFormat="1" ht="13.2" outlineLevel="1" x14ac:dyDescent="0.25"/>
    <row r="800" s="39" customFormat="1" ht="13.2" outlineLevel="1" x14ac:dyDescent="0.25"/>
    <row r="801" s="39" customFormat="1" ht="27.75" customHeight="1" outlineLevel="1" x14ac:dyDescent="0.25"/>
    <row r="802" s="39" customFormat="1" ht="13.2" outlineLevel="1" x14ac:dyDescent="0.25"/>
    <row r="803" s="39" customFormat="1" ht="13.2" outlineLevel="1" x14ac:dyDescent="0.25"/>
    <row r="804" s="39" customFormat="1" ht="13.2" outlineLevel="1" x14ac:dyDescent="0.25"/>
    <row r="805" s="39" customFormat="1" ht="55.5" customHeight="1" outlineLevel="1" x14ac:dyDescent="0.25"/>
    <row r="806" s="39" customFormat="1" ht="13.2" outlineLevel="1" x14ac:dyDescent="0.25"/>
    <row r="807" s="39" customFormat="1" ht="13.2" outlineLevel="1" x14ac:dyDescent="0.25"/>
    <row r="808" s="39" customFormat="1" ht="13.2" outlineLevel="1" x14ac:dyDescent="0.25"/>
    <row r="809" s="39" customFormat="1" ht="27.75" customHeight="1" outlineLevel="1" x14ac:dyDescent="0.25"/>
    <row r="810" s="39" customFormat="1" ht="13.2" outlineLevel="1" x14ac:dyDescent="0.25"/>
    <row r="811" s="39" customFormat="1" ht="27.75" customHeight="1" outlineLevel="1" x14ac:dyDescent="0.25"/>
    <row r="812" s="39" customFormat="1" ht="27.75" customHeight="1" outlineLevel="1" x14ac:dyDescent="0.25"/>
    <row r="813" s="39" customFormat="1" ht="41.7" customHeight="1" outlineLevel="1" x14ac:dyDescent="0.25"/>
    <row r="814" s="39" customFormat="1" ht="27.75" customHeight="1" outlineLevel="1" x14ac:dyDescent="0.25"/>
    <row r="815" s="39" customFormat="1" ht="13.2" outlineLevel="1" x14ac:dyDescent="0.25"/>
    <row r="816" s="39" customFormat="1" ht="13.2" outlineLevel="1" x14ac:dyDescent="0.25"/>
    <row r="817" s="39" customFormat="1" ht="13.2" outlineLevel="1" x14ac:dyDescent="0.25"/>
    <row r="818" s="39" customFormat="1" ht="27.75" customHeight="1" outlineLevel="1" x14ac:dyDescent="0.25"/>
    <row r="819" s="39" customFormat="1" ht="27.75" customHeight="1" outlineLevel="1" x14ac:dyDescent="0.25"/>
    <row r="820" s="39" customFormat="1" ht="13.2" outlineLevel="1" x14ac:dyDescent="0.25"/>
    <row r="821" s="39" customFormat="1" ht="27.75" customHeight="1" outlineLevel="1" x14ac:dyDescent="0.25"/>
    <row r="822" s="39" customFormat="1" ht="13.2" outlineLevel="1" x14ac:dyDescent="0.25"/>
    <row r="823" s="39" customFormat="1" ht="13.2" outlineLevel="1" x14ac:dyDescent="0.25"/>
    <row r="824" s="39" customFormat="1" ht="13.2" outlineLevel="1" x14ac:dyDescent="0.25"/>
    <row r="825" s="39" customFormat="1" ht="13.2" outlineLevel="1" x14ac:dyDescent="0.25"/>
    <row r="826" s="39" customFormat="1" ht="27.75" customHeight="1" outlineLevel="1" x14ac:dyDescent="0.25"/>
    <row r="827" s="39" customFormat="1" ht="13.2" outlineLevel="1" x14ac:dyDescent="0.25"/>
    <row r="828" s="39" customFormat="1" ht="13.2" outlineLevel="1" x14ac:dyDescent="0.25"/>
    <row r="829" s="39" customFormat="1" ht="13.2" outlineLevel="1" x14ac:dyDescent="0.25"/>
    <row r="830" s="39" customFormat="1" ht="13.2" outlineLevel="1" x14ac:dyDescent="0.25"/>
    <row r="831" s="39" customFormat="1" ht="13.2" outlineLevel="1" x14ac:dyDescent="0.25"/>
    <row r="832" s="39" customFormat="1" ht="13.2" outlineLevel="1" x14ac:dyDescent="0.25"/>
    <row r="833" s="39" customFormat="1" ht="13.2" outlineLevel="1" x14ac:dyDescent="0.25"/>
    <row r="834" s="39" customFormat="1" ht="13.2" outlineLevel="1" x14ac:dyDescent="0.25"/>
    <row r="835" s="39" customFormat="1" ht="13.2" outlineLevel="1" x14ac:dyDescent="0.25"/>
    <row r="836" s="45" customFormat="1" ht="17.25" customHeight="1" x14ac:dyDescent="0.3"/>
    <row r="837" s="39" customFormat="1" ht="13.2" outlineLevel="1" x14ac:dyDescent="0.25"/>
    <row r="838" s="39" customFormat="1" ht="27.75" customHeight="1" outlineLevel="1" x14ac:dyDescent="0.25"/>
    <row r="839" s="39" customFormat="1" ht="27.75" customHeight="1" outlineLevel="1" x14ac:dyDescent="0.25"/>
    <row r="840" s="46" customFormat="1" ht="27.75" customHeight="1" outlineLevel="1" x14ac:dyDescent="0.35"/>
    <row r="841" s="39" customFormat="1" ht="22.8" customHeight="1" outlineLevel="1" x14ac:dyDescent="0.25"/>
    <row r="842" s="39" customFormat="1" ht="13.2" outlineLevel="1" x14ac:dyDescent="0.25"/>
    <row r="843" s="39" customFormat="1" ht="13.2" outlineLevel="1" x14ac:dyDescent="0.25"/>
    <row r="844" s="39" customFormat="1" ht="13.2" outlineLevel="1" x14ac:dyDescent="0.25"/>
    <row r="845" s="39" customFormat="1" ht="13.2" outlineLevel="1" x14ac:dyDescent="0.25"/>
    <row r="846" s="39" customFormat="1" ht="13.2" outlineLevel="1" x14ac:dyDescent="0.25"/>
    <row r="847" s="39" customFormat="1" ht="27.75" customHeight="1" outlineLevel="1" x14ac:dyDescent="0.25"/>
    <row r="848" s="39" customFormat="1" ht="27.75" customHeight="1" outlineLevel="1" x14ac:dyDescent="0.25"/>
    <row r="849" s="39" customFormat="1" ht="13.2" outlineLevel="1" x14ac:dyDescent="0.25"/>
    <row r="850" s="39" customFormat="1" ht="13.2" outlineLevel="1" x14ac:dyDescent="0.25"/>
    <row r="851" s="39" customFormat="1" ht="27.75" customHeight="1" outlineLevel="1" x14ac:dyDescent="0.25"/>
    <row r="852" s="39" customFormat="1" ht="13.2" outlineLevel="1" x14ac:dyDescent="0.25"/>
    <row r="853" s="39" customFormat="1" ht="13.2" outlineLevel="1" x14ac:dyDescent="0.25"/>
    <row r="854" s="39" customFormat="1" ht="13.2" outlineLevel="1" x14ac:dyDescent="0.25"/>
    <row r="855" s="39" customFormat="1" ht="13.2" outlineLevel="1" x14ac:dyDescent="0.25"/>
    <row r="856" s="39" customFormat="1" ht="55.5" customHeight="1" outlineLevel="1" x14ac:dyDescent="0.25"/>
    <row r="857" s="39" customFormat="1" ht="13.2" outlineLevel="1" x14ac:dyDescent="0.25"/>
    <row r="858" s="39" customFormat="1" ht="13.2" outlineLevel="1" x14ac:dyDescent="0.25"/>
    <row r="859" s="39" customFormat="1" ht="13.2" outlineLevel="1" x14ac:dyDescent="0.25"/>
    <row r="860" s="39" customFormat="1" ht="13.2" outlineLevel="1" x14ac:dyDescent="0.25"/>
    <row r="861" s="39" customFormat="1" ht="27.75" customHeight="1" outlineLevel="1" x14ac:dyDescent="0.25"/>
    <row r="862" s="39" customFormat="1" ht="55.5" customHeight="1" outlineLevel="1" x14ac:dyDescent="0.25"/>
    <row r="863" s="46" customFormat="1" ht="17.7" customHeight="1" outlineLevel="1" x14ac:dyDescent="0.35"/>
    <row r="864" s="39" customFormat="1" ht="27.75" customHeight="1" outlineLevel="1" x14ac:dyDescent="0.25"/>
    <row r="865" s="39" customFormat="1" ht="13.2" outlineLevel="1" x14ac:dyDescent="0.25"/>
    <row r="866" s="39" customFormat="1" ht="13.2" outlineLevel="1" x14ac:dyDescent="0.25"/>
    <row r="867" s="39" customFormat="1" ht="13.2" outlineLevel="1" x14ac:dyDescent="0.25"/>
    <row r="868" s="39" customFormat="1" ht="13.2" outlineLevel="1" x14ac:dyDescent="0.25"/>
    <row r="869" s="39" customFormat="1" ht="13.2" outlineLevel="1" x14ac:dyDescent="0.25"/>
    <row r="870" s="46" customFormat="1" ht="17.7" customHeight="1" outlineLevel="1" x14ac:dyDescent="0.35"/>
    <row r="871" s="39" customFormat="1" ht="27.75" customHeight="1" outlineLevel="1" x14ac:dyDescent="0.25"/>
    <row r="872" s="45" customFormat="1" ht="17.25" customHeight="1" x14ac:dyDescent="0.3"/>
    <row r="873" s="39" customFormat="1" ht="27.75" customHeight="1" outlineLevel="1" x14ac:dyDescent="0.25"/>
    <row r="874" s="39" customFormat="1" ht="27.75" customHeight="1" outlineLevel="1" x14ac:dyDescent="0.25"/>
    <row r="875" s="39" customFormat="1" ht="27.75" customHeight="1" outlineLevel="1" x14ac:dyDescent="0.25"/>
    <row r="876" s="39" customFormat="1" ht="13.2" outlineLevel="1" x14ac:dyDescent="0.25"/>
    <row r="877" s="39" customFormat="1" ht="13.2" outlineLevel="1" x14ac:dyDescent="0.25"/>
    <row r="878" s="45" customFormat="1" ht="17.25" customHeight="1" x14ac:dyDescent="0.3"/>
    <row r="879" s="39" customFormat="1" ht="13.2" outlineLevel="1" x14ac:dyDescent="0.25"/>
    <row r="880" s="39" customFormat="1" ht="13.2" outlineLevel="1" x14ac:dyDescent="0.25"/>
    <row r="881" s="39" customFormat="1" ht="13.2" outlineLevel="1" x14ac:dyDescent="0.25"/>
    <row r="882" s="39" customFormat="1" ht="27.75" customHeight="1" outlineLevel="1" x14ac:dyDescent="0.25"/>
    <row r="883" s="39" customFormat="1" ht="13.2" outlineLevel="1" x14ac:dyDescent="0.25"/>
    <row r="884" s="39" customFormat="1" ht="13.2" outlineLevel="1" x14ac:dyDescent="0.25"/>
    <row r="885" s="39" customFormat="1" ht="27.75" customHeight="1" outlineLevel="1" x14ac:dyDescent="0.25"/>
    <row r="886" s="39" customFormat="1" ht="27.75" customHeight="1" outlineLevel="1" x14ac:dyDescent="0.25"/>
    <row r="887" s="39" customFormat="1" ht="13.2" outlineLevel="1" x14ac:dyDescent="0.25"/>
    <row r="888" s="39" customFormat="1" ht="13.2" outlineLevel="1" x14ac:dyDescent="0.25"/>
    <row r="889" s="45" customFormat="1" ht="17.25" customHeight="1" x14ac:dyDescent="0.3"/>
    <row r="890" s="39" customFormat="1" ht="27.75" customHeight="1" outlineLevel="1" x14ac:dyDescent="0.25"/>
    <row r="891" s="39" customFormat="1" ht="13.2" outlineLevel="1" x14ac:dyDescent="0.25"/>
    <row r="892" s="39" customFormat="1" ht="13.2" outlineLevel="1" x14ac:dyDescent="0.25"/>
    <row r="893" s="39" customFormat="1" ht="27.75" customHeight="1" outlineLevel="1" x14ac:dyDescent="0.25"/>
    <row r="894" s="39" customFormat="1" ht="13.2" outlineLevel="1" x14ac:dyDescent="0.25"/>
    <row r="895" s="39" customFormat="1" ht="13.2" outlineLevel="1" x14ac:dyDescent="0.25"/>
    <row r="896" s="39" customFormat="1" ht="27.75" customHeight="1" outlineLevel="1" x14ac:dyDescent="0.25"/>
    <row r="897" s="39" customFormat="1" ht="13.2" outlineLevel="1" x14ac:dyDescent="0.25"/>
    <row r="898" s="39" customFormat="1" ht="13.2" outlineLevel="1" x14ac:dyDescent="0.25"/>
    <row r="899" s="39" customFormat="1" ht="13.2" outlineLevel="1" x14ac:dyDescent="0.25"/>
    <row r="900" s="39" customFormat="1" ht="13.2" outlineLevel="1" x14ac:dyDescent="0.25"/>
    <row r="901" s="39" customFormat="1" ht="13.2" outlineLevel="1" x14ac:dyDescent="0.25"/>
    <row r="902" s="39" customFormat="1" ht="13.2" outlineLevel="1" x14ac:dyDescent="0.25"/>
    <row r="903" s="39" customFormat="1" ht="13.2" outlineLevel="1" x14ac:dyDescent="0.25"/>
    <row r="904" s="39" customFormat="1" ht="13.2" outlineLevel="1" x14ac:dyDescent="0.25"/>
    <row r="905" s="45" customFormat="1" ht="17.25" customHeight="1" x14ac:dyDescent="0.3"/>
    <row r="906" s="39" customFormat="1" ht="27.75" customHeight="1" outlineLevel="1" x14ac:dyDescent="0.25"/>
    <row r="907" s="39" customFormat="1" ht="13.2" outlineLevel="1" x14ac:dyDescent="0.25"/>
    <row r="908" s="45" customFormat="1" ht="17.25" customHeight="1" x14ac:dyDescent="0.3"/>
    <row r="909" s="39" customFormat="1" ht="13.2" outlineLevel="1" x14ac:dyDescent="0.25"/>
    <row r="910" s="39" customFormat="1" ht="13.2" outlineLevel="1" x14ac:dyDescent="0.25"/>
    <row r="911" s="39" customFormat="1" ht="13.2" outlineLevel="1" x14ac:dyDescent="0.25"/>
    <row r="912" s="39" customFormat="1" ht="27.75" customHeight="1" outlineLevel="1" x14ac:dyDescent="0.25"/>
    <row r="913" s="39" customFormat="1" ht="13.2" outlineLevel="1" x14ac:dyDescent="0.25"/>
    <row r="914" s="39" customFormat="1" ht="27.75" customHeight="1" outlineLevel="1" x14ac:dyDescent="0.25"/>
    <row r="915" s="39" customFormat="1" ht="13.2" outlineLevel="1" x14ac:dyDescent="0.25"/>
    <row r="916" s="39" customFormat="1" ht="13.2" outlineLevel="1" x14ac:dyDescent="0.25"/>
    <row r="917" s="39" customFormat="1" ht="27.75" customHeight="1" outlineLevel="1" x14ac:dyDescent="0.25"/>
    <row r="918" s="45" customFormat="1" ht="17.25" customHeight="1" x14ac:dyDescent="0.3"/>
    <row r="919" s="39" customFormat="1" ht="27.75" customHeight="1" outlineLevel="1" x14ac:dyDescent="0.25"/>
    <row r="920" s="39" customFormat="1" ht="27.75" customHeight="1" outlineLevel="1" x14ac:dyDescent="0.25"/>
    <row r="921" s="39" customFormat="1" ht="13.2" outlineLevel="1" x14ac:dyDescent="0.25"/>
    <row r="922" s="39" customFormat="1" ht="13.2" outlineLevel="1" x14ac:dyDescent="0.25"/>
    <row r="923" s="45" customFormat="1" ht="17.25" customHeight="1" x14ac:dyDescent="0.3"/>
    <row r="924" s="39" customFormat="1" ht="13.2" outlineLevel="1" x14ac:dyDescent="0.25"/>
    <row r="925" s="39" customFormat="1" ht="27.75" customHeight="1" outlineLevel="1" x14ac:dyDescent="0.25"/>
    <row r="926" s="39" customFormat="1" ht="13.2" outlineLevel="1" x14ac:dyDescent="0.25"/>
    <row r="927" s="45" customFormat="1" ht="18" customHeight="1" x14ac:dyDescent="0.3"/>
    <row r="928" s="39" customFormat="1" ht="13.2" outlineLevel="1" x14ac:dyDescent="0.25"/>
    <row r="929" s="39" customFormat="1" ht="27.75" customHeight="1" outlineLevel="1" x14ac:dyDescent="0.25"/>
    <row r="930" s="45" customFormat="1" ht="17.25" customHeight="1" x14ac:dyDescent="0.3"/>
    <row r="931" s="39" customFormat="1" ht="13.2" outlineLevel="1" x14ac:dyDescent="0.25"/>
    <row r="932" s="39" customFormat="1" ht="27.75" customHeight="1" outlineLevel="1" x14ac:dyDescent="0.25"/>
    <row r="933" s="39" customFormat="1" ht="27.75" customHeight="1" outlineLevel="1" x14ac:dyDescent="0.25"/>
    <row r="934" s="39" customFormat="1" ht="27.75" customHeight="1" outlineLevel="1" x14ac:dyDescent="0.25"/>
    <row r="935" s="45" customFormat="1" ht="17.25" customHeight="1" x14ac:dyDescent="0.3"/>
    <row r="936" s="39" customFormat="1" ht="13.2" outlineLevel="1" x14ac:dyDescent="0.25"/>
    <row r="937" s="39" customFormat="1" ht="27.75" customHeight="1" outlineLevel="1" x14ac:dyDescent="0.25"/>
    <row r="938" s="45" customFormat="1" ht="17.25" customHeight="1" x14ac:dyDescent="0.3"/>
    <row r="939" s="39" customFormat="1" ht="27.75" customHeight="1" outlineLevel="1" x14ac:dyDescent="0.25"/>
    <row r="940" s="39" customFormat="1" ht="27.75" customHeight="1" outlineLevel="1" x14ac:dyDescent="0.25"/>
    <row r="941" s="39" customFormat="1" ht="13.2" outlineLevel="1" x14ac:dyDescent="0.25"/>
    <row r="942" s="39" customFormat="1" ht="13.2" outlineLevel="1" x14ac:dyDescent="0.25"/>
    <row r="943" s="39" customFormat="1" ht="13.2" outlineLevel="1" x14ac:dyDescent="0.25"/>
    <row r="944" s="39" customFormat="1" ht="13.2" outlineLevel="1" x14ac:dyDescent="0.25"/>
    <row r="945" s="39" customFormat="1" ht="13.2" outlineLevel="1" x14ac:dyDescent="0.25"/>
    <row r="946" s="39" customFormat="1" ht="13.2" outlineLevel="1" x14ac:dyDescent="0.25"/>
    <row r="947" s="39" customFormat="1" ht="13.2" outlineLevel="1" x14ac:dyDescent="0.25"/>
    <row r="948" s="39" customFormat="1" ht="13.2" outlineLevel="1" x14ac:dyDescent="0.25"/>
    <row r="949" s="39" customFormat="1" ht="13.2" outlineLevel="1" x14ac:dyDescent="0.25"/>
    <row r="950" s="39" customFormat="1" ht="13.2" outlineLevel="1" x14ac:dyDescent="0.25"/>
    <row r="951" s="39" customFormat="1" ht="13.2" outlineLevel="1" x14ac:dyDescent="0.25"/>
    <row r="952" s="39" customFormat="1" ht="27.75" customHeight="1" outlineLevel="1" x14ac:dyDescent="0.25"/>
    <row r="953" s="39" customFormat="1" ht="27.75" customHeight="1" outlineLevel="1" x14ac:dyDescent="0.25"/>
    <row r="954" s="39" customFormat="1" ht="13.2" outlineLevel="1" x14ac:dyDescent="0.25"/>
    <row r="955" s="39" customFormat="1" ht="27.75" customHeight="1" outlineLevel="1" x14ac:dyDescent="0.25"/>
    <row r="956" s="39" customFormat="1" ht="13.2" outlineLevel="1" x14ac:dyDescent="0.25"/>
    <row r="957" s="39" customFormat="1" ht="27.75" customHeight="1" outlineLevel="1" x14ac:dyDescent="0.25"/>
    <row r="958" s="39" customFormat="1" ht="13.2" outlineLevel="1" x14ac:dyDescent="0.25"/>
    <row r="959" s="39" customFormat="1" ht="13.2" outlineLevel="1" x14ac:dyDescent="0.25"/>
    <row r="960" s="39" customFormat="1" ht="27.75" customHeight="1" outlineLevel="1" x14ac:dyDescent="0.25"/>
    <row r="961" s="39" customFormat="1" ht="13.2" outlineLevel="1" x14ac:dyDescent="0.25"/>
    <row r="962" s="39" customFormat="1" ht="13.2" outlineLevel="1" x14ac:dyDescent="0.25"/>
    <row r="963" s="39" customFormat="1" ht="27.75" customHeight="1" outlineLevel="1" x14ac:dyDescent="0.25"/>
    <row r="964" s="39" customFormat="1" ht="13.2" outlineLevel="1" x14ac:dyDescent="0.25"/>
    <row r="965" s="39" customFormat="1" ht="13.2" outlineLevel="1" x14ac:dyDescent="0.25"/>
    <row r="966" s="39" customFormat="1" ht="13.2" outlineLevel="1" x14ac:dyDescent="0.25"/>
    <row r="967" s="39" customFormat="1" ht="27.75" customHeight="1" outlineLevel="1" x14ac:dyDescent="0.25"/>
    <row r="968" s="39" customFormat="1" ht="13.2" outlineLevel="1" x14ac:dyDescent="0.25"/>
    <row r="969" s="39" customFormat="1" ht="13.2" outlineLevel="1" x14ac:dyDescent="0.25"/>
    <row r="970" s="45" customFormat="1" ht="19.2" customHeight="1" x14ac:dyDescent="0.3"/>
    <row r="971" s="39" customFormat="1" ht="27.75" customHeight="1" outlineLevel="1" x14ac:dyDescent="0.25"/>
    <row r="972" s="39" customFormat="1" ht="13.2" outlineLevel="1" x14ac:dyDescent="0.25"/>
    <row r="973" s="39" customFormat="1" ht="13.2" outlineLevel="1" x14ac:dyDescent="0.25"/>
    <row r="974" s="39" customFormat="1" ht="13.2" outlineLevel="1" x14ac:dyDescent="0.25"/>
    <row r="975" s="39" customFormat="1" ht="13.2" outlineLevel="1" x14ac:dyDescent="0.25"/>
    <row r="976" s="39" customFormat="1" ht="27.75" customHeight="1" outlineLevel="1" x14ac:dyDescent="0.25"/>
    <row r="977" s="39" customFormat="1" ht="13.2" outlineLevel="1" x14ac:dyDescent="0.25"/>
    <row r="978" s="39" customFormat="1" ht="13.2" outlineLevel="1" x14ac:dyDescent="0.25"/>
    <row r="979" s="39" customFormat="1" ht="13.2" outlineLevel="1" x14ac:dyDescent="0.25"/>
    <row r="980" s="39" customFormat="1" ht="27.75" customHeight="1" outlineLevel="1" x14ac:dyDescent="0.25"/>
    <row r="981" s="39" customFormat="1" ht="27.75" customHeight="1" outlineLevel="1" x14ac:dyDescent="0.25"/>
    <row r="982" s="45" customFormat="1" ht="17.25" customHeight="1" x14ac:dyDescent="0.3"/>
    <row r="983" s="39" customFormat="1" ht="13.2" outlineLevel="1" x14ac:dyDescent="0.25"/>
    <row r="984" s="39" customFormat="1" ht="13.2" outlineLevel="1" x14ac:dyDescent="0.25"/>
    <row r="985" s="39" customFormat="1" ht="13.2" outlineLevel="1" x14ac:dyDescent="0.25"/>
    <row r="986" s="39" customFormat="1" ht="13.2" outlineLevel="1" x14ac:dyDescent="0.25"/>
    <row r="987" s="39" customFormat="1" ht="27.75" customHeight="1" outlineLevel="1" x14ac:dyDescent="0.25"/>
    <row r="988" s="39" customFormat="1" ht="13.2" outlineLevel="1" x14ac:dyDescent="0.25"/>
    <row r="989" s="39" customFormat="1" ht="27.75" customHeight="1" outlineLevel="1" x14ac:dyDescent="0.25"/>
    <row r="990" s="39" customFormat="1" ht="13.2" outlineLevel="1" x14ac:dyDescent="0.25"/>
    <row r="991" s="39" customFormat="1" ht="13.2" outlineLevel="1" x14ac:dyDescent="0.25"/>
    <row r="992" s="45" customFormat="1" ht="17.25" customHeight="1" x14ac:dyDescent="0.3"/>
    <row r="993" s="39" customFormat="1" ht="27.75" customHeight="1" outlineLevel="1" x14ac:dyDescent="0.25"/>
    <row r="994" s="39" customFormat="1" ht="27.75" customHeight="1" outlineLevel="1" x14ac:dyDescent="0.25"/>
    <row r="995" s="39" customFormat="1" ht="27.75" customHeight="1" outlineLevel="1" x14ac:dyDescent="0.25"/>
    <row r="996" s="39" customFormat="1" ht="13.2" outlineLevel="1" x14ac:dyDescent="0.25"/>
    <row r="997" s="39" customFormat="1" ht="13.2" outlineLevel="1" x14ac:dyDescent="0.25"/>
    <row r="998" s="39" customFormat="1" ht="13.2" outlineLevel="1" x14ac:dyDescent="0.25"/>
    <row r="999" s="45" customFormat="1" ht="17.25" customHeight="1" x14ac:dyDescent="0.3"/>
    <row r="1000" s="39" customFormat="1" ht="13.2" outlineLevel="1" x14ac:dyDescent="0.25"/>
    <row r="1001" s="39" customFormat="1" ht="13.2" outlineLevel="1" x14ac:dyDescent="0.25"/>
    <row r="1002" s="39" customFormat="1" ht="13.2" outlineLevel="1" x14ac:dyDescent="0.25"/>
    <row r="1003" s="39" customFormat="1" ht="13.2" outlineLevel="1" x14ac:dyDescent="0.25"/>
    <row r="1004" s="39" customFormat="1" ht="13.2" outlineLevel="1" x14ac:dyDescent="0.25"/>
    <row r="1005" s="39" customFormat="1" ht="27.75" customHeight="1" outlineLevel="1" x14ac:dyDescent="0.25"/>
    <row r="1006" s="39" customFormat="1" ht="27.75" customHeight="1" outlineLevel="1" x14ac:dyDescent="0.25"/>
    <row r="1007" s="39" customFormat="1" ht="27.75" customHeight="1" outlineLevel="1" x14ac:dyDescent="0.25"/>
    <row r="1008" s="45" customFormat="1" ht="17.25" customHeight="1" x14ac:dyDescent="0.3"/>
    <row r="1009" s="39" customFormat="1" ht="27.75" customHeight="1" outlineLevel="1" x14ac:dyDescent="0.25"/>
    <row r="1010" s="39" customFormat="1" ht="27.75" customHeight="1" outlineLevel="1" x14ac:dyDescent="0.25"/>
    <row r="1011" s="39" customFormat="1" ht="13.2" outlineLevel="1" x14ac:dyDescent="0.25"/>
    <row r="1012" s="39" customFormat="1" ht="13.2" outlineLevel="1" x14ac:dyDescent="0.25"/>
    <row r="1013" s="39" customFormat="1" ht="27.75" customHeight="1" outlineLevel="1" x14ac:dyDescent="0.25"/>
    <row r="1014" s="39" customFormat="1" ht="13.2" outlineLevel="1" x14ac:dyDescent="0.25"/>
    <row r="1015" s="39" customFormat="1" ht="13.2" outlineLevel="1" x14ac:dyDescent="0.25"/>
    <row r="1016" s="39" customFormat="1" ht="41.7" customHeight="1" outlineLevel="1" x14ac:dyDescent="0.25"/>
    <row r="1017" s="39" customFormat="1" ht="13.2" outlineLevel="1" x14ac:dyDescent="0.25"/>
    <row r="1018" s="39" customFormat="1" ht="13.2" outlineLevel="1" x14ac:dyDescent="0.25"/>
    <row r="1019" s="39" customFormat="1" ht="27.75" customHeight="1" outlineLevel="1" x14ac:dyDescent="0.25"/>
    <row r="1020" s="39" customFormat="1" ht="13.2" outlineLevel="1" x14ac:dyDescent="0.25"/>
    <row r="1021" s="39" customFormat="1" ht="13.2" outlineLevel="1" x14ac:dyDescent="0.25"/>
    <row r="1022" s="39" customFormat="1" ht="27.75" customHeight="1" outlineLevel="1" x14ac:dyDescent="0.25"/>
    <row r="1023" s="39" customFormat="1" ht="13.2" outlineLevel="1" x14ac:dyDescent="0.25"/>
    <row r="1024" s="39" customFormat="1" ht="13.2" outlineLevel="1" x14ac:dyDescent="0.25"/>
    <row r="1025" s="39" customFormat="1" ht="27.75" customHeight="1" outlineLevel="1" x14ac:dyDescent="0.25"/>
    <row r="1026" s="39" customFormat="1" ht="13.2" outlineLevel="1" x14ac:dyDescent="0.25"/>
    <row r="1027" s="39" customFormat="1" ht="13.2" outlineLevel="1" x14ac:dyDescent="0.25"/>
    <row r="1028" s="39" customFormat="1" ht="13.2" outlineLevel="1" x14ac:dyDescent="0.25"/>
    <row r="1029" s="39" customFormat="1" ht="13.2" outlineLevel="1" x14ac:dyDescent="0.25"/>
    <row r="1030" s="39" customFormat="1" ht="13.2" outlineLevel="1" x14ac:dyDescent="0.25"/>
    <row r="1031" s="39" customFormat="1" ht="13.2" outlineLevel="1" x14ac:dyDescent="0.25"/>
    <row r="1032" s="39" customFormat="1" ht="13.2" outlineLevel="1" x14ac:dyDescent="0.25"/>
    <row r="1033" s="39" customFormat="1" ht="13.2" outlineLevel="1" x14ac:dyDescent="0.25"/>
    <row r="1034" s="46" customFormat="1" ht="41.7" customHeight="1" outlineLevel="1" x14ac:dyDescent="0.35"/>
    <row r="1035" s="39" customFormat="1" ht="13.2" outlineLevel="1" x14ac:dyDescent="0.25"/>
    <row r="1036" s="39" customFormat="1" ht="13.2" outlineLevel="1" x14ac:dyDescent="0.25"/>
    <row r="1037" s="39" customFormat="1" ht="13.2" outlineLevel="1" x14ac:dyDescent="0.25"/>
    <row r="1038" s="39" customFormat="1" ht="13.2" outlineLevel="1" x14ac:dyDescent="0.25"/>
    <row r="1039" s="39" customFormat="1" ht="27.75" customHeight="1" outlineLevel="1" x14ac:dyDescent="0.25"/>
    <row r="1040" s="39" customFormat="1" ht="13.2" outlineLevel="1" x14ac:dyDescent="0.25"/>
    <row r="1041" s="39" customFormat="1" ht="13.2" outlineLevel="1" x14ac:dyDescent="0.25"/>
    <row r="1042" s="39" customFormat="1" ht="13.2" outlineLevel="1" x14ac:dyDescent="0.25"/>
    <row r="1043" s="39" customFormat="1" ht="27.75" customHeight="1" outlineLevel="1" x14ac:dyDescent="0.25"/>
    <row r="1044" s="39" customFormat="1" ht="13.2" outlineLevel="1" x14ac:dyDescent="0.25"/>
    <row r="1045" s="39" customFormat="1" ht="13.2" outlineLevel="1" x14ac:dyDescent="0.25"/>
    <row r="1046" s="39" customFormat="1" ht="27.75" customHeight="1" outlineLevel="1" x14ac:dyDescent="0.25"/>
    <row r="1047" s="45" customFormat="1" ht="17.25" customHeight="1" x14ac:dyDescent="0.3"/>
    <row r="1048" s="39" customFormat="1" ht="27.75" customHeight="1" outlineLevel="1" x14ac:dyDescent="0.25"/>
    <row r="1049" s="39" customFormat="1" ht="13.2" outlineLevel="1" x14ac:dyDescent="0.25"/>
    <row r="1050" s="39" customFormat="1" ht="13.2" outlineLevel="1" x14ac:dyDescent="0.25"/>
    <row r="1051" s="39" customFormat="1" ht="13.2" outlineLevel="1" x14ac:dyDescent="0.25"/>
    <row r="1052" s="39" customFormat="1" ht="13.2" outlineLevel="1" x14ac:dyDescent="0.25"/>
    <row r="1053" s="45" customFormat="1" ht="17.25" customHeight="1" x14ac:dyDescent="0.3"/>
    <row r="1054" s="39" customFormat="1" ht="13.2" outlineLevel="1" x14ac:dyDescent="0.25"/>
    <row r="1055" s="39" customFormat="1" ht="13.2" outlineLevel="1" x14ac:dyDescent="0.25"/>
    <row r="1056" s="39" customFormat="1" ht="13.2" outlineLevel="1" x14ac:dyDescent="0.25"/>
    <row r="1057" s="39" customFormat="1" ht="13.2" outlineLevel="1" x14ac:dyDescent="0.25"/>
    <row r="1058" s="39" customFormat="1" ht="13.2" outlineLevel="1" x14ac:dyDescent="0.25"/>
    <row r="1059" s="39" customFormat="1" ht="13.2" outlineLevel="1" x14ac:dyDescent="0.25"/>
    <row r="1060" s="39" customFormat="1" ht="27.75" customHeight="1" outlineLevel="1" x14ac:dyDescent="0.25"/>
    <row r="1061" s="39" customFormat="1" ht="13.2" outlineLevel="1" x14ac:dyDescent="0.25"/>
    <row r="1062" s="39" customFormat="1" ht="13.2" outlineLevel="1" x14ac:dyDescent="0.25"/>
    <row r="1063" s="39" customFormat="1" ht="13.2" outlineLevel="1" x14ac:dyDescent="0.25"/>
    <row r="1064" s="46" customFormat="1" ht="27.75" customHeight="1" outlineLevel="1" x14ac:dyDescent="0.35"/>
    <row r="1065" s="39" customFormat="1" ht="13.2" outlineLevel="1" x14ac:dyDescent="0.25"/>
    <row r="1066" s="39" customFormat="1" ht="13.2" outlineLevel="1" x14ac:dyDescent="0.25"/>
    <row r="1067" s="39" customFormat="1" ht="13.2" outlineLevel="1" x14ac:dyDescent="0.25"/>
    <row r="1068" s="39" customFormat="1" ht="27.75" customHeight="1" outlineLevel="1" x14ac:dyDescent="0.25"/>
    <row r="1069" s="39" customFormat="1" ht="13.2" outlineLevel="1" x14ac:dyDescent="0.25"/>
    <row r="1070" s="39" customFormat="1" ht="13.2" outlineLevel="1" x14ac:dyDescent="0.25"/>
    <row r="1071" s="39" customFormat="1" ht="13.2" outlineLevel="1" x14ac:dyDescent="0.25"/>
    <row r="1072" s="39" customFormat="1" ht="13.2" outlineLevel="1" x14ac:dyDescent="0.25"/>
    <row r="1073" s="39" customFormat="1" ht="13.2" outlineLevel="1" x14ac:dyDescent="0.25"/>
    <row r="1074" s="39" customFormat="1" ht="13.2" outlineLevel="1" x14ac:dyDescent="0.25"/>
    <row r="1075" s="39" customFormat="1" ht="36" customHeight="1" outlineLevel="1" x14ac:dyDescent="0.25"/>
    <row r="1076" s="45" customFormat="1" ht="17.25" customHeight="1" x14ac:dyDescent="0.3"/>
    <row r="1077" s="39" customFormat="1" ht="41.7" customHeight="1" outlineLevel="1" x14ac:dyDescent="0.25"/>
    <row r="1078" s="39" customFormat="1" ht="13.2" outlineLevel="1" x14ac:dyDescent="0.25"/>
    <row r="1079" s="39" customFormat="1" ht="27.75" customHeight="1" outlineLevel="1" x14ac:dyDescent="0.25"/>
    <row r="1080" s="39" customFormat="1" ht="27.75" customHeight="1" outlineLevel="1" x14ac:dyDescent="0.25"/>
    <row r="1081" s="45" customFormat="1" ht="17.25" customHeight="1" x14ac:dyDescent="0.3"/>
    <row r="1082" s="39" customFormat="1" ht="27.75" customHeight="1" outlineLevel="1" x14ac:dyDescent="0.25"/>
    <row r="1083" s="39" customFormat="1" ht="13.2" outlineLevel="1" x14ac:dyDescent="0.25"/>
    <row r="1084" s="39" customFormat="1" ht="13.2" outlineLevel="1" x14ac:dyDescent="0.25"/>
    <row r="1085" s="46" customFormat="1" ht="17.7" customHeight="1" outlineLevel="1" x14ac:dyDescent="0.35"/>
    <row r="1086" s="39" customFormat="1" ht="22.8" customHeight="1" outlineLevel="1" x14ac:dyDescent="0.25"/>
    <row r="1087" s="39" customFormat="1" ht="47.4" customHeight="1" outlineLevel="1" x14ac:dyDescent="0.25"/>
    <row r="1088" s="45" customFormat="1" ht="17.25" customHeight="1" x14ac:dyDescent="0.3"/>
    <row r="1089" s="39" customFormat="1" ht="13.2" outlineLevel="1" x14ac:dyDescent="0.25"/>
    <row r="1090" s="39" customFormat="1" ht="27.75" customHeight="1" outlineLevel="1" x14ac:dyDescent="0.25"/>
    <row r="1091" s="39" customFormat="1" ht="27.75" customHeight="1" outlineLevel="1" x14ac:dyDescent="0.25"/>
    <row r="1092" s="39" customFormat="1" ht="27.75" customHeight="1" outlineLevel="1" x14ac:dyDescent="0.25"/>
    <row r="1093" s="39" customFormat="1" ht="13.2" outlineLevel="1" x14ac:dyDescent="0.25"/>
    <row r="1094" s="39" customFormat="1" ht="13.2" outlineLevel="1" x14ac:dyDescent="0.25"/>
    <row r="1095" s="39" customFormat="1" ht="57.75" customHeight="1" outlineLevel="1" x14ac:dyDescent="0.25"/>
    <row r="1096" s="39" customFormat="1" ht="34.5" customHeight="1" outlineLevel="1" x14ac:dyDescent="0.25"/>
    <row r="1097" s="39" customFormat="1" ht="27.75" customHeight="1" outlineLevel="1" x14ac:dyDescent="0.25"/>
    <row r="1098" s="45" customFormat="1" ht="17.25" customHeight="1" x14ac:dyDescent="0.3"/>
    <row r="1099" s="39" customFormat="1" ht="27.75" customHeight="1" outlineLevel="1" x14ac:dyDescent="0.25"/>
    <row r="1100" s="39" customFormat="1" ht="27.75" customHeight="1" outlineLevel="1" x14ac:dyDescent="0.25"/>
    <row r="1101" s="45" customFormat="1" ht="17.25" customHeight="1" x14ac:dyDescent="0.3"/>
    <row r="1102" s="39" customFormat="1" ht="27.75" customHeight="1" outlineLevel="1" x14ac:dyDescent="0.25"/>
    <row r="1103" s="39" customFormat="1" ht="27.75" customHeight="1" outlineLevel="1" x14ac:dyDescent="0.25"/>
    <row r="1104" s="39" customFormat="1" ht="13.2" outlineLevel="1" x14ac:dyDescent="0.25"/>
    <row r="1105" s="45" customFormat="1" ht="17.25" customHeight="1" x14ac:dyDescent="0.3"/>
    <row r="1106" s="39" customFormat="1" ht="27.75" customHeight="1" outlineLevel="1" x14ac:dyDescent="0.25"/>
    <row r="1107" s="39" customFormat="1" ht="27.75" customHeight="1" outlineLevel="1" x14ac:dyDescent="0.25"/>
    <row r="1108" s="39" customFormat="1" ht="13.2" outlineLevel="1" x14ac:dyDescent="0.25"/>
    <row r="1109" s="39" customFormat="1" ht="13.2" outlineLevel="1" x14ac:dyDescent="0.25"/>
    <row r="1110" s="39" customFormat="1" ht="13.2" outlineLevel="1" x14ac:dyDescent="0.25"/>
    <row r="1111" s="39" customFormat="1" ht="13.2" outlineLevel="1" x14ac:dyDescent="0.25"/>
    <row r="1112" s="39" customFormat="1" ht="13.2" outlineLevel="1" x14ac:dyDescent="0.25"/>
    <row r="1113" s="39" customFormat="1" ht="13.2" outlineLevel="1" x14ac:dyDescent="0.25"/>
    <row r="1114" s="39" customFormat="1" ht="13.2" outlineLevel="1" x14ac:dyDescent="0.25"/>
    <row r="1115" s="39" customFormat="1" ht="13.2" outlineLevel="1" x14ac:dyDescent="0.25"/>
    <row r="1116" s="39" customFormat="1" ht="27.75" customHeight="1" outlineLevel="1" x14ac:dyDescent="0.25"/>
    <row r="1117" s="39" customFormat="1" ht="13.2" outlineLevel="1" x14ac:dyDescent="0.25"/>
    <row r="1118" s="39" customFormat="1" ht="13.2" outlineLevel="1" x14ac:dyDescent="0.25"/>
    <row r="1119" s="39" customFormat="1" ht="27.75" customHeight="1" outlineLevel="1" x14ac:dyDescent="0.25"/>
    <row r="1120" s="39" customFormat="1" ht="13.2" outlineLevel="1" x14ac:dyDescent="0.25"/>
    <row r="1121" s="39" customFormat="1" ht="13.2" outlineLevel="1" x14ac:dyDescent="0.25"/>
    <row r="1122" s="39" customFormat="1" ht="27.75" customHeight="1" outlineLevel="1" x14ac:dyDescent="0.25"/>
    <row r="1123" s="39" customFormat="1" ht="13.2" outlineLevel="1" x14ac:dyDescent="0.25"/>
    <row r="1124" s="39" customFormat="1" ht="13.2" outlineLevel="1" x14ac:dyDescent="0.25"/>
    <row r="1125" s="39" customFormat="1" ht="27.75" customHeight="1" outlineLevel="1" x14ac:dyDescent="0.25"/>
    <row r="1126" s="39" customFormat="1" ht="13.2" outlineLevel="1" x14ac:dyDescent="0.25"/>
    <row r="1127" s="39" customFormat="1" ht="13.2" outlineLevel="1" x14ac:dyDescent="0.25"/>
    <row r="1128" s="39" customFormat="1" ht="27.75" customHeight="1" outlineLevel="1" x14ac:dyDescent="0.25"/>
    <row r="1129" s="45" customFormat="1" ht="17.25" customHeight="1" x14ac:dyDescent="0.3"/>
    <row r="1130" s="39" customFormat="1" ht="13.2" outlineLevel="1" x14ac:dyDescent="0.25"/>
    <row r="1131" s="39" customFormat="1" ht="13.2" outlineLevel="1" x14ac:dyDescent="0.25"/>
    <row r="1132" s="39" customFormat="1" ht="13.2" outlineLevel="1" x14ac:dyDescent="0.25"/>
    <row r="1133" s="39" customFormat="1" ht="13.2" outlineLevel="1" x14ac:dyDescent="0.25"/>
    <row r="1134" s="39" customFormat="1" ht="13.2" outlineLevel="1" x14ac:dyDescent="0.25"/>
    <row r="1135" s="39" customFormat="1" ht="27.75" customHeight="1" outlineLevel="1" x14ac:dyDescent="0.25"/>
    <row r="1136" s="39" customFormat="1" ht="13.2" outlineLevel="1" x14ac:dyDescent="0.25"/>
    <row r="1137" s="39" customFormat="1" ht="27.75" customHeight="1" outlineLevel="1" x14ac:dyDescent="0.25"/>
    <row r="1138" s="39" customFormat="1" ht="27.75" customHeight="1" outlineLevel="1" x14ac:dyDescent="0.25"/>
    <row r="1139" s="39" customFormat="1" ht="13.2" outlineLevel="1" x14ac:dyDescent="0.25"/>
    <row r="1140" s="39" customFormat="1" ht="13.2" outlineLevel="1" x14ac:dyDescent="0.25"/>
    <row r="1141" s="39" customFormat="1" ht="13.2" outlineLevel="1" x14ac:dyDescent="0.25"/>
    <row r="1142" s="39" customFormat="1" ht="13.2" outlineLevel="1" x14ac:dyDescent="0.25"/>
    <row r="1143" s="39" customFormat="1" ht="27.75" customHeight="1" outlineLevel="1" x14ac:dyDescent="0.25"/>
    <row r="1144" s="39" customFormat="1" ht="27.75" customHeight="1" outlineLevel="1" x14ac:dyDescent="0.25"/>
    <row r="1145" s="39" customFormat="1" ht="27.75" customHeight="1" outlineLevel="1" x14ac:dyDescent="0.25"/>
    <row r="1146" s="39" customFormat="1" ht="27.75" customHeight="1" outlineLevel="1" x14ac:dyDescent="0.25"/>
    <row r="1147" s="45" customFormat="1" ht="17.25" customHeight="1" x14ac:dyDescent="0.3"/>
    <row r="1148" s="39" customFormat="1" ht="13.2" outlineLevel="1" x14ac:dyDescent="0.25"/>
    <row r="1149" s="45" customFormat="1" ht="17.25" customHeight="1" x14ac:dyDescent="0.3"/>
    <row r="1150" s="45" customFormat="1" ht="17.25" customHeight="1" x14ac:dyDescent="0.3"/>
    <row r="1151" s="39" customFormat="1" ht="41.7" customHeight="1" outlineLevel="1" x14ac:dyDescent="0.25"/>
    <row r="1152" s="39" customFormat="1" ht="27.75" customHeight="1" outlineLevel="1" x14ac:dyDescent="0.25"/>
    <row r="1153" s="39" customFormat="1" ht="41.7" customHeight="1" outlineLevel="1" x14ac:dyDescent="0.25"/>
    <row r="1154" s="39" customFormat="1" ht="27.75" customHeight="1" outlineLevel="1" x14ac:dyDescent="0.25"/>
    <row r="1155" s="39" customFormat="1" ht="13.2" outlineLevel="1" x14ac:dyDescent="0.25"/>
    <row r="1156" s="39" customFormat="1" ht="13.2" outlineLevel="1" x14ac:dyDescent="0.25"/>
    <row r="1157" s="39" customFormat="1" ht="13.2" outlineLevel="1" x14ac:dyDescent="0.25"/>
    <row r="1158" s="39" customFormat="1" ht="13.2" outlineLevel="1" x14ac:dyDescent="0.25"/>
    <row r="1159" s="39" customFormat="1" ht="13.2" outlineLevel="1" x14ac:dyDescent="0.25"/>
    <row r="1160" s="39" customFormat="1" ht="27.75" customHeight="1" outlineLevel="1" x14ac:dyDescent="0.25"/>
    <row r="1161" s="39" customFormat="1" ht="35.25" customHeight="1" outlineLevel="1" x14ac:dyDescent="0.25"/>
    <row r="1162" s="39" customFormat="1" ht="13.2" outlineLevel="1" x14ac:dyDescent="0.25"/>
    <row r="1163" s="39" customFormat="1" ht="13.2" outlineLevel="1" x14ac:dyDescent="0.25"/>
    <row r="1164" s="39" customFormat="1" ht="13.2" outlineLevel="1" x14ac:dyDescent="0.25"/>
    <row r="1165" s="39" customFormat="1" ht="27.75" customHeight="1" outlineLevel="1" x14ac:dyDescent="0.25"/>
    <row r="1166" s="39" customFormat="1" ht="27.75" customHeight="1" outlineLevel="1" x14ac:dyDescent="0.25"/>
    <row r="1167" s="39" customFormat="1" ht="27.75" customHeight="1" outlineLevel="1" x14ac:dyDescent="0.25"/>
    <row r="1168" s="39" customFormat="1" ht="27.75" customHeight="1" outlineLevel="1" x14ac:dyDescent="0.25"/>
    <row r="1169" s="39" customFormat="1" ht="13.2" outlineLevel="1" x14ac:dyDescent="0.25"/>
    <row r="1170" s="39" customFormat="1" ht="13.2" outlineLevel="1" x14ac:dyDescent="0.25"/>
    <row r="1171" s="39" customFormat="1" ht="13.2" outlineLevel="1" x14ac:dyDescent="0.25"/>
    <row r="1172" s="39" customFormat="1" ht="13.2" outlineLevel="1" x14ac:dyDescent="0.25"/>
    <row r="1173" s="45" customFormat="1" ht="17.25" customHeight="1" x14ac:dyDescent="0.3"/>
    <row r="1174" s="39" customFormat="1" ht="27.75" customHeight="1" outlineLevel="1" x14ac:dyDescent="0.25"/>
    <row r="1175" s="39" customFormat="1" ht="27.75" customHeight="1" outlineLevel="1" x14ac:dyDescent="0.25"/>
    <row r="1176" s="39" customFormat="1" ht="13.2" outlineLevel="1" x14ac:dyDescent="0.25"/>
    <row r="1177" s="39" customFormat="1" ht="13.2" outlineLevel="1" x14ac:dyDescent="0.25"/>
    <row r="1178" s="39" customFormat="1" ht="13.2" outlineLevel="1" x14ac:dyDescent="0.25"/>
    <row r="1179" s="39" customFormat="1" ht="27.75" customHeight="1" outlineLevel="1" x14ac:dyDescent="0.25"/>
    <row r="1180" s="39" customFormat="1" ht="31.2" customHeight="1" outlineLevel="1" x14ac:dyDescent="0.25"/>
    <row r="1181" s="39" customFormat="1" ht="13.2" outlineLevel="1" x14ac:dyDescent="0.25"/>
    <row r="1182" s="39" customFormat="1" ht="13.2" outlineLevel="1" x14ac:dyDescent="0.25"/>
    <row r="1183" s="39" customFormat="1" ht="13.2" outlineLevel="1" x14ac:dyDescent="0.25"/>
    <row r="1184" s="39" customFormat="1" ht="13.2" outlineLevel="1" x14ac:dyDescent="0.25"/>
    <row r="1185" s="45" customFormat="1" ht="17.25" customHeight="1" x14ac:dyDescent="0.3"/>
    <row r="1186" s="39" customFormat="1" ht="27.75" customHeight="1" outlineLevel="1" x14ac:dyDescent="0.25"/>
    <row r="1187" s="39" customFormat="1" ht="13.2" outlineLevel="1" x14ac:dyDescent="0.25"/>
    <row r="1188" s="39" customFormat="1" ht="13.2" outlineLevel="1" x14ac:dyDescent="0.25"/>
    <row r="1189" s="39" customFormat="1" ht="13.2" outlineLevel="1" x14ac:dyDescent="0.25"/>
    <row r="1190" s="39" customFormat="1" ht="27.75" customHeight="1" outlineLevel="1" x14ac:dyDescent="0.25"/>
    <row r="1191" s="39" customFormat="1" ht="13.2" outlineLevel="1" x14ac:dyDescent="0.25"/>
    <row r="1192" s="39" customFormat="1" ht="33.75" customHeight="1" outlineLevel="1" x14ac:dyDescent="0.25"/>
    <row r="1193" s="39" customFormat="1" ht="41.7" customHeight="1" outlineLevel="1" x14ac:dyDescent="0.25"/>
    <row r="1194" s="39" customFormat="1" ht="27.75" customHeight="1" outlineLevel="1" x14ac:dyDescent="0.25"/>
    <row r="1195" s="39" customFormat="1" ht="27.75" customHeight="1" outlineLevel="1" x14ac:dyDescent="0.25"/>
    <row r="1196" s="39" customFormat="1" ht="27.75" customHeight="1" outlineLevel="1" x14ac:dyDescent="0.25"/>
    <row r="1197" s="39" customFormat="1" ht="27.75" customHeight="1" outlineLevel="1" x14ac:dyDescent="0.25"/>
    <row r="1198" s="39" customFormat="1" ht="13.2" outlineLevel="1" x14ac:dyDescent="0.25"/>
    <row r="1199" s="39" customFormat="1" ht="13.2" outlineLevel="1" x14ac:dyDescent="0.25"/>
    <row r="1200" s="39" customFormat="1" ht="27.75" customHeight="1" outlineLevel="1" x14ac:dyDescent="0.25"/>
    <row r="1201" s="39" customFormat="1" ht="13.2" outlineLevel="1" x14ac:dyDescent="0.25"/>
    <row r="1202" s="45" customFormat="1" ht="17.25" customHeight="1" x14ac:dyDescent="0.3"/>
    <row r="1203" s="39" customFormat="1" ht="13.2" outlineLevel="1" x14ac:dyDescent="0.25"/>
    <row r="1204" s="39" customFormat="1" ht="13.2" outlineLevel="1" x14ac:dyDescent="0.25"/>
    <row r="1205" s="39" customFormat="1" ht="13.2" outlineLevel="1" x14ac:dyDescent="0.25"/>
    <row r="1206" s="39" customFormat="1" ht="13.2" outlineLevel="1" x14ac:dyDescent="0.25"/>
    <row r="1207" s="39" customFormat="1" ht="34.5" customHeight="1" outlineLevel="1" x14ac:dyDescent="0.25"/>
    <row r="1208" s="39" customFormat="1" ht="13.2" outlineLevel="1" x14ac:dyDescent="0.25"/>
    <row r="1209" s="39" customFormat="1" ht="13.2" outlineLevel="1" x14ac:dyDescent="0.25"/>
    <row r="1210" s="39" customFormat="1" ht="13.2" outlineLevel="1" x14ac:dyDescent="0.25"/>
    <row r="1211" s="39" customFormat="1" ht="13.2" outlineLevel="1" x14ac:dyDescent="0.25"/>
    <row r="1212" s="39" customFormat="1" ht="13.2" outlineLevel="1" x14ac:dyDescent="0.25"/>
    <row r="1213" s="39" customFormat="1" ht="13.2" outlineLevel="1" x14ac:dyDescent="0.25"/>
    <row r="1214" s="39" customFormat="1" ht="13.2" outlineLevel="1" x14ac:dyDescent="0.25"/>
    <row r="1215" s="39" customFormat="1" ht="27.75" customHeight="1" outlineLevel="1" x14ac:dyDescent="0.25"/>
    <row r="1216" s="39" customFormat="1" ht="13.2" outlineLevel="1" x14ac:dyDescent="0.25"/>
    <row r="1217" s="39" customFormat="1" ht="27.75" customHeight="1" outlineLevel="1" x14ac:dyDescent="0.25"/>
    <row r="1218" s="39" customFormat="1" ht="13.2" outlineLevel="1" x14ac:dyDescent="0.25"/>
    <row r="1219" s="39" customFormat="1" ht="13.2" outlineLevel="1" x14ac:dyDescent="0.25"/>
    <row r="1220" s="39" customFormat="1" ht="13.2" outlineLevel="1" x14ac:dyDescent="0.25"/>
    <row r="1221" s="39" customFormat="1" ht="13.2" outlineLevel="1" x14ac:dyDescent="0.25"/>
    <row r="1222" s="39" customFormat="1" ht="27.75" customHeight="1" outlineLevel="1" x14ac:dyDescent="0.25"/>
    <row r="1223" s="39" customFormat="1" ht="13.2" outlineLevel="1" x14ac:dyDescent="0.25"/>
    <row r="1224" s="39" customFormat="1" ht="13.2" outlineLevel="1" x14ac:dyDescent="0.25"/>
    <row r="1225" s="39" customFormat="1" ht="13.2" outlineLevel="1" x14ac:dyDescent="0.25"/>
    <row r="1226" s="39" customFormat="1" ht="35.25" customHeight="1" outlineLevel="1" x14ac:dyDescent="0.25"/>
    <row r="1227" s="39" customFormat="1" ht="13.2" outlineLevel="1" x14ac:dyDescent="0.25"/>
    <row r="1228" s="39" customFormat="1" ht="35.25" customHeight="1" outlineLevel="1" x14ac:dyDescent="0.25"/>
    <row r="1229" s="39" customFormat="1" ht="27.75" customHeight="1" outlineLevel="1" x14ac:dyDescent="0.25"/>
    <row r="1230" s="39" customFormat="1" ht="27.75" customHeight="1" outlineLevel="1" x14ac:dyDescent="0.25"/>
    <row r="1231" s="39" customFormat="1" ht="13.2" outlineLevel="1" x14ac:dyDescent="0.25"/>
    <row r="1232" s="39" customFormat="1" ht="13.2" outlineLevel="1" x14ac:dyDescent="0.25"/>
    <row r="1233" s="45" customFormat="1" ht="17.25" customHeight="1" x14ac:dyDescent="0.3"/>
    <row r="1234" s="39" customFormat="1" ht="27.75" customHeight="1" outlineLevel="1" x14ac:dyDescent="0.25"/>
    <row r="1235" s="39" customFormat="1" ht="27.75" customHeight="1" outlineLevel="1" x14ac:dyDescent="0.25"/>
    <row r="1236" s="39" customFormat="1" ht="27.75" customHeight="1" outlineLevel="1" x14ac:dyDescent="0.25"/>
    <row r="1237" s="39" customFormat="1" ht="13.2" outlineLevel="1" x14ac:dyDescent="0.25"/>
    <row r="1238" s="39" customFormat="1" ht="13.2" outlineLevel="1" x14ac:dyDescent="0.25"/>
    <row r="1239" s="39" customFormat="1" ht="27.75" customHeight="1" outlineLevel="1" x14ac:dyDescent="0.25"/>
    <row r="1240" s="39" customFormat="1" ht="13.2" outlineLevel="1" x14ac:dyDescent="0.25"/>
    <row r="1241" s="39" customFormat="1" ht="13.2" outlineLevel="1" x14ac:dyDescent="0.25"/>
    <row r="1242" s="45" customFormat="1" ht="17.25" customHeight="1" x14ac:dyDescent="0.3"/>
    <row r="1243" s="39" customFormat="1" ht="13.2" outlineLevel="1" x14ac:dyDescent="0.25"/>
    <row r="1244" s="39" customFormat="1" ht="13.2" outlineLevel="1" x14ac:dyDescent="0.25"/>
    <row r="1245" s="39" customFormat="1" ht="13.2" outlineLevel="1" x14ac:dyDescent="0.25"/>
    <row r="1246" s="39" customFormat="1" ht="13.2" outlineLevel="1" x14ac:dyDescent="0.25"/>
    <row r="1247" s="39" customFormat="1" ht="13.2" outlineLevel="1" x14ac:dyDescent="0.25"/>
    <row r="1248" s="39" customFormat="1" ht="27.75" customHeight="1" outlineLevel="1" x14ac:dyDescent="0.25"/>
    <row r="1249" s="39" customFormat="1" ht="27.75" customHeight="1" outlineLevel="1" x14ac:dyDescent="0.25"/>
    <row r="1250" s="39" customFormat="1" ht="27.75" customHeight="1" outlineLevel="1" x14ac:dyDescent="0.25"/>
    <row r="1251" s="39" customFormat="1" ht="13.2" outlineLevel="1" x14ac:dyDescent="0.25"/>
    <row r="1252" s="39" customFormat="1" ht="13.2" outlineLevel="1" x14ac:dyDescent="0.25"/>
    <row r="1253" s="39" customFormat="1" ht="13.2" outlineLevel="1" x14ac:dyDescent="0.25"/>
    <row r="1254" s="39" customFormat="1" ht="13.2" outlineLevel="1" x14ac:dyDescent="0.25"/>
    <row r="1255" s="45" customFormat="1" ht="17.25" customHeight="1" x14ac:dyDescent="0.3"/>
    <row r="1256" s="39" customFormat="1" ht="27.75" customHeight="1" outlineLevel="1" x14ac:dyDescent="0.25"/>
    <row r="1257" s="39" customFormat="1" ht="13.2" outlineLevel="1" x14ac:dyDescent="0.25"/>
    <row r="1258" s="39" customFormat="1" ht="13.2" outlineLevel="1" x14ac:dyDescent="0.25"/>
    <row r="1259" s="39" customFormat="1" ht="27.75" customHeight="1" outlineLevel="1" x14ac:dyDescent="0.25"/>
    <row r="1260" s="39" customFormat="1" ht="13.2" outlineLevel="1" x14ac:dyDescent="0.25"/>
    <row r="1261" s="39" customFormat="1" ht="13.2" outlineLevel="1" x14ac:dyDescent="0.25"/>
    <row r="1262" s="39" customFormat="1" ht="13.2" outlineLevel="1" x14ac:dyDescent="0.25"/>
    <row r="1263" s="39" customFormat="1" ht="13.2" outlineLevel="1" x14ac:dyDescent="0.25"/>
    <row r="1264" s="39" customFormat="1" ht="13.2" outlineLevel="1" x14ac:dyDescent="0.25"/>
    <row r="1265" s="45" customFormat="1" ht="17.25" customHeight="1" x14ac:dyDescent="0.3"/>
    <row r="1266" s="39" customFormat="1" ht="27.75" customHeight="1" outlineLevel="1" x14ac:dyDescent="0.25"/>
    <row r="1267" s="39" customFormat="1" ht="13.2" outlineLevel="1" x14ac:dyDescent="0.25"/>
    <row r="1268" s="39" customFormat="1" ht="13.2" outlineLevel="1" x14ac:dyDescent="0.25"/>
    <row r="1269" s="39" customFormat="1" ht="13.2" outlineLevel="1" x14ac:dyDescent="0.25"/>
    <row r="1270" s="39" customFormat="1" ht="13.2" outlineLevel="1" x14ac:dyDescent="0.25"/>
    <row r="1271" s="45" customFormat="1" ht="17.25" customHeight="1" x14ac:dyDescent="0.3"/>
    <row r="1272" s="39" customFormat="1" ht="13.2" outlineLevel="1" x14ac:dyDescent="0.25"/>
    <row r="1273" s="39" customFormat="1" ht="27.75" customHeight="1" outlineLevel="1" x14ac:dyDescent="0.25"/>
    <row r="1274" s="39" customFormat="1" ht="13.2" outlineLevel="1" x14ac:dyDescent="0.25"/>
    <row r="1275" s="39" customFormat="1" ht="13.2" outlineLevel="1" x14ac:dyDescent="0.25"/>
    <row r="1276" s="39" customFormat="1" ht="13.2" outlineLevel="1" x14ac:dyDescent="0.25"/>
    <row r="1277" s="39" customFormat="1" ht="13.2" outlineLevel="1" x14ac:dyDescent="0.25"/>
    <row r="1278" s="39" customFormat="1" ht="13.2" outlineLevel="1" x14ac:dyDescent="0.25"/>
    <row r="1279" s="45" customFormat="1" ht="17.25" customHeight="1" x14ac:dyDescent="0.3"/>
    <row r="1280" s="39" customFormat="1" ht="27.75" customHeight="1" outlineLevel="1" x14ac:dyDescent="0.25"/>
    <row r="1281" s="39" customFormat="1" ht="13.2" outlineLevel="1" x14ac:dyDescent="0.25"/>
    <row r="1282" s="39" customFormat="1" ht="27.75" customHeight="1" outlineLevel="1" x14ac:dyDescent="0.25"/>
    <row r="1283" s="45" customFormat="1" ht="17.25" customHeight="1" x14ac:dyDescent="0.3"/>
    <row r="1284" s="39" customFormat="1" ht="13.2" outlineLevel="1" x14ac:dyDescent="0.25"/>
    <row r="1285" s="39" customFormat="1" ht="13.2" outlineLevel="1" x14ac:dyDescent="0.25"/>
    <row r="1286" s="39" customFormat="1" ht="27.75" customHeight="1" outlineLevel="1" x14ac:dyDescent="0.25"/>
    <row r="1287" s="39" customFormat="1" ht="13.2" outlineLevel="1" x14ac:dyDescent="0.25"/>
    <row r="1288" s="39" customFormat="1" ht="13.2" outlineLevel="1" x14ac:dyDescent="0.25"/>
    <row r="1289" s="39" customFormat="1" ht="27.75" customHeight="1" outlineLevel="1" x14ac:dyDescent="0.25"/>
    <row r="1290" s="45" customFormat="1" ht="17.25" customHeight="1" x14ac:dyDescent="0.3"/>
    <row r="1291" s="39" customFormat="1" ht="13.2" outlineLevel="1" x14ac:dyDescent="0.25"/>
    <row r="1292" s="39" customFormat="1" ht="27.75" customHeight="1" outlineLevel="1" x14ac:dyDescent="0.25"/>
    <row r="1293" s="39" customFormat="1" ht="27.75" customHeight="1" outlineLevel="1" x14ac:dyDescent="0.25"/>
    <row r="1294" s="39" customFormat="1" ht="27.75" customHeight="1" outlineLevel="1" x14ac:dyDescent="0.25"/>
    <row r="1295" s="39" customFormat="1" ht="13.2" outlineLevel="1" x14ac:dyDescent="0.25"/>
    <row r="1296" s="39" customFormat="1" ht="27.75" customHeight="1" outlineLevel="1" x14ac:dyDescent="0.25"/>
    <row r="1297" s="45" customFormat="1" ht="17.25" customHeight="1" x14ac:dyDescent="0.3"/>
    <row r="1298" s="39" customFormat="1" ht="27.75" customHeight="1" outlineLevel="1" x14ac:dyDescent="0.25"/>
    <row r="1299" s="39" customFormat="1" ht="27.75" customHeight="1" outlineLevel="1" x14ac:dyDescent="0.25"/>
    <row r="1300" s="39" customFormat="1" ht="27.75" customHeight="1" outlineLevel="1" x14ac:dyDescent="0.25"/>
    <row r="1301" s="39" customFormat="1" ht="27.75" customHeight="1" outlineLevel="1" x14ac:dyDescent="0.25"/>
    <row r="1302" s="39" customFormat="1" ht="27.75" customHeight="1" outlineLevel="1" x14ac:dyDescent="0.25"/>
    <row r="1303" s="39" customFormat="1" ht="41.7" customHeight="1" outlineLevel="1" x14ac:dyDescent="0.25"/>
    <row r="1304" s="39" customFormat="1" ht="13.2" outlineLevel="1" x14ac:dyDescent="0.25"/>
    <row r="1305" s="39" customFormat="1" ht="27.75" customHeight="1" outlineLevel="1" x14ac:dyDescent="0.25"/>
    <row r="1306" s="39" customFormat="1" ht="27.75" customHeight="1" outlineLevel="1" x14ac:dyDescent="0.25"/>
    <row r="1307" s="45" customFormat="1" ht="17.25" customHeight="1" x14ac:dyDescent="0.3"/>
    <row r="1308" s="39" customFormat="1" ht="27.75" customHeight="1" outlineLevel="1" x14ac:dyDescent="0.25"/>
    <row r="1309" s="46" customFormat="1" ht="27.75" customHeight="1" outlineLevel="1" x14ac:dyDescent="0.35"/>
    <row r="1310" s="39" customFormat="1" ht="27.75" customHeight="1" outlineLevel="1" x14ac:dyDescent="0.25"/>
    <row r="1311" s="39" customFormat="1" ht="27.75" customHeight="1" outlineLevel="1" x14ac:dyDescent="0.25"/>
    <row r="1312" s="39" customFormat="1" ht="27.75" customHeight="1" outlineLevel="1" x14ac:dyDescent="0.25"/>
    <row r="1313" s="39" customFormat="1" ht="27.75" customHeight="1" outlineLevel="1" x14ac:dyDescent="0.25"/>
    <row r="1314" s="45" customFormat="1" ht="27" customHeight="1" x14ac:dyDescent="0.3"/>
    <row r="1315" s="39" customFormat="1" ht="27.75" customHeight="1" outlineLevel="1" x14ac:dyDescent="0.25"/>
    <row r="1316" s="39" customFormat="1" ht="27.75" customHeight="1" outlineLevel="1" x14ac:dyDescent="0.25"/>
    <row r="1317" s="39" customFormat="1" ht="27.75" customHeight="1" outlineLevel="1" x14ac:dyDescent="0.25"/>
    <row r="1318" s="39" customFormat="1" ht="27.75" customHeight="1" outlineLevel="1" x14ac:dyDescent="0.25"/>
    <row r="1319" s="39" customFormat="1" ht="27.75" customHeight="1" outlineLevel="1" x14ac:dyDescent="0.25"/>
    <row r="1320" s="39" customFormat="1" ht="27.75" customHeight="1" outlineLevel="1" x14ac:dyDescent="0.25"/>
    <row r="1321" s="39" customFormat="1" ht="13.2" outlineLevel="1" x14ac:dyDescent="0.25"/>
    <row r="1322" s="39" customFormat="1" ht="13.2" outlineLevel="1" x14ac:dyDescent="0.25"/>
    <row r="1323" s="45" customFormat="1" ht="17.25" customHeight="1" x14ac:dyDescent="0.3"/>
    <row r="1324" s="39" customFormat="1" ht="27.75" customHeight="1" outlineLevel="1" x14ac:dyDescent="0.25"/>
    <row r="1325" s="39" customFormat="1" ht="13.2" outlineLevel="1" x14ac:dyDescent="0.25"/>
    <row r="1326" s="39" customFormat="1" ht="27.75" customHeight="1" outlineLevel="1" x14ac:dyDescent="0.25"/>
    <row r="1327" s="39" customFormat="1" ht="13.2" outlineLevel="1" x14ac:dyDescent="0.25"/>
    <row r="1328" s="39" customFormat="1" ht="27.75" customHeight="1" outlineLevel="1" x14ac:dyDescent="0.25"/>
    <row r="1329" s="39" customFormat="1" ht="13.2" outlineLevel="1" x14ac:dyDescent="0.25"/>
    <row r="1330" s="39" customFormat="1" ht="27.75" customHeight="1" outlineLevel="1" x14ac:dyDescent="0.25"/>
    <row r="1331" s="39" customFormat="1" ht="13.2" outlineLevel="1" x14ac:dyDescent="0.25"/>
    <row r="1332" s="46" customFormat="1" ht="27.75" customHeight="1" outlineLevel="1" x14ac:dyDescent="0.35"/>
    <row r="1333" s="39" customFormat="1" ht="27.75" customHeight="1" outlineLevel="1" x14ac:dyDescent="0.25"/>
    <row r="1334" s="39" customFormat="1" ht="27.75" customHeight="1" outlineLevel="1" x14ac:dyDescent="0.25"/>
    <row r="1335" s="39" customFormat="1" ht="13.2" outlineLevel="1" x14ac:dyDescent="0.25"/>
    <row r="1336" s="39" customFormat="1" ht="13.2" outlineLevel="1" x14ac:dyDescent="0.25"/>
    <row r="1337" s="39" customFormat="1" ht="13.2" outlineLevel="1" x14ac:dyDescent="0.25"/>
    <row r="1338" s="39" customFormat="1" ht="13.2" outlineLevel="1" x14ac:dyDescent="0.25"/>
    <row r="1339" s="46" customFormat="1" ht="17.7" customHeight="1" outlineLevel="1" x14ac:dyDescent="0.35"/>
    <row r="1340" s="39" customFormat="1" ht="13.2" outlineLevel="1" x14ac:dyDescent="0.25"/>
    <row r="1341" s="39" customFormat="1" ht="13.2" outlineLevel="1" x14ac:dyDescent="0.25"/>
    <row r="1342" s="39" customFormat="1" ht="27.75" customHeight="1" outlineLevel="1" x14ac:dyDescent="0.25"/>
    <row r="1343" s="39" customFormat="1" ht="13.2" outlineLevel="1" x14ac:dyDescent="0.25"/>
    <row r="1344" s="39" customFormat="1" ht="27.75" customHeight="1" outlineLevel="1" x14ac:dyDescent="0.25"/>
    <row r="1345" s="39" customFormat="1" ht="27.75" customHeight="1" outlineLevel="1" x14ac:dyDescent="0.25"/>
    <row r="1346" s="39" customFormat="1" ht="27.75" customHeight="1" outlineLevel="1" x14ac:dyDescent="0.25"/>
    <row r="1347" s="39" customFormat="1" ht="13.2" outlineLevel="1" x14ac:dyDescent="0.25"/>
    <row r="1348" s="39" customFormat="1" ht="13.2" outlineLevel="1" x14ac:dyDescent="0.25"/>
    <row r="1349" s="39" customFormat="1" ht="41.7" customHeight="1" outlineLevel="1" x14ac:dyDescent="0.25"/>
    <row r="1350" s="39" customFormat="1" ht="13.2" outlineLevel="1" x14ac:dyDescent="0.25"/>
    <row r="1351" s="39" customFormat="1" ht="41.7" customHeight="1" outlineLevel="1" x14ac:dyDescent="0.25"/>
    <row r="1352" s="39" customFormat="1" ht="13.2" outlineLevel="1" x14ac:dyDescent="0.25"/>
    <row r="1353" s="39" customFormat="1" ht="13.2" outlineLevel="1" x14ac:dyDescent="0.25"/>
    <row r="1354" s="39" customFormat="1" ht="13.2" outlineLevel="1" x14ac:dyDescent="0.25"/>
    <row r="1355" s="39" customFormat="1" ht="13.2" outlineLevel="1" x14ac:dyDescent="0.25"/>
    <row r="1356" s="39" customFormat="1" ht="13.2" outlineLevel="1" x14ac:dyDescent="0.25"/>
    <row r="1357" s="39" customFormat="1" ht="13.2" outlineLevel="1" x14ac:dyDescent="0.25"/>
    <row r="1358" s="39" customFormat="1" ht="13.2" outlineLevel="1" x14ac:dyDescent="0.25"/>
    <row r="1359" s="39" customFormat="1" ht="13.2" outlineLevel="1" x14ac:dyDescent="0.25"/>
    <row r="1360" s="39" customFormat="1" ht="13.2" outlineLevel="1" x14ac:dyDescent="0.25"/>
    <row r="1361" s="39" customFormat="1" ht="13.2" outlineLevel="1" x14ac:dyDescent="0.25"/>
    <row r="1362" s="39" customFormat="1" ht="13.2" outlineLevel="1" x14ac:dyDescent="0.25"/>
    <row r="1363" s="39" customFormat="1" ht="13.2" outlineLevel="1" x14ac:dyDescent="0.25"/>
    <row r="1364" s="39" customFormat="1" ht="13.2" outlineLevel="1" x14ac:dyDescent="0.25"/>
    <row r="1365" s="46" customFormat="1" ht="27.75" customHeight="1" outlineLevel="1" x14ac:dyDescent="0.35"/>
    <row r="1366" s="39" customFormat="1" ht="13.2" outlineLevel="1" x14ac:dyDescent="0.25"/>
    <row r="1367" s="39" customFormat="1" ht="13.2" outlineLevel="1" x14ac:dyDescent="0.25"/>
    <row r="1368" s="45" customFormat="1" ht="17.25" customHeight="1" x14ac:dyDescent="0.3"/>
    <row r="1369" s="39" customFormat="1" ht="27.75" customHeight="1" outlineLevel="1" x14ac:dyDescent="0.25"/>
    <row r="1370" s="39" customFormat="1" ht="13.2" outlineLevel="1" x14ac:dyDescent="0.25"/>
    <row r="1371" s="39" customFormat="1" ht="27.75" customHeight="1" outlineLevel="1" x14ac:dyDescent="0.25"/>
    <row r="1372" s="39" customFormat="1" ht="13.2" outlineLevel="1" x14ac:dyDescent="0.25"/>
    <row r="1373" s="39" customFormat="1" ht="27.75" customHeight="1" outlineLevel="1" x14ac:dyDescent="0.25"/>
    <row r="1374" s="39" customFormat="1" ht="13.2" outlineLevel="1" x14ac:dyDescent="0.25"/>
    <row r="1375" s="39" customFormat="1" ht="27.75" customHeight="1" outlineLevel="1" x14ac:dyDescent="0.25"/>
    <row r="1376" s="39" customFormat="1" ht="13.2" outlineLevel="1" x14ac:dyDescent="0.25"/>
    <row r="1377" s="39" customFormat="1" ht="27.75" customHeight="1" outlineLevel="1" x14ac:dyDescent="0.25"/>
    <row r="1378" s="39" customFormat="1" ht="13.2" outlineLevel="1" x14ac:dyDescent="0.25"/>
    <row r="1379" s="39" customFormat="1" ht="27.75" customHeight="1" outlineLevel="1" x14ac:dyDescent="0.25"/>
    <row r="1380" s="39" customFormat="1" ht="13.2" outlineLevel="1" x14ac:dyDescent="0.25"/>
    <row r="1381" s="39" customFormat="1" ht="27.75" customHeight="1" outlineLevel="1" x14ac:dyDescent="0.25"/>
    <row r="1382" s="39" customFormat="1" ht="13.2" outlineLevel="1" x14ac:dyDescent="0.25"/>
    <row r="1383" s="39" customFormat="1" ht="27.75" customHeight="1" outlineLevel="1" x14ac:dyDescent="0.25"/>
    <row r="1384" s="39" customFormat="1" ht="13.2" outlineLevel="1" x14ac:dyDescent="0.25"/>
    <row r="1385" s="39" customFormat="1" ht="27.75" customHeight="1" outlineLevel="1" x14ac:dyDescent="0.25"/>
    <row r="1386" s="39" customFormat="1" ht="13.2" outlineLevel="1" x14ac:dyDescent="0.25"/>
    <row r="1387" s="39" customFormat="1" ht="13.2" outlineLevel="1" x14ac:dyDescent="0.25"/>
    <row r="1388" s="39" customFormat="1" ht="13.2" outlineLevel="1" x14ac:dyDescent="0.25"/>
    <row r="1389" s="39" customFormat="1" ht="13.2" outlineLevel="1" x14ac:dyDescent="0.25"/>
    <row r="1390" s="39" customFormat="1" ht="13.2" outlineLevel="1" x14ac:dyDescent="0.25"/>
    <row r="1391" s="39" customFormat="1" ht="13.2" outlineLevel="1" x14ac:dyDescent="0.25"/>
    <row r="1392" s="39" customFormat="1" ht="27.75" customHeight="1" outlineLevel="1" x14ac:dyDescent="0.25"/>
    <row r="1393" s="39" customFormat="1" ht="27.75" customHeight="1" outlineLevel="1" x14ac:dyDescent="0.25"/>
    <row r="1394" s="39" customFormat="1" ht="13.2" outlineLevel="1" x14ac:dyDescent="0.25"/>
    <row r="1395" s="39" customFormat="1" ht="13.2" outlineLevel="1" x14ac:dyDescent="0.25"/>
    <row r="1396" s="39" customFormat="1" ht="27.75" customHeight="1" outlineLevel="1" x14ac:dyDescent="0.25"/>
    <row r="1397" s="39" customFormat="1" ht="13.2" outlineLevel="1" x14ac:dyDescent="0.25"/>
    <row r="1398" s="39" customFormat="1" ht="27.75" customHeight="1" outlineLevel="1" x14ac:dyDescent="0.25"/>
    <row r="1399" s="45" customFormat="1" ht="17.25" customHeight="1" x14ac:dyDescent="0.3"/>
    <row r="1400" s="39" customFormat="1" ht="13.2" outlineLevel="1" x14ac:dyDescent="0.25"/>
    <row r="1401" s="39" customFormat="1" ht="13.2" outlineLevel="1" x14ac:dyDescent="0.25"/>
    <row r="1402" s="39" customFormat="1" ht="13.2" outlineLevel="1" x14ac:dyDescent="0.25"/>
    <row r="1403" s="39" customFormat="1" ht="13.2" outlineLevel="1" x14ac:dyDescent="0.25"/>
    <row r="1404" s="39" customFormat="1" ht="13.2" outlineLevel="1" x14ac:dyDescent="0.25"/>
    <row r="1405" s="39" customFormat="1" ht="13.2" outlineLevel="1" x14ac:dyDescent="0.25"/>
    <row r="1406" s="39" customFormat="1" ht="13.2" outlineLevel="1" x14ac:dyDescent="0.25"/>
    <row r="1407" s="39" customFormat="1" ht="13.2" outlineLevel="1" x14ac:dyDescent="0.25"/>
    <row r="1408" s="39" customFormat="1" ht="13.2" outlineLevel="1" x14ac:dyDescent="0.25"/>
    <row r="1409" s="39" customFormat="1" ht="27.75" customHeight="1" outlineLevel="1" x14ac:dyDescent="0.25"/>
    <row r="1410" s="39" customFormat="1" ht="54.75" customHeight="1" outlineLevel="1" x14ac:dyDescent="0.25"/>
    <row r="1411" s="39" customFormat="1" ht="13.2" outlineLevel="1" x14ac:dyDescent="0.25"/>
    <row r="1412" s="39" customFormat="1" ht="13.2" outlineLevel="1" x14ac:dyDescent="0.25"/>
    <row r="1413" s="39" customFormat="1" ht="27.75" customHeight="1" outlineLevel="1" x14ac:dyDescent="0.25"/>
    <row r="1414" s="39" customFormat="1" ht="13.2" outlineLevel="1" x14ac:dyDescent="0.25"/>
    <row r="1415" s="39" customFormat="1" ht="13.2" outlineLevel="1" x14ac:dyDescent="0.25"/>
    <row r="1416" s="39" customFormat="1" ht="13.2" outlineLevel="1" x14ac:dyDescent="0.25"/>
    <row r="1417" s="39" customFormat="1" ht="27.75" customHeight="1" outlineLevel="1" x14ac:dyDescent="0.25"/>
    <row r="1418" s="39" customFormat="1" ht="27.75" customHeight="1" outlineLevel="1" x14ac:dyDescent="0.25"/>
    <row r="1419" s="39" customFormat="1" ht="13.2" outlineLevel="1" x14ac:dyDescent="0.25"/>
    <row r="1420" s="39" customFormat="1" ht="27.75" customHeight="1" outlineLevel="1" x14ac:dyDescent="0.25"/>
    <row r="1421" s="39" customFormat="1" ht="27.75" customHeight="1" outlineLevel="1" x14ac:dyDescent="0.25"/>
    <row r="1422" s="39" customFormat="1" ht="27.75" customHeight="1" outlineLevel="1" x14ac:dyDescent="0.25"/>
    <row r="1423" s="39" customFormat="1" ht="13.2" outlineLevel="1" x14ac:dyDescent="0.25"/>
    <row r="1424" s="39" customFormat="1" ht="13.2" outlineLevel="1" x14ac:dyDescent="0.25"/>
    <row r="1425" s="39" customFormat="1" ht="13.2" outlineLevel="1" x14ac:dyDescent="0.25"/>
    <row r="1426" s="39" customFormat="1" ht="13.2" outlineLevel="1" x14ac:dyDescent="0.25"/>
    <row r="1427" s="39" customFormat="1" ht="13.2" outlineLevel="1" x14ac:dyDescent="0.25"/>
    <row r="1428" s="39" customFormat="1" ht="13.2" outlineLevel="1" x14ac:dyDescent="0.25"/>
    <row r="1429" s="39" customFormat="1" ht="13.2" outlineLevel="1" x14ac:dyDescent="0.25"/>
    <row r="1430" s="39" customFormat="1" ht="13.2" outlineLevel="1" x14ac:dyDescent="0.25"/>
    <row r="1431" s="39" customFormat="1" ht="13.2" outlineLevel="1" x14ac:dyDescent="0.25"/>
    <row r="1432" s="39" customFormat="1" ht="13.2" outlineLevel="1" x14ac:dyDescent="0.25"/>
    <row r="1433" s="39" customFormat="1" ht="13.2" outlineLevel="1" x14ac:dyDescent="0.25"/>
    <row r="1434" s="39" customFormat="1" ht="27.75" customHeight="1" outlineLevel="1" x14ac:dyDescent="0.25"/>
    <row r="1435" s="39" customFormat="1" ht="13.2" outlineLevel="1" x14ac:dyDescent="0.25"/>
    <row r="1436" s="39" customFormat="1" ht="27.75" customHeight="1" outlineLevel="1" x14ac:dyDescent="0.25"/>
    <row r="1437" s="39" customFormat="1" ht="13.2" outlineLevel="1" x14ac:dyDescent="0.25"/>
    <row r="1438" s="39" customFormat="1" ht="27.75" customHeight="1" outlineLevel="1" x14ac:dyDescent="0.25"/>
    <row r="1439" s="39" customFormat="1" ht="13.2" outlineLevel="1" x14ac:dyDescent="0.25"/>
    <row r="1440" s="39" customFormat="1" ht="27.75" customHeight="1" outlineLevel="1" x14ac:dyDescent="0.25"/>
    <row r="1441" s="39" customFormat="1" ht="13.2" outlineLevel="1" x14ac:dyDescent="0.25"/>
    <row r="1442" s="39" customFormat="1" ht="13.2" outlineLevel="1" x14ac:dyDescent="0.25"/>
    <row r="1443" s="39" customFormat="1" ht="27.75" customHeight="1" outlineLevel="1" x14ac:dyDescent="0.25"/>
    <row r="1444" s="39" customFormat="1" ht="13.2" outlineLevel="1" x14ac:dyDescent="0.25"/>
    <row r="1445" s="39" customFormat="1" ht="13.2" outlineLevel="1" x14ac:dyDescent="0.25"/>
    <row r="1446" s="39" customFormat="1" ht="13.2" outlineLevel="1" x14ac:dyDescent="0.25"/>
    <row r="1447" s="39" customFormat="1" ht="27.75" customHeight="1" outlineLevel="1" x14ac:dyDescent="0.25"/>
    <row r="1448" s="46" customFormat="1" ht="17.7" customHeight="1" outlineLevel="1" x14ac:dyDescent="0.35"/>
    <row r="1449" s="39" customFormat="1" ht="13.2" outlineLevel="1" x14ac:dyDescent="0.25"/>
    <row r="1450" s="45" customFormat="1" ht="17.25" customHeight="1" x14ac:dyDescent="0.3"/>
    <row r="1451" s="39" customFormat="1" ht="13.2" outlineLevel="1" x14ac:dyDescent="0.25"/>
    <row r="1452" s="39" customFormat="1" ht="13.2" outlineLevel="1" x14ac:dyDescent="0.25"/>
    <row r="1453" s="39" customFormat="1" ht="13.2" outlineLevel="1" x14ac:dyDescent="0.25"/>
    <row r="1454" s="39" customFormat="1" ht="27.75" customHeight="1" outlineLevel="1" x14ac:dyDescent="0.25"/>
    <row r="1455" s="39" customFormat="1" ht="48.75" customHeight="1" outlineLevel="1" x14ac:dyDescent="0.25"/>
    <row r="1456" s="39" customFormat="1" ht="13.2" outlineLevel="1" x14ac:dyDescent="0.25"/>
    <row r="1457" s="39" customFormat="1" ht="27.75" customHeight="1" outlineLevel="1" x14ac:dyDescent="0.25"/>
    <row r="1458" s="39" customFormat="1" ht="13.2" outlineLevel="1" x14ac:dyDescent="0.25"/>
    <row r="1459" s="39" customFormat="1" ht="27.75" customHeight="1" outlineLevel="1" x14ac:dyDescent="0.25"/>
    <row r="1460" s="39" customFormat="1" ht="27.75" customHeight="1" outlineLevel="1" x14ac:dyDescent="0.25"/>
    <row r="1461" s="39" customFormat="1" ht="13.2" outlineLevel="1" x14ac:dyDescent="0.25"/>
    <row r="1462" s="39" customFormat="1" ht="13.2" outlineLevel="1" x14ac:dyDescent="0.25"/>
    <row r="1463" s="39" customFormat="1" ht="13.2" outlineLevel="1" x14ac:dyDescent="0.25"/>
    <row r="1464" s="39" customFormat="1" ht="27.75" customHeight="1" outlineLevel="1" x14ac:dyDescent="0.25"/>
    <row r="1465" s="39" customFormat="1" ht="41.7" customHeight="1" outlineLevel="1" x14ac:dyDescent="0.25"/>
    <row r="1466" s="39" customFormat="1" ht="27.75" customHeight="1" outlineLevel="1" x14ac:dyDescent="0.25"/>
    <row r="1467" s="39" customFormat="1" ht="27.75" customHeight="1" outlineLevel="1" x14ac:dyDescent="0.25"/>
    <row r="1468" s="39" customFormat="1" ht="27.75" customHeight="1" outlineLevel="1" x14ac:dyDescent="0.25"/>
    <row r="1469" s="45" customFormat="1" ht="17.25" customHeight="1" x14ac:dyDescent="0.3"/>
    <row r="1470" s="39" customFormat="1" ht="41.7" customHeight="1" outlineLevel="1" x14ac:dyDescent="0.25"/>
    <row r="1471" s="39" customFormat="1" ht="13.2" outlineLevel="1" x14ac:dyDescent="0.25"/>
    <row r="1472" s="39" customFormat="1" ht="13.2" outlineLevel="1" x14ac:dyDescent="0.25"/>
    <row r="1473" s="39" customFormat="1" ht="13.2" outlineLevel="1" x14ac:dyDescent="0.25"/>
    <row r="1474" s="39" customFormat="1" ht="41.7" customHeight="1" outlineLevel="1" x14ac:dyDescent="0.25"/>
    <row r="1475" s="39" customFormat="1" ht="13.2" outlineLevel="1" x14ac:dyDescent="0.25"/>
    <row r="1476" s="39" customFormat="1" ht="13.2" outlineLevel="1" x14ac:dyDescent="0.25"/>
    <row r="1477" s="39" customFormat="1" ht="13.2" outlineLevel="1" x14ac:dyDescent="0.25"/>
    <row r="1478" s="39" customFormat="1" ht="13.2" outlineLevel="1" x14ac:dyDescent="0.25"/>
    <row r="1479" s="39" customFormat="1" ht="13.2" outlineLevel="1" x14ac:dyDescent="0.25"/>
    <row r="1480" s="39" customFormat="1" ht="27.75" customHeight="1" outlineLevel="1" x14ac:dyDescent="0.25"/>
    <row r="1481" s="39" customFormat="1" ht="27.75" customHeight="1" outlineLevel="1" x14ac:dyDescent="0.25"/>
    <row r="1482" s="39" customFormat="1" ht="13.2" outlineLevel="1" x14ac:dyDescent="0.25"/>
    <row r="1483" s="39" customFormat="1" ht="27.75" customHeight="1" outlineLevel="1" x14ac:dyDescent="0.25"/>
    <row r="1484" s="39" customFormat="1" ht="13.2" outlineLevel="1" x14ac:dyDescent="0.25"/>
    <row r="1485" s="39" customFormat="1" ht="27.75" customHeight="1" outlineLevel="1" x14ac:dyDescent="0.25"/>
    <row r="1486" s="39" customFormat="1" ht="13.2" outlineLevel="1" x14ac:dyDescent="0.25"/>
    <row r="1487" s="39" customFormat="1" ht="27.75" customHeight="1" outlineLevel="1" x14ac:dyDescent="0.25"/>
    <row r="1488" s="39" customFormat="1" ht="13.2" outlineLevel="1" x14ac:dyDescent="0.25"/>
    <row r="1489" s="39" customFormat="1" ht="27.75" customHeight="1" outlineLevel="1" x14ac:dyDescent="0.25"/>
    <row r="1490" s="39" customFormat="1" ht="13.2" outlineLevel="1" x14ac:dyDescent="0.25"/>
    <row r="1491" s="39" customFormat="1" ht="27.75" customHeight="1" outlineLevel="1" x14ac:dyDescent="0.25"/>
    <row r="1492" s="39" customFormat="1" ht="27.75" customHeight="1" outlineLevel="1" x14ac:dyDescent="0.25"/>
    <row r="1493" s="46" customFormat="1" ht="17.7" customHeight="1" outlineLevel="1" x14ac:dyDescent="0.35"/>
    <row r="1494" s="39" customFormat="1" ht="13.2" outlineLevel="1" x14ac:dyDescent="0.25"/>
    <row r="1495" s="45" customFormat="1" ht="17.25" customHeight="1" x14ac:dyDescent="0.3"/>
    <row r="1496" s="39" customFormat="1" ht="27.75" customHeight="1" outlineLevel="1" x14ac:dyDescent="0.25"/>
    <row r="1497" s="39" customFormat="1" ht="13.2" outlineLevel="1" x14ac:dyDescent="0.25"/>
    <row r="1498" s="39" customFormat="1" ht="27.75" customHeight="1" outlineLevel="1" x14ac:dyDescent="0.25"/>
    <row r="1499" s="39" customFormat="1" ht="13.2" outlineLevel="1" x14ac:dyDescent="0.25"/>
    <row r="1500" s="39" customFormat="1" ht="13.2" outlineLevel="1" x14ac:dyDescent="0.25"/>
    <row r="1501" s="39" customFormat="1" ht="27.75" customHeight="1" outlineLevel="1" x14ac:dyDescent="0.25"/>
    <row r="1502" s="39" customFormat="1" ht="27.75" customHeight="1" outlineLevel="1" x14ac:dyDescent="0.25"/>
    <row r="1503" s="39" customFormat="1" ht="13.2" outlineLevel="1" x14ac:dyDescent="0.25"/>
    <row r="1504" s="39" customFormat="1" ht="27.75" customHeight="1" outlineLevel="1" x14ac:dyDescent="0.25"/>
    <row r="1505" s="45" customFormat="1" ht="17.25" customHeight="1" x14ac:dyDescent="0.3"/>
    <row r="1506" s="39" customFormat="1" ht="13.2" outlineLevel="1" x14ac:dyDescent="0.25"/>
    <row r="1507" s="39" customFormat="1" ht="13.2" outlineLevel="1" x14ac:dyDescent="0.25"/>
    <row r="1508" s="39" customFormat="1" ht="27.75" customHeight="1" outlineLevel="1" x14ac:dyDescent="0.25"/>
    <row r="1509" s="39" customFormat="1" ht="13.2" outlineLevel="1" x14ac:dyDescent="0.25"/>
    <row r="1510" s="39" customFormat="1" ht="27.75" customHeight="1" outlineLevel="1" x14ac:dyDescent="0.25"/>
    <row r="1511" s="39" customFormat="1" ht="13.2" outlineLevel="1" x14ac:dyDescent="0.25"/>
    <row r="1512" s="39" customFormat="1" ht="13.2" outlineLevel="1" x14ac:dyDescent="0.25"/>
    <row r="1513" s="39" customFormat="1" ht="13.2" outlineLevel="1" x14ac:dyDescent="0.25"/>
    <row r="1514" s="45" customFormat="1" ht="17.25" customHeight="1" x14ac:dyDescent="0.3"/>
    <row r="1515" s="39" customFormat="1" ht="27.75" customHeight="1" outlineLevel="1" x14ac:dyDescent="0.25"/>
    <row r="1516" s="39" customFormat="1" ht="27.75" customHeight="1" outlineLevel="1" x14ac:dyDescent="0.25"/>
    <row r="1517" s="39" customFormat="1" ht="41.7" customHeight="1" outlineLevel="1" x14ac:dyDescent="0.25"/>
    <row r="1518" s="39" customFormat="1" ht="27.75" customHeight="1" outlineLevel="1" x14ac:dyDescent="0.25"/>
    <row r="1519" s="39" customFormat="1" ht="41.7" customHeight="1" outlineLevel="1" x14ac:dyDescent="0.25"/>
    <row r="1520" s="39" customFormat="1" ht="27.75" customHeight="1" outlineLevel="1" x14ac:dyDescent="0.25"/>
    <row r="1521" s="39" customFormat="1" ht="27.75" customHeight="1" outlineLevel="1" x14ac:dyDescent="0.25"/>
    <row r="1522" s="39" customFormat="1" ht="27.75" customHeight="1" outlineLevel="1" x14ac:dyDescent="0.25"/>
    <row r="1523" s="39" customFormat="1" ht="27.75" customHeight="1" outlineLevel="1" x14ac:dyDescent="0.25"/>
    <row r="1524" s="39" customFormat="1" ht="13.2" outlineLevel="1" x14ac:dyDescent="0.25"/>
    <row r="1525" s="39" customFormat="1" ht="13.2" outlineLevel="1" x14ac:dyDescent="0.25"/>
    <row r="1526" s="39" customFormat="1" ht="27.75" customHeight="1" outlineLevel="1" x14ac:dyDescent="0.25"/>
    <row r="1527" s="39" customFormat="1" ht="48.75" customHeight="1" outlineLevel="1" x14ac:dyDescent="0.25"/>
    <row r="1528" s="39" customFormat="1" ht="27.75" customHeight="1" outlineLevel="1" x14ac:dyDescent="0.25"/>
    <row r="1529" s="39" customFormat="1" ht="27.75" customHeight="1" outlineLevel="1" x14ac:dyDescent="0.25"/>
    <row r="1530" s="39" customFormat="1" ht="13.2" outlineLevel="1" x14ac:dyDescent="0.25"/>
    <row r="1531" s="39" customFormat="1" ht="27.75" customHeight="1" outlineLevel="1" x14ac:dyDescent="0.25"/>
    <row r="1532" s="39" customFormat="1" ht="13.2" outlineLevel="1" x14ac:dyDescent="0.25"/>
    <row r="1533" s="39" customFormat="1" ht="13.2" outlineLevel="1" x14ac:dyDescent="0.25"/>
    <row r="1534" s="45" customFormat="1" ht="17.25" customHeight="1" x14ac:dyDescent="0.3"/>
    <row r="1535" s="39" customFormat="1" ht="27.75" customHeight="1" outlineLevel="1" x14ac:dyDescent="0.25"/>
    <row r="1536" s="39" customFormat="1" ht="27.75" customHeight="1" outlineLevel="1" x14ac:dyDescent="0.25"/>
    <row r="1537" s="46" customFormat="1" ht="27.75" customHeight="1" outlineLevel="1" x14ac:dyDescent="0.35"/>
    <row r="1538" s="39" customFormat="1" ht="13.2" outlineLevel="1" x14ac:dyDescent="0.25"/>
    <row r="1539" s="39" customFormat="1" ht="13.2" outlineLevel="1" x14ac:dyDescent="0.25"/>
    <row r="1540" s="39" customFormat="1" ht="41.7" customHeight="1" outlineLevel="1" x14ac:dyDescent="0.25"/>
    <row r="1541" s="39" customFormat="1" ht="27.75" customHeight="1" outlineLevel="1" x14ac:dyDescent="0.25"/>
    <row r="1542" s="39" customFormat="1" ht="13.2" outlineLevel="1" x14ac:dyDescent="0.25"/>
    <row r="1543" s="39" customFormat="1" ht="13.2" outlineLevel="1" x14ac:dyDescent="0.25"/>
    <row r="1544" s="39" customFormat="1" ht="13.2" outlineLevel="1" x14ac:dyDescent="0.25"/>
    <row r="1545" s="39" customFormat="1" ht="13.2" outlineLevel="1" x14ac:dyDescent="0.25"/>
    <row r="1546" s="39" customFormat="1" ht="13.2" outlineLevel="1" x14ac:dyDescent="0.25"/>
    <row r="1547" s="39" customFormat="1" ht="13.2" outlineLevel="1" x14ac:dyDescent="0.25"/>
    <row r="1548" s="39" customFormat="1" ht="13.2" outlineLevel="1" x14ac:dyDescent="0.25"/>
    <row r="1549" s="46" customFormat="1" ht="27.75" customHeight="1" outlineLevel="1" x14ac:dyDescent="0.35"/>
    <row r="1550" s="39" customFormat="1" ht="13.2" outlineLevel="1" x14ac:dyDescent="0.25"/>
    <row r="1551" s="39" customFormat="1" ht="13.2" outlineLevel="1" x14ac:dyDescent="0.25"/>
    <row r="1552" s="39" customFormat="1" ht="13.2" outlineLevel="1" x14ac:dyDescent="0.25"/>
    <row r="1553" s="46" customFormat="1" ht="17.7" customHeight="1" outlineLevel="1" x14ac:dyDescent="0.35"/>
    <row r="1554" s="39" customFormat="1" ht="27.75" customHeight="1" outlineLevel="1" x14ac:dyDescent="0.25"/>
    <row r="1555" s="39" customFormat="1" ht="27.75" customHeight="1" outlineLevel="1" x14ac:dyDescent="0.25"/>
    <row r="1556" s="39" customFormat="1" ht="27.75" customHeight="1" outlineLevel="1" x14ac:dyDescent="0.25"/>
    <row r="1557" s="39" customFormat="1" ht="13.2" outlineLevel="1" x14ac:dyDescent="0.25"/>
    <row r="1558" s="39" customFormat="1" ht="27.75" customHeight="1" outlineLevel="1" x14ac:dyDescent="0.25"/>
    <row r="1559" s="39" customFormat="1" ht="13.2" outlineLevel="1" x14ac:dyDescent="0.25"/>
    <row r="1560" s="39" customFormat="1" ht="13.2" outlineLevel="1" x14ac:dyDescent="0.25"/>
    <row r="1561" s="39" customFormat="1" ht="27.75" customHeight="1" outlineLevel="1" x14ac:dyDescent="0.25"/>
    <row r="1562" s="39" customFormat="1" ht="13.2" outlineLevel="1" x14ac:dyDescent="0.25"/>
    <row r="1563" s="39" customFormat="1" ht="13.2" outlineLevel="1" x14ac:dyDescent="0.25"/>
    <row r="1564" s="39" customFormat="1" ht="27.75" customHeight="1" outlineLevel="1" x14ac:dyDescent="0.25"/>
    <row r="1565" s="39" customFormat="1" ht="27.75" customHeight="1" outlineLevel="1" x14ac:dyDescent="0.25"/>
    <row r="1566" s="39" customFormat="1" ht="13.2" outlineLevel="1" x14ac:dyDescent="0.25"/>
    <row r="1567" s="39" customFormat="1" ht="13.2" outlineLevel="1" x14ac:dyDescent="0.25"/>
    <row r="1568" s="39" customFormat="1" ht="13.2" outlineLevel="1" x14ac:dyDescent="0.25"/>
    <row r="1569" s="39" customFormat="1" ht="13.2" outlineLevel="1" x14ac:dyDescent="0.25"/>
    <row r="1570" s="39" customFormat="1" ht="13.2" outlineLevel="1" x14ac:dyDescent="0.25"/>
    <row r="1571" s="39" customFormat="1" ht="13.2" outlineLevel="1" x14ac:dyDescent="0.25"/>
    <row r="1572" s="45" customFormat="1" ht="17.25" customHeight="1" x14ac:dyDescent="0.3"/>
    <row r="1573" s="39" customFormat="1" ht="41.7" customHeight="1" outlineLevel="1" x14ac:dyDescent="0.25"/>
    <row r="1574" s="39" customFormat="1" ht="13.2" outlineLevel="1" x14ac:dyDescent="0.25"/>
    <row r="1575" s="39" customFormat="1" ht="27.75" customHeight="1" outlineLevel="1" x14ac:dyDescent="0.25"/>
    <row r="1576" s="39" customFormat="1" ht="13.2" outlineLevel="1" x14ac:dyDescent="0.25"/>
    <row r="1577" s="39" customFormat="1" ht="13.2" outlineLevel="1" x14ac:dyDescent="0.25"/>
    <row r="1578" s="39" customFormat="1" ht="27.75" customHeight="1" outlineLevel="1" x14ac:dyDescent="0.25"/>
    <row r="1579" s="45" customFormat="1" ht="17.25" customHeight="1" x14ac:dyDescent="0.3"/>
    <row r="1580" s="39" customFormat="1" ht="27.75" customHeight="1" outlineLevel="1" x14ac:dyDescent="0.25"/>
    <row r="1581" s="39" customFormat="1" ht="27.75" customHeight="1" outlineLevel="1" x14ac:dyDescent="0.25"/>
    <row r="1582" s="46" customFormat="1" ht="27.75" customHeight="1" outlineLevel="1" x14ac:dyDescent="0.35"/>
    <row r="1583" s="39" customFormat="1" ht="13.2" outlineLevel="1" x14ac:dyDescent="0.25"/>
    <row r="1584" s="39" customFormat="1" ht="13.2" outlineLevel="1" x14ac:dyDescent="0.25"/>
    <row r="1585" s="39" customFormat="1" ht="41.7" customHeight="1" outlineLevel="1" x14ac:dyDescent="0.25"/>
    <row r="1586" s="39" customFormat="1" ht="27.75" customHeight="1" outlineLevel="1" x14ac:dyDescent="0.25"/>
    <row r="1587" s="39" customFormat="1" ht="13.2" outlineLevel="1" x14ac:dyDescent="0.25"/>
    <row r="1588" s="39" customFormat="1" ht="13.2" outlineLevel="1" x14ac:dyDescent="0.25"/>
    <row r="1589" s="39" customFormat="1" ht="13.2" outlineLevel="1" x14ac:dyDescent="0.25"/>
    <row r="1590" s="39" customFormat="1" ht="13.2" outlineLevel="1" x14ac:dyDescent="0.25"/>
    <row r="1591" s="39" customFormat="1" ht="13.2" outlineLevel="1" x14ac:dyDescent="0.25"/>
    <row r="1592" s="39" customFormat="1" ht="13.2" outlineLevel="1" x14ac:dyDescent="0.25"/>
    <row r="1593" s="39" customFormat="1" ht="13.2" outlineLevel="1" x14ac:dyDescent="0.25"/>
    <row r="1594" s="39" customFormat="1" ht="27.75" customHeight="1" outlineLevel="1" x14ac:dyDescent="0.25"/>
    <row r="1595" s="39" customFormat="1" ht="13.2" outlineLevel="1" x14ac:dyDescent="0.25"/>
    <row r="1596" s="39" customFormat="1" ht="13.2" outlineLevel="1" x14ac:dyDescent="0.25"/>
    <row r="1597" s="39" customFormat="1" ht="13.2" outlineLevel="1" x14ac:dyDescent="0.25"/>
    <row r="1598" s="39" customFormat="1" ht="13.2" outlineLevel="1" x14ac:dyDescent="0.25"/>
    <row r="1599" s="39" customFormat="1" ht="27.75" customHeight="1" outlineLevel="1" x14ac:dyDescent="0.25"/>
    <row r="1600" s="39" customFormat="1" ht="27.75" customHeight="1" outlineLevel="1" x14ac:dyDescent="0.25"/>
    <row r="1601" s="39" customFormat="1" ht="27.75" customHeight="1" outlineLevel="1" x14ac:dyDescent="0.25"/>
    <row r="1602" s="39" customFormat="1" ht="13.2" outlineLevel="1" x14ac:dyDescent="0.25"/>
    <row r="1603" s="39" customFormat="1" ht="27.75" customHeight="1" outlineLevel="1" x14ac:dyDescent="0.25"/>
    <row r="1604" s="39" customFormat="1" ht="13.2" outlineLevel="1" x14ac:dyDescent="0.25"/>
    <row r="1605" s="39" customFormat="1" ht="13.2" outlineLevel="1" x14ac:dyDescent="0.25"/>
    <row r="1606" s="39" customFormat="1" ht="27.75" customHeight="1" outlineLevel="1" x14ac:dyDescent="0.25"/>
    <row r="1607" s="39" customFormat="1" ht="13.2" outlineLevel="1" x14ac:dyDescent="0.25"/>
    <row r="1608" s="39" customFormat="1" ht="13.2" outlineLevel="1" x14ac:dyDescent="0.25"/>
    <row r="1609" s="39" customFormat="1" ht="27.75" customHeight="1" outlineLevel="1" x14ac:dyDescent="0.25"/>
    <row r="1610" s="39" customFormat="1" ht="27.75" customHeight="1" outlineLevel="1" x14ac:dyDescent="0.25"/>
    <row r="1611" s="39" customFormat="1" ht="13.2" outlineLevel="1" x14ac:dyDescent="0.25"/>
    <row r="1612" s="39" customFormat="1" ht="13.2" outlineLevel="1" x14ac:dyDescent="0.25"/>
    <row r="1613" s="39" customFormat="1" ht="43.2" customHeight="1" outlineLevel="1" x14ac:dyDescent="0.25"/>
    <row r="1614" s="39" customFormat="1" ht="13.2" outlineLevel="1" x14ac:dyDescent="0.25"/>
    <row r="1615" s="39" customFormat="1" ht="13.2" outlineLevel="1" x14ac:dyDescent="0.25"/>
    <row r="1616" s="39" customFormat="1" ht="13.2" outlineLevel="1" x14ac:dyDescent="0.25"/>
    <row r="1617" s="45" customFormat="1" ht="17.25" customHeight="1" x14ac:dyDescent="0.3"/>
    <row r="1618" s="46" customFormat="1" ht="41.7" customHeight="1" outlineLevel="1" x14ac:dyDescent="0.35"/>
    <row r="1619" s="46" customFormat="1" ht="17.7" customHeight="1" outlineLevel="1" x14ac:dyDescent="0.35"/>
    <row r="1620" s="39" customFormat="1" ht="27.75" customHeight="1" outlineLevel="1" x14ac:dyDescent="0.25"/>
    <row r="1621" s="39" customFormat="1" ht="13.2" outlineLevel="1" x14ac:dyDescent="0.25"/>
    <row r="1622" s="39" customFormat="1" ht="13.2" outlineLevel="1" x14ac:dyDescent="0.25"/>
    <row r="1623" s="39" customFormat="1" ht="27.75" customHeight="1" outlineLevel="1" x14ac:dyDescent="0.25"/>
    <row r="1624" s="45" customFormat="1" ht="17.25" customHeight="1" x14ac:dyDescent="0.3"/>
    <row r="1625" s="39" customFormat="1" ht="27.75" customHeight="1" outlineLevel="1" x14ac:dyDescent="0.25"/>
    <row r="1626" s="39" customFormat="1" ht="27.75" customHeight="1" outlineLevel="1" x14ac:dyDescent="0.25"/>
    <row r="1627" s="39" customFormat="1" ht="13.2" outlineLevel="1" x14ac:dyDescent="0.25"/>
    <row r="1628" s="39" customFormat="1" ht="27.75" customHeight="1" outlineLevel="1" x14ac:dyDescent="0.25"/>
    <row r="1629" s="39" customFormat="1" ht="13.2" outlineLevel="1" x14ac:dyDescent="0.25"/>
    <row r="1630" s="39" customFormat="1" ht="13.2" outlineLevel="1" x14ac:dyDescent="0.25"/>
    <row r="1631" s="46" customFormat="1" ht="27.75" customHeight="1" outlineLevel="1" x14ac:dyDescent="0.35"/>
    <row r="1632" s="39" customFormat="1" ht="13.2" outlineLevel="1" x14ac:dyDescent="0.25"/>
    <row r="1633" s="39" customFormat="1" ht="13.2" outlineLevel="1" x14ac:dyDescent="0.25"/>
    <row r="1634" s="39" customFormat="1" ht="13.2" outlineLevel="1" x14ac:dyDescent="0.25"/>
    <row r="1635" s="46" customFormat="1" ht="17.7" customHeight="1" outlineLevel="1" x14ac:dyDescent="0.35"/>
    <row r="1636" s="39" customFormat="1" ht="13.2" outlineLevel="1" x14ac:dyDescent="0.25"/>
    <row r="1637" s="39" customFormat="1" ht="27.75" customHeight="1" outlineLevel="1" x14ac:dyDescent="0.25"/>
    <row r="1638" s="39" customFormat="1" ht="13.2" outlineLevel="1" x14ac:dyDescent="0.25"/>
    <row r="1639" s="39" customFormat="1" ht="13.2" outlineLevel="1" x14ac:dyDescent="0.25"/>
    <row r="1640" s="39" customFormat="1" ht="13.2" outlineLevel="1" x14ac:dyDescent="0.25"/>
    <row r="1641" s="39" customFormat="1" ht="13.2" outlineLevel="1" x14ac:dyDescent="0.25"/>
    <row r="1642" s="39" customFormat="1" ht="27.75" customHeight="1" outlineLevel="1" x14ac:dyDescent="0.25"/>
    <row r="1643" s="39" customFormat="1" ht="27.75" customHeight="1" outlineLevel="1" x14ac:dyDescent="0.25"/>
    <row r="1644" s="39" customFormat="1" ht="13.2" outlineLevel="1" x14ac:dyDescent="0.25"/>
    <row r="1645" s="39" customFormat="1" ht="27.75" customHeight="1" outlineLevel="1" x14ac:dyDescent="0.25"/>
    <row r="1646" s="39" customFormat="1" ht="27.75" customHeight="1" outlineLevel="1" x14ac:dyDescent="0.25"/>
    <row r="1647" s="39" customFormat="1" ht="13.2" outlineLevel="1" x14ac:dyDescent="0.25"/>
    <row r="1648" s="39" customFormat="1" ht="13.2" outlineLevel="1" x14ac:dyDescent="0.25"/>
    <row r="1649" s="39" customFormat="1" ht="27.75" customHeight="1" outlineLevel="1" x14ac:dyDescent="0.25"/>
    <row r="1650" s="39" customFormat="1" ht="27.75" customHeight="1" outlineLevel="1" x14ac:dyDescent="0.25"/>
    <row r="1651" s="39" customFormat="1" ht="13.2" outlineLevel="1" x14ac:dyDescent="0.25"/>
    <row r="1652" s="39" customFormat="1" ht="13.2" outlineLevel="1" x14ac:dyDescent="0.25"/>
    <row r="1653" s="39" customFormat="1" ht="33.75" customHeight="1" outlineLevel="1" x14ac:dyDescent="0.25"/>
    <row r="1654" s="39" customFormat="1" ht="27.75" customHeight="1" outlineLevel="1" x14ac:dyDescent="0.25"/>
    <row r="1655" s="39" customFormat="1" ht="13.2" outlineLevel="1" x14ac:dyDescent="0.25"/>
    <row r="1656" s="39" customFormat="1" ht="13.2" outlineLevel="1" x14ac:dyDescent="0.25"/>
    <row r="1657" s="39" customFormat="1" ht="13.2" outlineLevel="1" x14ac:dyDescent="0.25"/>
    <row r="1658" s="39" customFormat="1" ht="13.2" outlineLevel="1" x14ac:dyDescent="0.25"/>
    <row r="1659" s="39" customFormat="1" ht="13.2" outlineLevel="1" x14ac:dyDescent="0.25"/>
    <row r="1660" s="39" customFormat="1" ht="13.2" outlineLevel="1" x14ac:dyDescent="0.25"/>
    <row r="1661" s="45" customFormat="1" ht="17.25" customHeight="1" x14ac:dyDescent="0.3"/>
    <row r="1662" s="39" customFormat="1" ht="41.7" customHeight="1" outlineLevel="1" x14ac:dyDescent="0.25"/>
    <row r="1663" s="39" customFormat="1" ht="27.75" customHeight="1" outlineLevel="1" x14ac:dyDescent="0.25"/>
    <row r="1664" s="39" customFormat="1" ht="27.75" customHeight="1" outlineLevel="1" x14ac:dyDescent="0.25"/>
    <row r="1665" s="39" customFormat="1" ht="13.2" outlineLevel="1" x14ac:dyDescent="0.25"/>
    <row r="1666" s="39" customFormat="1" ht="13.2" outlineLevel="1" x14ac:dyDescent="0.25"/>
    <row r="1667" s="39" customFormat="1" ht="41.7" customHeight="1" outlineLevel="1" x14ac:dyDescent="0.25"/>
    <row r="1668" s="39" customFormat="1" ht="27.75" customHeight="1" outlineLevel="1" x14ac:dyDescent="0.25"/>
    <row r="1669" s="39" customFormat="1" ht="27.75" customHeight="1" outlineLevel="1" x14ac:dyDescent="0.25"/>
    <row r="1670" s="39" customFormat="1" ht="13.2" outlineLevel="1" x14ac:dyDescent="0.25"/>
    <row r="1671" s="39" customFormat="1" ht="13.2" outlineLevel="1" x14ac:dyDescent="0.25"/>
    <row r="1672" s="39" customFormat="1" ht="41.7" customHeight="1" outlineLevel="1" x14ac:dyDescent="0.25"/>
    <row r="1673" s="39" customFormat="1" ht="27.75" customHeight="1" outlineLevel="1" x14ac:dyDescent="0.25"/>
    <row r="1674" s="39" customFormat="1" ht="27.75" customHeight="1" outlineLevel="1" x14ac:dyDescent="0.25"/>
    <row r="1675" s="39" customFormat="1" ht="41.7" customHeight="1" outlineLevel="1" x14ac:dyDescent="0.25"/>
    <row r="1676" s="39" customFormat="1" ht="27.75" customHeight="1" outlineLevel="1" x14ac:dyDescent="0.25"/>
    <row r="1677" s="39" customFormat="1" ht="27.75" customHeight="1" outlineLevel="1" x14ac:dyDescent="0.25"/>
    <row r="1678" s="39" customFormat="1" ht="13.2" outlineLevel="1" x14ac:dyDescent="0.25"/>
    <row r="1679" s="39" customFormat="1" ht="13.2" outlineLevel="1" x14ac:dyDescent="0.25"/>
    <row r="1680" s="39" customFormat="1" ht="13.2" outlineLevel="1" x14ac:dyDescent="0.25"/>
    <row r="1681" s="39" customFormat="1" ht="13.2" outlineLevel="1" x14ac:dyDescent="0.25"/>
    <row r="1682" s="39" customFormat="1" ht="27.75" customHeight="1" outlineLevel="1" x14ac:dyDescent="0.25"/>
    <row r="1683" s="45" customFormat="1" ht="17.25" customHeight="1" x14ac:dyDescent="0.3"/>
    <row r="1684" s="39" customFormat="1" ht="27.75" customHeight="1" outlineLevel="1" x14ac:dyDescent="0.25"/>
    <row r="1685" s="39" customFormat="1" ht="27.75" customHeight="1" outlineLevel="1" x14ac:dyDescent="0.25"/>
    <row r="1686" s="39" customFormat="1" ht="13.2" outlineLevel="1" x14ac:dyDescent="0.25"/>
    <row r="1687" s="39" customFormat="1" ht="27.75" customHeight="1" outlineLevel="1" x14ac:dyDescent="0.25"/>
    <row r="1688" s="39" customFormat="1" ht="13.2" outlineLevel="1" x14ac:dyDescent="0.25"/>
    <row r="1689" s="39" customFormat="1" ht="13.2" outlineLevel="1" x14ac:dyDescent="0.25"/>
    <row r="1690" s="39" customFormat="1" ht="27.75" customHeight="1" outlineLevel="1" x14ac:dyDescent="0.25"/>
    <row r="1691" s="39" customFormat="1" ht="13.2" outlineLevel="1" x14ac:dyDescent="0.25"/>
    <row r="1692" s="39" customFormat="1" ht="13.2" outlineLevel="1" x14ac:dyDescent="0.25"/>
    <row r="1693" s="39" customFormat="1" ht="13.2" outlineLevel="1" x14ac:dyDescent="0.25"/>
    <row r="1694" s="46" customFormat="1" ht="17.7" customHeight="1" outlineLevel="1" x14ac:dyDescent="0.35"/>
    <row r="1695" s="39" customFormat="1" ht="13.2" outlineLevel="1" x14ac:dyDescent="0.25"/>
    <row r="1696" s="39" customFormat="1" ht="27.75" customHeight="1" outlineLevel="1" x14ac:dyDescent="0.25"/>
    <row r="1697" s="39" customFormat="1" ht="13.2" outlineLevel="1" x14ac:dyDescent="0.25"/>
    <row r="1698" s="39" customFormat="1" ht="13.2" outlineLevel="1" x14ac:dyDescent="0.25"/>
    <row r="1699" s="39" customFormat="1" ht="13.2" outlineLevel="1" x14ac:dyDescent="0.25"/>
    <row r="1700" s="39" customFormat="1" ht="13.2" outlineLevel="1" x14ac:dyDescent="0.25"/>
    <row r="1701" s="39" customFormat="1" ht="27.75" customHeight="1" outlineLevel="1" x14ac:dyDescent="0.25"/>
    <row r="1702" s="39" customFormat="1" ht="27.75" customHeight="1" outlineLevel="1" x14ac:dyDescent="0.25"/>
    <row r="1703" s="39" customFormat="1" ht="13.2" outlineLevel="1" x14ac:dyDescent="0.25"/>
    <row r="1704" s="39" customFormat="1" ht="27.75" customHeight="1" outlineLevel="1" x14ac:dyDescent="0.25"/>
    <row r="1705" s="39" customFormat="1" ht="27.75" customHeight="1" outlineLevel="1" x14ac:dyDescent="0.25"/>
    <row r="1706" s="39" customFormat="1" ht="13.2" outlineLevel="1" x14ac:dyDescent="0.25"/>
    <row r="1707" s="39" customFormat="1" ht="13.2" outlineLevel="1" x14ac:dyDescent="0.25"/>
    <row r="1708" s="39" customFormat="1" ht="27.75" customHeight="1" outlineLevel="1" x14ac:dyDescent="0.25"/>
    <row r="1709" s="39" customFormat="1" ht="27.75" customHeight="1" outlineLevel="1" x14ac:dyDescent="0.25"/>
    <row r="1710" s="39" customFormat="1" ht="13.2" outlineLevel="1" x14ac:dyDescent="0.25"/>
    <row r="1711" s="39" customFormat="1" ht="13.2" outlineLevel="1" x14ac:dyDescent="0.25"/>
    <row r="1712" s="39" customFormat="1" ht="27.75" customHeight="1" outlineLevel="1" x14ac:dyDescent="0.25"/>
    <row r="1713" s="39" customFormat="1" ht="27.75" customHeight="1" outlineLevel="1" x14ac:dyDescent="0.25"/>
    <row r="1714" s="39" customFormat="1" ht="13.2" outlineLevel="1" x14ac:dyDescent="0.25"/>
    <row r="1715" s="39" customFormat="1" ht="13.2" outlineLevel="1" x14ac:dyDescent="0.25"/>
    <row r="1716" s="39" customFormat="1" ht="13.2" outlineLevel="1" x14ac:dyDescent="0.25"/>
    <row r="1717" s="39" customFormat="1" ht="13.2" outlineLevel="1" x14ac:dyDescent="0.25"/>
    <row r="1718" s="39" customFormat="1" ht="13.2" outlineLevel="1" x14ac:dyDescent="0.25"/>
    <row r="1719" s="39" customFormat="1" ht="13.2" outlineLevel="1" x14ac:dyDescent="0.25"/>
    <row r="1720" s="45" customFormat="1" ht="17.25" customHeight="1" x14ac:dyDescent="0.3"/>
    <row r="1721" s="39" customFormat="1" ht="41.7" customHeight="1" outlineLevel="1" x14ac:dyDescent="0.25"/>
    <row r="1722" s="39" customFormat="1" ht="27.75" customHeight="1" outlineLevel="1" x14ac:dyDescent="0.25"/>
    <row r="1723" s="39" customFormat="1" ht="27.75" customHeight="1" outlineLevel="1" x14ac:dyDescent="0.25"/>
    <row r="1724" s="39" customFormat="1" ht="13.2" outlineLevel="1" x14ac:dyDescent="0.25"/>
    <row r="1725" s="39" customFormat="1" ht="13.2" outlineLevel="1" x14ac:dyDescent="0.25"/>
    <row r="1726" s="39" customFormat="1" ht="41.7" customHeight="1" outlineLevel="1" x14ac:dyDescent="0.25"/>
    <row r="1727" s="39" customFormat="1" ht="27.75" customHeight="1" outlineLevel="1" x14ac:dyDescent="0.25"/>
    <row r="1728" s="39" customFormat="1" ht="48.75" customHeight="1" outlineLevel="1" x14ac:dyDescent="0.25"/>
    <row r="1729" s="39" customFormat="1" ht="13.2" outlineLevel="1" x14ac:dyDescent="0.25"/>
    <row r="1730" s="39" customFormat="1" ht="13.2" outlineLevel="1" x14ac:dyDescent="0.25"/>
    <row r="1731" s="39" customFormat="1" ht="41.7" customHeight="1" outlineLevel="1" x14ac:dyDescent="0.25"/>
    <row r="1732" s="39" customFormat="1" ht="27.75" customHeight="1" outlineLevel="1" x14ac:dyDescent="0.25"/>
    <row r="1733" s="39" customFormat="1" ht="27.75" customHeight="1" outlineLevel="1" x14ac:dyDescent="0.25"/>
    <row r="1734" s="39" customFormat="1" ht="41.7" customHeight="1" outlineLevel="1" x14ac:dyDescent="0.25"/>
    <row r="1735" s="39" customFormat="1" ht="27.75" customHeight="1" outlineLevel="1" x14ac:dyDescent="0.25"/>
    <row r="1736" s="39" customFormat="1" ht="27.75" customHeight="1" outlineLevel="1" x14ac:dyDescent="0.25"/>
    <row r="1737" s="39" customFormat="1" ht="13.2" outlineLevel="1" x14ac:dyDescent="0.25"/>
    <row r="1738" s="46" customFormat="1" ht="17.7" customHeight="1" outlineLevel="1" x14ac:dyDescent="0.35"/>
    <row r="1739" s="39" customFormat="1" ht="13.2" outlineLevel="1" x14ac:dyDescent="0.25"/>
    <row r="1740" s="39" customFormat="1" ht="13.2" outlineLevel="1" x14ac:dyDescent="0.25"/>
    <row r="1741" s="39" customFormat="1" ht="27.75" customHeight="1" outlineLevel="1" x14ac:dyDescent="0.25"/>
    <row r="1742" s="45" customFormat="1" ht="17.25" customHeight="1" x14ac:dyDescent="0.3"/>
    <row r="1743" s="39" customFormat="1" ht="27.75" customHeight="1" outlineLevel="1" x14ac:dyDescent="0.25"/>
    <row r="1744" s="39" customFormat="1" ht="27.75" customHeight="1" outlineLevel="1" x14ac:dyDescent="0.25"/>
    <row r="1745" s="39" customFormat="1" ht="27.75" customHeight="1" outlineLevel="1" x14ac:dyDescent="0.25"/>
    <row r="1746" s="39" customFormat="1" ht="13.2" outlineLevel="1" x14ac:dyDescent="0.25"/>
    <row r="1747" s="39" customFormat="1" ht="13.2" outlineLevel="1" x14ac:dyDescent="0.25"/>
    <row r="1748" s="45" customFormat="1" ht="17.25" customHeight="1" x14ac:dyDescent="0.3"/>
    <row r="1749" s="39" customFormat="1" ht="13.2" outlineLevel="1" x14ac:dyDescent="0.25"/>
    <row r="1750" s="46" customFormat="1" ht="17.7" customHeight="1" outlineLevel="1" x14ac:dyDescent="0.35"/>
    <row r="1751" s="39" customFormat="1" ht="13.2" outlineLevel="1" x14ac:dyDescent="0.25"/>
    <row r="1752" s="39" customFormat="1" ht="13.2" outlineLevel="1" x14ac:dyDescent="0.25"/>
    <row r="1753" s="39" customFormat="1" ht="13.2" outlineLevel="1" x14ac:dyDescent="0.25"/>
    <row r="1754" s="46" customFormat="1" ht="17.7" customHeight="1" outlineLevel="1" x14ac:dyDescent="0.35"/>
    <row r="1755" s="39" customFormat="1" ht="27.75" customHeight="1" outlineLevel="1" x14ac:dyDescent="0.25"/>
    <row r="1756" s="39" customFormat="1" ht="13.2" outlineLevel="1" x14ac:dyDescent="0.25"/>
    <row r="1757" s="39" customFormat="1" ht="13.2" outlineLevel="1" x14ac:dyDescent="0.25"/>
    <row r="1758" s="39" customFormat="1" ht="27.75" customHeight="1" outlineLevel="1" x14ac:dyDescent="0.25"/>
    <row r="1759" s="39" customFormat="1" ht="27.75" customHeight="1" outlineLevel="1" x14ac:dyDescent="0.25"/>
    <row r="1760" s="39" customFormat="1" ht="41.7" customHeight="1" outlineLevel="1" x14ac:dyDescent="0.25"/>
    <row r="1761" s="45" customFormat="1" ht="17.25" customHeight="1" x14ac:dyDescent="0.3"/>
    <row r="1762" s="39" customFormat="1" ht="13.2" outlineLevel="1" x14ac:dyDescent="0.25"/>
    <row r="1763" s="39" customFormat="1" ht="13.2" outlineLevel="1" x14ac:dyDescent="0.25"/>
    <row r="1764" s="39" customFormat="1" ht="13.2" outlineLevel="1" x14ac:dyDescent="0.25"/>
    <row r="1765" s="39" customFormat="1" ht="27.75" customHeight="1" outlineLevel="1" x14ac:dyDescent="0.25"/>
    <row r="1766" s="39" customFormat="1" ht="13.2" outlineLevel="1" x14ac:dyDescent="0.25"/>
    <row r="1767" s="39" customFormat="1" ht="13.2" outlineLevel="1" x14ac:dyDescent="0.25"/>
    <row r="1768" s="45" customFormat="1" ht="17.25" customHeight="1" x14ac:dyDescent="0.3"/>
    <row r="1769" s="39" customFormat="1" ht="27.75" customHeight="1" outlineLevel="1" x14ac:dyDescent="0.25"/>
    <row r="1770" s="39" customFormat="1" ht="13.2" outlineLevel="1" x14ac:dyDescent="0.25"/>
    <row r="1771" s="39" customFormat="1" ht="13.2" outlineLevel="1" x14ac:dyDescent="0.25"/>
    <row r="1772" s="39" customFormat="1" ht="13.2" outlineLevel="1" x14ac:dyDescent="0.25"/>
    <row r="1773" s="45" customFormat="1" ht="17.25" customHeight="1" x14ac:dyDescent="0.3"/>
    <row r="1774" s="39" customFormat="1" ht="13.2" outlineLevel="1" x14ac:dyDescent="0.25"/>
    <row r="1775" s="39" customFormat="1" ht="13.2" outlineLevel="1" x14ac:dyDescent="0.25"/>
    <row r="1776" s="39" customFormat="1" ht="13.2" outlineLevel="1" x14ac:dyDescent="0.25"/>
    <row r="1777" s="39" customFormat="1" ht="13.2" outlineLevel="1" x14ac:dyDescent="0.25"/>
    <row r="1778" s="39" customFormat="1" ht="13.2" outlineLevel="1" x14ac:dyDescent="0.25"/>
    <row r="1779" s="39" customFormat="1" ht="27.75" customHeight="1" outlineLevel="1" x14ac:dyDescent="0.25"/>
    <row r="1780" s="39" customFormat="1" ht="13.2" outlineLevel="1" x14ac:dyDescent="0.25"/>
    <row r="1781" s="39" customFormat="1" ht="13.2" outlineLevel="1" x14ac:dyDescent="0.25"/>
    <row r="1782" s="39" customFormat="1" ht="13.2" outlineLevel="1" x14ac:dyDescent="0.25"/>
    <row r="1783" s="45" customFormat="1" ht="17.25" customHeight="1" x14ac:dyDescent="0.3"/>
    <row r="1784" s="39" customFormat="1" ht="13.2" outlineLevel="1" x14ac:dyDescent="0.25"/>
    <row r="1785" s="39" customFormat="1" ht="13.2" outlineLevel="1" x14ac:dyDescent="0.25"/>
    <row r="1786" s="39" customFormat="1" ht="27.75" customHeight="1" outlineLevel="1" x14ac:dyDescent="0.25"/>
    <row r="1787" s="39" customFormat="1" ht="27.75" customHeight="1" outlineLevel="1" x14ac:dyDescent="0.25"/>
    <row r="1788" s="45" customFormat="1" ht="17.25" customHeight="1" x14ac:dyDescent="0.3"/>
    <row r="1789" s="39" customFormat="1" ht="13.2" outlineLevel="1" x14ac:dyDescent="0.25"/>
    <row r="1790" s="39" customFormat="1" ht="13.2" outlineLevel="1" x14ac:dyDescent="0.25"/>
    <row r="1791" s="39" customFormat="1" ht="27.75" customHeight="1" outlineLevel="1" x14ac:dyDescent="0.25"/>
    <row r="1792" s="45" customFormat="1" ht="17.25" customHeight="1" x14ac:dyDescent="0.3"/>
    <row r="1793" s="39" customFormat="1" ht="13.2" outlineLevel="1" x14ac:dyDescent="0.25"/>
    <row r="1794" s="39" customFormat="1" ht="27.75" customHeight="1" outlineLevel="1" x14ac:dyDescent="0.25"/>
    <row r="1795" s="39" customFormat="1" ht="27.75" customHeight="1" outlineLevel="1" x14ac:dyDescent="0.25"/>
    <row r="1796" s="39" customFormat="1" ht="27.75" customHeight="1" outlineLevel="1" x14ac:dyDescent="0.25"/>
    <row r="1797" s="39" customFormat="1" ht="27.75" customHeight="1" outlineLevel="1" x14ac:dyDescent="0.25"/>
    <row r="1798" s="39" customFormat="1" ht="13.2" outlineLevel="1" x14ac:dyDescent="0.25"/>
    <row r="1799" s="39" customFormat="1" ht="27.75" customHeight="1" outlineLevel="1" x14ac:dyDescent="0.25"/>
    <row r="1800" s="45" customFormat="1" ht="17.25" customHeight="1" x14ac:dyDescent="0.3"/>
    <row r="1801" s="39" customFormat="1" ht="27.75" customHeight="1" outlineLevel="1" x14ac:dyDescent="0.25"/>
    <row r="1802" s="39" customFormat="1" ht="13.2" outlineLevel="1" x14ac:dyDescent="0.25"/>
    <row r="1803" s="39" customFormat="1" ht="13.2" outlineLevel="1" x14ac:dyDescent="0.25"/>
    <row r="1804" s="39" customFormat="1" ht="13.2" outlineLevel="1" x14ac:dyDescent="0.25"/>
    <row r="1805" s="39" customFormat="1" ht="27.75" customHeight="1" outlineLevel="1" x14ac:dyDescent="0.25"/>
    <row r="1806" s="45" customFormat="1" ht="17.25" customHeight="1" x14ac:dyDescent="0.3"/>
    <row r="1807" s="39" customFormat="1" ht="27.75" customHeight="1" outlineLevel="1" x14ac:dyDescent="0.25"/>
    <row r="1808" s="39" customFormat="1" ht="55.5" customHeight="1" outlineLevel="1" x14ac:dyDescent="0.25"/>
    <row r="1809" s="39" customFormat="1" ht="27.75" customHeight="1" outlineLevel="1" x14ac:dyDescent="0.25"/>
    <row r="1810" s="39" customFormat="1" ht="55.5" customHeight="1" outlineLevel="1" x14ac:dyDescent="0.25"/>
    <row r="1811" s="39" customFormat="1" ht="27.75" customHeight="1" outlineLevel="1" x14ac:dyDescent="0.25"/>
    <row r="1812" s="39" customFormat="1" ht="13.2" outlineLevel="1" x14ac:dyDescent="0.25"/>
    <row r="1813" s="39" customFormat="1" ht="27.75" customHeight="1" outlineLevel="1" x14ac:dyDescent="0.25"/>
    <row r="1814" s="39" customFormat="1" ht="43.2" customHeight="1" outlineLevel="1" x14ac:dyDescent="0.25"/>
    <row r="1815" s="39" customFormat="1" ht="27.75" customHeight="1" outlineLevel="1" x14ac:dyDescent="0.25"/>
    <row r="1816" s="39" customFormat="1" ht="27.75" customHeight="1" outlineLevel="1" x14ac:dyDescent="0.25"/>
    <row r="1817" s="39" customFormat="1" ht="27.75" customHeight="1" outlineLevel="1" x14ac:dyDescent="0.25"/>
    <row r="1818" s="46" customFormat="1" ht="27.75" customHeight="1" outlineLevel="1" x14ac:dyDescent="0.35"/>
    <row r="1819" s="46" customFormat="1" ht="17.7" customHeight="1" outlineLevel="1" x14ac:dyDescent="0.35"/>
    <row r="1820" s="46" customFormat="1" ht="27.75" customHeight="1" outlineLevel="1" x14ac:dyDescent="0.35"/>
    <row r="1821" s="39" customFormat="1" ht="41.7" customHeight="1" outlineLevel="1" x14ac:dyDescent="0.25"/>
    <row r="1822" s="39" customFormat="1" ht="13.2" outlineLevel="1" x14ac:dyDescent="0.25"/>
    <row r="1823" s="39" customFormat="1" ht="41.7" customHeight="1" outlineLevel="1" x14ac:dyDescent="0.25"/>
    <row r="1824" s="39" customFormat="1" ht="13.2" outlineLevel="1" x14ac:dyDescent="0.25"/>
    <row r="1825" s="39" customFormat="1" ht="27.75" customHeight="1" outlineLevel="1" x14ac:dyDescent="0.25"/>
    <row r="1826" s="39" customFormat="1" ht="27.75" customHeight="1" outlineLevel="1" x14ac:dyDescent="0.25"/>
    <row r="1827" s="39" customFormat="1" ht="27.75" customHeight="1" outlineLevel="1" x14ac:dyDescent="0.25"/>
    <row r="1828" s="39" customFormat="1" ht="13.2" outlineLevel="1" x14ac:dyDescent="0.25"/>
    <row r="1829" s="39" customFormat="1" ht="13.2" outlineLevel="1" x14ac:dyDescent="0.25"/>
    <row r="1830" s="39" customFormat="1" ht="27.75" customHeight="1" outlineLevel="1" x14ac:dyDescent="0.25"/>
    <row r="1831" s="39" customFormat="1" ht="27.75" customHeight="1" outlineLevel="1" x14ac:dyDescent="0.25"/>
    <row r="1832" s="46" customFormat="1" ht="17.7" customHeight="1" outlineLevel="1" x14ac:dyDescent="0.35"/>
    <row r="1833" s="39" customFormat="1" ht="13.2" outlineLevel="1" x14ac:dyDescent="0.25"/>
    <row r="1834" s="39" customFormat="1" ht="13.2" outlineLevel="1" x14ac:dyDescent="0.25"/>
    <row r="1835" s="45" customFormat="1" ht="17.25" customHeight="1" x14ac:dyDescent="0.3"/>
    <row r="1836" s="46" customFormat="1" ht="17.7" customHeight="1" outlineLevel="1" x14ac:dyDescent="0.35"/>
    <row r="1837" s="39" customFormat="1" ht="13.2" outlineLevel="1" x14ac:dyDescent="0.25"/>
    <row r="1838" s="39" customFormat="1" ht="13.2" outlineLevel="1" x14ac:dyDescent="0.25"/>
    <row r="1839" s="39" customFormat="1" ht="13.2" outlineLevel="1" x14ac:dyDescent="0.25"/>
    <row r="1840" s="39" customFormat="1" ht="13.2" outlineLevel="1" x14ac:dyDescent="0.25"/>
    <row r="1841" s="39" customFormat="1" ht="13.2" outlineLevel="1" x14ac:dyDescent="0.25"/>
    <row r="1842" s="39" customFormat="1" ht="27.75" customHeight="1" outlineLevel="1" x14ac:dyDescent="0.25"/>
    <row r="1843" s="39" customFormat="1" ht="13.2" outlineLevel="1" x14ac:dyDescent="0.25"/>
    <row r="1844" s="39" customFormat="1" ht="27.75" customHeight="1" outlineLevel="1" x14ac:dyDescent="0.25"/>
    <row r="1845" s="39" customFormat="1" ht="13.2" outlineLevel="1" x14ac:dyDescent="0.25"/>
    <row r="1846" s="39" customFormat="1" ht="13.2" outlineLevel="1" x14ac:dyDescent="0.25"/>
    <row r="1847" s="39" customFormat="1" ht="13.2" outlineLevel="1" x14ac:dyDescent="0.25"/>
    <row r="1848" s="39" customFormat="1" ht="27.75" customHeight="1" outlineLevel="1" x14ac:dyDescent="0.25"/>
    <row r="1849" s="39" customFormat="1" ht="13.2" outlineLevel="1" x14ac:dyDescent="0.25"/>
    <row r="1850" s="39" customFormat="1" ht="27.75" customHeight="1" outlineLevel="1" x14ac:dyDescent="0.25"/>
    <row r="1851" s="39" customFormat="1" ht="13.2" outlineLevel="1" x14ac:dyDescent="0.25"/>
    <row r="1852" s="39" customFormat="1" ht="13.2" outlineLevel="1" x14ac:dyDescent="0.25"/>
    <row r="1853" s="39" customFormat="1" ht="13.2" outlineLevel="1" x14ac:dyDescent="0.25"/>
    <row r="1854" s="39" customFormat="1" ht="33.75" customHeight="1" outlineLevel="1" x14ac:dyDescent="0.25"/>
    <row r="1855" s="39" customFormat="1" ht="13.2" outlineLevel="1" x14ac:dyDescent="0.25"/>
    <row r="1856" s="39" customFormat="1" ht="13.2" outlineLevel="1" x14ac:dyDescent="0.25"/>
    <row r="1857" s="45" customFormat="1" ht="17.25" customHeight="1" x14ac:dyDescent="0.3"/>
    <row r="1858" s="39" customFormat="1" ht="27.75" customHeight="1" outlineLevel="1" x14ac:dyDescent="0.25"/>
    <row r="1859" s="39" customFormat="1" ht="27.75" customHeight="1" outlineLevel="1" x14ac:dyDescent="0.25"/>
    <row r="1860" s="39" customFormat="1" ht="48.75" customHeight="1" outlineLevel="1" x14ac:dyDescent="0.25"/>
    <row r="1861" s="39" customFormat="1" ht="27.75" customHeight="1" outlineLevel="1" x14ac:dyDescent="0.25"/>
    <row r="1862" s="39" customFormat="1" ht="13.2" outlineLevel="1" x14ac:dyDescent="0.25"/>
    <row r="1863" s="39" customFormat="1" ht="13.2" outlineLevel="1" x14ac:dyDescent="0.25"/>
    <row r="1864" s="39" customFormat="1" ht="13.2" outlineLevel="1" x14ac:dyDescent="0.25"/>
    <row r="1865" s="39" customFormat="1" ht="13.2" outlineLevel="1" x14ac:dyDescent="0.25"/>
    <row r="1866" s="39" customFormat="1" ht="41.7" customHeight="1" outlineLevel="1" x14ac:dyDescent="0.25"/>
    <row r="1867" s="39" customFormat="1" ht="13.2" outlineLevel="1" x14ac:dyDescent="0.25"/>
    <row r="1868" s="39" customFormat="1" ht="13.2" outlineLevel="1" x14ac:dyDescent="0.25"/>
    <row r="1869" s="39" customFormat="1" ht="27.75" customHeight="1" outlineLevel="1" x14ac:dyDescent="0.25"/>
    <row r="1870" s="39" customFormat="1" ht="13.2" outlineLevel="1" x14ac:dyDescent="0.25"/>
    <row r="1871" s="39" customFormat="1" ht="27.75" customHeight="1" outlineLevel="1" x14ac:dyDescent="0.25"/>
    <row r="1872" s="39" customFormat="1" ht="13.2" outlineLevel="1" x14ac:dyDescent="0.25"/>
    <row r="1873" s="39" customFormat="1" ht="13.2" outlineLevel="1" x14ac:dyDescent="0.25"/>
    <row r="1874" s="39" customFormat="1" ht="27.75" customHeight="1" outlineLevel="1" x14ac:dyDescent="0.25"/>
    <row r="1875" s="39" customFormat="1" ht="13.2" outlineLevel="1" x14ac:dyDescent="0.25"/>
    <row r="1876" s="39" customFormat="1" ht="13.2" outlineLevel="1" x14ac:dyDescent="0.25"/>
    <row r="1877" s="39" customFormat="1" ht="27.75" customHeight="1" outlineLevel="1" x14ac:dyDescent="0.25"/>
    <row r="1878" s="39" customFormat="1" ht="13.2" outlineLevel="1" x14ac:dyDescent="0.25"/>
    <row r="1879" s="39" customFormat="1" ht="13.2" outlineLevel="1" x14ac:dyDescent="0.25"/>
    <row r="1880" s="39" customFormat="1" ht="27.75" customHeight="1" outlineLevel="1" x14ac:dyDescent="0.25"/>
    <row r="1881" s="39" customFormat="1" ht="27.75" customHeight="1" outlineLevel="1" x14ac:dyDescent="0.25"/>
    <row r="1882" s="45" customFormat="1" ht="17.25" customHeight="1" x14ac:dyDescent="0.3"/>
    <row r="1883" s="39" customFormat="1" ht="27.75" customHeight="1" outlineLevel="1" x14ac:dyDescent="0.25"/>
    <row r="1884" s="39" customFormat="1" ht="27.75" customHeight="1" outlineLevel="1" x14ac:dyDescent="0.25"/>
    <row r="1885" s="39" customFormat="1" ht="27.75" customHeight="1" outlineLevel="1" x14ac:dyDescent="0.25"/>
    <row r="1886" s="39" customFormat="1" ht="13.2" outlineLevel="1" x14ac:dyDescent="0.25"/>
    <row r="1887" s="39" customFormat="1" ht="13.2" outlineLevel="1" x14ac:dyDescent="0.25"/>
    <row r="1888" s="39" customFormat="1" ht="27.75" customHeight="1" outlineLevel="1" x14ac:dyDescent="0.25"/>
    <row r="1889" s="39" customFormat="1" ht="13.2" outlineLevel="1" x14ac:dyDescent="0.25"/>
    <row r="1890" s="39" customFormat="1" ht="13.2" outlineLevel="1" x14ac:dyDescent="0.25"/>
    <row r="1891" s="45" customFormat="1" ht="17.25" customHeight="1" x14ac:dyDescent="0.3"/>
    <row r="1892" s="39" customFormat="1" ht="13.2" outlineLevel="1" x14ac:dyDescent="0.25"/>
    <row r="1893" s="39" customFormat="1" ht="13.2" outlineLevel="1" x14ac:dyDescent="0.25"/>
    <row r="1894" s="39" customFormat="1" ht="13.2" outlineLevel="1" x14ac:dyDescent="0.25"/>
    <row r="1895" s="39" customFormat="1" ht="13.2" outlineLevel="1" x14ac:dyDescent="0.25"/>
    <row r="1896" s="39" customFormat="1" ht="13.2" outlineLevel="1" x14ac:dyDescent="0.25"/>
    <row r="1897" s="39" customFormat="1" ht="27.75" customHeight="1" outlineLevel="1" x14ac:dyDescent="0.25"/>
    <row r="1898" s="46" customFormat="1" ht="27.75" customHeight="1" outlineLevel="1" x14ac:dyDescent="0.35"/>
    <row r="1899" s="39" customFormat="1" ht="13.2" outlineLevel="1" x14ac:dyDescent="0.25"/>
    <row r="1900" s="39" customFormat="1" ht="13.2" outlineLevel="1" x14ac:dyDescent="0.25"/>
    <row r="1901" s="45" customFormat="1" ht="17.25" customHeight="1" x14ac:dyDescent="0.3"/>
    <row r="1902" s="39" customFormat="1" ht="27.75" customHeight="1" outlineLevel="1" x14ac:dyDescent="0.25"/>
    <row r="1903" s="39" customFormat="1" ht="27.75" customHeight="1" outlineLevel="1" x14ac:dyDescent="0.25"/>
    <row r="1904" s="39" customFormat="1" ht="27.75" customHeight="1" outlineLevel="1" x14ac:dyDescent="0.25"/>
    <row r="1905" s="45" customFormat="1" ht="17.25" customHeight="1" x14ac:dyDescent="0.3"/>
    <row r="1906" s="39" customFormat="1" ht="27.75" customHeight="1" outlineLevel="1" x14ac:dyDescent="0.25"/>
    <row r="1907" s="39" customFormat="1" ht="41.7" customHeight="1" outlineLevel="1" x14ac:dyDescent="0.25"/>
    <row r="1908" s="39" customFormat="1" ht="27.75" customHeight="1" outlineLevel="1" x14ac:dyDescent="0.25"/>
    <row r="1909" s="39" customFormat="1" ht="41.7" customHeight="1" outlineLevel="1" x14ac:dyDescent="0.25"/>
    <row r="1910" s="39" customFormat="1" ht="13.2" outlineLevel="1" x14ac:dyDescent="0.25"/>
    <row r="1911" s="45" customFormat="1" ht="17.25" customHeight="1" x14ac:dyDescent="0.3"/>
    <row r="1912" s="39" customFormat="1" ht="27.75" customHeight="1" outlineLevel="1" x14ac:dyDescent="0.25"/>
    <row r="1913" s="45" customFormat="1" ht="17.25" customHeight="1" x14ac:dyDescent="0.3"/>
    <row r="1914" s="39" customFormat="1" ht="27.75" customHeight="1" outlineLevel="1" x14ac:dyDescent="0.25"/>
    <row r="1915" s="39" customFormat="1" ht="27.75" customHeight="1" outlineLevel="1" x14ac:dyDescent="0.25"/>
    <row r="1916" s="39" customFormat="1" ht="27.75" customHeight="1" outlineLevel="1" x14ac:dyDescent="0.25"/>
    <row r="1917" s="39" customFormat="1" ht="13.2" outlineLevel="1" x14ac:dyDescent="0.25"/>
    <row r="1918" s="39" customFormat="1" ht="13.2" outlineLevel="1" x14ac:dyDescent="0.25"/>
    <row r="1919" s="39" customFormat="1" ht="13.2" outlineLevel="1" x14ac:dyDescent="0.25"/>
    <row r="1920" s="39" customFormat="1" ht="13.2" outlineLevel="1" x14ac:dyDescent="0.25"/>
    <row r="1921" s="39" customFormat="1" ht="13.2" outlineLevel="1" x14ac:dyDescent="0.25"/>
    <row r="1922" s="39" customFormat="1" ht="13.2" outlineLevel="1" x14ac:dyDescent="0.25"/>
    <row r="1923" s="39" customFormat="1" ht="13.2" outlineLevel="1" x14ac:dyDescent="0.25"/>
    <row r="1924" s="39" customFormat="1" ht="27.75" customHeight="1" outlineLevel="1" x14ac:dyDescent="0.25"/>
    <row r="1925" s="39" customFormat="1" ht="27.75" customHeight="1" outlineLevel="1" x14ac:dyDescent="0.25"/>
    <row r="1926" s="39" customFormat="1" ht="27.75" customHeight="1" outlineLevel="1" x14ac:dyDescent="0.25"/>
    <row r="1927" s="39" customFormat="1" ht="13.2" outlineLevel="1" x14ac:dyDescent="0.25"/>
    <row r="1928" s="39" customFormat="1" ht="13.2" outlineLevel="1" x14ac:dyDescent="0.25"/>
    <row r="1929" s="39" customFormat="1" ht="27.75" customHeight="1" outlineLevel="1" x14ac:dyDescent="0.25"/>
    <row r="1930" s="39" customFormat="1" ht="13.2" outlineLevel="1" x14ac:dyDescent="0.25"/>
    <row r="1931" s="39" customFormat="1" ht="13.2" outlineLevel="1" x14ac:dyDescent="0.25"/>
    <row r="1932" s="39" customFormat="1" ht="30" customHeight="1" outlineLevel="1" x14ac:dyDescent="0.25"/>
    <row r="1933" s="39" customFormat="1" ht="13.2" outlineLevel="1" x14ac:dyDescent="0.25"/>
    <row r="1934" s="39" customFormat="1" ht="27.75" customHeight="1" outlineLevel="1" x14ac:dyDescent="0.25"/>
    <row r="1935" s="39" customFormat="1" ht="13.2" outlineLevel="1" x14ac:dyDescent="0.25"/>
    <row r="1936" s="39" customFormat="1" ht="13.2" outlineLevel="1" x14ac:dyDescent="0.25"/>
    <row r="1937" s="39" customFormat="1" ht="13.2" outlineLevel="1" x14ac:dyDescent="0.25"/>
    <row r="1938" s="39" customFormat="1" ht="27.75" customHeight="1" outlineLevel="1" x14ac:dyDescent="0.25"/>
    <row r="1939" s="39" customFormat="1" ht="27.75" customHeight="1" outlineLevel="1" x14ac:dyDescent="0.25"/>
    <row r="1940" s="39" customFormat="1" ht="13.2" outlineLevel="1" x14ac:dyDescent="0.25"/>
    <row r="1941" s="39" customFormat="1" ht="27.75" customHeight="1" outlineLevel="1" x14ac:dyDescent="0.25"/>
    <row r="1942" s="46" customFormat="1" ht="17.7" customHeight="1" outlineLevel="1" x14ac:dyDescent="0.35"/>
    <row r="1943" s="39" customFormat="1" ht="27.75" customHeight="1" outlineLevel="1" x14ac:dyDescent="0.25"/>
    <row r="1944" s="39" customFormat="1" ht="41.7" customHeight="1" outlineLevel="1" x14ac:dyDescent="0.25"/>
    <row r="1945" s="39" customFormat="1" ht="13.2" outlineLevel="1" x14ac:dyDescent="0.25"/>
    <row r="1946" s="39" customFormat="1" ht="27.75" customHeight="1" outlineLevel="1" x14ac:dyDescent="0.25"/>
    <row r="1947" s="45" customFormat="1" ht="27" customHeight="1" x14ac:dyDescent="0.3"/>
    <row r="1948" s="39" customFormat="1" ht="27.75" customHeight="1" outlineLevel="1" x14ac:dyDescent="0.25"/>
    <row r="1949" s="39" customFormat="1" ht="27.75" customHeight="1" outlineLevel="1" x14ac:dyDescent="0.25"/>
    <row r="1950" s="39" customFormat="1" ht="27.75" customHeight="1" outlineLevel="1" x14ac:dyDescent="0.25"/>
    <row r="1951" s="39" customFormat="1" ht="27.75" customHeight="1" outlineLevel="1" x14ac:dyDescent="0.25"/>
    <row r="1952" s="39" customFormat="1" ht="27.75" customHeight="1" outlineLevel="1" x14ac:dyDescent="0.25"/>
    <row r="1953" s="45" customFormat="1" ht="27" customHeight="1" x14ac:dyDescent="0.3"/>
    <row r="1954" s="46" customFormat="1" ht="27.75" customHeight="1" outlineLevel="1" x14ac:dyDescent="0.35"/>
    <row r="1955" s="39" customFormat="1" ht="27.75" customHeight="1" outlineLevel="1" x14ac:dyDescent="0.25"/>
    <row r="1956" s="39" customFormat="1" ht="27.75" customHeight="1" outlineLevel="1" x14ac:dyDescent="0.25"/>
    <row r="1957" s="39" customFormat="1" ht="27.75" customHeight="1" outlineLevel="1" x14ac:dyDescent="0.25"/>
    <row r="1958" s="46" customFormat="1" ht="27.75" customHeight="1" outlineLevel="1" x14ac:dyDescent="0.35"/>
    <row r="1959" s="39" customFormat="1" ht="13.2" outlineLevel="1" x14ac:dyDescent="0.25"/>
    <row r="1960" s="39" customFormat="1" ht="13.2" outlineLevel="1" x14ac:dyDescent="0.25"/>
    <row r="1961" s="39" customFormat="1" ht="27.75" customHeight="1" outlineLevel="1" x14ac:dyDescent="0.25"/>
    <row r="1962" s="39" customFormat="1" ht="13.2" outlineLevel="1" x14ac:dyDescent="0.25"/>
    <row r="1963" s="39" customFormat="1" ht="13.2" outlineLevel="1" x14ac:dyDescent="0.25"/>
    <row r="1964" s="39" customFormat="1" ht="13.2" outlineLevel="1" x14ac:dyDescent="0.25"/>
    <row r="1965" s="45" customFormat="1" ht="17.25" customHeight="1" x14ac:dyDescent="0.3"/>
    <row r="1966" s="39" customFormat="1" ht="27.75" customHeight="1" outlineLevel="1" x14ac:dyDescent="0.25"/>
    <row r="1967" s="39" customFormat="1" ht="13.2" outlineLevel="1" x14ac:dyDescent="0.25"/>
    <row r="1968" s="45" customFormat="1" ht="17.25" customHeight="1" x14ac:dyDescent="0.3"/>
    <row r="1969" s="39" customFormat="1" ht="13.2" outlineLevel="1" x14ac:dyDescent="0.25"/>
    <row r="1970" s="39" customFormat="1" ht="13.2" outlineLevel="1" x14ac:dyDescent="0.25"/>
    <row r="1971" s="39" customFormat="1" ht="13.2" outlineLevel="1" x14ac:dyDescent="0.25"/>
    <row r="1972" s="39" customFormat="1" ht="13.2" outlineLevel="1" x14ac:dyDescent="0.25"/>
    <row r="1973" s="39" customFormat="1" ht="13.2" outlineLevel="1" x14ac:dyDescent="0.25"/>
    <row r="1974" s="39" customFormat="1" ht="27.75" customHeight="1" outlineLevel="1" x14ac:dyDescent="0.25"/>
    <row r="1975" s="39" customFormat="1" ht="27.75" customHeight="1" outlineLevel="1" x14ac:dyDescent="0.25"/>
    <row r="1976" s="39" customFormat="1" ht="13.2" outlineLevel="1" x14ac:dyDescent="0.25"/>
    <row r="1977" s="39" customFormat="1" ht="13.2" outlineLevel="1" x14ac:dyDescent="0.25"/>
    <row r="1978" s="39" customFormat="1" ht="27.75" customHeight="1" outlineLevel="1" x14ac:dyDescent="0.25"/>
    <row r="1979" s="45" customFormat="1" ht="17.25" customHeight="1" x14ac:dyDescent="0.3"/>
    <row r="1980" s="39" customFormat="1" ht="27.75" customHeight="1" outlineLevel="1" x14ac:dyDescent="0.25"/>
    <row r="1981" s="39" customFormat="1" ht="27.75" customHeight="1" outlineLevel="1" x14ac:dyDescent="0.25"/>
    <row r="1982" s="39" customFormat="1" ht="27.75" customHeight="1" outlineLevel="1" x14ac:dyDescent="0.25"/>
    <row r="1983" s="39" customFormat="1" ht="13.2" outlineLevel="1" x14ac:dyDescent="0.25"/>
    <row r="1984" s="39" customFormat="1" ht="13.2" outlineLevel="1" x14ac:dyDescent="0.25"/>
    <row r="1985" s="39" customFormat="1" ht="27.75" customHeight="1" outlineLevel="1" x14ac:dyDescent="0.25"/>
    <row r="1986" s="39" customFormat="1" ht="13.2" outlineLevel="1" x14ac:dyDescent="0.25"/>
    <row r="1987" s="46" customFormat="1" ht="27.75" customHeight="1" outlineLevel="1" x14ac:dyDescent="0.35"/>
    <row r="1988" s="39" customFormat="1" ht="27.75" customHeight="1" outlineLevel="1" x14ac:dyDescent="0.25"/>
    <row r="1989" s="39" customFormat="1" ht="27.75" customHeight="1" outlineLevel="1" x14ac:dyDescent="0.25"/>
    <row r="1990" s="39" customFormat="1" ht="27.75" customHeight="1" outlineLevel="1" x14ac:dyDescent="0.25"/>
    <row r="1991" s="39" customFormat="1" ht="27.75" customHeight="1" outlineLevel="1" x14ac:dyDescent="0.25"/>
    <row r="1992" s="39" customFormat="1" ht="27.75" customHeight="1" outlineLevel="1" x14ac:dyDescent="0.25"/>
    <row r="1993" s="39" customFormat="1" ht="27.75" customHeight="1" outlineLevel="1" x14ac:dyDescent="0.25"/>
    <row r="1994" s="39" customFormat="1" ht="27.75" customHeight="1" outlineLevel="1" x14ac:dyDescent="0.25"/>
    <row r="1995" s="39" customFormat="1" ht="27.75" customHeight="1" outlineLevel="1" x14ac:dyDescent="0.25"/>
    <row r="1996" s="39" customFormat="1" ht="27.75" customHeight="1" outlineLevel="1" x14ac:dyDescent="0.25"/>
    <row r="1997" s="39" customFormat="1" ht="27.75" customHeight="1" outlineLevel="1" x14ac:dyDescent="0.25"/>
    <row r="1998" s="39" customFormat="1" ht="27.75" customHeight="1" outlineLevel="1" x14ac:dyDescent="0.25"/>
    <row r="1999" s="39" customFormat="1" ht="13.2" outlineLevel="1" x14ac:dyDescent="0.25"/>
    <row r="2000" s="39" customFormat="1" ht="27.75" customHeight="1" outlineLevel="1" x14ac:dyDescent="0.25"/>
    <row r="2001" s="39" customFormat="1" ht="13.2" outlineLevel="1" x14ac:dyDescent="0.25"/>
    <row r="2002" s="39" customFormat="1" ht="27.75" customHeight="1" outlineLevel="1" x14ac:dyDescent="0.25"/>
    <row r="2003" s="39" customFormat="1" ht="27.75" customHeight="1" outlineLevel="1" x14ac:dyDescent="0.25"/>
    <row r="2004" s="39" customFormat="1" ht="13.2" outlineLevel="1" x14ac:dyDescent="0.25"/>
    <row r="2005" s="39" customFormat="1" ht="13.2" outlineLevel="1" x14ac:dyDescent="0.25"/>
    <row r="2006" s="39" customFormat="1" ht="13.2" outlineLevel="1" x14ac:dyDescent="0.25"/>
    <row r="2007" s="39" customFormat="1" ht="13.2" outlineLevel="1" x14ac:dyDescent="0.25"/>
    <row r="2008" s="39" customFormat="1" ht="13.2" outlineLevel="1" x14ac:dyDescent="0.25"/>
    <row r="2009" s="45" customFormat="1" ht="17.25" customHeight="1" x14ac:dyDescent="0.3"/>
    <row r="2010" s="39" customFormat="1" ht="27.75" customHeight="1" outlineLevel="1" x14ac:dyDescent="0.25"/>
    <row r="2011" s="39" customFormat="1" ht="27.75" customHeight="1" outlineLevel="1" x14ac:dyDescent="0.25"/>
    <row r="2012" s="39" customFormat="1" ht="27.75" customHeight="1" outlineLevel="1" x14ac:dyDescent="0.25"/>
    <row r="2013" s="39" customFormat="1" ht="13.2" outlineLevel="1" x14ac:dyDescent="0.25"/>
    <row r="2014" s="39" customFormat="1" ht="13.2" outlineLevel="1" x14ac:dyDescent="0.25"/>
    <row r="2015" s="39" customFormat="1" ht="27.75" customHeight="1" outlineLevel="1" x14ac:dyDescent="0.25"/>
    <row r="2016" s="39" customFormat="1" ht="13.2" outlineLevel="1" x14ac:dyDescent="0.25"/>
    <row r="2017" s="39" customFormat="1" ht="27.75" customHeight="1" outlineLevel="1" x14ac:dyDescent="0.25"/>
    <row r="2018" s="39" customFormat="1" ht="43.2" customHeight="1" outlineLevel="1" x14ac:dyDescent="0.25"/>
    <row r="2019" s="39" customFormat="1" ht="27.75" customHeight="1" outlineLevel="1" x14ac:dyDescent="0.25"/>
    <row r="2020" s="39" customFormat="1" ht="27.75" customHeight="1" outlineLevel="1" x14ac:dyDescent="0.25"/>
    <row r="2021" s="39" customFormat="1" ht="13.2" outlineLevel="1" x14ac:dyDescent="0.25"/>
    <row r="2022" s="46" customFormat="1" ht="17.7" customHeight="1" outlineLevel="1" x14ac:dyDescent="0.35"/>
    <row r="2023" s="46" customFormat="1" ht="17.7" customHeight="1" outlineLevel="1" x14ac:dyDescent="0.35"/>
    <row r="2024" s="45" customFormat="1" ht="17.25" customHeight="1" x14ac:dyDescent="0.3"/>
    <row r="2025" s="39" customFormat="1" ht="27.75" customHeight="1" outlineLevel="1" x14ac:dyDescent="0.25"/>
    <row r="2026" s="39" customFormat="1" ht="13.2" outlineLevel="1" x14ac:dyDescent="0.25"/>
    <row r="2027" s="39" customFormat="1" ht="27.75" customHeight="1" outlineLevel="1" x14ac:dyDescent="0.25"/>
    <row r="2028" s="39" customFormat="1" ht="13.2" outlineLevel="1" x14ac:dyDescent="0.25"/>
    <row r="2029" s="39" customFormat="1" ht="27.75" customHeight="1" outlineLevel="1" x14ac:dyDescent="0.25"/>
    <row r="2030" s="39" customFormat="1" ht="13.2" outlineLevel="1" x14ac:dyDescent="0.25"/>
    <row r="2031" s="39" customFormat="1" ht="27.75" customHeight="1" outlineLevel="1" x14ac:dyDescent="0.25"/>
    <row r="2032" s="39" customFormat="1" ht="13.2" outlineLevel="1" x14ac:dyDescent="0.25"/>
    <row r="2033" s="39" customFormat="1" ht="41.7" customHeight="1" outlineLevel="1" x14ac:dyDescent="0.25"/>
    <row r="2034" s="39" customFormat="1" ht="13.2" outlineLevel="1" x14ac:dyDescent="0.25"/>
    <row r="2035" s="45" customFormat="1" ht="17.25" customHeight="1" x14ac:dyDescent="0.3"/>
    <row r="2036" s="46" customFormat="1" ht="27.75" customHeight="1" outlineLevel="1" x14ac:dyDescent="0.35"/>
    <row r="2037" s="39" customFormat="1" ht="13.2" outlineLevel="1" x14ac:dyDescent="0.25"/>
    <row r="2038" s="39" customFormat="1" ht="13.2" outlineLevel="1" x14ac:dyDescent="0.25"/>
    <row r="2039" s="39" customFormat="1" ht="13.2" outlineLevel="1" x14ac:dyDescent="0.25"/>
    <row r="2040" s="46" customFormat="1" ht="27.75" customHeight="1" outlineLevel="1" x14ac:dyDescent="0.35"/>
    <row r="2041" s="39" customFormat="1" ht="13.2" outlineLevel="1" x14ac:dyDescent="0.25"/>
    <row r="2042" s="39" customFormat="1" ht="27.75" customHeight="1" outlineLevel="1" x14ac:dyDescent="0.25"/>
    <row r="2043" s="39" customFormat="1" ht="13.2" outlineLevel="1" x14ac:dyDescent="0.25"/>
    <row r="2044" s="39" customFormat="1" ht="13.2" outlineLevel="1" x14ac:dyDescent="0.25"/>
    <row r="2045" s="45" customFormat="1" ht="17.25" customHeight="1" x14ac:dyDescent="0.3"/>
    <row r="2046" s="39" customFormat="1" ht="27.75" customHeight="1" outlineLevel="1" x14ac:dyDescent="0.25"/>
    <row r="2047" s="39" customFormat="1" ht="13.2" outlineLevel="1" x14ac:dyDescent="0.25"/>
    <row r="2048" s="39" customFormat="1" ht="13.2" outlineLevel="1" x14ac:dyDescent="0.25"/>
    <row r="2049" s="39" customFormat="1" ht="13.2" outlineLevel="1" x14ac:dyDescent="0.25"/>
    <row r="2050" s="39" customFormat="1" ht="27.75" customHeight="1" outlineLevel="1" x14ac:dyDescent="0.25"/>
    <row r="2051" s="39" customFormat="1" ht="13.2" outlineLevel="1" x14ac:dyDescent="0.25"/>
    <row r="2052" s="39" customFormat="1" ht="27.75" customHeight="1" outlineLevel="1" x14ac:dyDescent="0.25"/>
    <row r="2053" s="39" customFormat="1" ht="13.2" outlineLevel="1" x14ac:dyDescent="0.25"/>
    <row r="2054" s="39" customFormat="1" ht="13.2" outlineLevel="1" x14ac:dyDescent="0.25"/>
    <row r="2055" s="45" customFormat="1" ht="17.25" customHeight="1" x14ac:dyDescent="0.3"/>
    <row r="2056" s="39" customFormat="1" ht="27.75" customHeight="1" outlineLevel="1" x14ac:dyDescent="0.25"/>
    <row r="2057" s="39" customFormat="1" ht="13.2" outlineLevel="1" x14ac:dyDescent="0.25"/>
    <row r="2058" s="39" customFormat="1" ht="33.75" customHeight="1" outlineLevel="1" x14ac:dyDescent="0.25"/>
    <row r="2059" s="39" customFormat="1" ht="13.2" outlineLevel="1" x14ac:dyDescent="0.25"/>
    <row r="2060" s="39" customFormat="1" ht="27.75" customHeight="1" outlineLevel="1" x14ac:dyDescent="0.25"/>
    <row r="2061" s="39" customFormat="1" ht="13.2" outlineLevel="1" x14ac:dyDescent="0.25"/>
    <row r="2062" s="39" customFormat="1" ht="13.2" outlineLevel="1" x14ac:dyDescent="0.25"/>
    <row r="2063" s="39" customFormat="1" ht="27.75" customHeight="1" outlineLevel="1" x14ac:dyDescent="0.25"/>
    <row r="2064" s="39" customFormat="1" ht="13.2" outlineLevel="1" x14ac:dyDescent="0.25"/>
    <row r="2065" s="39" customFormat="1" ht="27.75" customHeight="1" outlineLevel="1" x14ac:dyDescent="0.25"/>
    <row r="2066" s="39" customFormat="1" ht="13.2" outlineLevel="1" x14ac:dyDescent="0.25"/>
    <row r="2067" s="45" customFormat="1" ht="17.25" customHeight="1" x14ac:dyDescent="0.3"/>
    <row r="2068" s="39" customFormat="1" ht="27.75" customHeight="1" outlineLevel="1" x14ac:dyDescent="0.25"/>
    <row r="2069" s="39" customFormat="1" ht="13.2" outlineLevel="1" x14ac:dyDescent="0.25"/>
    <row r="2070" s="39" customFormat="1" ht="27.75" customHeight="1" outlineLevel="1" x14ac:dyDescent="0.25"/>
    <row r="2071" s="39" customFormat="1" ht="13.2" outlineLevel="1" x14ac:dyDescent="0.25"/>
    <row r="2072" s="39" customFormat="1" ht="13.2" outlineLevel="1" x14ac:dyDescent="0.25"/>
    <row r="2073" s="45" customFormat="1" ht="17.25" customHeight="1" x14ac:dyDescent="0.3"/>
    <row r="2074" s="39" customFormat="1" ht="13.2" outlineLevel="1" x14ac:dyDescent="0.25"/>
    <row r="2075" s="39" customFormat="1" ht="13.2" outlineLevel="1" x14ac:dyDescent="0.25"/>
    <row r="2076" s="39" customFormat="1" ht="27.75" customHeight="1" outlineLevel="1" x14ac:dyDescent="0.25"/>
    <row r="2077" s="39" customFormat="1" ht="13.2" outlineLevel="1" x14ac:dyDescent="0.25"/>
    <row r="2078" s="39" customFormat="1" ht="27.75" customHeight="1" outlineLevel="1" x14ac:dyDescent="0.25"/>
    <row r="2079" s="39" customFormat="1" ht="13.2" outlineLevel="1" x14ac:dyDescent="0.25"/>
    <row r="2080" s="39" customFormat="1" ht="27.75" customHeight="1" outlineLevel="1" x14ac:dyDescent="0.25"/>
    <row r="2081" s="39" customFormat="1" ht="13.2" outlineLevel="1" x14ac:dyDescent="0.25"/>
    <row r="2082" s="45" customFormat="1" ht="17.25" customHeight="1" x14ac:dyDescent="0.3"/>
    <row r="2083" s="39" customFormat="1" ht="27.75" customHeight="1" outlineLevel="1" x14ac:dyDescent="0.25"/>
    <row r="2084" s="39" customFormat="1" ht="13.2" outlineLevel="1" x14ac:dyDescent="0.25"/>
    <row r="2085" s="39" customFormat="1" ht="13.2" outlineLevel="1" x14ac:dyDescent="0.25"/>
    <row r="2086" s="39" customFormat="1" ht="13.2" outlineLevel="1" x14ac:dyDescent="0.25"/>
    <row r="2087" s="39" customFormat="1" ht="27.75" customHeight="1" outlineLevel="1" x14ac:dyDescent="0.25"/>
    <row r="2088" s="39" customFormat="1" ht="27.75" customHeight="1" outlineLevel="1" x14ac:dyDescent="0.25"/>
    <row r="2089" s="39" customFormat="1" ht="27.75" customHeight="1" outlineLevel="1" x14ac:dyDescent="0.25"/>
    <row r="2090" s="39" customFormat="1" ht="13.2" outlineLevel="1" x14ac:dyDescent="0.25"/>
    <row r="2091" s="39" customFormat="1" ht="13.2" outlineLevel="1" x14ac:dyDescent="0.25"/>
    <row r="2092" s="39" customFormat="1" ht="13.2" outlineLevel="1" x14ac:dyDescent="0.25"/>
    <row r="2093" s="45" customFormat="1" ht="17.25" customHeight="1" x14ac:dyDescent="0.3"/>
    <row r="2094" s="39" customFormat="1" ht="27.75" customHeight="1" outlineLevel="1" x14ac:dyDescent="0.25"/>
    <row r="2095" s="39" customFormat="1" ht="27.75" customHeight="1" outlineLevel="1" x14ac:dyDescent="0.25"/>
    <row r="2096" s="39" customFormat="1" ht="27.75" customHeight="1" outlineLevel="1" x14ac:dyDescent="0.25"/>
    <row r="2097" s="39" customFormat="1" ht="13.2" outlineLevel="1" x14ac:dyDescent="0.25"/>
    <row r="2098" s="39" customFormat="1" ht="13.2" outlineLevel="1" x14ac:dyDescent="0.25"/>
    <row r="2099" s="45" customFormat="1" ht="17.25" customHeight="1" x14ac:dyDescent="0.3"/>
    <row r="2100" s="39" customFormat="1" ht="13.2" outlineLevel="1" x14ac:dyDescent="0.25"/>
    <row r="2101" s="39" customFormat="1" ht="13.2" outlineLevel="1" x14ac:dyDescent="0.25"/>
    <row r="2102" s="39" customFormat="1" ht="27.75" customHeight="1" outlineLevel="1" x14ac:dyDescent="0.25"/>
    <row r="2103" s="39" customFormat="1" ht="13.2" outlineLevel="1" x14ac:dyDescent="0.25"/>
    <row r="2104" s="39" customFormat="1" ht="27.75" customHeight="1" outlineLevel="1" x14ac:dyDescent="0.25"/>
    <row r="2105" s="39" customFormat="1" ht="13.2" outlineLevel="1" x14ac:dyDescent="0.25"/>
    <row r="2106" s="39" customFormat="1" ht="13.2" outlineLevel="1" x14ac:dyDescent="0.25"/>
    <row r="2107" s="45" customFormat="1" ht="17.25" customHeight="1" x14ac:dyDescent="0.3"/>
    <row r="2108" s="39" customFormat="1" ht="13.2" outlineLevel="1" x14ac:dyDescent="0.25"/>
    <row r="2109" s="39" customFormat="1" ht="13.2" outlineLevel="1" x14ac:dyDescent="0.25"/>
    <row r="2110" s="39" customFormat="1" ht="27.75" customHeight="1" outlineLevel="1" x14ac:dyDescent="0.25"/>
    <row r="2111" s="39" customFormat="1" ht="13.2" outlineLevel="1" x14ac:dyDescent="0.25"/>
    <row r="2112" s="39" customFormat="1" ht="27.75" customHeight="1" outlineLevel="1" x14ac:dyDescent="0.25"/>
    <row r="2113" s="39" customFormat="1" ht="13.2" outlineLevel="1" x14ac:dyDescent="0.25"/>
    <row r="2114" s="39" customFormat="1" ht="13.2" outlineLevel="1" x14ac:dyDescent="0.25"/>
    <row r="2115" s="45" customFormat="1" ht="17.25" customHeight="1" x14ac:dyDescent="0.3"/>
    <row r="2116" s="39" customFormat="1" ht="13.2" outlineLevel="1" x14ac:dyDescent="0.25"/>
    <row r="2117" s="39" customFormat="1" ht="13.2" outlineLevel="1" x14ac:dyDescent="0.25"/>
    <row r="2118" s="39" customFormat="1" ht="27.75" customHeight="1" outlineLevel="1" x14ac:dyDescent="0.25"/>
    <row r="2119" s="39" customFormat="1" ht="13.2" outlineLevel="1" x14ac:dyDescent="0.25"/>
    <row r="2120" s="39" customFormat="1" ht="27.75" customHeight="1" outlineLevel="1" x14ac:dyDescent="0.25"/>
    <row r="2121" s="39" customFormat="1" ht="13.2" outlineLevel="1" x14ac:dyDescent="0.25"/>
    <row r="2122" s="39" customFormat="1" ht="13.2" outlineLevel="1" x14ac:dyDescent="0.25"/>
    <row r="2123" s="45" customFormat="1" ht="17.25" customHeight="1" x14ac:dyDescent="0.3"/>
    <row r="2124" s="39" customFormat="1" ht="13.2" outlineLevel="1" x14ac:dyDescent="0.25"/>
    <row r="2125" s="39" customFormat="1" ht="13.2" outlineLevel="1" x14ac:dyDescent="0.25"/>
    <row r="2126" s="39" customFormat="1" ht="27.75" customHeight="1" outlineLevel="1" x14ac:dyDescent="0.25"/>
    <row r="2127" s="39" customFormat="1" ht="13.2" outlineLevel="1" x14ac:dyDescent="0.25"/>
    <row r="2128" s="39" customFormat="1" ht="27.75" customHeight="1" outlineLevel="1" x14ac:dyDescent="0.25"/>
    <row r="2129" s="39" customFormat="1" ht="13.2" outlineLevel="1" x14ac:dyDescent="0.25"/>
    <row r="2130" s="39" customFormat="1" ht="13.2" outlineLevel="1" x14ac:dyDescent="0.25"/>
    <row r="2131" s="45" customFormat="1" ht="17.25" customHeight="1" x14ac:dyDescent="0.3"/>
    <row r="2132" s="39" customFormat="1" ht="13.2" outlineLevel="1" x14ac:dyDescent="0.25"/>
    <row r="2133" s="39" customFormat="1" ht="48.75" customHeight="1" outlineLevel="1" x14ac:dyDescent="0.25"/>
    <row r="2134" s="39" customFormat="1" ht="27.75" customHeight="1" outlineLevel="1" x14ac:dyDescent="0.25"/>
    <row r="2135" s="39" customFormat="1" ht="13.2" outlineLevel="1" x14ac:dyDescent="0.25"/>
    <row r="2136" s="39" customFormat="1" ht="27.75" customHeight="1" outlineLevel="1" x14ac:dyDescent="0.25"/>
    <row r="2137" s="39" customFormat="1" ht="13.2" outlineLevel="1" x14ac:dyDescent="0.25"/>
    <row r="2138" s="39" customFormat="1" ht="13.2" outlineLevel="1" x14ac:dyDescent="0.25"/>
    <row r="2139" s="45" customFormat="1" ht="17.25" customHeight="1" x14ac:dyDescent="0.3"/>
    <row r="2140" s="39" customFormat="1" ht="13.2" outlineLevel="1" x14ac:dyDescent="0.25"/>
    <row r="2141" s="39" customFormat="1" ht="13.2" outlineLevel="1" x14ac:dyDescent="0.25"/>
    <row r="2142" s="39" customFormat="1" ht="27.75" customHeight="1" outlineLevel="1" x14ac:dyDescent="0.25"/>
    <row r="2143" s="46" customFormat="1" ht="17.7" customHeight="1" outlineLevel="1" x14ac:dyDescent="0.35"/>
    <row r="2144" s="39" customFormat="1" ht="27.75" customHeight="1" outlineLevel="1" x14ac:dyDescent="0.25"/>
    <row r="2145" s="39" customFormat="1" ht="13.2" outlineLevel="1" x14ac:dyDescent="0.25"/>
    <row r="2146" s="39" customFormat="1" ht="13.2" outlineLevel="1" x14ac:dyDescent="0.25"/>
    <row r="2147" s="45" customFormat="1" ht="17.25" customHeight="1" x14ac:dyDescent="0.3"/>
    <row r="2148" s="39" customFormat="1" ht="13.2" outlineLevel="1" x14ac:dyDescent="0.25"/>
    <row r="2149" s="39" customFormat="1" ht="13.2" outlineLevel="1" x14ac:dyDescent="0.25"/>
    <row r="2150" s="39" customFormat="1" ht="27.75" customHeight="1" outlineLevel="1" x14ac:dyDescent="0.25"/>
    <row r="2151" s="39" customFormat="1" ht="13.2" outlineLevel="1" x14ac:dyDescent="0.25"/>
    <row r="2152" s="39" customFormat="1" ht="27.75" customHeight="1" outlineLevel="1" x14ac:dyDescent="0.25"/>
    <row r="2153" s="39" customFormat="1" ht="13.2" outlineLevel="1" x14ac:dyDescent="0.25"/>
    <row r="2154" s="39" customFormat="1" ht="13.2" outlineLevel="1" x14ac:dyDescent="0.25"/>
    <row r="2155" s="45" customFormat="1" ht="17.25" customHeight="1" x14ac:dyDescent="0.3"/>
    <row r="2156" s="39" customFormat="1" ht="13.2" outlineLevel="1" x14ac:dyDescent="0.25"/>
    <row r="2157" s="39" customFormat="1" ht="13.2" outlineLevel="1" x14ac:dyDescent="0.25"/>
    <row r="2158" s="39" customFormat="1" ht="27.75" customHeight="1" outlineLevel="1" x14ac:dyDescent="0.25"/>
    <row r="2159" s="46" customFormat="1" ht="17.7" customHeight="1" outlineLevel="1" x14ac:dyDescent="0.35"/>
    <row r="2160" s="39" customFormat="1" ht="27.75" customHeight="1" outlineLevel="1" x14ac:dyDescent="0.25"/>
    <row r="2161" s="39" customFormat="1" ht="13.2" outlineLevel="1" x14ac:dyDescent="0.25"/>
    <row r="2162" s="39" customFormat="1" ht="13.2" outlineLevel="1" x14ac:dyDescent="0.25"/>
    <row r="2163" s="45" customFormat="1" ht="17.25" customHeight="1" x14ac:dyDescent="0.3"/>
    <row r="2164" s="39" customFormat="1" ht="13.2" outlineLevel="1" x14ac:dyDescent="0.25"/>
    <row r="2165" s="39" customFormat="1" ht="13.2" outlineLevel="1" x14ac:dyDescent="0.25"/>
    <row r="2166" s="39" customFormat="1" ht="27.75" customHeight="1" outlineLevel="1" x14ac:dyDescent="0.25"/>
    <row r="2167" s="39" customFormat="1" ht="13.2" outlineLevel="1" x14ac:dyDescent="0.25"/>
    <row r="2168" s="39" customFormat="1" ht="27.75" customHeight="1" outlineLevel="1" x14ac:dyDescent="0.25"/>
    <row r="2169" s="39" customFormat="1" ht="13.2" outlineLevel="1" x14ac:dyDescent="0.25"/>
    <row r="2170" s="39" customFormat="1" ht="13.2" outlineLevel="1" x14ac:dyDescent="0.25"/>
    <row r="2171" s="45" customFormat="1" ht="17.25" customHeight="1" x14ac:dyDescent="0.3"/>
    <row r="2172" s="39" customFormat="1" ht="13.2" outlineLevel="1" x14ac:dyDescent="0.25"/>
    <row r="2173" s="39" customFormat="1" ht="13.2" outlineLevel="1" x14ac:dyDescent="0.25"/>
    <row r="2174" s="39" customFormat="1" ht="27.75" customHeight="1" outlineLevel="1" x14ac:dyDescent="0.25"/>
    <row r="2175" s="39" customFormat="1" ht="13.2" outlineLevel="1" x14ac:dyDescent="0.25"/>
    <row r="2176" s="39" customFormat="1" ht="27.75" customHeight="1" outlineLevel="1" x14ac:dyDescent="0.25"/>
    <row r="2177" s="39" customFormat="1" ht="13.2" outlineLevel="1" x14ac:dyDescent="0.25"/>
    <row r="2178" s="39" customFormat="1" ht="13.2" outlineLevel="1" x14ac:dyDescent="0.25"/>
    <row r="2179" s="45" customFormat="1" ht="17.25" customHeight="1" x14ac:dyDescent="0.3"/>
    <row r="2180" s="39" customFormat="1" ht="13.2" outlineLevel="1" x14ac:dyDescent="0.25"/>
    <row r="2181" s="39" customFormat="1" ht="13.2" outlineLevel="1" x14ac:dyDescent="0.25"/>
    <row r="2182" s="39" customFormat="1" ht="27.75" customHeight="1" outlineLevel="1" x14ac:dyDescent="0.25"/>
    <row r="2183" s="39" customFormat="1" ht="13.2" outlineLevel="1" x14ac:dyDescent="0.25"/>
    <row r="2184" s="39" customFormat="1" ht="27.75" customHeight="1" outlineLevel="1" x14ac:dyDescent="0.25"/>
    <row r="2185" s="39" customFormat="1" ht="13.2" outlineLevel="1" x14ac:dyDescent="0.25"/>
    <row r="2186" s="39" customFormat="1" ht="13.2" outlineLevel="1" x14ac:dyDescent="0.25"/>
    <row r="2187" s="45" customFormat="1" ht="17.25" customHeight="1" x14ac:dyDescent="0.3"/>
    <row r="2188" s="46" customFormat="1" ht="17.7" customHeight="1" outlineLevel="1" x14ac:dyDescent="0.35"/>
    <row r="2189" s="39" customFormat="1" ht="13.2" outlineLevel="1" x14ac:dyDescent="0.25"/>
    <row r="2190" s="39" customFormat="1" ht="27.75" customHeight="1" outlineLevel="1" x14ac:dyDescent="0.25"/>
    <row r="2191" s="39" customFormat="1" ht="13.2" outlineLevel="1" x14ac:dyDescent="0.25"/>
    <row r="2192" s="39" customFormat="1" ht="27.75" customHeight="1" outlineLevel="1" x14ac:dyDescent="0.25"/>
    <row r="2193" s="39" customFormat="1" ht="13.2" outlineLevel="1" x14ac:dyDescent="0.25"/>
    <row r="2194" s="39" customFormat="1" ht="13.2" outlineLevel="1" x14ac:dyDescent="0.25"/>
    <row r="2195" s="45" customFormat="1" ht="17.25" customHeight="1" x14ac:dyDescent="0.3"/>
    <row r="2196" s="39" customFormat="1" ht="13.2" outlineLevel="1" x14ac:dyDescent="0.25"/>
    <row r="2197" s="39" customFormat="1" ht="13.2" outlineLevel="1" x14ac:dyDescent="0.25"/>
    <row r="2198" s="39" customFormat="1" ht="27.75" customHeight="1" outlineLevel="1" x14ac:dyDescent="0.25"/>
    <row r="2199" s="39" customFormat="1" ht="13.2" outlineLevel="1" x14ac:dyDescent="0.25"/>
    <row r="2200" s="39" customFormat="1" ht="27.75" customHeight="1" outlineLevel="1" x14ac:dyDescent="0.25"/>
    <row r="2201" s="39" customFormat="1" ht="13.2" outlineLevel="1" x14ac:dyDescent="0.25"/>
    <row r="2202" s="39" customFormat="1" ht="13.2" outlineLevel="1" x14ac:dyDescent="0.25"/>
    <row r="2203" s="45" customFormat="1" ht="17.25" customHeight="1" x14ac:dyDescent="0.3"/>
    <row r="2204" s="39" customFormat="1" ht="13.2" outlineLevel="1" x14ac:dyDescent="0.25"/>
    <row r="2205" s="39" customFormat="1" ht="13.2" outlineLevel="1" x14ac:dyDescent="0.25"/>
    <row r="2206" s="39" customFormat="1" ht="27.75" customHeight="1" outlineLevel="1" x14ac:dyDescent="0.25"/>
    <row r="2207" s="39" customFormat="1" ht="13.2" outlineLevel="1" x14ac:dyDescent="0.25"/>
    <row r="2208" s="39" customFormat="1" ht="13.2" outlineLevel="1" x14ac:dyDescent="0.25"/>
    <row r="2209" s="39" customFormat="1" ht="27.75" customHeight="1" outlineLevel="1" x14ac:dyDescent="0.25"/>
    <row r="2210" s="39" customFormat="1" ht="27.75" customHeight="1" outlineLevel="1" x14ac:dyDescent="0.25"/>
    <row r="2211" s="39" customFormat="1" ht="27.75" customHeight="1" outlineLevel="1" x14ac:dyDescent="0.25"/>
    <row r="2212" s="39" customFormat="1" ht="27.75" customHeight="1" outlineLevel="1" x14ac:dyDescent="0.25"/>
    <row r="2213" s="39" customFormat="1" ht="13.2" outlineLevel="1" x14ac:dyDescent="0.25"/>
    <row r="2214" s="39" customFormat="1" ht="13.2" outlineLevel="1" x14ac:dyDescent="0.25"/>
    <row r="2215" s="39" customFormat="1" ht="13.2" outlineLevel="1" x14ac:dyDescent="0.25"/>
    <row r="2216" s="39" customFormat="1" ht="13.2" outlineLevel="1" x14ac:dyDescent="0.25"/>
    <row r="2217" s="39" customFormat="1" ht="13.2" outlineLevel="1" x14ac:dyDescent="0.25"/>
    <row r="2218" s="39" customFormat="1" ht="27.75" customHeight="1" outlineLevel="1" x14ac:dyDescent="0.25"/>
    <row r="2219" s="39" customFormat="1" ht="43.2" customHeight="1" outlineLevel="1" x14ac:dyDescent="0.25"/>
    <row r="2220" s="39" customFormat="1" ht="27.75" customHeight="1" outlineLevel="1" x14ac:dyDescent="0.25"/>
    <row r="2221" s="45" customFormat="1" ht="17.25" customHeight="1" x14ac:dyDescent="0.3"/>
    <row r="2222" s="39" customFormat="1" ht="13.2" outlineLevel="1" x14ac:dyDescent="0.25"/>
    <row r="2223" s="46" customFormat="1" ht="17.7" customHeight="1" outlineLevel="1" x14ac:dyDescent="0.35"/>
    <row r="2224" s="46" customFormat="1" ht="27.75" customHeight="1" outlineLevel="1" x14ac:dyDescent="0.35"/>
    <row r="2225" s="46" customFormat="1" ht="17.7" customHeight="1" outlineLevel="1" x14ac:dyDescent="0.35"/>
    <row r="2226" s="39" customFormat="1" ht="13.2" outlineLevel="1" x14ac:dyDescent="0.25"/>
    <row r="2227" s="39" customFormat="1" ht="27.75" customHeight="1" outlineLevel="1" x14ac:dyDescent="0.25"/>
    <row r="2228" s="39" customFormat="1" ht="27.75" customHeight="1" outlineLevel="1" x14ac:dyDescent="0.25"/>
    <row r="2229" s="39" customFormat="1" ht="27.75" customHeight="1" outlineLevel="1" x14ac:dyDescent="0.25"/>
    <row r="2230" s="39" customFormat="1" ht="27.75" customHeight="1" outlineLevel="1" x14ac:dyDescent="0.25"/>
    <row r="2231" s="39" customFormat="1" ht="27.75" customHeight="1" outlineLevel="1" x14ac:dyDescent="0.25"/>
    <row r="2232" s="39" customFormat="1" ht="13.2" outlineLevel="1" x14ac:dyDescent="0.25"/>
    <row r="2233" s="39" customFormat="1" ht="13.2" outlineLevel="1" x14ac:dyDescent="0.25"/>
    <row r="2234" s="39" customFormat="1" ht="13.2" outlineLevel="1" x14ac:dyDescent="0.25"/>
    <row r="2235" s="39" customFormat="1" ht="13.2" outlineLevel="1" x14ac:dyDescent="0.25"/>
    <row r="2236" s="39" customFormat="1" ht="13.2" outlineLevel="1" x14ac:dyDescent="0.25"/>
    <row r="2237" s="46" customFormat="1" ht="27.75" customHeight="1" outlineLevel="1" x14ac:dyDescent="0.35"/>
    <row r="2238" s="39" customFormat="1" ht="13.2" outlineLevel="1" x14ac:dyDescent="0.25"/>
    <row r="2239" s="39" customFormat="1" ht="27.75" customHeight="1" outlineLevel="1" x14ac:dyDescent="0.25"/>
    <row r="2240" s="45" customFormat="1" ht="17.25" customHeight="1" x14ac:dyDescent="0.3"/>
    <row r="2241" s="46" customFormat="1" ht="17.7" customHeight="1" outlineLevel="1" x14ac:dyDescent="0.35"/>
    <row r="2242" s="39" customFormat="1" ht="13.2" outlineLevel="1" x14ac:dyDescent="0.25"/>
    <row r="2243" s="39" customFormat="1" ht="27.75" customHeight="1" outlineLevel="1" x14ac:dyDescent="0.25"/>
    <row r="2244" s="39" customFormat="1" ht="13.2" outlineLevel="1" x14ac:dyDescent="0.25"/>
    <row r="2245" s="39" customFormat="1" ht="13.2" outlineLevel="1" x14ac:dyDescent="0.25"/>
    <row r="2246" s="39" customFormat="1" ht="27.75" customHeight="1" outlineLevel="1" x14ac:dyDescent="0.25"/>
    <row r="2247" s="39" customFormat="1" ht="27.75" customHeight="1" outlineLevel="1" x14ac:dyDescent="0.25"/>
    <row r="2248" s="39" customFormat="1" ht="27.75" customHeight="1" outlineLevel="1" x14ac:dyDescent="0.25"/>
    <row r="2249" s="39" customFormat="1" ht="27.75" customHeight="1" outlineLevel="1" x14ac:dyDescent="0.25"/>
    <row r="2250" s="39" customFormat="1" ht="13.2" outlineLevel="1" x14ac:dyDescent="0.25"/>
    <row r="2251" s="39" customFormat="1" ht="13.2" outlineLevel="1" x14ac:dyDescent="0.25"/>
    <row r="2252" s="39" customFormat="1" ht="13.2" outlineLevel="1" x14ac:dyDescent="0.25"/>
    <row r="2253" s="39" customFormat="1" ht="13.2" outlineLevel="1" x14ac:dyDescent="0.25"/>
    <row r="2254" s="39" customFormat="1" ht="13.2" outlineLevel="1" x14ac:dyDescent="0.25"/>
    <row r="2255" s="39" customFormat="1" ht="27.75" customHeight="1" outlineLevel="1" x14ac:dyDescent="0.25"/>
    <row r="2256" s="39" customFormat="1" ht="13.2" outlineLevel="1" x14ac:dyDescent="0.25"/>
    <row r="2257" s="39" customFormat="1" ht="27.75" customHeight="1" outlineLevel="1" x14ac:dyDescent="0.25"/>
    <row r="2258" s="45" customFormat="1" ht="17.25" customHeight="1" x14ac:dyDescent="0.3"/>
    <row r="2259" s="39" customFormat="1" ht="33.75" customHeight="1" outlineLevel="1" x14ac:dyDescent="0.25"/>
    <row r="2260" s="39" customFormat="1" ht="41.7" customHeight="1" outlineLevel="1" x14ac:dyDescent="0.25"/>
    <row r="2261" s="45" customFormat="1" ht="17.25" customHeight="1" x14ac:dyDescent="0.3"/>
    <row r="2262" s="39" customFormat="1" ht="27.75" customHeight="1" outlineLevel="1" x14ac:dyDescent="0.25"/>
    <row r="2263" s="39" customFormat="1" ht="27.75" customHeight="1" outlineLevel="1" x14ac:dyDescent="0.25"/>
    <row r="2264" s="39" customFormat="1" ht="27.75" customHeight="1" outlineLevel="1" x14ac:dyDescent="0.25"/>
    <row r="2265" s="39" customFormat="1" ht="13.2" outlineLevel="1" x14ac:dyDescent="0.25"/>
    <row r="2266" s="39" customFormat="1" ht="13.2" outlineLevel="1" x14ac:dyDescent="0.25"/>
    <row r="2267" s="45" customFormat="1" ht="17.25" customHeight="1" x14ac:dyDescent="0.3"/>
    <row r="2268" s="39" customFormat="1" ht="13.2" outlineLevel="1" x14ac:dyDescent="0.25"/>
    <row r="2269" s="39" customFormat="1" ht="13.2" outlineLevel="1" x14ac:dyDescent="0.25"/>
    <row r="2270" s="39" customFormat="1" ht="13.2" outlineLevel="1" x14ac:dyDescent="0.25"/>
    <row r="2271" s="39" customFormat="1" ht="27.75" customHeight="1" outlineLevel="1" x14ac:dyDescent="0.25"/>
    <row r="2272" s="39" customFormat="1" ht="13.2" outlineLevel="1" x14ac:dyDescent="0.25"/>
    <row r="2273" s="39" customFormat="1" ht="13.2" outlineLevel="1" x14ac:dyDescent="0.25"/>
    <row r="2274" s="39" customFormat="1" ht="13.2" outlineLevel="1" x14ac:dyDescent="0.25"/>
    <row r="2275" s="39" customFormat="1" ht="27.75" customHeight="1" outlineLevel="1" x14ac:dyDescent="0.25"/>
    <row r="2276" s="39" customFormat="1" ht="13.2" outlineLevel="1" x14ac:dyDescent="0.25"/>
    <row r="2277" s="39" customFormat="1" ht="13.2" outlineLevel="1" x14ac:dyDescent="0.25"/>
    <row r="2278" s="39" customFormat="1" ht="13.2" outlineLevel="1" x14ac:dyDescent="0.25"/>
    <row r="2279" s="39" customFormat="1" ht="13.2" outlineLevel="1" x14ac:dyDescent="0.25"/>
    <row r="2280" s="39" customFormat="1" ht="13.2" outlineLevel="1" x14ac:dyDescent="0.25"/>
    <row r="2281" s="45" customFormat="1" ht="17.25" customHeight="1" x14ac:dyDescent="0.3"/>
    <row r="2282" s="39" customFormat="1" ht="27.75" customHeight="1" outlineLevel="1" x14ac:dyDescent="0.25"/>
    <row r="2283" s="39" customFormat="1" ht="27.75" customHeight="1" outlineLevel="1" x14ac:dyDescent="0.25"/>
    <row r="2284" s="39" customFormat="1" ht="13.2" outlineLevel="1" x14ac:dyDescent="0.25"/>
    <row r="2285" s="39" customFormat="1" ht="13.2" outlineLevel="1" x14ac:dyDescent="0.25"/>
    <row r="2286" s="39" customFormat="1" ht="27.75" customHeight="1" outlineLevel="1" x14ac:dyDescent="0.25"/>
    <row r="2287" s="39" customFormat="1" ht="27.75" customHeight="1" outlineLevel="1" x14ac:dyDescent="0.25"/>
    <row r="2288" s="39" customFormat="1" ht="13.2" outlineLevel="1" x14ac:dyDescent="0.25"/>
    <row r="2289" s="39" customFormat="1" ht="13.2" outlineLevel="1" x14ac:dyDescent="0.25"/>
    <row r="2290" s="45" customFormat="1" ht="17.25" customHeight="1" x14ac:dyDescent="0.3"/>
    <row r="2291" s="39" customFormat="1" ht="48.75" customHeight="1" outlineLevel="1" x14ac:dyDescent="0.25"/>
    <row r="2292" s="39" customFormat="1" ht="27.75" customHeight="1" outlineLevel="1" x14ac:dyDescent="0.25"/>
    <row r="2293" s="39" customFormat="1" ht="13.2" outlineLevel="1" x14ac:dyDescent="0.25"/>
    <row r="2294" s="39" customFormat="1" ht="13.2" outlineLevel="1" x14ac:dyDescent="0.25"/>
    <row r="2295" s="39" customFormat="1" ht="13.2" outlineLevel="1" x14ac:dyDescent="0.25"/>
    <row r="2296" s="39" customFormat="1" ht="13.2" outlineLevel="1" x14ac:dyDescent="0.25"/>
    <row r="2297" s="39" customFormat="1" ht="13.2" outlineLevel="1" x14ac:dyDescent="0.25"/>
    <row r="2298" s="39" customFormat="1" ht="13.2" outlineLevel="1" x14ac:dyDescent="0.25"/>
    <row r="2299" s="39" customFormat="1" ht="27.75" customHeight="1" outlineLevel="1" x14ac:dyDescent="0.25"/>
    <row r="2300" s="39" customFormat="1" ht="13.2" outlineLevel="1" x14ac:dyDescent="0.25"/>
    <row r="2301" s="46" customFormat="1" ht="27.75" customHeight="1" outlineLevel="1" x14ac:dyDescent="0.35"/>
    <row r="2302" s="45" customFormat="1" ht="17.25" customHeight="1" x14ac:dyDescent="0.3"/>
    <row r="2303" s="39" customFormat="1" ht="13.2" outlineLevel="1" x14ac:dyDescent="0.25"/>
    <row r="2304" s="39" customFormat="1" ht="13.2" outlineLevel="1" x14ac:dyDescent="0.25"/>
    <row r="2305" s="45" customFormat="1" ht="17.25" customHeight="1" x14ac:dyDescent="0.3"/>
    <row r="2306" s="39" customFormat="1" ht="13.2" outlineLevel="1" x14ac:dyDescent="0.25"/>
    <row r="2307" s="39" customFormat="1" ht="13.2" outlineLevel="1" x14ac:dyDescent="0.25"/>
    <row r="2308" s="39" customFormat="1" ht="13.2" outlineLevel="1" x14ac:dyDescent="0.25"/>
    <row r="2309" s="45" customFormat="1" ht="17.25" customHeight="1" x14ac:dyDescent="0.3"/>
    <row r="2310" s="39" customFormat="1" ht="27.75" customHeight="1" outlineLevel="1" x14ac:dyDescent="0.25"/>
    <row r="2311" s="39" customFormat="1" ht="13.2" outlineLevel="1" x14ac:dyDescent="0.25"/>
    <row r="2312" s="39" customFormat="1" ht="27.75" customHeight="1" outlineLevel="1" x14ac:dyDescent="0.25"/>
    <row r="2313" s="46" customFormat="1" ht="17.7" customHeight="1" outlineLevel="1" x14ac:dyDescent="0.35"/>
    <row r="2314" s="39" customFormat="1" ht="13.2" outlineLevel="1" x14ac:dyDescent="0.25"/>
    <row r="2315" s="39" customFormat="1" ht="13.2" outlineLevel="1" x14ac:dyDescent="0.25"/>
    <row r="2316" s="39" customFormat="1" ht="13.2" outlineLevel="1" x14ac:dyDescent="0.25"/>
    <row r="2317" s="46" customFormat="1" ht="17.7" customHeight="1" outlineLevel="1" x14ac:dyDescent="0.35"/>
    <row r="2318" s="39" customFormat="1" ht="13.2" outlineLevel="1" x14ac:dyDescent="0.25"/>
    <row r="2319" s="39" customFormat="1" ht="27.75" customHeight="1" outlineLevel="1" x14ac:dyDescent="0.25"/>
    <row r="2320" s="39" customFormat="1" ht="41.7" customHeight="1" outlineLevel="1" x14ac:dyDescent="0.25"/>
    <row r="2321" s="39" customFormat="1" ht="27.75" customHeight="1" outlineLevel="1" x14ac:dyDescent="0.25"/>
    <row r="2322" s="39" customFormat="1" ht="13.2" outlineLevel="1" x14ac:dyDescent="0.25"/>
    <row r="2323" s="39" customFormat="1" ht="13.2" outlineLevel="1" x14ac:dyDescent="0.25"/>
    <row r="2324" s="39" customFormat="1" ht="13.2" outlineLevel="1" x14ac:dyDescent="0.25"/>
    <row r="2325" s="39" customFormat="1" ht="27.75" customHeight="1" outlineLevel="1" x14ac:dyDescent="0.25"/>
    <row r="2326" s="39" customFormat="1" ht="27.75" customHeight="1" outlineLevel="1" x14ac:dyDescent="0.25"/>
    <row r="2327" s="39" customFormat="1" ht="27.75" customHeight="1" outlineLevel="1" x14ac:dyDescent="0.25"/>
    <row r="2328" s="39" customFormat="1" ht="27.75" customHeight="1" outlineLevel="1" x14ac:dyDescent="0.25"/>
    <row r="2329" s="39" customFormat="1" ht="13.2" outlineLevel="1" x14ac:dyDescent="0.25"/>
    <row r="2330" s="39" customFormat="1" ht="13.2" outlineLevel="1" x14ac:dyDescent="0.25"/>
    <row r="2331" s="45" customFormat="1" ht="17.25" customHeight="1" x14ac:dyDescent="0.3"/>
    <row r="2332" s="45" customFormat="1" ht="17.25" customHeight="1" x14ac:dyDescent="0.3"/>
    <row r="2333" s="57" customFormat="1" ht="17.25" customHeight="1" x14ac:dyDescent="0.25"/>
    <row r="2334" s="57" customFormat="1" ht="17.25" customHeight="1" x14ac:dyDescent="0.25"/>
    <row r="2335" s="57" customFormat="1" ht="17.25" customHeight="1" x14ac:dyDescent="0.25"/>
    <row r="2336" ht="9" customHeight="1" x14ac:dyDescent="0.3"/>
    <row r="2338" s="61" customFormat="1" ht="17.7" customHeight="1" x14ac:dyDescent="0.35"/>
    <row r="2341" ht="13.95" customHeight="1" x14ac:dyDescent="0.3"/>
    <row r="2342" ht="13.95" customHeight="1" x14ac:dyDescent="0.3"/>
  </sheetData>
  <autoFilter ref="A7:L2340" xr:uid="{00000000-0009-0000-0000-000000000000}">
    <filterColumn colId="6" showButton="0"/>
    <filterColumn colId="7" showButton="0"/>
    <filterColumn colId="8" showButton="0"/>
    <filterColumn colId="9" showButton="0"/>
    <filterColumn colId="10" showButton="0"/>
  </autoFilter>
  <mergeCells count="14">
    <mergeCell ref="C1:K1"/>
    <mergeCell ref="C7:C9"/>
    <mergeCell ref="A7:A9"/>
    <mergeCell ref="I6:J6"/>
    <mergeCell ref="E7:E9"/>
    <mergeCell ref="K8:L8"/>
    <mergeCell ref="F7:F9"/>
    <mergeCell ref="D7:D9"/>
    <mergeCell ref="L2:L4"/>
    <mergeCell ref="B7:B9"/>
    <mergeCell ref="K5:L5"/>
    <mergeCell ref="I8:J8"/>
    <mergeCell ref="G8:H8"/>
    <mergeCell ref="G7:L7"/>
  </mergeCells>
  <printOptions horizontalCentered="1"/>
  <pageMargins left="0" right="0" top="0.59055118110236227" bottom="0.39370078740157483" header="0.51181102362204722" footer="0.51181102362204722"/>
  <pageSetup paperSize="8" scale="86" fitToHeight="0" orientation="landscape" r:id="rId1"/>
  <headerFooter alignWithMargins="0">
    <oddFooter>&amp;R&amp;P</oddFooter>
  </headerFooter>
  <rowBreaks count="1" manualBreakCount="1">
    <brk id="2309" max="11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BOQ</vt:lpstr>
      <vt:lpstr>BOQ!Print_Area</vt:lpstr>
      <vt:lpstr>BOQ!Print_Titles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Nemet Shamoyev</dc:creator>
  <cp:lastModifiedBy>Mustafa Subhani</cp:lastModifiedBy>
  <dcterms:created xsi:type="dcterms:W3CDTF">2026-10-02T09:58:05Z</dcterms:created>
  <dcterms:modified xsi:type="dcterms:W3CDTF">2026-10-29T10:23:15Z</dcterms:modified>
</cp:coreProperties>
</file>