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AZ-BOQ\cache\exports\"/>
    </mc:Choice>
  </mc:AlternateContent>
  <xr:revisionPtr revIDLastSave="0" documentId="13_ncr:1_{1D657445-9C8A-4495-98A6-D1781F9DD398}" xr6:coauthVersionLast="47" xr6:coauthVersionMax="47" xr10:uidLastSave="{00000000-0000-0000-0000-000000000000}"/>
  <bookViews>
    <workbookView xWindow="2304" yWindow="2304" windowWidth="17280" windowHeight="9960" xr2:uid="{00000000-000D-0000-FFFF-FFFF00000000}"/>
  </bookViews>
  <sheets>
    <sheet name="BOQ" sheetId="1" r:id="rId1"/>
  </sheets>
  <definedNames>
    <definedName name="_xlnm._FilterDatabase" localSheetId="0" hidden="1">BOQ!$A$7:$L$2340</definedName>
    <definedName name="_xlnm.Print_Area" localSheetId="0">BOQ!$A$1:$L$2377</definedName>
    <definedName name="_xlnm.Print_Titles" localSheetId="0">BOQ!$7:$9</definedName>
  </definedNames>
  <calcPr calcId="181029"/>
</workbook>
</file>

<file path=xl/calcChain.xml><?xml version="1.0" encoding="utf-8"?>
<calcChain xmlns="http://schemas.openxmlformats.org/spreadsheetml/2006/main">
  <c r="H2370" i="1" l="1"/>
  <c r="F2370" i="1"/>
  <c r="H2369" i="1"/>
  <c r="F2369" i="1"/>
  <c r="H2368" i="1"/>
  <c r="F2368" i="1"/>
  <c r="H2367" i="1"/>
  <c r="F2367" i="1"/>
  <c r="H2366" i="1"/>
  <c r="F2366" i="1"/>
  <c r="H2365" i="1"/>
  <c r="F2365" i="1"/>
  <c r="H2364" i="1"/>
  <c r="F2364" i="1"/>
  <c r="H2363" i="1"/>
  <c r="F2363" i="1"/>
  <c r="H2362" i="1"/>
  <c r="F2362" i="1"/>
  <c r="H2361" i="1"/>
  <c r="F2361" i="1"/>
  <c r="H2360" i="1"/>
  <c r="F2360" i="1"/>
  <c r="H2359" i="1"/>
  <c r="F2359" i="1"/>
  <c r="H2358" i="1"/>
  <c r="F2358" i="1"/>
  <c r="H2357" i="1"/>
  <c r="F2357" i="1"/>
  <c r="H2356" i="1"/>
  <c r="F2356" i="1"/>
  <c r="H2355" i="1"/>
  <c r="F2355" i="1"/>
  <c r="H2354" i="1"/>
  <c r="F2354" i="1"/>
  <c r="H2353" i="1"/>
  <c r="F2353" i="1"/>
  <c r="H2352" i="1"/>
  <c r="F2352" i="1"/>
  <c r="H2351" i="1"/>
  <c r="F2351" i="1"/>
  <c r="H2350" i="1"/>
  <c r="F2350" i="1"/>
  <c r="H2348" i="1"/>
  <c r="F2348" i="1"/>
  <c r="H2347" i="1"/>
  <c r="F2347" i="1"/>
  <c r="H2346" i="1"/>
  <c r="F2346" i="1"/>
  <c r="H2344" i="1"/>
  <c r="F2344" i="1"/>
  <c r="H2343" i="1"/>
  <c r="F2343" i="1"/>
  <c r="H2341" i="1"/>
  <c r="F2341" i="1"/>
  <c r="H2340" i="1"/>
  <c r="F2340" i="1"/>
  <c r="H2339" i="1"/>
  <c r="F2339" i="1"/>
  <c r="H2338" i="1"/>
  <c r="F2338" i="1"/>
  <c r="H2337" i="1"/>
  <c r="F2337" i="1"/>
  <c r="H2336" i="1"/>
  <c r="F2336" i="1"/>
  <c r="H2335" i="1"/>
  <c r="F2335" i="1"/>
  <c r="H2334" i="1"/>
  <c r="F2334" i="1"/>
  <c r="H2332" i="1"/>
  <c r="F2332" i="1"/>
  <c r="H2331" i="1"/>
  <c r="F2331" i="1"/>
  <c r="H2330" i="1"/>
  <c r="F2330" i="1"/>
  <c r="H2329" i="1"/>
  <c r="F2329" i="1"/>
  <c r="H2328" i="1"/>
  <c r="F2328" i="1"/>
  <c r="H2327" i="1"/>
  <c r="F2327" i="1"/>
  <c r="H2326" i="1"/>
  <c r="F2326" i="1"/>
  <c r="H2325" i="1"/>
  <c r="F2325" i="1"/>
  <c r="H2323" i="1"/>
  <c r="F2323" i="1"/>
  <c r="H2322" i="1"/>
  <c r="F2322" i="1"/>
  <c r="H2321" i="1"/>
  <c r="F2321" i="1"/>
  <c r="H2320" i="1"/>
  <c r="F2320" i="1"/>
  <c r="H2319" i="1"/>
  <c r="F2319" i="1"/>
  <c r="H2318" i="1"/>
  <c r="F2318" i="1"/>
  <c r="H2317" i="1"/>
  <c r="F2317" i="1"/>
  <c r="H2316" i="1"/>
  <c r="F2316" i="1"/>
  <c r="H2315" i="1"/>
  <c r="F2315" i="1"/>
  <c r="H2314" i="1"/>
  <c r="F2314" i="1"/>
  <c r="H2313" i="1"/>
  <c r="F2313" i="1"/>
  <c r="H2312" i="1"/>
  <c r="F2312" i="1"/>
  <c r="H2311" i="1"/>
  <c r="F2311" i="1"/>
  <c r="H2309" i="1"/>
  <c r="F2309" i="1"/>
  <c r="H2308" i="1"/>
  <c r="F2308" i="1"/>
  <c r="H2307" i="1"/>
  <c r="F2307" i="1"/>
  <c r="H2306" i="1"/>
  <c r="F2306" i="1"/>
  <c r="H2305" i="1"/>
  <c r="F2305" i="1"/>
  <c r="H2303" i="1"/>
  <c r="F2303" i="1"/>
  <c r="H2302" i="1"/>
  <c r="F2302" i="1"/>
  <c r="H2300" i="1"/>
  <c r="F2300" i="1"/>
  <c r="H2299" i="1"/>
  <c r="F2299" i="1"/>
  <c r="H2298" i="1"/>
  <c r="F2298" i="1"/>
  <c r="H2297" i="1"/>
  <c r="F2297" i="1"/>
  <c r="H2296" i="1"/>
  <c r="F2296" i="1"/>
  <c r="H2295" i="1"/>
  <c r="F2295" i="1"/>
  <c r="H2294" i="1"/>
  <c r="F2294" i="1"/>
  <c r="H2293" i="1"/>
  <c r="F2293" i="1"/>
  <c r="H2292" i="1"/>
  <c r="F2292" i="1"/>
  <c r="H2291" i="1"/>
  <c r="F2291" i="1"/>
  <c r="H2290" i="1"/>
  <c r="F2290" i="1"/>
  <c r="H2289" i="1"/>
  <c r="F2289" i="1"/>
  <c r="H2288" i="1"/>
  <c r="F2288" i="1"/>
  <c r="H2287" i="1"/>
  <c r="F2287" i="1"/>
  <c r="H2286" i="1"/>
  <c r="F2286" i="1"/>
  <c r="H2285" i="1"/>
  <c r="F2285" i="1"/>
  <c r="H2284" i="1"/>
  <c r="F2284" i="1"/>
  <c r="H2282" i="1"/>
  <c r="F2282" i="1"/>
  <c r="H2281" i="1"/>
  <c r="F2281" i="1"/>
  <c r="H2280" i="1"/>
  <c r="F2280" i="1"/>
  <c r="H2279" i="1"/>
  <c r="F2279" i="1"/>
  <c r="H2278" i="1"/>
  <c r="F2278" i="1"/>
  <c r="H2277" i="1"/>
  <c r="F2277" i="1"/>
  <c r="H2276" i="1"/>
  <c r="F2276" i="1"/>
  <c r="H2275" i="1"/>
  <c r="F2275" i="1"/>
  <c r="H2274" i="1"/>
  <c r="F2274" i="1"/>
  <c r="H2273" i="1"/>
  <c r="F2273" i="1"/>
  <c r="H2272" i="1"/>
  <c r="F2272" i="1"/>
  <c r="H2271" i="1"/>
  <c r="F2271" i="1"/>
  <c r="H2270" i="1"/>
  <c r="F2270" i="1"/>
  <c r="H2269" i="1"/>
  <c r="F2269" i="1"/>
  <c r="H2268" i="1"/>
  <c r="F2268" i="1"/>
  <c r="H2267" i="1"/>
  <c r="F2267" i="1"/>
  <c r="H2266" i="1"/>
  <c r="F2266" i="1"/>
  <c r="H2265" i="1"/>
  <c r="F2265" i="1"/>
  <c r="H2263" i="1"/>
  <c r="F2263" i="1"/>
  <c r="H2262" i="1"/>
  <c r="F2262" i="1"/>
  <c r="H2261" i="1"/>
  <c r="F2261" i="1"/>
  <c r="H2260" i="1"/>
  <c r="F2260" i="1"/>
  <c r="H2259" i="1"/>
  <c r="F2259" i="1"/>
  <c r="H2258" i="1"/>
  <c r="F2258" i="1"/>
  <c r="H2257" i="1"/>
  <c r="F2257" i="1"/>
  <c r="H2256" i="1"/>
  <c r="F2256" i="1"/>
  <c r="H2255" i="1"/>
  <c r="F2255" i="1"/>
  <c r="H2254" i="1"/>
  <c r="F2254" i="1"/>
  <c r="H2253" i="1"/>
  <c r="F2253" i="1"/>
  <c r="H2252" i="1"/>
  <c r="F2252" i="1"/>
  <c r="H2251" i="1"/>
  <c r="F2251" i="1"/>
  <c r="H2250" i="1"/>
  <c r="F2250" i="1"/>
  <c r="H2249" i="1"/>
  <c r="F2249" i="1"/>
  <c r="H2248" i="1"/>
  <c r="F2248" i="1"/>
  <c r="H2247" i="1"/>
  <c r="F2247" i="1"/>
  <c r="H2245" i="1"/>
  <c r="F2245" i="1"/>
  <c r="H2244" i="1"/>
  <c r="F2244" i="1"/>
  <c r="H2243" i="1"/>
  <c r="F2243" i="1"/>
  <c r="H2242" i="1"/>
  <c r="F2242" i="1"/>
  <c r="H2241" i="1"/>
  <c r="F2241" i="1"/>
  <c r="H2240" i="1"/>
  <c r="F2240" i="1"/>
  <c r="H2238" i="1"/>
  <c r="F2238" i="1"/>
  <c r="H2237" i="1"/>
  <c r="F2237" i="1"/>
  <c r="H2236" i="1"/>
  <c r="F2236" i="1"/>
  <c r="H2235" i="1"/>
  <c r="F2235" i="1"/>
  <c r="H2234" i="1"/>
  <c r="F2234" i="1"/>
  <c r="H2233" i="1"/>
  <c r="F2233" i="1"/>
  <c r="H2231" i="1"/>
  <c r="F2231" i="1"/>
  <c r="H2230" i="1"/>
  <c r="F2230" i="1"/>
  <c r="H2229" i="1"/>
  <c r="F2229" i="1"/>
  <c r="H2228" i="1"/>
  <c r="F2228" i="1"/>
  <c r="H2227" i="1"/>
  <c r="F2227" i="1"/>
  <c r="H2226" i="1"/>
  <c r="F2226" i="1"/>
  <c r="H2224" i="1"/>
  <c r="F2224" i="1"/>
  <c r="H2223" i="1"/>
  <c r="F2223" i="1"/>
  <c r="H2222" i="1"/>
  <c r="F2222" i="1"/>
  <c r="H2221" i="1"/>
  <c r="F2221" i="1"/>
  <c r="H2220" i="1"/>
  <c r="F2220" i="1"/>
  <c r="H2219" i="1"/>
  <c r="F2219" i="1"/>
  <c r="H2217" i="1"/>
  <c r="F2217" i="1"/>
  <c r="H2216" i="1"/>
  <c r="F2216" i="1"/>
  <c r="H2215" i="1"/>
  <c r="F2215" i="1"/>
  <c r="H2214" i="1"/>
  <c r="F2214" i="1"/>
  <c r="H2213" i="1"/>
  <c r="F2213" i="1"/>
  <c r="H2212" i="1"/>
  <c r="F2212" i="1"/>
  <c r="H2210" i="1"/>
  <c r="F2210" i="1"/>
  <c r="H2209" i="1"/>
  <c r="F2209" i="1"/>
  <c r="H2208" i="1"/>
  <c r="F2208" i="1"/>
  <c r="H2207" i="1"/>
  <c r="F2207" i="1"/>
  <c r="H2206" i="1"/>
  <c r="F2206" i="1"/>
  <c r="H2205" i="1"/>
  <c r="F2205" i="1"/>
  <c r="H2203" i="1"/>
  <c r="F2203" i="1"/>
  <c r="H2202" i="1"/>
  <c r="F2202" i="1"/>
  <c r="H2201" i="1"/>
  <c r="F2201" i="1"/>
  <c r="H2200" i="1"/>
  <c r="F2200" i="1"/>
  <c r="H2199" i="1"/>
  <c r="F2199" i="1"/>
  <c r="H2198" i="1"/>
  <c r="F2198" i="1"/>
  <c r="H2196" i="1"/>
  <c r="F2196" i="1"/>
  <c r="H2195" i="1"/>
  <c r="F2195" i="1"/>
  <c r="H2194" i="1"/>
  <c r="F2194" i="1"/>
  <c r="H2193" i="1"/>
  <c r="F2193" i="1"/>
  <c r="H2192" i="1"/>
  <c r="F2192" i="1"/>
  <c r="H2191" i="1"/>
  <c r="F2191" i="1"/>
  <c r="H2189" i="1"/>
  <c r="F2189" i="1"/>
  <c r="H2188" i="1"/>
  <c r="F2188" i="1"/>
  <c r="H2187" i="1"/>
  <c r="F2187" i="1"/>
  <c r="H2186" i="1"/>
  <c r="F2186" i="1"/>
  <c r="H2185" i="1"/>
  <c r="F2185" i="1"/>
  <c r="H2184" i="1"/>
  <c r="F2184" i="1"/>
  <c r="H2182" i="1"/>
  <c r="F2182" i="1"/>
  <c r="H2181" i="1"/>
  <c r="F2181" i="1"/>
  <c r="H2180" i="1"/>
  <c r="F2180" i="1"/>
  <c r="H2179" i="1"/>
  <c r="F2179" i="1"/>
  <c r="H2178" i="1"/>
  <c r="F2178" i="1"/>
  <c r="H2177" i="1"/>
  <c r="F2177" i="1"/>
  <c r="H2175" i="1"/>
  <c r="F2175" i="1"/>
  <c r="H2174" i="1"/>
  <c r="F2174" i="1"/>
  <c r="H2173" i="1"/>
  <c r="F2173" i="1"/>
  <c r="H2172" i="1"/>
  <c r="F2172" i="1"/>
  <c r="H2171" i="1"/>
  <c r="F2171" i="1"/>
  <c r="H2170" i="1"/>
  <c r="F2170" i="1"/>
  <c r="H2168" i="1"/>
  <c r="F2168" i="1"/>
  <c r="H2167" i="1"/>
  <c r="F2167" i="1"/>
  <c r="H2166" i="1"/>
  <c r="F2166" i="1"/>
  <c r="H2165" i="1"/>
  <c r="F2165" i="1"/>
  <c r="H2164" i="1"/>
  <c r="F2164" i="1"/>
  <c r="H2163" i="1"/>
  <c r="F2163" i="1"/>
  <c r="H2161" i="1"/>
  <c r="F2161" i="1"/>
  <c r="H2160" i="1"/>
  <c r="F2160" i="1"/>
  <c r="H2159" i="1"/>
  <c r="F2159" i="1"/>
  <c r="H2158" i="1"/>
  <c r="F2158" i="1"/>
  <c r="H2157" i="1"/>
  <c r="F2157" i="1"/>
  <c r="H2156" i="1"/>
  <c r="F2156" i="1"/>
  <c r="H2154" i="1"/>
  <c r="F2154" i="1"/>
  <c r="H2153" i="1"/>
  <c r="F2153" i="1"/>
  <c r="H2152" i="1"/>
  <c r="F2152" i="1"/>
  <c r="H2151" i="1"/>
  <c r="F2151" i="1"/>
  <c r="H2150" i="1"/>
  <c r="F2150" i="1"/>
  <c r="H2148" i="1"/>
  <c r="F2148" i="1"/>
  <c r="H2147" i="1"/>
  <c r="F2147" i="1"/>
  <c r="H2146" i="1"/>
  <c r="F2146" i="1"/>
  <c r="H2145" i="1"/>
  <c r="F2145" i="1"/>
  <c r="H2144" i="1"/>
  <c r="F2144" i="1"/>
  <c r="H2143" i="1"/>
  <c r="F2143" i="1"/>
  <c r="H2142" i="1"/>
  <c r="F2142" i="1"/>
  <c r="H2141" i="1"/>
  <c r="F2141" i="1"/>
  <c r="H2140" i="1"/>
  <c r="F2140" i="1"/>
  <c r="H2139" i="1"/>
  <c r="F2139" i="1"/>
  <c r="H2137" i="1"/>
  <c r="F2137" i="1"/>
  <c r="H2136" i="1"/>
  <c r="F2136" i="1"/>
  <c r="H2135" i="1"/>
  <c r="F2135" i="1"/>
  <c r="H2134" i="1"/>
  <c r="F2134" i="1"/>
  <c r="H2133" i="1"/>
  <c r="F2133" i="1"/>
  <c r="H2132" i="1"/>
  <c r="F2132" i="1"/>
  <c r="H2131" i="1"/>
  <c r="F2131" i="1"/>
  <c r="H2130" i="1"/>
  <c r="F2130" i="1"/>
  <c r="H2128" i="1"/>
  <c r="F2128" i="1"/>
  <c r="H2127" i="1"/>
  <c r="F2127" i="1"/>
  <c r="H2126" i="1"/>
  <c r="F2126" i="1"/>
  <c r="H2125" i="1"/>
  <c r="F2125" i="1"/>
  <c r="H2124" i="1"/>
  <c r="F2124" i="1"/>
  <c r="H2122" i="1"/>
  <c r="F2122" i="1"/>
  <c r="H2121" i="1"/>
  <c r="F2121" i="1"/>
  <c r="H2120" i="1"/>
  <c r="F2120" i="1"/>
  <c r="H2119" i="1"/>
  <c r="F2119" i="1"/>
  <c r="H2118" i="1"/>
  <c r="F2118" i="1"/>
  <c r="H2117" i="1"/>
  <c r="F2117" i="1"/>
  <c r="H2116" i="1"/>
  <c r="F2116" i="1"/>
  <c r="H2115" i="1"/>
  <c r="F2115" i="1"/>
  <c r="H2114" i="1"/>
  <c r="F2114" i="1"/>
  <c r="H2113" i="1"/>
  <c r="F2113" i="1"/>
  <c r="H2112" i="1"/>
  <c r="F2112" i="1"/>
  <c r="H2110" i="1"/>
  <c r="F2110" i="1"/>
  <c r="H2109" i="1"/>
  <c r="F2109" i="1"/>
  <c r="H2108" i="1"/>
  <c r="F2108" i="1"/>
  <c r="H2107" i="1"/>
  <c r="F2107" i="1"/>
  <c r="H2106" i="1"/>
  <c r="F2106" i="1"/>
  <c r="H2105" i="1"/>
  <c r="F2105" i="1"/>
  <c r="H2104" i="1"/>
  <c r="F2104" i="1"/>
  <c r="H2103" i="1"/>
  <c r="F2103" i="1"/>
  <c r="H2102" i="1"/>
  <c r="F2102" i="1"/>
  <c r="H2100" i="1"/>
  <c r="F2100" i="1"/>
  <c r="H2099" i="1"/>
  <c r="F2099" i="1"/>
  <c r="H2098" i="1"/>
  <c r="F2098" i="1"/>
  <c r="H2097" i="1"/>
  <c r="F2097" i="1"/>
  <c r="H2096" i="1"/>
  <c r="F2096" i="1"/>
  <c r="H2095" i="1"/>
  <c r="F2095" i="1"/>
  <c r="H2094" i="1"/>
  <c r="F2094" i="1"/>
  <c r="H2093" i="1"/>
  <c r="F2093" i="1"/>
  <c r="H2092" i="1"/>
  <c r="F2092" i="1"/>
  <c r="H2090" i="1"/>
  <c r="F2090" i="1"/>
  <c r="H2089" i="1"/>
  <c r="F2089" i="1"/>
  <c r="H2088" i="1"/>
  <c r="F2088" i="1"/>
  <c r="H2087" i="1"/>
  <c r="F2087" i="1"/>
  <c r="H2086" i="1"/>
  <c r="F2086" i="1"/>
  <c r="H2085" i="1"/>
  <c r="F2085" i="1"/>
  <c r="H2084" i="1"/>
  <c r="F2084" i="1"/>
  <c r="H2083" i="1"/>
  <c r="F2083" i="1"/>
  <c r="H2082" i="1"/>
  <c r="F2082" i="1"/>
  <c r="H2081" i="1"/>
  <c r="F2081" i="1"/>
  <c r="H2079" i="1"/>
  <c r="F2079" i="1"/>
  <c r="H2078" i="1"/>
  <c r="F2078" i="1"/>
  <c r="H2077" i="1"/>
  <c r="F2077" i="1"/>
  <c r="H2076" i="1"/>
  <c r="F2076" i="1"/>
  <c r="H2075" i="1"/>
  <c r="F2075" i="1"/>
  <c r="H2074" i="1"/>
  <c r="F2074" i="1"/>
  <c r="H2073" i="1"/>
  <c r="F2073" i="1"/>
  <c r="H2072" i="1"/>
  <c r="F2072" i="1"/>
  <c r="H2071" i="1"/>
  <c r="F2071" i="1"/>
  <c r="H2070" i="1"/>
  <c r="F2070" i="1"/>
  <c r="H2069" i="1"/>
  <c r="F2069" i="1"/>
  <c r="H2068" i="1"/>
  <c r="F2068" i="1"/>
  <c r="H2067" i="1"/>
  <c r="F2067" i="1"/>
  <c r="H2066" i="1"/>
  <c r="F2066" i="1"/>
  <c r="H2064" i="1"/>
  <c r="F2064" i="1"/>
  <c r="H2063" i="1"/>
  <c r="F2063" i="1"/>
  <c r="H2062" i="1"/>
  <c r="F2062" i="1"/>
  <c r="H2061" i="1"/>
  <c r="F2061" i="1"/>
  <c r="H2060" i="1"/>
  <c r="F2060" i="1"/>
  <c r="H2059" i="1"/>
  <c r="F2059" i="1"/>
  <c r="H2058" i="1"/>
  <c r="F2058" i="1"/>
  <c r="H2057" i="1"/>
  <c r="F2057" i="1"/>
  <c r="H2056" i="1"/>
  <c r="F2056" i="1"/>
  <c r="H2055" i="1"/>
  <c r="F2055" i="1"/>
  <c r="H2054" i="1"/>
  <c r="F2054" i="1"/>
  <c r="H2053" i="1"/>
  <c r="F2053" i="1"/>
  <c r="H2052" i="1"/>
  <c r="F2052" i="1"/>
  <c r="H2051" i="1"/>
  <c r="F2051" i="1"/>
  <c r="H2050" i="1"/>
  <c r="F2050" i="1"/>
  <c r="H2049" i="1"/>
  <c r="F2049" i="1"/>
  <c r="H2048" i="1"/>
  <c r="F2048" i="1"/>
  <c r="H2047" i="1"/>
  <c r="F2047" i="1"/>
  <c r="H2046" i="1"/>
  <c r="F2046" i="1"/>
  <c r="H2045" i="1"/>
  <c r="F2045" i="1"/>
  <c r="H2044" i="1"/>
  <c r="F2044" i="1"/>
  <c r="H2043" i="1"/>
  <c r="F2043" i="1"/>
  <c r="H2042" i="1"/>
  <c r="F2042" i="1"/>
  <c r="H2041" i="1"/>
  <c r="F2041" i="1"/>
  <c r="H2040" i="1"/>
  <c r="F2040" i="1"/>
  <c r="H2039" i="1"/>
  <c r="F2039" i="1"/>
  <c r="H2038" i="1"/>
  <c r="F2038" i="1"/>
  <c r="H2037" i="1"/>
  <c r="F2037" i="1"/>
  <c r="H2036" i="1"/>
  <c r="F2036" i="1"/>
  <c r="H2034" i="1"/>
  <c r="F2034" i="1"/>
  <c r="H2033" i="1"/>
  <c r="F2033" i="1"/>
  <c r="H2032" i="1"/>
  <c r="F2032" i="1"/>
  <c r="H2031" i="1"/>
  <c r="F2031" i="1"/>
  <c r="H2030" i="1"/>
  <c r="F2030" i="1"/>
  <c r="H2029" i="1"/>
  <c r="F2029" i="1"/>
  <c r="H2028" i="1"/>
  <c r="F2028" i="1"/>
  <c r="H2027" i="1"/>
  <c r="F2027" i="1"/>
  <c r="H2026" i="1"/>
  <c r="F2026" i="1"/>
  <c r="H2025" i="1"/>
  <c r="F2025" i="1"/>
  <c r="H2023" i="1"/>
  <c r="F2023" i="1"/>
  <c r="H2022" i="1"/>
  <c r="F2022" i="1"/>
  <c r="H2020" i="1"/>
  <c r="F2020" i="1"/>
  <c r="H2019" i="1"/>
  <c r="F2019" i="1"/>
  <c r="H2018" i="1"/>
  <c r="F2018" i="1"/>
  <c r="H2017" i="1"/>
  <c r="F2017" i="1"/>
  <c r="H2016" i="1"/>
  <c r="F2016" i="1"/>
  <c r="H2015" i="1"/>
  <c r="F2015" i="1"/>
  <c r="H2014" i="1"/>
  <c r="F2014" i="1"/>
  <c r="H2013" i="1"/>
  <c r="F2013" i="1"/>
  <c r="H2012" i="1"/>
  <c r="F2012" i="1"/>
  <c r="H2011" i="1"/>
  <c r="F2011" i="1"/>
  <c r="H2010" i="1"/>
  <c r="F2010" i="1"/>
  <c r="H2008" i="1"/>
  <c r="F2008" i="1"/>
  <c r="H2007" i="1"/>
  <c r="F2007" i="1"/>
  <c r="H2006" i="1"/>
  <c r="F2006" i="1"/>
  <c r="H2005" i="1"/>
  <c r="F2005" i="1"/>
  <c r="H2004" i="1"/>
  <c r="F2004" i="1"/>
  <c r="H2002" i="1"/>
  <c r="F2002" i="1"/>
  <c r="H2001" i="1"/>
  <c r="F2001" i="1"/>
  <c r="H2000" i="1"/>
  <c r="F2000" i="1"/>
  <c r="H1999" i="1"/>
  <c r="F1999" i="1"/>
  <c r="H1998" i="1"/>
  <c r="F1998" i="1"/>
  <c r="H1997" i="1"/>
  <c r="F1997" i="1"/>
  <c r="H1996" i="1"/>
  <c r="F1996" i="1"/>
  <c r="H1995" i="1"/>
  <c r="F1995" i="1"/>
  <c r="H1994" i="1"/>
  <c r="F1994" i="1"/>
  <c r="H1993" i="1"/>
  <c r="F1993" i="1"/>
  <c r="H1992" i="1"/>
  <c r="F1992" i="1"/>
  <c r="H1991" i="1"/>
  <c r="F1991" i="1"/>
  <c r="H1990" i="1"/>
  <c r="F1990" i="1"/>
  <c r="H1989" i="1"/>
  <c r="F1989" i="1"/>
  <c r="H1988" i="1"/>
  <c r="F1988" i="1"/>
  <c r="H1987" i="1"/>
  <c r="F1987" i="1"/>
  <c r="H1986" i="1"/>
  <c r="F1986" i="1"/>
  <c r="H1985" i="1"/>
  <c r="F1985" i="1"/>
  <c r="H1984" i="1"/>
  <c r="F1984" i="1"/>
  <c r="H1983" i="1"/>
  <c r="F1983" i="1"/>
  <c r="H1982" i="1"/>
  <c r="F1982" i="1"/>
  <c r="H1981" i="1"/>
  <c r="F1981" i="1"/>
  <c r="H1980" i="1"/>
  <c r="F1980" i="1"/>
  <c r="H1979" i="1"/>
  <c r="F1979" i="1"/>
  <c r="H1978" i="1"/>
  <c r="F1978" i="1"/>
  <c r="H1977" i="1"/>
  <c r="F1977" i="1"/>
  <c r="H1976" i="1"/>
  <c r="F1976" i="1"/>
  <c r="H1975" i="1"/>
  <c r="F1975" i="1"/>
  <c r="H1974" i="1"/>
  <c r="F1974" i="1"/>
  <c r="H1973" i="1"/>
  <c r="F1973" i="1"/>
  <c r="H1972" i="1"/>
  <c r="F1972" i="1"/>
  <c r="H1971" i="1"/>
  <c r="F1971" i="1"/>
  <c r="H1969" i="1"/>
  <c r="F1969" i="1"/>
  <c r="H1967" i="1"/>
  <c r="F1967" i="1"/>
  <c r="H1966" i="1"/>
  <c r="F1966" i="1"/>
  <c r="H1965" i="1"/>
  <c r="F1965" i="1"/>
  <c r="H1964" i="1"/>
  <c r="F1964" i="1"/>
  <c r="H1963" i="1"/>
  <c r="F1963" i="1"/>
  <c r="H1961" i="1"/>
  <c r="F1961" i="1"/>
  <c r="H1960" i="1"/>
  <c r="F1960" i="1"/>
  <c r="H1959" i="1"/>
  <c r="F1959" i="1"/>
  <c r="H1957" i="1"/>
  <c r="F1957" i="1"/>
  <c r="H1956" i="1"/>
  <c r="F1956" i="1"/>
  <c r="H1955" i="1"/>
  <c r="F1955" i="1"/>
  <c r="H1954" i="1"/>
  <c r="F1954" i="1"/>
  <c r="H1953" i="1"/>
  <c r="F1953" i="1"/>
  <c r="H1952" i="1"/>
  <c r="F1952" i="1"/>
  <c r="H1951" i="1"/>
  <c r="F1951" i="1"/>
  <c r="H1950" i="1"/>
  <c r="F1950" i="1"/>
  <c r="H1949" i="1"/>
  <c r="F1949" i="1"/>
  <c r="H1947" i="1"/>
  <c r="F1947" i="1"/>
  <c r="H1946" i="1"/>
  <c r="F1946" i="1"/>
  <c r="H1945" i="1"/>
  <c r="F1945" i="1"/>
  <c r="H1944" i="1"/>
  <c r="F1944" i="1"/>
  <c r="H1943" i="1"/>
  <c r="F1943" i="1"/>
  <c r="H1942" i="1"/>
  <c r="F1942" i="1"/>
  <c r="H1941" i="1"/>
  <c r="F1941" i="1"/>
  <c r="H1940" i="1"/>
  <c r="F1940" i="1"/>
  <c r="H1938" i="1"/>
  <c r="F1938" i="1"/>
  <c r="H1937" i="1"/>
  <c r="F1937" i="1"/>
  <c r="H1936" i="1"/>
  <c r="F1936" i="1"/>
  <c r="H1935" i="1"/>
  <c r="F1935" i="1"/>
  <c r="H1934" i="1"/>
  <c r="F1934" i="1"/>
  <c r="H1933" i="1"/>
  <c r="F1933" i="1"/>
  <c r="H1932" i="1"/>
  <c r="F1932" i="1"/>
  <c r="H1931" i="1"/>
  <c r="F1931" i="1"/>
  <c r="H1930" i="1"/>
  <c r="F1930" i="1"/>
  <c r="H1929" i="1"/>
  <c r="F1929" i="1"/>
  <c r="H1928" i="1"/>
  <c r="F1928" i="1"/>
  <c r="H1927" i="1"/>
  <c r="F1927" i="1"/>
  <c r="H1926" i="1"/>
  <c r="F1926" i="1"/>
  <c r="H1925" i="1"/>
  <c r="F1925" i="1"/>
  <c r="H1924" i="1"/>
  <c r="F1924" i="1"/>
  <c r="H1923" i="1"/>
  <c r="F1923" i="1"/>
  <c r="H1922" i="1"/>
  <c r="F1922" i="1"/>
  <c r="H1921" i="1"/>
  <c r="F1921" i="1"/>
  <c r="H1920" i="1"/>
  <c r="F1920" i="1"/>
  <c r="H1919" i="1"/>
  <c r="F1919" i="1"/>
  <c r="H1918" i="1"/>
  <c r="F1918" i="1"/>
  <c r="H1917" i="1"/>
  <c r="F1917" i="1"/>
  <c r="H1916" i="1"/>
  <c r="F1916" i="1"/>
  <c r="H1915" i="1"/>
  <c r="F1915" i="1"/>
  <c r="H1913" i="1"/>
  <c r="F1913" i="1"/>
  <c r="H1912" i="1"/>
  <c r="F1912" i="1"/>
  <c r="H1911" i="1"/>
  <c r="F1911" i="1"/>
  <c r="H1910" i="1"/>
  <c r="F1910" i="1"/>
  <c r="H1909" i="1"/>
  <c r="F1909" i="1"/>
  <c r="H1908" i="1"/>
  <c r="F1908" i="1"/>
  <c r="H1907" i="1"/>
  <c r="F1907" i="1"/>
  <c r="H1906" i="1"/>
  <c r="F1906" i="1"/>
  <c r="H1905" i="1"/>
  <c r="F1905" i="1"/>
  <c r="H1904" i="1"/>
  <c r="F1904" i="1"/>
  <c r="H1903" i="1"/>
  <c r="F1903" i="1"/>
  <c r="H1902" i="1"/>
  <c r="F1902" i="1"/>
  <c r="H1901" i="1"/>
  <c r="F1901" i="1"/>
  <c r="H1900" i="1"/>
  <c r="F1900" i="1"/>
  <c r="H1899" i="1"/>
  <c r="F1899" i="1"/>
  <c r="H1898" i="1"/>
  <c r="F1898" i="1"/>
  <c r="H1897" i="1"/>
  <c r="F1897" i="1"/>
  <c r="H1896" i="1"/>
  <c r="F1896" i="1"/>
  <c r="H1895" i="1"/>
  <c r="F1895" i="1"/>
  <c r="H1894" i="1"/>
  <c r="F1894" i="1"/>
  <c r="H1893" i="1"/>
  <c r="F1893" i="1"/>
  <c r="H1891" i="1"/>
  <c r="F1891" i="1"/>
  <c r="H1890" i="1"/>
  <c r="F1890" i="1"/>
  <c r="H1889" i="1"/>
  <c r="F1889" i="1"/>
  <c r="H1888" i="1"/>
  <c r="F1888" i="1"/>
  <c r="H1887" i="1"/>
  <c r="F1887" i="1"/>
  <c r="H1886" i="1"/>
  <c r="F1886" i="1"/>
  <c r="H1885" i="1"/>
  <c r="F1885" i="1"/>
  <c r="H1884" i="1"/>
  <c r="F1884" i="1"/>
  <c r="H1883" i="1"/>
  <c r="F1883" i="1"/>
  <c r="H1882" i="1"/>
  <c r="F1882" i="1"/>
  <c r="H1881" i="1"/>
  <c r="F1881" i="1"/>
  <c r="H1880" i="1"/>
  <c r="F1880" i="1"/>
  <c r="H1879" i="1"/>
  <c r="F1879" i="1"/>
  <c r="H1878" i="1"/>
  <c r="F1878" i="1"/>
  <c r="H1877" i="1"/>
  <c r="F1877" i="1"/>
  <c r="H1876" i="1"/>
  <c r="F1876" i="1"/>
  <c r="H1875" i="1"/>
  <c r="F1875" i="1"/>
  <c r="H1874" i="1"/>
  <c r="F1874" i="1"/>
  <c r="H1873" i="1"/>
  <c r="F1873" i="1"/>
  <c r="H1872" i="1"/>
  <c r="F1872" i="1"/>
  <c r="H1871" i="1"/>
  <c r="F1871" i="1"/>
  <c r="H1870" i="1"/>
  <c r="F1870" i="1"/>
  <c r="H1869" i="1"/>
  <c r="F1869" i="1"/>
  <c r="H1868" i="1"/>
  <c r="F1868" i="1"/>
  <c r="H1867" i="1"/>
  <c r="F1867" i="1"/>
  <c r="H1866" i="1"/>
  <c r="F1866" i="1"/>
  <c r="H1865" i="1"/>
  <c r="F1865" i="1"/>
  <c r="H1864" i="1"/>
  <c r="F1864" i="1"/>
  <c r="H1862" i="1"/>
  <c r="F1862" i="1"/>
  <c r="H1861" i="1"/>
  <c r="F1861" i="1"/>
  <c r="H1860" i="1"/>
  <c r="F1860" i="1"/>
  <c r="H1859" i="1"/>
  <c r="F1859" i="1"/>
  <c r="H1858" i="1"/>
  <c r="F1858" i="1"/>
  <c r="H1856" i="1"/>
  <c r="F1856" i="1"/>
  <c r="H1855" i="1"/>
  <c r="F1855" i="1"/>
  <c r="H1854" i="1"/>
  <c r="F1854" i="1"/>
  <c r="H1853" i="1"/>
  <c r="F1853" i="1"/>
  <c r="H1852" i="1"/>
  <c r="F1852" i="1"/>
  <c r="H1851" i="1"/>
  <c r="F1851" i="1"/>
  <c r="H1850" i="1"/>
  <c r="F1850" i="1"/>
  <c r="H1848" i="1"/>
  <c r="F1848" i="1"/>
  <c r="H1847" i="1"/>
  <c r="F1847" i="1"/>
  <c r="H1846" i="1"/>
  <c r="F1846" i="1"/>
  <c r="H1844" i="1"/>
  <c r="F1844" i="1"/>
  <c r="H1843" i="1"/>
  <c r="F1843" i="1"/>
  <c r="H1842" i="1"/>
  <c r="F1842" i="1"/>
  <c r="H1840" i="1"/>
  <c r="F1840" i="1"/>
  <c r="H1839" i="1"/>
  <c r="F1839" i="1"/>
  <c r="H1838" i="1"/>
  <c r="F1838" i="1"/>
  <c r="H1837" i="1"/>
  <c r="F1837" i="1"/>
  <c r="H1835" i="1"/>
  <c r="F1835" i="1"/>
  <c r="H1834" i="1"/>
  <c r="F1834" i="1"/>
  <c r="H1833" i="1"/>
  <c r="F1833" i="1"/>
  <c r="H1832" i="1"/>
  <c r="F1832" i="1"/>
  <c r="H1831" i="1"/>
  <c r="F1831" i="1"/>
  <c r="H1830" i="1"/>
  <c r="F1830" i="1"/>
  <c r="H1828" i="1"/>
  <c r="F1828" i="1"/>
  <c r="H1827" i="1"/>
  <c r="F1827" i="1"/>
  <c r="H1826" i="1"/>
  <c r="F1826" i="1"/>
  <c r="H1825" i="1"/>
  <c r="F1825" i="1"/>
  <c r="H1824" i="1"/>
  <c r="F1824" i="1"/>
  <c r="H1823" i="1"/>
  <c r="F1823" i="1"/>
  <c r="H1822" i="1"/>
  <c r="F1822" i="1"/>
  <c r="H1821" i="1"/>
  <c r="F1821" i="1"/>
  <c r="H1819" i="1"/>
  <c r="F1819" i="1"/>
  <c r="H1818" i="1"/>
  <c r="F1818" i="1"/>
  <c r="H1817" i="1"/>
  <c r="F1817" i="1"/>
  <c r="H1816" i="1"/>
  <c r="F1816" i="1"/>
  <c r="H1815" i="1"/>
  <c r="F1815" i="1"/>
  <c r="H1813" i="1"/>
  <c r="F1813" i="1"/>
  <c r="H1812" i="1"/>
  <c r="F1812" i="1"/>
  <c r="H1811" i="1"/>
  <c r="F1811" i="1"/>
  <c r="H1810" i="1"/>
  <c r="F1810" i="1"/>
  <c r="H1809" i="1"/>
  <c r="F1809" i="1"/>
  <c r="H1808" i="1"/>
  <c r="F1808" i="1"/>
  <c r="H1807" i="1"/>
  <c r="F1807" i="1"/>
  <c r="H1806" i="1"/>
  <c r="F1806" i="1"/>
  <c r="H1805" i="1"/>
  <c r="F1805" i="1"/>
  <c r="H1804" i="1"/>
  <c r="F1804" i="1"/>
  <c r="H1803" i="1"/>
  <c r="F1803" i="1"/>
  <c r="H1802" i="1"/>
  <c r="F1802" i="1"/>
  <c r="H1801" i="1"/>
  <c r="F1801" i="1"/>
  <c r="H1800" i="1"/>
  <c r="F1800" i="1"/>
  <c r="H1799" i="1"/>
  <c r="F1799" i="1"/>
  <c r="H1798" i="1"/>
  <c r="F1798" i="1"/>
  <c r="H1797" i="1"/>
  <c r="F1797" i="1"/>
  <c r="H1796" i="1"/>
  <c r="F1796" i="1"/>
  <c r="H1795" i="1"/>
  <c r="F1795" i="1"/>
  <c r="H1794" i="1"/>
  <c r="F1794" i="1"/>
  <c r="H1793" i="1"/>
  <c r="F1793" i="1"/>
  <c r="H1791" i="1"/>
  <c r="F1791" i="1"/>
  <c r="H1790" i="1"/>
  <c r="F1790" i="1"/>
  <c r="H1789" i="1"/>
  <c r="F1789" i="1"/>
  <c r="H1788" i="1"/>
  <c r="F1788" i="1"/>
  <c r="H1787" i="1"/>
  <c r="F1787" i="1"/>
  <c r="H1786" i="1"/>
  <c r="F1786" i="1"/>
  <c r="H1785" i="1"/>
  <c r="F1785" i="1"/>
  <c r="H1784" i="1"/>
  <c r="F1784" i="1"/>
  <c r="H1783" i="1"/>
  <c r="F1783" i="1"/>
  <c r="H1782" i="1"/>
  <c r="F1782" i="1"/>
  <c r="H1781" i="1"/>
  <c r="F1781" i="1"/>
  <c r="H1780" i="1"/>
  <c r="F1780" i="1"/>
  <c r="H1779" i="1"/>
  <c r="F1779" i="1"/>
  <c r="H1778" i="1"/>
  <c r="F1778" i="1"/>
  <c r="H1777" i="1"/>
  <c r="F1777" i="1"/>
  <c r="H1776" i="1"/>
  <c r="F1776" i="1"/>
  <c r="H1775" i="1"/>
  <c r="F1775" i="1"/>
  <c r="H1774" i="1"/>
  <c r="F1774" i="1"/>
  <c r="H1773" i="1"/>
  <c r="F1773" i="1"/>
  <c r="H1772" i="1"/>
  <c r="F1772" i="1"/>
  <c r="H1771" i="1"/>
  <c r="F1771" i="1"/>
  <c r="H1770" i="1"/>
  <c r="F1770" i="1"/>
  <c r="H1769" i="1"/>
  <c r="F1769" i="1"/>
  <c r="H1768" i="1"/>
  <c r="F1768" i="1"/>
  <c r="H1767" i="1"/>
  <c r="F1767" i="1"/>
  <c r="H1766" i="1"/>
  <c r="F1766" i="1"/>
  <c r="H1765" i="1"/>
  <c r="F1765" i="1"/>
  <c r="H1764" i="1"/>
  <c r="F1764" i="1"/>
  <c r="H1763" i="1"/>
  <c r="F1763" i="1"/>
  <c r="H1762" i="1"/>
  <c r="F1762" i="1"/>
  <c r="H1761" i="1"/>
  <c r="F1761" i="1"/>
  <c r="H1760" i="1"/>
  <c r="F1760" i="1"/>
  <c r="H1758" i="1"/>
  <c r="F1758" i="1"/>
  <c r="H1757" i="1"/>
  <c r="F1757" i="1"/>
  <c r="H1756" i="1"/>
  <c r="F1756" i="1"/>
  <c r="H1755" i="1"/>
  <c r="F1755" i="1"/>
  <c r="H1754" i="1"/>
  <c r="F1754" i="1"/>
  <c r="H1753" i="1"/>
  <c r="F1753" i="1"/>
  <c r="H1752" i="1"/>
  <c r="F1752" i="1"/>
  <c r="H1751" i="1"/>
  <c r="F1751" i="1"/>
  <c r="H1750" i="1"/>
  <c r="F1750" i="1"/>
  <c r="H1749" i="1"/>
  <c r="F1749" i="1"/>
  <c r="H1748" i="1"/>
  <c r="F1748" i="1"/>
  <c r="H1747" i="1"/>
  <c r="F1747" i="1"/>
  <c r="H1746" i="1"/>
  <c r="F1746" i="1"/>
  <c r="H1745" i="1"/>
  <c r="F1745" i="1"/>
  <c r="H1744" i="1"/>
  <c r="F1744" i="1"/>
  <c r="H1743" i="1"/>
  <c r="F1743" i="1"/>
  <c r="H1742" i="1"/>
  <c r="F1742" i="1"/>
  <c r="H1741" i="1"/>
  <c r="F1741" i="1"/>
  <c r="H1740" i="1"/>
  <c r="F1740" i="1"/>
  <c r="H1739" i="1"/>
  <c r="F1739" i="1"/>
  <c r="H1738" i="1"/>
  <c r="F1738" i="1"/>
  <c r="H1736" i="1"/>
  <c r="F1736" i="1"/>
  <c r="H1735" i="1"/>
  <c r="F1735" i="1"/>
  <c r="H1734" i="1"/>
  <c r="F1734" i="1"/>
  <c r="H1733" i="1"/>
  <c r="F1733" i="1"/>
  <c r="H1732" i="1"/>
  <c r="F1732" i="1"/>
  <c r="H1731" i="1"/>
  <c r="F1731" i="1"/>
  <c r="H1730" i="1"/>
  <c r="F1730" i="1"/>
  <c r="H1729" i="1"/>
  <c r="F1729" i="1"/>
  <c r="H1728" i="1"/>
  <c r="F1728" i="1"/>
  <c r="H1727" i="1"/>
  <c r="F1727" i="1"/>
  <c r="H1726" i="1"/>
  <c r="F1726" i="1"/>
  <c r="H1725" i="1"/>
  <c r="F1725" i="1"/>
  <c r="H1724" i="1"/>
  <c r="F1724" i="1"/>
  <c r="H1723" i="1"/>
  <c r="F1723" i="1"/>
  <c r="H1722" i="1"/>
  <c r="F1722" i="1"/>
  <c r="H1721" i="1"/>
  <c r="F1721" i="1"/>
  <c r="H1720" i="1"/>
  <c r="F1720" i="1"/>
  <c r="H1719" i="1"/>
  <c r="F1719" i="1"/>
  <c r="H1718" i="1"/>
  <c r="F1718" i="1"/>
  <c r="H1717" i="1"/>
  <c r="F1717" i="1"/>
  <c r="H1716" i="1"/>
  <c r="F1716" i="1"/>
  <c r="H1715" i="1"/>
  <c r="F1715" i="1"/>
  <c r="H1714" i="1"/>
  <c r="F1714" i="1"/>
  <c r="H1713" i="1"/>
  <c r="F1713" i="1"/>
  <c r="H1712" i="1"/>
  <c r="F1712" i="1"/>
  <c r="H1711" i="1"/>
  <c r="F1711" i="1"/>
  <c r="H1710" i="1"/>
  <c r="F1710" i="1"/>
  <c r="H1709" i="1"/>
  <c r="F1709" i="1"/>
  <c r="H1708" i="1"/>
  <c r="F1708" i="1"/>
  <c r="H1707" i="1"/>
  <c r="F1707" i="1"/>
  <c r="H1706" i="1"/>
  <c r="F1706" i="1"/>
  <c r="H1705" i="1"/>
  <c r="F1705" i="1"/>
  <c r="H1703" i="1"/>
  <c r="F1703" i="1"/>
  <c r="H1702" i="1"/>
  <c r="F1702" i="1"/>
  <c r="H1701" i="1"/>
  <c r="F1701" i="1"/>
  <c r="H1700" i="1"/>
  <c r="F1700" i="1"/>
  <c r="H1699" i="1"/>
  <c r="F1699" i="1"/>
  <c r="H1698" i="1"/>
  <c r="F1698" i="1"/>
  <c r="H1696" i="1"/>
  <c r="F1696" i="1"/>
  <c r="H1695" i="1"/>
  <c r="F1695" i="1"/>
  <c r="H1694" i="1"/>
  <c r="F1694" i="1"/>
  <c r="H1693" i="1"/>
  <c r="F1693" i="1"/>
  <c r="H1692" i="1"/>
  <c r="F1692" i="1"/>
  <c r="H1691" i="1"/>
  <c r="F1691" i="1"/>
  <c r="H1690" i="1"/>
  <c r="F1690" i="1"/>
  <c r="H1689" i="1"/>
  <c r="F1689" i="1"/>
  <c r="H1688" i="1"/>
  <c r="F1688" i="1"/>
  <c r="H1687" i="1"/>
  <c r="F1687" i="1"/>
  <c r="H1686" i="1"/>
  <c r="F1686" i="1"/>
  <c r="H1685" i="1"/>
  <c r="F1685" i="1"/>
  <c r="H1684" i="1"/>
  <c r="F1684" i="1"/>
  <c r="H1683" i="1"/>
  <c r="F1683" i="1"/>
  <c r="H1682" i="1"/>
  <c r="F1682" i="1"/>
  <c r="H1681" i="1"/>
  <c r="F1681" i="1"/>
  <c r="H1680" i="1"/>
  <c r="F1680" i="1"/>
  <c r="H1679" i="1"/>
  <c r="F1679" i="1"/>
  <c r="H1678" i="1"/>
  <c r="F1678" i="1"/>
  <c r="H1677" i="1"/>
  <c r="F1677" i="1"/>
  <c r="H1676" i="1"/>
  <c r="F1676" i="1"/>
  <c r="H1675" i="1"/>
  <c r="F1675" i="1"/>
  <c r="H1674" i="1"/>
  <c r="F1674" i="1"/>
  <c r="H1673" i="1"/>
  <c r="F1673" i="1"/>
  <c r="H1672" i="1"/>
  <c r="F1672" i="1"/>
  <c r="H1671" i="1"/>
  <c r="F1671" i="1"/>
  <c r="H1670" i="1"/>
  <c r="F1670" i="1"/>
  <c r="H1669" i="1"/>
  <c r="F1669" i="1"/>
  <c r="H1668" i="1"/>
  <c r="F1668" i="1"/>
  <c r="H1667" i="1"/>
  <c r="F1667" i="1"/>
  <c r="H1666" i="1"/>
  <c r="F1666" i="1"/>
  <c r="H1665" i="1"/>
  <c r="F1665" i="1"/>
  <c r="H1664" i="1"/>
  <c r="F1664" i="1"/>
  <c r="H1663" i="1"/>
  <c r="F1663" i="1"/>
  <c r="H1661" i="1"/>
  <c r="F1661" i="1"/>
  <c r="H1660" i="1"/>
  <c r="F1660" i="1"/>
  <c r="H1659" i="1"/>
  <c r="F1659" i="1"/>
  <c r="H1658" i="1"/>
  <c r="F1658" i="1"/>
  <c r="H1657" i="1"/>
  <c r="F1657" i="1"/>
  <c r="H1656" i="1"/>
  <c r="F1656" i="1"/>
  <c r="H1654" i="1"/>
  <c r="F1654" i="1"/>
  <c r="H1653" i="1"/>
  <c r="F1653" i="1"/>
  <c r="H1652" i="1"/>
  <c r="F1652" i="1"/>
  <c r="H1651" i="1"/>
  <c r="F1651" i="1"/>
  <c r="H1650" i="1"/>
  <c r="F1650" i="1"/>
  <c r="H1649" i="1"/>
  <c r="F1649" i="1"/>
  <c r="H1648" i="1"/>
  <c r="F1648" i="1"/>
  <c r="H1647" i="1"/>
  <c r="F1647" i="1"/>
  <c r="H1646" i="1"/>
  <c r="F1646" i="1"/>
  <c r="H1645" i="1"/>
  <c r="F1645" i="1"/>
  <c r="H1644" i="1"/>
  <c r="F1644" i="1"/>
  <c r="H1643" i="1"/>
  <c r="F1643" i="1"/>
  <c r="H1642" i="1"/>
  <c r="F1642" i="1"/>
  <c r="H1641" i="1"/>
  <c r="F1641" i="1"/>
  <c r="H1640" i="1"/>
  <c r="F1640" i="1"/>
  <c r="H1639" i="1"/>
  <c r="F1639" i="1"/>
  <c r="H1638" i="1"/>
  <c r="F1638" i="1"/>
  <c r="H1637" i="1"/>
  <c r="F1637" i="1"/>
  <c r="H1636" i="1"/>
  <c r="F1636" i="1"/>
  <c r="H1635" i="1"/>
  <c r="F1635" i="1"/>
  <c r="H1634" i="1"/>
  <c r="F1634" i="1"/>
  <c r="H1633" i="1"/>
  <c r="F1633" i="1"/>
  <c r="H1632" i="1"/>
  <c r="F1632" i="1"/>
  <c r="H1631" i="1"/>
  <c r="F1631" i="1"/>
  <c r="H1630" i="1"/>
  <c r="F1630" i="1"/>
  <c r="H1629" i="1"/>
  <c r="F1629" i="1"/>
  <c r="H1628" i="1"/>
  <c r="F1628" i="1"/>
  <c r="H1627" i="1"/>
  <c r="F1627" i="1"/>
  <c r="H1626" i="1"/>
  <c r="F1626" i="1"/>
  <c r="H1625" i="1"/>
  <c r="F1625" i="1"/>
  <c r="H1624" i="1"/>
  <c r="F1624" i="1"/>
  <c r="H1623" i="1"/>
  <c r="F1623" i="1"/>
  <c r="H1622" i="1"/>
  <c r="F1622" i="1"/>
  <c r="H1621" i="1"/>
  <c r="F1621" i="1"/>
  <c r="H1619" i="1"/>
  <c r="F1619" i="1"/>
  <c r="H1618" i="1"/>
  <c r="F1618" i="1"/>
  <c r="H1617" i="1"/>
  <c r="F1617" i="1"/>
  <c r="H1616" i="1"/>
  <c r="F1616" i="1"/>
  <c r="H1615" i="1"/>
  <c r="F1615" i="1"/>
  <c r="H1614" i="1"/>
  <c r="F1614" i="1"/>
  <c r="H1613" i="1"/>
  <c r="F1613" i="1"/>
  <c r="H1612" i="1"/>
  <c r="F1612" i="1"/>
  <c r="H1611" i="1"/>
  <c r="F1611" i="1"/>
  <c r="H1610" i="1"/>
  <c r="F1610" i="1"/>
  <c r="H1609" i="1"/>
  <c r="F1609" i="1"/>
  <c r="H1608" i="1"/>
  <c r="F1608" i="1"/>
  <c r="H1607" i="1"/>
  <c r="F1607" i="1"/>
  <c r="H1606" i="1"/>
  <c r="F1606" i="1"/>
  <c r="H1605" i="1"/>
  <c r="F1605" i="1"/>
  <c r="H1604" i="1"/>
  <c r="F1604" i="1"/>
  <c r="H1603" i="1"/>
  <c r="F1603" i="1"/>
  <c r="H1602" i="1"/>
  <c r="F1602" i="1"/>
  <c r="H1601" i="1"/>
  <c r="F1601" i="1"/>
  <c r="H1599" i="1"/>
  <c r="F1599" i="1"/>
  <c r="H1598" i="1"/>
  <c r="F1598" i="1"/>
  <c r="H1597" i="1"/>
  <c r="F1597" i="1"/>
  <c r="H1596" i="1"/>
  <c r="F1596" i="1"/>
  <c r="H1595" i="1"/>
  <c r="F1595" i="1"/>
  <c r="H1594" i="1"/>
  <c r="F1594" i="1"/>
  <c r="H1593" i="1"/>
  <c r="F1593" i="1"/>
  <c r="H1592" i="1"/>
  <c r="F1592" i="1"/>
  <c r="H1590" i="1"/>
  <c r="F1590" i="1"/>
  <c r="H1589" i="1"/>
  <c r="F1589" i="1"/>
  <c r="H1588" i="1"/>
  <c r="F1588" i="1"/>
  <c r="H1587" i="1"/>
  <c r="F1587" i="1"/>
  <c r="H1586" i="1"/>
  <c r="F1586" i="1"/>
  <c r="H1585" i="1"/>
  <c r="F1585" i="1"/>
  <c r="H1584" i="1"/>
  <c r="F1584" i="1"/>
  <c r="H1583" i="1"/>
  <c r="F1583" i="1"/>
  <c r="H1582" i="1"/>
  <c r="F1582" i="1"/>
  <c r="H1580" i="1"/>
  <c r="F1580" i="1"/>
  <c r="H1579" i="1"/>
  <c r="F1579" i="1"/>
  <c r="H1578" i="1"/>
  <c r="F1578" i="1"/>
  <c r="H1577" i="1"/>
  <c r="F1577" i="1"/>
  <c r="H1576" i="1"/>
  <c r="F1576" i="1"/>
  <c r="H1575" i="1"/>
  <c r="F1575" i="1"/>
  <c r="H1574" i="1"/>
  <c r="F1574" i="1"/>
  <c r="H1573" i="1"/>
  <c r="F1573" i="1"/>
  <c r="H1572" i="1"/>
  <c r="F1572" i="1"/>
  <c r="H1571" i="1"/>
  <c r="F1571" i="1"/>
  <c r="H1570" i="1"/>
  <c r="F1570" i="1"/>
  <c r="H1569" i="1"/>
  <c r="F1569" i="1"/>
  <c r="H1568" i="1"/>
  <c r="F1568" i="1"/>
  <c r="H1567" i="1"/>
  <c r="F1567" i="1"/>
  <c r="H1566" i="1"/>
  <c r="F1566" i="1"/>
  <c r="H1565" i="1"/>
  <c r="F1565" i="1"/>
  <c r="H1564" i="1"/>
  <c r="F1564" i="1"/>
  <c r="H1563" i="1"/>
  <c r="F1563" i="1"/>
  <c r="H1562" i="1"/>
  <c r="F1562" i="1"/>
  <c r="H1561" i="1"/>
  <c r="F1561" i="1"/>
  <c r="H1560" i="1"/>
  <c r="F1560" i="1"/>
  <c r="H1559" i="1"/>
  <c r="F1559" i="1"/>
  <c r="H1558" i="1"/>
  <c r="F1558" i="1"/>
  <c r="H1557" i="1"/>
  <c r="F1557" i="1"/>
  <c r="H1556" i="1"/>
  <c r="F1556" i="1"/>
  <c r="H1554" i="1"/>
  <c r="F1554" i="1"/>
  <c r="H1553" i="1"/>
  <c r="F1553" i="1"/>
  <c r="H1552" i="1"/>
  <c r="F1552" i="1"/>
  <c r="H1551" i="1"/>
  <c r="F1551" i="1"/>
  <c r="H1550" i="1"/>
  <c r="F1550" i="1"/>
  <c r="H1549" i="1"/>
  <c r="F1549" i="1"/>
  <c r="H1548" i="1"/>
  <c r="F1548" i="1"/>
  <c r="H1547" i="1"/>
  <c r="F1547" i="1"/>
  <c r="H1546" i="1"/>
  <c r="F1546" i="1"/>
  <c r="H1545" i="1"/>
  <c r="F1545" i="1"/>
  <c r="H1544" i="1"/>
  <c r="F1544" i="1"/>
  <c r="H1543" i="1"/>
  <c r="F1543" i="1"/>
  <c r="H1542" i="1"/>
  <c r="F1542" i="1"/>
  <c r="H1541" i="1"/>
  <c r="F1541" i="1"/>
  <c r="H1540" i="1"/>
  <c r="F1540" i="1"/>
  <c r="H1539" i="1"/>
  <c r="F1539" i="1"/>
  <c r="H1538" i="1"/>
  <c r="F1538" i="1"/>
  <c r="H1537" i="1"/>
  <c r="F1537" i="1"/>
  <c r="H1535" i="1"/>
  <c r="F1535" i="1"/>
  <c r="H1534" i="1"/>
  <c r="F1534" i="1"/>
  <c r="H1533" i="1"/>
  <c r="F1533" i="1"/>
  <c r="H1532" i="1"/>
  <c r="F1532" i="1"/>
  <c r="H1531" i="1"/>
  <c r="F1531" i="1"/>
  <c r="H1530" i="1"/>
  <c r="F1530" i="1"/>
  <c r="H1529" i="1"/>
  <c r="F1529" i="1"/>
  <c r="H1528" i="1"/>
  <c r="F1528" i="1"/>
  <c r="H1527" i="1"/>
  <c r="F1527" i="1"/>
  <c r="H1526" i="1"/>
  <c r="F1526" i="1"/>
  <c r="H1525" i="1"/>
  <c r="F1525" i="1"/>
  <c r="H1524" i="1"/>
  <c r="F1524" i="1"/>
  <c r="H1523" i="1"/>
  <c r="F1523" i="1"/>
  <c r="H1522" i="1"/>
  <c r="F1522" i="1"/>
  <c r="H1521" i="1"/>
  <c r="F1521" i="1"/>
  <c r="H1520" i="1"/>
  <c r="F1520" i="1"/>
  <c r="H1519" i="1"/>
  <c r="F1519" i="1"/>
  <c r="H1518" i="1"/>
  <c r="F1518" i="1"/>
  <c r="H1517" i="1"/>
  <c r="F1517" i="1"/>
  <c r="H1516" i="1"/>
  <c r="F1516" i="1"/>
  <c r="H1515" i="1"/>
  <c r="F1515" i="1"/>
  <c r="H1514" i="1"/>
  <c r="F1514" i="1"/>
  <c r="H1513" i="1"/>
  <c r="F1513" i="1"/>
  <c r="H1512" i="1"/>
  <c r="F1512" i="1"/>
  <c r="H1511" i="1"/>
  <c r="F1511" i="1"/>
  <c r="H1510" i="1"/>
  <c r="F1510" i="1"/>
  <c r="H1509" i="1"/>
  <c r="F1509" i="1"/>
  <c r="H1508" i="1"/>
  <c r="F1508" i="1"/>
  <c r="H1507" i="1"/>
  <c r="F1507" i="1"/>
  <c r="H1506" i="1"/>
  <c r="F1506" i="1"/>
  <c r="H1505" i="1"/>
  <c r="F1505" i="1"/>
  <c r="H1504" i="1"/>
  <c r="F1504" i="1"/>
  <c r="H1503" i="1"/>
  <c r="F1503" i="1"/>
  <c r="H1502" i="1"/>
  <c r="F1502" i="1"/>
  <c r="H1501" i="1"/>
  <c r="F1501" i="1"/>
  <c r="H1500" i="1"/>
  <c r="F1500" i="1"/>
  <c r="H1499" i="1"/>
  <c r="F1499" i="1"/>
  <c r="H1498" i="1"/>
  <c r="F1498" i="1"/>
  <c r="H1497" i="1"/>
  <c r="F1497" i="1"/>
  <c r="H1496" i="1"/>
  <c r="F1496" i="1"/>
  <c r="H1495" i="1"/>
  <c r="F1495" i="1"/>
  <c r="H1494" i="1"/>
  <c r="F1494" i="1"/>
  <c r="H1493" i="1"/>
  <c r="F1493" i="1"/>
  <c r="H1492" i="1"/>
  <c r="F1492" i="1"/>
  <c r="H1491" i="1"/>
  <c r="F1491" i="1"/>
  <c r="H1490" i="1"/>
  <c r="F1490" i="1"/>
  <c r="H1489" i="1"/>
  <c r="F1489" i="1"/>
  <c r="H1488" i="1"/>
  <c r="F1488" i="1"/>
  <c r="H1487" i="1"/>
  <c r="F1487" i="1"/>
  <c r="H1486" i="1"/>
  <c r="F1486" i="1"/>
  <c r="H1484" i="1"/>
  <c r="F1484" i="1"/>
  <c r="H1483" i="1"/>
  <c r="F1483" i="1"/>
  <c r="H1482" i="1"/>
  <c r="F1482" i="1"/>
  <c r="H1481" i="1"/>
  <c r="F1481" i="1"/>
  <c r="H1480" i="1"/>
  <c r="F1480" i="1"/>
  <c r="H1479" i="1"/>
  <c r="F1479" i="1"/>
  <c r="H1478" i="1"/>
  <c r="F1478" i="1"/>
  <c r="H1477" i="1"/>
  <c r="F1477" i="1"/>
  <c r="H1476" i="1"/>
  <c r="F1476" i="1"/>
  <c r="H1475" i="1"/>
  <c r="F1475" i="1"/>
  <c r="H1474" i="1"/>
  <c r="F1474" i="1"/>
  <c r="H1473" i="1"/>
  <c r="F1473" i="1"/>
  <c r="H1472" i="1"/>
  <c r="F1472" i="1"/>
  <c r="H1471" i="1"/>
  <c r="F1471" i="1"/>
  <c r="H1470" i="1"/>
  <c r="F1470" i="1"/>
  <c r="H1469" i="1"/>
  <c r="F1469" i="1"/>
  <c r="H1468" i="1"/>
  <c r="F1468" i="1"/>
  <c r="H1467" i="1"/>
  <c r="F1467" i="1"/>
  <c r="H1466" i="1"/>
  <c r="F1466" i="1"/>
  <c r="H1465" i="1"/>
  <c r="F1465" i="1"/>
  <c r="H1464" i="1"/>
  <c r="F1464" i="1"/>
  <c r="H1463" i="1"/>
  <c r="F1463" i="1"/>
  <c r="H1462" i="1"/>
  <c r="F1462" i="1"/>
  <c r="H1461" i="1"/>
  <c r="F1461" i="1"/>
  <c r="H1460" i="1"/>
  <c r="F1460" i="1"/>
  <c r="H1459" i="1"/>
  <c r="F1459" i="1"/>
  <c r="H1458" i="1"/>
  <c r="F1458" i="1"/>
  <c r="H1457" i="1"/>
  <c r="F1457" i="1"/>
  <c r="H1456" i="1"/>
  <c r="F1456" i="1"/>
  <c r="H1455" i="1"/>
  <c r="F1455" i="1"/>
  <c r="H1453" i="1"/>
  <c r="F1453" i="1"/>
  <c r="H1452" i="1"/>
  <c r="F1452" i="1"/>
  <c r="H1451" i="1"/>
  <c r="F1451" i="1"/>
  <c r="H1450" i="1"/>
  <c r="F1450" i="1"/>
  <c r="H1449" i="1"/>
  <c r="F1449" i="1"/>
  <c r="H1448" i="1"/>
  <c r="F1448" i="1"/>
  <c r="H1447" i="1"/>
  <c r="F1447" i="1"/>
  <c r="H1446" i="1"/>
  <c r="F1446" i="1"/>
  <c r="H1445" i="1"/>
  <c r="F1445" i="1"/>
  <c r="H1444" i="1"/>
  <c r="F1444" i="1"/>
  <c r="H1443" i="1"/>
  <c r="F1443" i="1"/>
  <c r="H1442" i="1"/>
  <c r="F1442" i="1"/>
  <c r="H1441" i="1"/>
  <c r="F1441" i="1"/>
  <c r="H1440" i="1"/>
  <c r="F1440" i="1"/>
  <c r="H1439" i="1"/>
  <c r="F1439" i="1"/>
  <c r="H1438" i="1"/>
  <c r="F1438" i="1"/>
  <c r="H1437" i="1"/>
  <c r="F1437" i="1"/>
  <c r="H1436" i="1"/>
  <c r="F1436" i="1"/>
  <c r="H1435" i="1"/>
  <c r="F1435" i="1"/>
  <c r="H1434" i="1"/>
  <c r="F1434" i="1"/>
  <c r="H1433" i="1"/>
  <c r="F1433" i="1"/>
  <c r="H1432" i="1"/>
  <c r="F1432" i="1"/>
  <c r="H1431" i="1"/>
  <c r="F1431" i="1"/>
  <c r="H1430" i="1"/>
  <c r="F1430" i="1"/>
  <c r="H1429" i="1"/>
  <c r="F1429" i="1"/>
  <c r="H1428" i="1"/>
  <c r="F1428" i="1"/>
  <c r="H1427" i="1"/>
  <c r="F1427" i="1"/>
  <c r="H1426" i="1"/>
  <c r="F1426" i="1"/>
  <c r="H1425" i="1"/>
  <c r="F1425" i="1"/>
  <c r="H1424" i="1"/>
  <c r="F1424" i="1"/>
  <c r="H1423" i="1"/>
  <c r="F1423" i="1"/>
  <c r="H1422" i="1"/>
  <c r="F1422" i="1"/>
  <c r="H1421" i="1"/>
  <c r="F1421" i="1"/>
  <c r="H1420" i="1"/>
  <c r="F1420" i="1"/>
  <c r="H1419" i="1"/>
  <c r="F1419" i="1"/>
  <c r="H1418" i="1"/>
  <c r="F1418" i="1"/>
  <c r="H1417" i="1"/>
  <c r="F1417" i="1"/>
  <c r="H1416" i="1"/>
  <c r="F1416" i="1"/>
  <c r="H1415" i="1"/>
  <c r="F1415" i="1"/>
  <c r="H1414" i="1"/>
  <c r="F1414" i="1"/>
  <c r="H1413" i="1"/>
  <c r="F1413" i="1"/>
  <c r="H1412" i="1"/>
  <c r="F1412" i="1"/>
  <c r="H1411" i="1"/>
  <c r="F1411" i="1"/>
  <c r="H1410" i="1"/>
  <c r="F1410" i="1"/>
  <c r="H1408" i="1"/>
  <c r="F1408" i="1"/>
  <c r="H1407" i="1"/>
  <c r="F1407" i="1"/>
  <c r="H1406" i="1"/>
  <c r="F1406" i="1"/>
  <c r="H1405" i="1"/>
  <c r="F1405" i="1"/>
  <c r="H1404" i="1"/>
  <c r="F1404" i="1"/>
  <c r="H1403" i="1"/>
  <c r="F1403" i="1"/>
  <c r="H1402" i="1"/>
  <c r="F1402" i="1"/>
  <c r="H1401" i="1"/>
  <c r="F1401" i="1"/>
  <c r="H1399" i="1"/>
  <c r="F1399" i="1"/>
  <c r="H1398" i="1"/>
  <c r="F1398" i="1"/>
  <c r="H1397" i="1"/>
  <c r="F1397" i="1"/>
  <c r="H1396" i="1"/>
  <c r="F1396" i="1"/>
  <c r="H1395" i="1"/>
  <c r="F1395" i="1"/>
  <c r="H1394" i="1"/>
  <c r="F1394" i="1"/>
  <c r="H1392" i="1"/>
  <c r="F1392" i="1"/>
  <c r="H1391" i="1"/>
  <c r="F1391" i="1"/>
  <c r="H1390" i="1"/>
  <c r="F1390" i="1"/>
  <c r="H1389" i="1"/>
  <c r="F1389" i="1"/>
  <c r="H1388" i="1"/>
  <c r="F1388" i="1"/>
  <c r="H1387" i="1"/>
  <c r="F1387" i="1"/>
  <c r="H1386" i="1"/>
  <c r="F1386" i="1"/>
  <c r="H1385" i="1"/>
  <c r="F1385" i="1"/>
  <c r="H1384" i="1"/>
  <c r="F1384" i="1"/>
  <c r="H1382" i="1"/>
  <c r="F1382" i="1"/>
  <c r="H1381" i="1"/>
  <c r="F1381" i="1"/>
  <c r="H1380" i="1"/>
  <c r="F1380" i="1"/>
  <c r="H1379" i="1"/>
  <c r="F1379" i="1"/>
  <c r="H1378" i="1"/>
  <c r="F1378" i="1"/>
  <c r="H1377" i="1"/>
  <c r="F1377" i="1"/>
  <c r="H1375" i="1"/>
  <c r="F1375" i="1"/>
  <c r="H1374" i="1"/>
  <c r="F1374" i="1"/>
  <c r="H1373" i="1"/>
  <c r="F1373" i="1"/>
  <c r="H1372" i="1"/>
  <c r="F1372" i="1"/>
  <c r="H1371" i="1"/>
  <c r="F1371" i="1"/>
  <c r="H1370" i="1"/>
  <c r="F1370" i="1"/>
  <c r="H1368" i="1"/>
  <c r="F1368" i="1"/>
  <c r="H1367" i="1"/>
  <c r="F1367" i="1"/>
  <c r="H1365" i="1"/>
  <c r="F1365" i="1"/>
  <c r="H1364" i="1"/>
  <c r="F1364" i="1"/>
  <c r="H1363" i="1"/>
  <c r="F1363" i="1"/>
  <c r="H1362" i="1"/>
  <c r="F1362" i="1"/>
  <c r="H1361" i="1"/>
  <c r="F1361" i="1"/>
  <c r="H1359" i="1"/>
  <c r="F1359" i="1"/>
  <c r="H1358" i="1"/>
  <c r="F1358" i="1"/>
  <c r="H1357" i="1"/>
  <c r="F1357" i="1"/>
  <c r="H1356" i="1"/>
  <c r="F1356" i="1"/>
  <c r="H1355" i="1"/>
  <c r="F1355" i="1"/>
  <c r="H1354" i="1"/>
  <c r="F1354" i="1"/>
  <c r="H1353" i="1"/>
  <c r="F1353" i="1"/>
  <c r="H1352" i="1"/>
  <c r="F1352" i="1"/>
  <c r="H1351" i="1"/>
  <c r="F1351" i="1"/>
  <c r="H1349" i="1"/>
  <c r="F1349" i="1"/>
  <c r="H1348" i="1"/>
  <c r="F1348" i="1"/>
  <c r="H1347" i="1"/>
  <c r="F1347" i="1"/>
  <c r="H1346" i="1"/>
  <c r="F1346" i="1"/>
  <c r="H1345" i="1"/>
  <c r="F1345" i="1"/>
  <c r="H1344" i="1"/>
  <c r="F1344" i="1"/>
  <c r="H1343" i="1"/>
  <c r="F1343" i="1"/>
  <c r="H1342" i="1"/>
  <c r="F1342" i="1"/>
  <c r="H1341" i="1"/>
  <c r="F1341" i="1"/>
  <c r="H1340" i="1"/>
  <c r="F1340" i="1"/>
  <c r="H1339" i="1"/>
  <c r="F1339" i="1"/>
  <c r="H1338" i="1"/>
  <c r="F1338" i="1"/>
  <c r="H1336" i="1"/>
  <c r="F1336" i="1"/>
  <c r="H1335" i="1"/>
  <c r="F1335" i="1"/>
  <c r="H1334" i="1"/>
  <c r="F1334" i="1"/>
  <c r="H1333" i="1"/>
  <c r="F1333" i="1"/>
  <c r="H1332" i="1"/>
  <c r="F1332" i="1"/>
  <c r="H1331" i="1"/>
  <c r="F1331" i="1"/>
  <c r="H1330" i="1"/>
  <c r="F1330" i="1"/>
  <c r="H1329" i="1"/>
  <c r="F1329" i="1"/>
  <c r="H1327" i="1"/>
  <c r="F1327" i="1"/>
  <c r="H1326" i="1"/>
  <c r="F1326" i="1"/>
  <c r="H1325" i="1"/>
  <c r="F1325" i="1"/>
  <c r="H1324" i="1"/>
  <c r="F1324" i="1"/>
  <c r="H1323" i="1"/>
  <c r="F1323" i="1"/>
  <c r="H1322" i="1"/>
  <c r="F1322" i="1"/>
  <c r="H1321" i="1"/>
  <c r="F1321" i="1"/>
  <c r="H1320" i="1"/>
  <c r="F1320" i="1"/>
  <c r="H1319" i="1"/>
  <c r="F1319" i="1"/>
  <c r="H1318" i="1"/>
  <c r="F1318" i="1"/>
  <c r="H1317" i="1"/>
  <c r="F1317" i="1"/>
  <c r="H1316" i="1"/>
  <c r="F1316" i="1"/>
  <c r="H1315" i="1"/>
  <c r="F1315" i="1"/>
  <c r="H1314" i="1"/>
  <c r="F1314" i="1"/>
  <c r="H1313" i="1"/>
  <c r="F1313" i="1"/>
  <c r="H1312" i="1"/>
  <c r="F1312" i="1"/>
  <c r="H1311" i="1"/>
  <c r="F1311" i="1"/>
  <c r="H1310" i="1"/>
  <c r="F1310" i="1"/>
  <c r="H1309" i="1"/>
  <c r="F1309" i="1"/>
  <c r="H1308" i="1"/>
  <c r="F1308" i="1"/>
  <c r="H1307" i="1"/>
  <c r="F1307" i="1"/>
  <c r="H1306" i="1"/>
  <c r="F1306" i="1"/>
  <c r="H1305" i="1"/>
  <c r="F1305" i="1"/>
  <c r="H1304" i="1"/>
  <c r="F1304" i="1"/>
  <c r="H1303" i="1"/>
  <c r="F1303" i="1"/>
  <c r="H1302" i="1"/>
  <c r="F1302" i="1"/>
  <c r="H1301" i="1"/>
  <c r="F1301" i="1"/>
  <c r="H1300" i="1"/>
  <c r="F1300" i="1"/>
  <c r="H1299" i="1"/>
  <c r="F1299" i="1"/>
  <c r="H1298" i="1"/>
  <c r="F1298" i="1"/>
  <c r="H1296" i="1"/>
  <c r="F1296" i="1"/>
  <c r="H1295" i="1"/>
  <c r="F1295" i="1"/>
  <c r="H1294" i="1"/>
  <c r="F1294" i="1"/>
  <c r="H1293" i="1"/>
  <c r="F1293" i="1"/>
  <c r="H1292" i="1"/>
  <c r="F1292" i="1"/>
  <c r="H1291" i="1"/>
  <c r="F1291" i="1"/>
  <c r="H1290" i="1"/>
  <c r="F1290" i="1"/>
  <c r="H1289" i="1"/>
  <c r="F1289" i="1"/>
  <c r="H1288" i="1"/>
  <c r="F1288" i="1"/>
  <c r="H1287" i="1"/>
  <c r="F1287" i="1"/>
  <c r="H1286" i="1"/>
  <c r="F1286" i="1"/>
  <c r="H1285" i="1"/>
  <c r="F1285" i="1"/>
  <c r="H1284" i="1"/>
  <c r="F1284" i="1"/>
  <c r="H1283" i="1"/>
  <c r="F1283" i="1"/>
  <c r="H1282" i="1"/>
  <c r="F1282" i="1"/>
  <c r="H1281" i="1"/>
  <c r="F1281" i="1"/>
  <c r="H1279" i="1"/>
  <c r="F1279" i="1"/>
  <c r="H1278" i="1"/>
  <c r="F1278" i="1"/>
  <c r="H1277" i="1"/>
  <c r="F1277" i="1"/>
  <c r="H1276" i="1"/>
  <c r="F1276" i="1"/>
  <c r="H1275" i="1"/>
  <c r="F1275" i="1"/>
  <c r="H1274" i="1"/>
  <c r="F1274" i="1"/>
  <c r="H1273" i="1"/>
  <c r="F1273" i="1"/>
  <c r="H1272" i="1"/>
  <c r="F1272" i="1"/>
  <c r="H1271" i="1"/>
  <c r="F1271" i="1"/>
  <c r="H1270" i="1"/>
  <c r="F1270" i="1"/>
  <c r="H1269" i="1"/>
  <c r="F1269" i="1"/>
  <c r="H1267" i="1"/>
  <c r="F1267" i="1"/>
  <c r="H1266" i="1"/>
  <c r="F1266" i="1"/>
  <c r="H1265" i="1"/>
  <c r="F1265" i="1"/>
  <c r="H1264" i="1"/>
  <c r="F1264" i="1"/>
  <c r="H1263" i="1"/>
  <c r="F1263" i="1"/>
  <c r="H1262" i="1"/>
  <c r="F1262" i="1"/>
  <c r="H1261" i="1"/>
  <c r="F1261" i="1"/>
  <c r="H1260" i="1"/>
  <c r="F1260" i="1"/>
  <c r="H1259" i="1"/>
  <c r="F1259" i="1"/>
  <c r="H1258" i="1"/>
  <c r="F1258" i="1"/>
  <c r="H1257" i="1"/>
  <c r="F1257" i="1"/>
  <c r="H1256" i="1"/>
  <c r="F1256" i="1"/>
  <c r="H1255" i="1"/>
  <c r="F1255" i="1"/>
  <c r="H1254" i="1"/>
  <c r="F1254" i="1"/>
  <c r="H1253" i="1"/>
  <c r="F1253" i="1"/>
  <c r="H1252" i="1"/>
  <c r="F1252" i="1"/>
  <c r="H1251" i="1"/>
  <c r="F1251" i="1"/>
  <c r="H1250" i="1"/>
  <c r="F1250" i="1"/>
  <c r="H1249" i="1"/>
  <c r="F1249" i="1"/>
  <c r="H1248" i="1"/>
  <c r="F1248" i="1"/>
  <c r="H1247" i="1"/>
  <c r="F1247" i="1"/>
  <c r="H1246" i="1"/>
  <c r="F1246" i="1"/>
  <c r="H1244" i="1"/>
  <c r="F1244" i="1"/>
  <c r="H1242" i="1"/>
  <c r="F1242" i="1"/>
  <c r="H1241" i="1"/>
  <c r="F1241" i="1"/>
  <c r="H1240" i="1"/>
  <c r="F1240" i="1"/>
  <c r="H1239" i="1"/>
  <c r="F1239" i="1"/>
  <c r="H1238" i="1"/>
  <c r="F1238" i="1"/>
  <c r="H1237" i="1"/>
  <c r="F1237" i="1"/>
  <c r="H1236" i="1"/>
  <c r="F1236" i="1"/>
  <c r="H1235" i="1"/>
  <c r="F1235" i="1"/>
  <c r="H1234" i="1"/>
  <c r="F1234" i="1"/>
  <c r="H1233" i="1"/>
  <c r="F1233" i="1"/>
  <c r="H1232" i="1"/>
  <c r="F1232" i="1"/>
  <c r="H1231" i="1"/>
  <c r="F1231" i="1"/>
  <c r="H1230" i="1"/>
  <c r="F1230" i="1"/>
  <c r="H1229" i="1"/>
  <c r="F1229" i="1"/>
  <c r="H1228" i="1"/>
  <c r="F1228" i="1"/>
  <c r="H1227" i="1"/>
  <c r="F1227" i="1"/>
  <c r="H1226" i="1"/>
  <c r="F1226" i="1"/>
  <c r="H1224" i="1"/>
  <c r="F1224" i="1"/>
  <c r="H1223" i="1"/>
  <c r="F1223" i="1"/>
  <c r="H1222" i="1"/>
  <c r="F1222" i="1"/>
  <c r="H1221" i="1"/>
  <c r="F1221" i="1"/>
  <c r="H1220" i="1"/>
  <c r="F1220" i="1"/>
  <c r="H1219" i="1"/>
  <c r="F1219" i="1"/>
  <c r="H1218" i="1"/>
  <c r="F1218" i="1"/>
  <c r="H1217" i="1"/>
  <c r="F1217" i="1"/>
  <c r="H1216" i="1"/>
  <c r="F1216" i="1"/>
  <c r="H1215" i="1"/>
  <c r="F1215" i="1"/>
  <c r="H1214" i="1"/>
  <c r="F1214" i="1"/>
  <c r="H1213" i="1"/>
  <c r="F1213" i="1"/>
  <c r="H1212" i="1"/>
  <c r="F1212" i="1"/>
  <c r="H1211" i="1"/>
  <c r="F1211" i="1"/>
  <c r="H1210" i="1"/>
  <c r="F1210" i="1"/>
  <c r="H1209" i="1"/>
  <c r="F1209" i="1"/>
  <c r="H1208" i="1"/>
  <c r="F1208" i="1"/>
  <c r="H1207" i="1"/>
  <c r="F1207" i="1"/>
  <c r="H1206" i="1"/>
  <c r="F1206" i="1"/>
  <c r="H1205" i="1"/>
  <c r="F1205" i="1"/>
  <c r="H1204" i="1"/>
  <c r="F1204" i="1"/>
  <c r="H1203" i="1"/>
  <c r="F1203" i="1"/>
  <c r="H1202" i="1"/>
  <c r="F1202" i="1"/>
  <c r="H1200" i="1"/>
  <c r="F1200" i="1"/>
  <c r="H1199" i="1"/>
  <c r="F1199" i="1"/>
  <c r="H1198" i="1"/>
  <c r="F1198" i="1"/>
  <c r="H1196" i="1"/>
  <c r="F1196" i="1"/>
  <c r="H1194" i="1"/>
  <c r="F1194" i="1"/>
  <c r="H1193" i="1"/>
  <c r="F1193" i="1"/>
  <c r="H1192" i="1"/>
  <c r="F1192" i="1"/>
  <c r="H1191" i="1"/>
  <c r="F1191" i="1"/>
  <c r="H1190" i="1"/>
  <c r="F1190" i="1"/>
  <c r="H1189" i="1"/>
  <c r="F1189" i="1"/>
  <c r="H1188" i="1"/>
  <c r="F1188" i="1"/>
  <c r="H1187" i="1"/>
  <c r="F1187" i="1"/>
  <c r="H1186" i="1"/>
  <c r="F1186" i="1"/>
  <c r="H1184" i="1"/>
  <c r="F1184" i="1"/>
  <c r="H1183" i="1"/>
  <c r="F1183" i="1"/>
  <c r="H1182" i="1"/>
  <c r="F1182" i="1"/>
  <c r="H1181" i="1"/>
  <c r="F1181" i="1"/>
  <c r="H1180" i="1"/>
  <c r="F1180" i="1"/>
  <c r="H1178" i="1"/>
  <c r="F1178" i="1"/>
  <c r="H1177" i="1"/>
  <c r="F1177" i="1"/>
  <c r="H1176" i="1"/>
  <c r="F1176" i="1"/>
  <c r="H1174" i="1"/>
  <c r="F1174" i="1"/>
  <c r="H1173" i="1"/>
  <c r="F1173" i="1"/>
  <c r="H1172" i="1"/>
  <c r="F1172" i="1"/>
  <c r="H1171" i="1"/>
  <c r="F1171" i="1"/>
  <c r="H1170" i="1"/>
  <c r="F1170" i="1"/>
  <c r="H1168" i="1"/>
  <c r="F1168" i="1"/>
  <c r="H1167" i="1"/>
  <c r="F1167" i="1"/>
  <c r="H1166" i="1"/>
  <c r="F1166" i="1"/>
  <c r="H1165" i="1"/>
  <c r="F1165" i="1"/>
  <c r="H1164" i="1"/>
  <c r="F1164" i="1"/>
  <c r="H1163" i="1"/>
  <c r="F1163" i="1"/>
  <c r="H1162" i="1"/>
  <c r="F1162" i="1"/>
  <c r="H1161" i="1"/>
  <c r="F1161" i="1"/>
  <c r="H1160" i="1"/>
  <c r="F1160" i="1"/>
  <c r="H1159" i="1"/>
  <c r="F1159" i="1"/>
  <c r="H1158" i="1"/>
  <c r="F1158" i="1"/>
  <c r="H1157" i="1"/>
  <c r="F1157" i="1"/>
  <c r="H1156" i="1"/>
  <c r="F1156" i="1"/>
  <c r="H1155" i="1"/>
  <c r="F1155" i="1"/>
  <c r="H1154" i="1"/>
  <c r="F1154" i="1"/>
  <c r="H1153" i="1"/>
  <c r="F1153" i="1"/>
  <c r="H1152" i="1"/>
  <c r="F1152" i="1"/>
  <c r="H1151" i="1"/>
  <c r="F1151" i="1"/>
  <c r="H1150" i="1"/>
  <c r="F1150" i="1"/>
  <c r="H1149" i="1"/>
  <c r="F1149" i="1"/>
  <c r="H1148" i="1"/>
  <c r="F1148" i="1"/>
  <c r="H1147" i="1"/>
  <c r="F1147" i="1"/>
  <c r="H1146" i="1"/>
  <c r="F1146" i="1"/>
  <c r="H1145" i="1"/>
  <c r="F1145" i="1"/>
  <c r="H1144" i="1"/>
  <c r="F1144" i="1"/>
  <c r="H1143" i="1"/>
  <c r="F1143" i="1"/>
  <c r="H1142" i="1"/>
  <c r="F1142" i="1"/>
  <c r="H1141" i="1"/>
  <c r="F1141" i="1"/>
  <c r="H1140" i="1"/>
  <c r="F1140" i="1"/>
  <c r="H1139" i="1"/>
  <c r="F1139" i="1"/>
  <c r="H1138" i="1"/>
  <c r="F1138" i="1"/>
  <c r="H1137" i="1"/>
  <c r="F1137" i="1"/>
  <c r="H1136" i="1"/>
  <c r="F1136" i="1"/>
  <c r="H1135" i="1"/>
  <c r="F1135" i="1"/>
  <c r="H1134" i="1"/>
  <c r="F1134" i="1"/>
  <c r="H1133" i="1"/>
  <c r="F1133" i="1"/>
  <c r="H1132" i="1"/>
  <c r="F1132" i="1"/>
  <c r="H1131" i="1"/>
  <c r="F1131" i="1"/>
  <c r="H1129" i="1"/>
  <c r="F1129" i="1"/>
  <c r="H1128" i="1"/>
  <c r="F1128" i="1"/>
  <c r="H1127" i="1"/>
  <c r="F1127" i="1"/>
  <c r="H1126" i="1"/>
  <c r="F1126" i="1"/>
  <c r="H1125" i="1"/>
  <c r="F1125" i="1"/>
  <c r="H1124" i="1"/>
  <c r="F1124" i="1"/>
  <c r="H1123" i="1"/>
  <c r="F1123" i="1"/>
  <c r="H1122" i="1"/>
  <c r="F1122" i="1"/>
  <c r="H1120" i="1"/>
  <c r="F1120" i="1"/>
  <c r="H1119" i="1"/>
  <c r="F1119" i="1"/>
  <c r="H1118" i="1"/>
  <c r="F1118" i="1"/>
  <c r="H1117" i="1"/>
  <c r="F1117" i="1"/>
  <c r="H1116" i="1"/>
  <c r="F1116" i="1"/>
  <c r="H1115" i="1"/>
  <c r="F1115" i="1"/>
  <c r="H1113" i="1"/>
  <c r="F1113" i="1"/>
  <c r="H1112" i="1"/>
  <c r="F1112" i="1"/>
  <c r="H1111" i="1"/>
  <c r="F1111" i="1"/>
  <c r="H1110" i="1"/>
  <c r="F1110" i="1"/>
  <c r="H1109" i="1"/>
  <c r="F1109" i="1"/>
  <c r="H1108" i="1"/>
  <c r="F1108" i="1"/>
  <c r="H1107" i="1"/>
  <c r="F1107" i="1"/>
  <c r="H1106" i="1"/>
  <c r="F1106" i="1"/>
  <c r="H1105" i="1"/>
  <c r="F1105" i="1"/>
  <c r="H1103" i="1"/>
  <c r="F1103" i="1"/>
  <c r="H1102" i="1"/>
  <c r="F1102" i="1"/>
  <c r="H1101" i="1"/>
  <c r="F1101" i="1"/>
  <c r="H1100" i="1"/>
  <c r="F1100" i="1"/>
  <c r="H1099" i="1"/>
  <c r="F1099" i="1"/>
  <c r="H1098" i="1"/>
  <c r="F1098" i="1"/>
  <c r="H1097" i="1"/>
  <c r="F1097" i="1"/>
  <c r="H1096" i="1"/>
  <c r="F1096" i="1"/>
  <c r="H1095" i="1"/>
  <c r="F1095" i="1"/>
  <c r="H1094" i="1"/>
  <c r="F1094" i="1"/>
  <c r="H1093" i="1"/>
  <c r="F1093" i="1"/>
  <c r="H1091" i="1"/>
  <c r="F1091" i="1"/>
  <c r="H1090" i="1"/>
  <c r="F1090" i="1"/>
  <c r="H1089" i="1"/>
  <c r="F1089" i="1"/>
  <c r="H1088" i="1"/>
  <c r="F1088" i="1"/>
  <c r="H1087" i="1"/>
  <c r="F1087" i="1"/>
  <c r="H1086" i="1"/>
  <c r="F1086" i="1"/>
  <c r="H1085" i="1"/>
  <c r="F1085" i="1"/>
  <c r="H1084" i="1"/>
  <c r="F1084" i="1"/>
  <c r="H1083" i="1"/>
  <c r="F1083" i="1"/>
  <c r="H1082" i="1"/>
  <c r="F1082" i="1"/>
  <c r="H1081" i="1"/>
  <c r="F1081" i="1"/>
  <c r="H1080" i="1"/>
  <c r="F1080" i="1"/>
  <c r="H1079" i="1"/>
  <c r="F1079" i="1"/>
  <c r="H1078" i="1"/>
  <c r="F1078" i="1"/>
  <c r="H1077" i="1"/>
  <c r="F1077" i="1"/>
  <c r="H1076" i="1"/>
  <c r="F1076" i="1"/>
  <c r="H1075" i="1"/>
  <c r="F1075" i="1"/>
  <c r="H1074" i="1"/>
  <c r="F1074" i="1"/>
  <c r="H1073" i="1"/>
  <c r="F1073" i="1"/>
  <c r="H1072" i="1"/>
  <c r="F1072" i="1"/>
  <c r="H1071" i="1"/>
  <c r="F1071" i="1"/>
  <c r="H1070" i="1"/>
  <c r="F1070" i="1"/>
  <c r="H1069" i="1"/>
  <c r="F1069" i="1"/>
  <c r="H1068" i="1"/>
  <c r="F1068" i="1"/>
  <c r="H1067" i="1"/>
  <c r="F1067" i="1"/>
  <c r="H1066" i="1"/>
  <c r="F1066" i="1"/>
  <c r="H1065" i="1"/>
  <c r="F1065" i="1"/>
  <c r="H1064" i="1"/>
  <c r="F1064" i="1"/>
  <c r="H1063" i="1"/>
  <c r="F1063" i="1"/>
  <c r="H1062" i="1"/>
  <c r="F1062" i="1"/>
  <c r="H1061" i="1"/>
  <c r="F1061" i="1"/>
  <c r="H1059" i="1"/>
  <c r="F1059" i="1"/>
  <c r="H1058" i="1"/>
  <c r="F1058" i="1"/>
  <c r="H1056" i="1"/>
  <c r="F1056" i="1"/>
  <c r="H1055" i="1"/>
  <c r="F1055" i="1"/>
  <c r="H1054" i="1"/>
  <c r="F1054" i="1"/>
  <c r="H1053" i="1"/>
  <c r="F1053" i="1"/>
  <c r="H1051" i="1"/>
  <c r="F1051" i="1"/>
  <c r="H1050" i="1"/>
  <c r="F1050" i="1"/>
  <c r="H1048" i="1"/>
  <c r="F1048" i="1"/>
  <c r="H1047" i="1"/>
  <c r="F1047" i="1"/>
  <c r="H1046" i="1"/>
  <c r="F1046" i="1"/>
  <c r="H1044" i="1"/>
  <c r="F1044" i="1"/>
  <c r="H1043" i="1"/>
  <c r="F1043" i="1"/>
  <c r="H1042" i="1"/>
  <c r="F1042" i="1"/>
  <c r="H1041" i="1"/>
  <c r="F1041" i="1"/>
  <c r="H1039" i="1"/>
  <c r="F1039" i="1"/>
  <c r="H1038" i="1"/>
  <c r="F1038" i="1"/>
  <c r="H1036" i="1"/>
  <c r="F1036" i="1"/>
  <c r="H1035" i="1"/>
  <c r="F1035" i="1"/>
  <c r="H1034" i="1"/>
  <c r="F1034" i="1"/>
  <c r="H1033" i="1"/>
  <c r="F1033" i="1"/>
  <c r="H1032" i="1"/>
  <c r="F1032" i="1"/>
  <c r="H1031" i="1"/>
  <c r="F1031" i="1"/>
  <c r="H1030" i="1"/>
  <c r="F1030" i="1"/>
  <c r="H1029" i="1"/>
  <c r="F1029" i="1"/>
  <c r="H1028" i="1"/>
  <c r="F1028" i="1"/>
  <c r="H1027" i="1"/>
  <c r="F1027" i="1"/>
  <c r="H1026" i="1"/>
  <c r="F1026" i="1"/>
  <c r="H1025" i="1"/>
  <c r="F1025" i="1"/>
  <c r="H1024" i="1"/>
  <c r="F1024" i="1"/>
  <c r="H1023" i="1"/>
  <c r="F1023" i="1"/>
  <c r="H1022" i="1"/>
  <c r="F1022" i="1"/>
  <c r="H1020" i="1"/>
  <c r="F1020" i="1"/>
  <c r="H1019" i="1"/>
  <c r="F1019" i="1"/>
  <c r="H1018" i="1"/>
  <c r="F1018" i="1"/>
  <c r="H1017" i="1"/>
  <c r="F1017" i="1"/>
  <c r="H1016" i="1"/>
  <c r="F1016" i="1"/>
  <c r="H1015" i="1"/>
  <c r="F1015" i="1"/>
  <c r="H1014" i="1"/>
  <c r="F1014" i="1"/>
  <c r="H1013" i="1"/>
  <c r="F1013" i="1"/>
  <c r="H1012" i="1"/>
  <c r="F1012" i="1"/>
  <c r="H1011" i="1"/>
  <c r="F1011" i="1"/>
  <c r="H1009" i="1"/>
  <c r="F1009" i="1"/>
  <c r="H1008" i="1"/>
  <c r="F1008" i="1"/>
  <c r="H1007" i="1"/>
  <c r="F1007" i="1"/>
  <c r="H1006" i="1"/>
  <c r="F1006" i="1"/>
  <c r="H1005" i="1"/>
  <c r="F1005" i="1"/>
  <c r="H1003" i="1"/>
  <c r="F1003" i="1"/>
  <c r="H1002" i="1"/>
  <c r="F1002" i="1"/>
  <c r="H1001" i="1"/>
  <c r="F1001" i="1"/>
  <c r="H1000" i="1"/>
  <c r="F1000" i="1"/>
  <c r="H999" i="1"/>
  <c r="F999" i="1"/>
  <c r="H998" i="1"/>
  <c r="F998" i="1"/>
  <c r="H997" i="1"/>
  <c r="F997" i="1"/>
  <c r="H996" i="1"/>
  <c r="F996" i="1"/>
  <c r="H995" i="1"/>
  <c r="F995" i="1"/>
  <c r="H994" i="1"/>
  <c r="F994" i="1"/>
  <c r="H993" i="1"/>
  <c r="F993" i="1"/>
  <c r="H992" i="1"/>
  <c r="F992" i="1"/>
  <c r="H991" i="1"/>
  <c r="F991" i="1"/>
  <c r="H990" i="1"/>
  <c r="F990" i="1"/>
  <c r="H989" i="1"/>
  <c r="F989" i="1"/>
  <c r="H988" i="1"/>
  <c r="F988" i="1"/>
  <c r="H987" i="1"/>
  <c r="F987" i="1"/>
  <c r="H986" i="1"/>
  <c r="F986" i="1"/>
  <c r="H985" i="1"/>
  <c r="F985" i="1"/>
  <c r="H984" i="1"/>
  <c r="F984" i="1"/>
  <c r="H983" i="1"/>
  <c r="F983" i="1"/>
  <c r="H982" i="1"/>
  <c r="F982" i="1"/>
  <c r="H981" i="1"/>
  <c r="F981" i="1"/>
  <c r="H980" i="1"/>
  <c r="F980" i="1"/>
  <c r="H979" i="1"/>
  <c r="F979" i="1"/>
  <c r="H978" i="1"/>
  <c r="F978" i="1"/>
  <c r="H977" i="1"/>
  <c r="F977" i="1"/>
  <c r="H976" i="1"/>
  <c r="F976" i="1"/>
  <c r="H975" i="1"/>
  <c r="F975" i="1"/>
  <c r="H974" i="1"/>
  <c r="F974" i="1"/>
  <c r="H973" i="1"/>
  <c r="F973" i="1"/>
  <c r="H972" i="1"/>
  <c r="F972" i="1"/>
  <c r="H971" i="1"/>
  <c r="F971" i="1"/>
  <c r="H970" i="1"/>
  <c r="F970" i="1"/>
  <c r="H969" i="1"/>
  <c r="F969" i="1"/>
  <c r="H968" i="1"/>
  <c r="F968" i="1"/>
  <c r="H967" i="1"/>
  <c r="F967" i="1"/>
  <c r="H966" i="1"/>
  <c r="F966" i="1"/>
  <c r="H965" i="1"/>
  <c r="F965" i="1"/>
  <c r="H964" i="1"/>
  <c r="F964" i="1"/>
  <c r="H963" i="1"/>
  <c r="F963" i="1"/>
  <c r="H962" i="1"/>
  <c r="F962" i="1"/>
  <c r="H961" i="1"/>
  <c r="F961" i="1"/>
  <c r="H960" i="1"/>
  <c r="F960" i="1"/>
  <c r="H959" i="1"/>
  <c r="F959" i="1"/>
  <c r="H958" i="1"/>
  <c r="F958" i="1"/>
  <c r="H957" i="1"/>
  <c r="F957" i="1"/>
  <c r="H956" i="1"/>
  <c r="F956" i="1"/>
  <c r="H955" i="1"/>
  <c r="F955" i="1"/>
  <c r="H954" i="1"/>
  <c r="F954" i="1"/>
  <c r="H953" i="1"/>
  <c r="F953" i="1"/>
  <c r="H952" i="1"/>
  <c r="F952" i="1"/>
  <c r="H950" i="1"/>
  <c r="F950" i="1"/>
  <c r="H949" i="1"/>
  <c r="F949" i="1"/>
  <c r="H948" i="1"/>
  <c r="F948" i="1"/>
  <c r="H947" i="1"/>
  <c r="F947" i="1"/>
  <c r="H946" i="1"/>
  <c r="F946" i="1"/>
  <c r="H945" i="1"/>
  <c r="F945" i="1"/>
  <c r="H944" i="1"/>
  <c r="F944" i="1"/>
  <c r="H943" i="1"/>
  <c r="F943" i="1"/>
  <c r="H942" i="1"/>
  <c r="F942" i="1"/>
  <c r="H941" i="1"/>
  <c r="F941" i="1"/>
  <c r="H940" i="1"/>
  <c r="F940" i="1"/>
  <c r="H939" i="1"/>
  <c r="F939" i="1"/>
  <c r="H938" i="1"/>
  <c r="F938" i="1"/>
  <c r="H937" i="1"/>
  <c r="F937" i="1"/>
  <c r="H936" i="1"/>
  <c r="F936" i="1"/>
  <c r="H935" i="1"/>
  <c r="F935" i="1"/>
  <c r="H934" i="1"/>
  <c r="F934" i="1"/>
  <c r="H932" i="1"/>
  <c r="F932" i="1"/>
  <c r="H931" i="1"/>
  <c r="F931" i="1"/>
  <c r="H930" i="1"/>
  <c r="F930" i="1"/>
  <c r="H929" i="1"/>
  <c r="F929" i="1"/>
  <c r="H928" i="1"/>
  <c r="F928" i="1"/>
  <c r="H927" i="1"/>
  <c r="F927" i="1"/>
  <c r="H926" i="1"/>
  <c r="F926" i="1"/>
  <c r="H925" i="1"/>
  <c r="F925" i="1"/>
  <c r="H924" i="1"/>
  <c r="F924" i="1"/>
  <c r="H923" i="1"/>
  <c r="F923" i="1"/>
  <c r="H922" i="1"/>
  <c r="F922" i="1"/>
  <c r="H921" i="1"/>
  <c r="F921" i="1"/>
  <c r="H920" i="1"/>
  <c r="F920" i="1"/>
  <c r="H919" i="1"/>
  <c r="F919" i="1"/>
  <c r="H918" i="1"/>
  <c r="F918" i="1"/>
  <c r="H917" i="1"/>
  <c r="F917" i="1"/>
  <c r="H916" i="1"/>
  <c r="F916" i="1"/>
  <c r="H915" i="1"/>
  <c r="F915" i="1"/>
  <c r="H914" i="1"/>
  <c r="F914" i="1"/>
  <c r="H912" i="1"/>
  <c r="F912" i="1"/>
  <c r="H911" i="1"/>
  <c r="F911" i="1"/>
  <c r="H910" i="1"/>
  <c r="F910" i="1"/>
  <c r="H909" i="1"/>
  <c r="F909" i="1"/>
  <c r="H908" i="1"/>
  <c r="F908" i="1"/>
  <c r="H907" i="1"/>
  <c r="F907" i="1"/>
  <c r="H906" i="1"/>
  <c r="F906" i="1"/>
  <c r="H905" i="1"/>
  <c r="F905" i="1"/>
  <c r="H904" i="1"/>
  <c r="F904" i="1"/>
  <c r="H903" i="1"/>
  <c r="F903" i="1"/>
  <c r="H902" i="1"/>
  <c r="F902" i="1"/>
  <c r="H901" i="1"/>
  <c r="F901" i="1"/>
  <c r="H900" i="1"/>
  <c r="F900" i="1"/>
  <c r="H899" i="1"/>
  <c r="F899" i="1"/>
  <c r="H898" i="1"/>
  <c r="F898" i="1"/>
  <c r="H897" i="1"/>
  <c r="F897" i="1"/>
  <c r="H896" i="1"/>
  <c r="F896" i="1"/>
  <c r="H895" i="1"/>
  <c r="F895" i="1"/>
  <c r="H894" i="1"/>
  <c r="F894" i="1"/>
  <c r="H893" i="1"/>
  <c r="F893" i="1"/>
  <c r="H892" i="1"/>
  <c r="F892" i="1"/>
  <c r="H891" i="1"/>
  <c r="F891" i="1"/>
  <c r="H890" i="1"/>
  <c r="F890" i="1"/>
  <c r="H889" i="1"/>
  <c r="F889" i="1"/>
  <c r="H887" i="1"/>
  <c r="F887" i="1"/>
  <c r="H886" i="1"/>
  <c r="F886" i="1"/>
  <c r="H885" i="1"/>
  <c r="F885" i="1"/>
  <c r="H884" i="1"/>
  <c r="F884" i="1"/>
  <c r="H883" i="1"/>
  <c r="F883" i="1"/>
  <c r="H882" i="1"/>
  <c r="F882" i="1"/>
  <c r="H881" i="1"/>
  <c r="F881" i="1"/>
  <c r="H880" i="1"/>
  <c r="F880" i="1"/>
  <c r="H879" i="1"/>
  <c r="F879" i="1"/>
  <c r="H878" i="1"/>
  <c r="F878" i="1"/>
  <c r="H877" i="1"/>
  <c r="F877" i="1"/>
  <c r="H876" i="1"/>
  <c r="F876" i="1"/>
  <c r="H875" i="1"/>
  <c r="F875" i="1"/>
  <c r="H874" i="1"/>
  <c r="F874" i="1"/>
  <c r="H873" i="1"/>
  <c r="F873" i="1"/>
  <c r="H872" i="1"/>
  <c r="F872" i="1"/>
  <c r="H871" i="1"/>
  <c r="F871" i="1"/>
  <c r="H870" i="1"/>
  <c r="F870" i="1"/>
  <c r="H869" i="1"/>
  <c r="F869" i="1"/>
  <c r="H868" i="1"/>
  <c r="F868" i="1"/>
  <c r="H867" i="1"/>
  <c r="F867" i="1"/>
  <c r="H865" i="1"/>
  <c r="F865" i="1"/>
  <c r="H864" i="1"/>
  <c r="F864" i="1"/>
  <c r="H863" i="1"/>
  <c r="F863" i="1"/>
  <c r="H862" i="1"/>
  <c r="F862" i="1"/>
  <c r="H861" i="1"/>
  <c r="F861" i="1"/>
  <c r="H860" i="1"/>
  <c r="F860" i="1"/>
  <c r="H859" i="1"/>
  <c r="F859" i="1"/>
  <c r="H858" i="1"/>
  <c r="F858" i="1"/>
  <c r="H857" i="1"/>
  <c r="F857" i="1"/>
  <c r="H856" i="1"/>
  <c r="F856" i="1"/>
  <c r="H855" i="1"/>
  <c r="F855" i="1"/>
  <c r="H854" i="1"/>
  <c r="F854" i="1"/>
  <c r="H853" i="1"/>
  <c r="F853" i="1"/>
  <c r="H852" i="1"/>
  <c r="F852" i="1"/>
  <c r="H851" i="1"/>
  <c r="F851" i="1"/>
  <c r="H850" i="1"/>
  <c r="F850" i="1"/>
  <c r="H849" i="1"/>
  <c r="F849" i="1"/>
  <c r="H848" i="1"/>
  <c r="F848" i="1"/>
  <c r="H847" i="1"/>
  <c r="F847" i="1"/>
  <c r="H846" i="1"/>
  <c r="F846" i="1"/>
  <c r="H844" i="1"/>
  <c r="F844" i="1"/>
  <c r="H843" i="1"/>
  <c r="F843" i="1"/>
  <c r="H842" i="1"/>
  <c r="F842" i="1"/>
  <c r="H841" i="1"/>
  <c r="F841" i="1"/>
  <c r="H840" i="1"/>
  <c r="F840" i="1"/>
  <c r="H839" i="1"/>
  <c r="F839" i="1"/>
  <c r="H838" i="1"/>
  <c r="F838" i="1"/>
  <c r="H837" i="1"/>
  <c r="F837" i="1"/>
  <c r="H836" i="1"/>
  <c r="F836" i="1"/>
  <c r="H835" i="1"/>
  <c r="F835" i="1"/>
  <c r="H834" i="1"/>
  <c r="F834" i="1"/>
  <c r="H833" i="1"/>
  <c r="F833" i="1"/>
  <c r="H832" i="1"/>
  <c r="F832" i="1"/>
  <c r="H831" i="1"/>
  <c r="F831" i="1"/>
  <c r="H830" i="1"/>
  <c r="F830" i="1"/>
  <c r="H829" i="1"/>
  <c r="F829" i="1"/>
  <c r="H828" i="1"/>
  <c r="F828" i="1"/>
  <c r="H827" i="1"/>
  <c r="F827" i="1"/>
  <c r="H826" i="1"/>
  <c r="F826" i="1"/>
  <c r="H825" i="1"/>
  <c r="F825" i="1"/>
  <c r="H824" i="1"/>
  <c r="F824" i="1"/>
  <c r="H823" i="1"/>
  <c r="F823" i="1"/>
  <c r="H821" i="1"/>
  <c r="F821" i="1"/>
  <c r="H820" i="1"/>
  <c r="F820" i="1"/>
  <c r="H819" i="1"/>
  <c r="F819" i="1"/>
  <c r="H818" i="1"/>
  <c r="F818" i="1"/>
  <c r="H817" i="1"/>
  <c r="F817" i="1"/>
  <c r="H816" i="1"/>
  <c r="F816" i="1"/>
  <c r="H815" i="1"/>
  <c r="F815" i="1"/>
  <c r="H814" i="1"/>
  <c r="F814" i="1"/>
  <c r="H813" i="1"/>
  <c r="F813" i="1"/>
  <c r="H812" i="1"/>
  <c r="F812" i="1"/>
  <c r="H811" i="1"/>
  <c r="F811" i="1"/>
  <c r="H810" i="1"/>
  <c r="F810" i="1"/>
  <c r="H809" i="1"/>
  <c r="F809" i="1"/>
  <c r="H808" i="1"/>
  <c r="F808" i="1"/>
  <c r="H807" i="1"/>
  <c r="F807" i="1"/>
  <c r="H806" i="1"/>
  <c r="F806" i="1"/>
  <c r="H805" i="1"/>
  <c r="F805" i="1"/>
  <c r="H804" i="1"/>
  <c r="F804" i="1"/>
  <c r="H803" i="1"/>
  <c r="F803" i="1"/>
  <c r="H802" i="1"/>
  <c r="F802" i="1"/>
  <c r="H801" i="1"/>
  <c r="F801" i="1"/>
  <c r="H800" i="1"/>
  <c r="F800" i="1"/>
  <c r="H799" i="1"/>
  <c r="F799" i="1"/>
  <c r="H798" i="1"/>
  <c r="F798" i="1"/>
  <c r="H797" i="1"/>
  <c r="F797" i="1"/>
  <c r="H796" i="1"/>
  <c r="F796" i="1"/>
  <c r="H795" i="1"/>
  <c r="F795" i="1"/>
  <c r="H794" i="1"/>
  <c r="F794" i="1"/>
  <c r="H793" i="1"/>
  <c r="F793" i="1"/>
  <c r="H792" i="1"/>
  <c r="F792" i="1"/>
  <c r="H791" i="1"/>
  <c r="F791" i="1"/>
  <c r="H790" i="1"/>
  <c r="F790" i="1"/>
  <c r="H789" i="1"/>
  <c r="F789" i="1"/>
  <c r="H788" i="1"/>
  <c r="F788" i="1"/>
  <c r="H787" i="1"/>
  <c r="F787" i="1"/>
  <c r="H786" i="1"/>
  <c r="F786" i="1"/>
  <c r="H785" i="1"/>
  <c r="F785" i="1"/>
  <c r="H784" i="1"/>
  <c r="F784" i="1"/>
  <c r="H783" i="1"/>
  <c r="F783" i="1"/>
  <c r="H782" i="1"/>
  <c r="F782" i="1"/>
  <c r="H781" i="1"/>
  <c r="F781" i="1"/>
  <c r="H779" i="1"/>
  <c r="F779" i="1"/>
  <c r="H778" i="1"/>
  <c r="F778" i="1"/>
  <c r="H777" i="1"/>
  <c r="F777" i="1"/>
  <c r="H776" i="1"/>
  <c r="F776" i="1"/>
  <c r="H775" i="1"/>
  <c r="F775" i="1"/>
  <c r="H774" i="1"/>
  <c r="F774" i="1"/>
  <c r="H773" i="1"/>
  <c r="F773" i="1"/>
  <c r="H772" i="1"/>
  <c r="F772" i="1"/>
  <c r="H771" i="1"/>
  <c r="F771" i="1"/>
  <c r="H770" i="1"/>
  <c r="F770" i="1"/>
  <c r="H769" i="1"/>
  <c r="F769" i="1"/>
  <c r="H768" i="1"/>
  <c r="F768" i="1"/>
  <c r="H767" i="1"/>
  <c r="F767" i="1"/>
  <c r="H766" i="1"/>
  <c r="F766" i="1"/>
  <c r="H765" i="1"/>
  <c r="F765" i="1"/>
  <c r="H764" i="1"/>
  <c r="F764" i="1"/>
  <c r="H763" i="1"/>
  <c r="F763" i="1"/>
  <c r="H762" i="1"/>
  <c r="F762" i="1"/>
  <c r="H761" i="1"/>
  <c r="F761" i="1"/>
  <c r="H760" i="1"/>
  <c r="F760" i="1"/>
  <c r="H759" i="1"/>
  <c r="F759" i="1"/>
  <c r="H758" i="1"/>
  <c r="F758" i="1"/>
  <c r="H757" i="1"/>
  <c r="F757" i="1"/>
  <c r="H756" i="1"/>
  <c r="F756" i="1"/>
  <c r="H755" i="1"/>
  <c r="F755" i="1"/>
  <c r="H754" i="1"/>
  <c r="F754" i="1"/>
  <c r="H753" i="1"/>
  <c r="F753" i="1"/>
  <c r="H752" i="1"/>
  <c r="F752" i="1"/>
  <c r="H751" i="1"/>
  <c r="F751" i="1"/>
  <c r="H750" i="1"/>
  <c r="F750" i="1"/>
  <c r="H749" i="1"/>
  <c r="F749" i="1"/>
  <c r="H748" i="1"/>
  <c r="F748" i="1"/>
  <c r="H747" i="1"/>
  <c r="F747" i="1"/>
  <c r="H746" i="1"/>
  <c r="F746" i="1"/>
  <c r="H745" i="1"/>
  <c r="F745" i="1"/>
  <c r="H744" i="1"/>
  <c r="F744" i="1"/>
  <c r="H743" i="1"/>
  <c r="F743" i="1"/>
  <c r="H742" i="1"/>
  <c r="F742" i="1"/>
  <c r="H741" i="1"/>
  <c r="F741" i="1"/>
  <c r="H740" i="1"/>
  <c r="F740" i="1"/>
  <c r="H739" i="1"/>
  <c r="F739" i="1"/>
  <c r="H738" i="1"/>
  <c r="F738" i="1"/>
  <c r="H737" i="1"/>
  <c r="F737" i="1"/>
  <c r="H736" i="1"/>
  <c r="F736" i="1"/>
  <c r="H735" i="1"/>
  <c r="F735" i="1"/>
  <c r="H734" i="1"/>
  <c r="F734" i="1"/>
  <c r="H733" i="1"/>
  <c r="F733" i="1"/>
  <c r="H732" i="1"/>
  <c r="F732" i="1"/>
  <c r="H731" i="1"/>
  <c r="F731" i="1"/>
  <c r="H730" i="1"/>
  <c r="F730" i="1"/>
  <c r="H729" i="1"/>
  <c r="F729" i="1"/>
  <c r="H728" i="1"/>
  <c r="F728" i="1"/>
  <c r="H727" i="1"/>
  <c r="F727" i="1"/>
  <c r="H726" i="1"/>
  <c r="F726" i="1"/>
  <c r="H725" i="1"/>
  <c r="F725" i="1"/>
  <c r="H724" i="1"/>
  <c r="F724" i="1"/>
  <c r="H723" i="1"/>
  <c r="F723" i="1"/>
  <c r="H722" i="1"/>
  <c r="F722" i="1"/>
  <c r="H721" i="1"/>
  <c r="F721" i="1"/>
  <c r="H720" i="1"/>
  <c r="F720" i="1"/>
  <c r="H719" i="1"/>
  <c r="F719" i="1"/>
  <c r="H718" i="1"/>
  <c r="F718" i="1"/>
  <c r="H717" i="1"/>
  <c r="F717" i="1"/>
  <c r="H716" i="1"/>
  <c r="F716" i="1"/>
  <c r="H715" i="1"/>
  <c r="F715" i="1"/>
  <c r="H714" i="1"/>
  <c r="F714" i="1"/>
  <c r="H713" i="1"/>
  <c r="F713" i="1"/>
  <c r="H712" i="1"/>
  <c r="F712" i="1"/>
  <c r="H711" i="1"/>
  <c r="F711" i="1"/>
  <c r="H710" i="1"/>
  <c r="F710" i="1"/>
  <c r="H709" i="1"/>
  <c r="F709" i="1"/>
  <c r="H708" i="1"/>
  <c r="F708" i="1"/>
  <c r="H707" i="1"/>
  <c r="F707" i="1"/>
  <c r="H706" i="1"/>
  <c r="F706" i="1"/>
  <c r="H705" i="1"/>
  <c r="F705" i="1"/>
  <c r="H704" i="1"/>
  <c r="F704" i="1"/>
  <c r="H703" i="1"/>
  <c r="F703" i="1"/>
  <c r="H702" i="1"/>
  <c r="F702" i="1"/>
  <c r="H701" i="1"/>
  <c r="F701" i="1"/>
  <c r="H700" i="1"/>
  <c r="F700" i="1"/>
  <c r="H699" i="1"/>
  <c r="F699" i="1"/>
  <c r="H698" i="1"/>
  <c r="F698" i="1"/>
  <c r="H697" i="1"/>
  <c r="F697" i="1"/>
  <c r="H696" i="1"/>
  <c r="F696" i="1"/>
  <c r="H695" i="1"/>
  <c r="F695" i="1"/>
  <c r="H694" i="1"/>
  <c r="F694" i="1"/>
  <c r="H693" i="1"/>
  <c r="F693" i="1"/>
  <c r="H692" i="1"/>
  <c r="F692" i="1"/>
  <c r="H691" i="1"/>
  <c r="F691" i="1"/>
  <c r="H690" i="1"/>
  <c r="F690" i="1"/>
  <c r="H689" i="1"/>
  <c r="F689" i="1"/>
  <c r="H688" i="1"/>
  <c r="F688" i="1"/>
  <c r="H687" i="1"/>
  <c r="F687" i="1"/>
  <c r="H686" i="1"/>
  <c r="F686" i="1"/>
  <c r="H685" i="1"/>
  <c r="F685" i="1"/>
  <c r="H684" i="1"/>
  <c r="F684" i="1"/>
  <c r="H683" i="1"/>
  <c r="F683" i="1"/>
  <c r="H682" i="1"/>
  <c r="F682" i="1"/>
  <c r="H681" i="1"/>
  <c r="F681" i="1"/>
  <c r="H680" i="1"/>
  <c r="F680" i="1"/>
  <c r="H679" i="1"/>
  <c r="F679" i="1"/>
  <c r="H678" i="1"/>
  <c r="F678" i="1"/>
  <c r="H677" i="1"/>
  <c r="F677" i="1"/>
  <c r="H676" i="1"/>
  <c r="F676" i="1"/>
  <c r="H675" i="1"/>
  <c r="F675" i="1"/>
  <c r="H674" i="1"/>
  <c r="F674" i="1"/>
  <c r="H673" i="1"/>
  <c r="F673" i="1"/>
  <c r="H672" i="1"/>
  <c r="F672" i="1"/>
  <c r="H671" i="1"/>
  <c r="F671" i="1"/>
  <c r="H670" i="1"/>
  <c r="F670" i="1"/>
  <c r="H669" i="1"/>
  <c r="F669" i="1"/>
  <c r="H668" i="1"/>
  <c r="F668" i="1"/>
  <c r="H667" i="1"/>
  <c r="F667" i="1"/>
  <c r="H666" i="1"/>
  <c r="F666" i="1"/>
  <c r="H665" i="1"/>
  <c r="F665" i="1"/>
  <c r="H664" i="1"/>
  <c r="F664" i="1"/>
  <c r="H663" i="1"/>
  <c r="F663" i="1"/>
  <c r="H662" i="1"/>
  <c r="F662" i="1"/>
  <c r="H661" i="1"/>
  <c r="F661" i="1"/>
  <c r="H660" i="1"/>
  <c r="F660" i="1"/>
  <c r="H659" i="1"/>
  <c r="F659" i="1"/>
  <c r="H658" i="1"/>
  <c r="F658" i="1"/>
  <c r="H657" i="1"/>
  <c r="F657" i="1"/>
  <c r="H656" i="1"/>
  <c r="F656" i="1"/>
  <c r="H655" i="1"/>
  <c r="F655" i="1"/>
  <c r="H654" i="1"/>
  <c r="F654" i="1"/>
  <c r="H653" i="1"/>
  <c r="F653" i="1"/>
  <c r="H652" i="1"/>
  <c r="F652" i="1"/>
  <c r="H651" i="1"/>
  <c r="F651" i="1"/>
  <c r="H650" i="1"/>
  <c r="F650" i="1"/>
  <c r="H649" i="1"/>
  <c r="F649" i="1"/>
  <c r="H648" i="1"/>
  <c r="F648" i="1"/>
  <c r="H647" i="1"/>
  <c r="F647" i="1"/>
  <c r="H646" i="1"/>
  <c r="F646" i="1"/>
  <c r="H645" i="1"/>
  <c r="F645" i="1"/>
  <c r="H644" i="1"/>
  <c r="F644" i="1"/>
  <c r="H643" i="1"/>
  <c r="F643" i="1"/>
  <c r="H642" i="1"/>
  <c r="F642" i="1"/>
  <c r="H641" i="1"/>
  <c r="F641" i="1"/>
  <c r="H639" i="1"/>
  <c r="F639" i="1"/>
  <c r="H638" i="1"/>
  <c r="F638" i="1"/>
  <c r="H637" i="1"/>
  <c r="F637" i="1"/>
  <c r="H636" i="1"/>
  <c r="F636" i="1"/>
  <c r="H635" i="1"/>
  <c r="F635" i="1"/>
  <c r="H633" i="1"/>
  <c r="F633" i="1"/>
  <c r="H632" i="1"/>
  <c r="F632" i="1"/>
  <c r="H631" i="1"/>
  <c r="F631" i="1"/>
  <c r="H630" i="1"/>
  <c r="F630" i="1"/>
  <c r="H629" i="1"/>
  <c r="F629" i="1"/>
  <c r="H628" i="1"/>
  <c r="F628" i="1"/>
  <c r="H627" i="1"/>
  <c r="F627" i="1"/>
  <c r="H626" i="1"/>
  <c r="F626" i="1"/>
  <c r="H625" i="1"/>
  <c r="F625" i="1"/>
  <c r="H624" i="1"/>
  <c r="F624" i="1"/>
  <c r="H623" i="1"/>
  <c r="F623" i="1"/>
  <c r="H622" i="1"/>
  <c r="F622" i="1"/>
  <c r="H621" i="1"/>
  <c r="F621" i="1"/>
  <c r="H620" i="1"/>
  <c r="F620" i="1"/>
  <c r="H619" i="1"/>
  <c r="F619" i="1"/>
  <c r="H618" i="1"/>
  <c r="F618" i="1"/>
  <c r="H617" i="1"/>
  <c r="F617" i="1"/>
  <c r="H615" i="1"/>
  <c r="F615" i="1"/>
  <c r="H614" i="1"/>
  <c r="F614" i="1"/>
  <c r="H613" i="1"/>
  <c r="F613" i="1"/>
  <c r="H612" i="1"/>
  <c r="F612" i="1"/>
  <c r="H611" i="1"/>
  <c r="F611" i="1"/>
  <c r="H610" i="1"/>
  <c r="F610" i="1"/>
  <c r="H609" i="1"/>
  <c r="F609" i="1"/>
  <c r="H608" i="1"/>
  <c r="F608" i="1"/>
  <c r="H607" i="1"/>
  <c r="F607" i="1"/>
  <c r="H606" i="1"/>
  <c r="F606" i="1"/>
  <c r="H605" i="1"/>
  <c r="F605" i="1"/>
  <c r="H604" i="1"/>
  <c r="F604" i="1"/>
  <c r="H603" i="1"/>
  <c r="F603" i="1"/>
  <c r="H602" i="1"/>
  <c r="F602" i="1"/>
  <c r="H601" i="1"/>
  <c r="F601" i="1"/>
  <c r="H600" i="1"/>
  <c r="F600" i="1"/>
  <c r="H599" i="1"/>
  <c r="F599" i="1"/>
  <c r="H598" i="1"/>
  <c r="F598" i="1"/>
  <c r="H597" i="1"/>
  <c r="F597" i="1"/>
  <c r="H596" i="1"/>
  <c r="F596" i="1"/>
  <c r="H595" i="1"/>
  <c r="F595" i="1"/>
  <c r="H594" i="1"/>
  <c r="F594" i="1"/>
  <c r="H593" i="1"/>
  <c r="F593" i="1"/>
  <c r="H592" i="1"/>
  <c r="F592" i="1"/>
  <c r="H591" i="1"/>
  <c r="F591" i="1"/>
  <c r="H590" i="1"/>
  <c r="F590" i="1"/>
  <c r="H589" i="1"/>
  <c r="F589" i="1"/>
  <c r="H588" i="1"/>
  <c r="F588" i="1"/>
  <c r="H587" i="1"/>
  <c r="F587" i="1"/>
  <c r="H586" i="1"/>
  <c r="F586" i="1"/>
  <c r="H585" i="1"/>
  <c r="F585" i="1"/>
  <c r="H584" i="1"/>
  <c r="F584" i="1"/>
  <c r="H583" i="1"/>
  <c r="F583" i="1"/>
  <c r="H582" i="1"/>
  <c r="F582" i="1"/>
  <c r="H581" i="1"/>
  <c r="F581" i="1"/>
  <c r="H580" i="1"/>
  <c r="F580" i="1"/>
  <c r="H579" i="1"/>
  <c r="F579" i="1"/>
  <c r="H578" i="1"/>
  <c r="F578" i="1"/>
  <c r="H577" i="1"/>
  <c r="F577" i="1"/>
  <c r="H576" i="1"/>
  <c r="F576" i="1"/>
  <c r="H575" i="1"/>
  <c r="F575" i="1"/>
  <c r="H574" i="1"/>
  <c r="F574" i="1"/>
  <c r="H573" i="1"/>
  <c r="F573" i="1"/>
  <c r="H572" i="1"/>
  <c r="F572" i="1"/>
  <c r="H571" i="1"/>
  <c r="F571" i="1"/>
  <c r="H570" i="1"/>
  <c r="F570" i="1"/>
  <c r="H569" i="1"/>
  <c r="F569" i="1"/>
  <c r="H568" i="1"/>
  <c r="F568" i="1"/>
  <c r="H567" i="1"/>
  <c r="F567" i="1"/>
  <c r="H566" i="1"/>
  <c r="F566" i="1"/>
  <c r="H564" i="1"/>
  <c r="F564" i="1"/>
  <c r="H563" i="1"/>
  <c r="F563" i="1"/>
  <c r="H562" i="1"/>
  <c r="F562" i="1"/>
  <c r="H561" i="1"/>
  <c r="F561" i="1"/>
  <c r="H560" i="1"/>
  <c r="F560" i="1"/>
  <c r="H559" i="1"/>
  <c r="F559" i="1"/>
  <c r="H558" i="1"/>
  <c r="F558" i="1"/>
  <c r="H557" i="1"/>
  <c r="F557" i="1"/>
  <c r="H556" i="1"/>
  <c r="F556" i="1"/>
  <c r="H555" i="1"/>
  <c r="F555" i="1"/>
  <c r="H554" i="1"/>
  <c r="F554" i="1"/>
  <c r="H553" i="1"/>
  <c r="F553" i="1"/>
  <c r="H552" i="1"/>
  <c r="F552" i="1"/>
  <c r="H551" i="1"/>
  <c r="F551" i="1"/>
  <c r="H549" i="1"/>
  <c r="F549" i="1"/>
  <c r="H548" i="1"/>
  <c r="F548" i="1"/>
  <c r="H547" i="1"/>
  <c r="F547" i="1"/>
  <c r="H546" i="1"/>
  <c r="F546" i="1"/>
  <c r="H545" i="1"/>
  <c r="F545" i="1"/>
  <c r="H544" i="1"/>
  <c r="F544" i="1"/>
  <c r="H543" i="1"/>
  <c r="F543" i="1"/>
  <c r="H542" i="1"/>
  <c r="F542" i="1"/>
  <c r="H541" i="1"/>
  <c r="F541" i="1"/>
  <c r="H540" i="1"/>
  <c r="F540" i="1"/>
  <c r="H539" i="1"/>
  <c r="F539" i="1"/>
  <c r="H538" i="1"/>
  <c r="F538" i="1"/>
  <c r="H537" i="1"/>
  <c r="F537" i="1"/>
  <c r="H535" i="1"/>
  <c r="F535" i="1"/>
  <c r="H534" i="1"/>
  <c r="F534" i="1"/>
  <c r="H533" i="1"/>
  <c r="F533" i="1"/>
  <c r="H532" i="1"/>
  <c r="F532" i="1"/>
  <c r="H531" i="1"/>
  <c r="F531" i="1"/>
  <c r="H530" i="1"/>
  <c r="F530" i="1"/>
  <c r="H529" i="1"/>
  <c r="F529" i="1"/>
  <c r="H528" i="1"/>
  <c r="F528" i="1"/>
  <c r="H527" i="1"/>
  <c r="F527" i="1"/>
  <c r="H526" i="1"/>
  <c r="F526" i="1"/>
  <c r="H525" i="1"/>
  <c r="F525" i="1"/>
  <c r="H524" i="1"/>
  <c r="F524" i="1"/>
  <c r="H523" i="1"/>
  <c r="F523" i="1"/>
  <c r="H522" i="1"/>
  <c r="F522" i="1"/>
  <c r="H521" i="1"/>
  <c r="F521" i="1"/>
  <c r="H520" i="1"/>
  <c r="F520" i="1"/>
  <c r="H519" i="1"/>
  <c r="F519" i="1"/>
  <c r="H518" i="1"/>
  <c r="F518" i="1"/>
  <c r="H517" i="1"/>
  <c r="F517" i="1"/>
  <c r="H516" i="1"/>
  <c r="F516" i="1"/>
  <c r="H514" i="1"/>
  <c r="F514" i="1"/>
  <c r="H513" i="1"/>
  <c r="F513" i="1"/>
  <c r="H512" i="1"/>
  <c r="F512" i="1"/>
  <c r="H511" i="1"/>
  <c r="F511" i="1"/>
  <c r="H510" i="1"/>
  <c r="F510" i="1"/>
  <c r="H509" i="1"/>
  <c r="F509" i="1"/>
  <c r="H508" i="1"/>
  <c r="F508" i="1"/>
  <c r="H507" i="1"/>
  <c r="F507" i="1"/>
  <c r="H506" i="1"/>
  <c r="F506" i="1"/>
  <c r="H505" i="1"/>
  <c r="F505" i="1"/>
  <c r="H504" i="1"/>
  <c r="F504" i="1"/>
  <c r="H503" i="1"/>
  <c r="F503" i="1"/>
  <c r="H502" i="1"/>
  <c r="F502" i="1"/>
  <c r="H501" i="1"/>
  <c r="F501" i="1"/>
  <c r="H500" i="1"/>
  <c r="F500" i="1"/>
  <c r="H499" i="1"/>
  <c r="F499" i="1"/>
  <c r="H498" i="1"/>
  <c r="F498" i="1"/>
  <c r="H496" i="1"/>
  <c r="F496" i="1"/>
  <c r="H495" i="1"/>
  <c r="F495" i="1"/>
  <c r="H494" i="1"/>
  <c r="F494" i="1"/>
  <c r="H493" i="1"/>
  <c r="F493" i="1"/>
  <c r="H492" i="1"/>
  <c r="F492" i="1"/>
  <c r="H491" i="1"/>
  <c r="F491" i="1"/>
  <c r="H490" i="1"/>
  <c r="F490" i="1"/>
  <c r="H489" i="1"/>
  <c r="F489" i="1"/>
  <c r="H488" i="1"/>
  <c r="F488" i="1"/>
  <c r="H487" i="1"/>
  <c r="F487" i="1"/>
  <c r="H486" i="1"/>
  <c r="F486" i="1"/>
  <c r="H485" i="1"/>
  <c r="F485" i="1"/>
  <c r="H484" i="1"/>
  <c r="F484" i="1"/>
  <c r="H483" i="1"/>
  <c r="F483" i="1"/>
  <c r="H482" i="1"/>
  <c r="F482" i="1"/>
  <c r="H481" i="1"/>
  <c r="F481" i="1"/>
  <c r="H480" i="1"/>
  <c r="F480" i="1"/>
  <c r="H479" i="1"/>
  <c r="F479" i="1"/>
  <c r="H478" i="1"/>
  <c r="F478" i="1"/>
  <c r="H477" i="1"/>
  <c r="F477" i="1"/>
  <c r="H476" i="1"/>
  <c r="F476" i="1"/>
  <c r="H475" i="1"/>
  <c r="F475" i="1"/>
  <c r="H474" i="1"/>
  <c r="F474" i="1"/>
  <c r="H473" i="1"/>
  <c r="F473" i="1"/>
  <c r="H472" i="1"/>
  <c r="F472" i="1"/>
  <c r="H471" i="1"/>
  <c r="F471" i="1"/>
  <c r="H469" i="1"/>
  <c r="F469" i="1"/>
  <c r="H468" i="1"/>
  <c r="F468" i="1"/>
  <c r="H467" i="1"/>
  <c r="F467" i="1"/>
  <c r="H466" i="1"/>
  <c r="F466" i="1"/>
  <c r="H465" i="1"/>
  <c r="F465" i="1"/>
  <c r="H464" i="1"/>
  <c r="F464" i="1"/>
  <c r="H463" i="1"/>
  <c r="F463" i="1"/>
  <c r="H462" i="1"/>
  <c r="F462" i="1"/>
  <c r="H461" i="1"/>
  <c r="F461" i="1"/>
  <c r="H460" i="1"/>
  <c r="F460" i="1"/>
  <c r="H459" i="1"/>
  <c r="F459" i="1"/>
  <c r="H458" i="1"/>
  <c r="F458" i="1"/>
  <c r="H457" i="1"/>
  <c r="F457" i="1"/>
  <c r="H456" i="1"/>
  <c r="F456" i="1"/>
  <c r="H455" i="1"/>
  <c r="F455" i="1"/>
  <c r="H454" i="1"/>
  <c r="F454" i="1"/>
  <c r="H453" i="1"/>
  <c r="F453" i="1"/>
  <c r="H452" i="1"/>
  <c r="F452" i="1"/>
  <c r="H451" i="1"/>
  <c r="F451" i="1"/>
  <c r="H450" i="1"/>
  <c r="F450" i="1"/>
  <c r="H449" i="1"/>
  <c r="F449" i="1"/>
  <c r="H448" i="1"/>
  <c r="F448" i="1"/>
  <c r="H447" i="1"/>
  <c r="F447" i="1"/>
  <c r="H446" i="1"/>
  <c r="F446" i="1"/>
  <c r="H445" i="1"/>
  <c r="F445" i="1"/>
  <c r="H444" i="1"/>
  <c r="F444" i="1"/>
  <c r="H443" i="1"/>
  <c r="F443" i="1"/>
  <c r="H442" i="1"/>
  <c r="F442" i="1"/>
  <c r="H441" i="1"/>
  <c r="F441" i="1"/>
  <c r="H440" i="1"/>
  <c r="F440" i="1"/>
  <c r="H439" i="1"/>
  <c r="F439" i="1"/>
  <c r="H438" i="1"/>
  <c r="F438" i="1"/>
  <c r="H437" i="1"/>
  <c r="F437" i="1"/>
  <c r="H436" i="1"/>
  <c r="F436" i="1"/>
  <c r="H435" i="1"/>
  <c r="F435" i="1"/>
  <c r="H434" i="1"/>
  <c r="F434" i="1"/>
  <c r="H433" i="1"/>
  <c r="F433" i="1"/>
  <c r="H432" i="1"/>
  <c r="F432" i="1"/>
  <c r="H431" i="1"/>
  <c r="F431" i="1"/>
  <c r="H430" i="1"/>
  <c r="F430" i="1"/>
  <c r="H429" i="1"/>
  <c r="F429" i="1"/>
  <c r="H427" i="1"/>
  <c r="F427" i="1"/>
  <c r="H426" i="1"/>
  <c r="F426" i="1"/>
  <c r="H425" i="1"/>
  <c r="F425" i="1"/>
  <c r="H424" i="1"/>
  <c r="F424" i="1"/>
  <c r="H423" i="1"/>
  <c r="F423" i="1"/>
  <c r="H422" i="1"/>
  <c r="F422" i="1"/>
  <c r="H421" i="1"/>
  <c r="F421" i="1"/>
  <c r="H420" i="1"/>
  <c r="F420" i="1"/>
  <c r="H419" i="1"/>
  <c r="F419" i="1"/>
  <c r="H418" i="1"/>
  <c r="F418" i="1"/>
  <c r="H417" i="1"/>
  <c r="F417" i="1"/>
  <c r="H415" i="1"/>
  <c r="F415" i="1"/>
  <c r="H414" i="1"/>
  <c r="F414" i="1"/>
  <c r="H413" i="1"/>
  <c r="F413" i="1"/>
  <c r="H412" i="1"/>
  <c r="F412" i="1"/>
  <c r="H411" i="1"/>
  <c r="F411" i="1"/>
  <c r="H410" i="1"/>
  <c r="F410" i="1"/>
  <c r="H409" i="1"/>
  <c r="F409" i="1"/>
  <c r="H408" i="1"/>
  <c r="F408" i="1"/>
  <c r="H407" i="1"/>
  <c r="F407" i="1"/>
  <c r="H406" i="1"/>
  <c r="F406" i="1"/>
  <c r="H405" i="1"/>
  <c r="F405" i="1"/>
  <c r="H404" i="1"/>
  <c r="F404" i="1"/>
  <c r="H403" i="1"/>
  <c r="F403" i="1"/>
  <c r="H402" i="1"/>
  <c r="F402" i="1"/>
  <c r="H401" i="1"/>
  <c r="F401" i="1"/>
  <c r="H400" i="1"/>
  <c r="F400" i="1"/>
  <c r="H399" i="1"/>
  <c r="F399" i="1"/>
  <c r="H398" i="1"/>
  <c r="F398" i="1"/>
  <c r="H397" i="1"/>
  <c r="F397" i="1"/>
  <c r="H395" i="1"/>
  <c r="F395" i="1"/>
  <c r="H394" i="1"/>
  <c r="F394" i="1"/>
  <c r="H393" i="1"/>
  <c r="F393" i="1"/>
  <c r="H392" i="1"/>
  <c r="F392" i="1"/>
  <c r="H391" i="1"/>
  <c r="F391" i="1"/>
  <c r="H389" i="1"/>
  <c r="F389" i="1"/>
  <c r="H388" i="1"/>
  <c r="F388" i="1"/>
  <c r="H387" i="1"/>
  <c r="F387" i="1"/>
  <c r="H386" i="1"/>
  <c r="F386" i="1"/>
  <c r="H385" i="1"/>
  <c r="F385" i="1"/>
  <c r="H384" i="1"/>
  <c r="F384" i="1"/>
  <c r="H383" i="1"/>
  <c r="F383" i="1"/>
  <c r="H382" i="1"/>
  <c r="F382" i="1"/>
  <c r="H381" i="1"/>
  <c r="F381" i="1"/>
  <c r="H380" i="1"/>
  <c r="F380" i="1"/>
  <c r="H378" i="1"/>
  <c r="F378" i="1"/>
  <c r="H377" i="1"/>
  <c r="F377" i="1"/>
  <c r="H376" i="1"/>
  <c r="F376" i="1"/>
  <c r="H375" i="1"/>
  <c r="F375" i="1"/>
  <c r="H374" i="1"/>
  <c r="F374" i="1"/>
  <c r="H373" i="1"/>
  <c r="F373" i="1"/>
  <c r="H372" i="1"/>
  <c r="F372" i="1"/>
  <c r="H371" i="1"/>
  <c r="F371" i="1"/>
  <c r="H370" i="1"/>
  <c r="F370" i="1"/>
  <c r="H369" i="1"/>
  <c r="F369" i="1"/>
  <c r="H368" i="1"/>
  <c r="F368" i="1"/>
  <c r="H367" i="1"/>
  <c r="F367" i="1"/>
  <c r="H366" i="1"/>
  <c r="F366" i="1"/>
  <c r="H365" i="1"/>
  <c r="F365" i="1"/>
  <c r="H364" i="1"/>
  <c r="F364" i="1"/>
  <c r="H363" i="1"/>
  <c r="F363" i="1"/>
  <c r="H362" i="1"/>
  <c r="F362" i="1"/>
  <c r="H361" i="1"/>
  <c r="F361" i="1"/>
  <c r="H360" i="1"/>
  <c r="F360" i="1"/>
  <c r="H359" i="1"/>
  <c r="F359" i="1"/>
  <c r="H358" i="1"/>
  <c r="F358" i="1"/>
  <c r="H357" i="1"/>
  <c r="F357" i="1"/>
  <c r="H356" i="1"/>
  <c r="F356" i="1"/>
  <c r="H355" i="1"/>
  <c r="F355" i="1"/>
  <c r="H354" i="1"/>
  <c r="F354" i="1"/>
  <c r="H353" i="1"/>
  <c r="F353" i="1"/>
  <c r="H352" i="1"/>
  <c r="F352" i="1"/>
  <c r="H351" i="1"/>
  <c r="F351" i="1"/>
  <c r="H350" i="1"/>
  <c r="F350" i="1"/>
  <c r="H349" i="1"/>
  <c r="F349" i="1"/>
  <c r="H348" i="1"/>
  <c r="F348" i="1"/>
  <c r="H347" i="1"/>
  <c r="F347" i="1"/>
  <c r="H346" i="1"/>
  <c r="F346" i="1"/>
  <c r="H345" i="1"/>
  <c r="F345" i="1"/>
  <c r="H344" i="1"/>
  <c r="F344" i="1"/>
  <c r="H343" i="1"/>
  <c r="F343" i="1"/>
  <c r="H342" i="1"/>
  <c r="F342" i="1"/>
  <c r="H341" i="1"/>
  <c r="F341" i="1"/>
  <c r="H340" i="1"/>
  <c r="F340" i="1"/>
  <c r="H339" i="1"/>
  <c r="F339" i="1"/>
  <c r="H338" i="1"/>
  <c r="F338" i="1"/>
  <c r="H337" i="1"/>
  <c r="F337" i="1"/>
  <c r="H336" i="1"/>
  <c r="F336" i="1"/>
  <c r="H335" i="1"/>
  <c r="F335" i="1"/>
  <c r="H334" i="1"/>
  <c r="F334" i="1"/>
  <c r="H333" i="1"/>
  <c r="F333" i="1"/>
  <c r="H332" i="1"/>
  <c r="F332" i="1"/>
  <c r="H331" i="1"/>
  <c r="F331" i="1"/>
  <c r="H330" i="1"/>
  <c r="F330" i="1"/>
  <c r="H329" i="1"/>
  <c r="F329" i="1"/>
  <c r="H328" i="1"/>
  <c r="F328" i="1"/>
  <c r="H327" i="1"/>
  <c r="F327" i="1"/>
  <c r="H326" i="1"/>
  <c r="F326" i="1"/>
  <c r="H325" i="1"/>
  <c r="F325" i="1"/>
  <c r="H324" i="1"/>
  <c r="F324" i="1"/>
  <c r="H323" i="1"/>
  <c r="F323" i="1"/>
  <c r="H322" i="1"/>
  <c r="F322" i="1"/>
  <c r="H321" i="1"/>
  <c r="F321" i="1"/>
  <c r="H320" i="1"/>
  <c r="F320" i="1"/>
  <c r="H319" i="1"/>
  <c r="F319" i="1"/>
  <c r="H318" i="1"/>
  <c r="F318" i="1"/>
  <c r="H317" i="1"/>
  <c r="F317" i="1"/>
  <c r="H316" i="1"/>
  <c r="F316" i="1"/>
  <c r="H315" i="1"/>
  <c r="F315" i="1"/>
  <c r="H314" i="1"/>
  <c r="F314" i="1"/>
  <c r="H313" i="1"/>
  <c r="F313" i="1"/>
  <c r="H312" i="1"/>
  <c r="F312" i="1"/>
  <c r="H310" i="1"/>
  <c r="F310" i="1"/>
  <c r="H309" i="1"/>
  <c r="F309" i="1"/>
  <c r="H308" i="1"/>
  <c r="F308" i="1"/>
  <c r="H307" i="1"/>
  <c r="F307" i="1"/>
  <c r="H306" i="1"/>
  <c r="F306" i="1"/>
  <c r="H305" i="1"/>
  <c r="F305" i="1"/>
  <c r="H304" i="1"/>
  <c r="F304" i="1"/>
  <c r="H303" i="1"/>
  <c r="F303" i="1"/>
  <c r="H302" i="1"/>
  <c r="F302" i="1"/>
  <c r="H301" i="1"/>
  <c r="F301" i="1"/>
  <c r="H300" i="1"/>
  <c r="F300" i="1"/>
  <c r="H299" i="1"/>
  <c r="F299" i="1"/>
  <c r="H298" i="1"/>
  <c r="F298" i="1"/>
  <c r="H297" i="1"/>
  <c r="F297" i="1"/>
  <c r="H296" i="1"/>
  <c r="F296" i="1"/>
  <c r="H294" i="1"/>
  <c r="F294" i="1"/>
  <c r="H293" i="1"/>
  <c r="F293" i="1"/>
  <c r="H292" i="1"/>
  <c r="F292" i="1"/>
  <c r="H291" i="1"/>
  <c r="F291" i="1"/>
  <c r="H290" i="1"/>
  <c r="F290" i="1"/>
  <c r="H289" i="1"/>
  <c r="F289" i="1"/>
  <c r="H288" i="1"/>
  <c r="F288" i="1"/>
  <c r="H286" i="1"/>
  <c r="F286" i="1"/>
  <c r="H285" i="1"/>
  <c r="F285" i="1"/>
  <c r="H284" i="1"/>
  <c r="F284" i="1"/>
  <c r="H283" i="1"/>
  <c r="F283" i="1"/>
  <c r="H282" i="1"/>
  <c r="F282" i="1"/>
  <c r="H281" i="1"/>
  <c r="F281" i="1"/>
  <c r="H280" i="1"/>
  <c r="F280" i="1"/>
  <c r="H279" i="1"/>
  <c r="F279" i="1"/>
  <c r="H278" i="1"/>
  <c r="F278" i="1"/>
  <c r="H277" i="1"/>
  <c r="F277" i="1"/>
  <c r="H276" i="1"/>
  <c r="F276" i="1"/>
  <c r="H275" i="1"/>
  <c r="F275" i="1"/>
  <c r="H274" i="1"/>
  <c r="F274" i="1"/>
  <c r="H273" i="1"/>
  <c r="F273" i="1"/>
  <c r="H272" i="1"/>
  <c r="F272" i="1"/>
  <c r="H271" i="1"/>
  <c r="F271" i="1"/>
  <c r="H270" i="1"/>
  <c r="F270" i="1"/>
  <c r="H269" i="1"/>
  <c r="F269" i="1"/>
  <c r="H268" i="1"/>
  <c r="F268" i="1"/>
  <c r="H267" i="1"/>
  <c r="F267" i="1"/>
  <c r="H266" i="1"/>
  <c r="F266" i="1"/>
  <c r="H265" i="1"/>
  <c r="F265" i="1"/>
  <c r="H264" i="1"/>
  <c r="F264" i="1"/>
  <c r="H263" i="1"/>
  <c r="F263" i="1"/>
  <c r="H262" i="1"/>
  <c r="F262" i="1"/>
  <c r="H261" i="1"/>
  <c r="F261" i="1"/>
  <c r="H259" i="1"/>
  <c r="F259" i="1"/>
  <c r="H258" i="1"/>
  <c r="F258" i="1"/>
  <c r="H257" i="1"/>
  <c r="F257" i="1"/>
  <c r="H256" i="1"/>
  <c r="F256" i="1"/>
  <c r="H255" i="1"/>
  <c r="F255" i="1"/>
  <c r="H254" i="1"/>
  <c r="F254" i="1"/>
  <c r="H253" i="1"/>
  <c r="F253" i="1"/>
  <c r="H252" i="1"/>
  <c r="F252" i="1"/>
  <c r="H251" i="1"/>
  <c r="F251" i="1"/>
  <c r="H250" i="1"/>
  <c r="F250" i="1"/>
  <c r="H249" i="1"/>
  <c r="F249" i="1"/>
  <c r="H248" i="1"/>
  <c r="F248" i="1"/>
  <c r="H247" i="1"/>
  <c r="F247" i="1"/>
  <c r="H246" i="1"/>
  <c r="F246" i="1"/>
  <c r="H245" i="1"/>
  <c r="F245" i="1"/>
  <c r="H244" i="1"/>
  <c r="F244" i="1"/>
  <c r="H243" i="1"/>
  <c r="F243" i="1"/>
  <c r="H242" i="1"/>
  <c r="F242" i="1"/>
  <c r="H241" i="1"/>
  <c r="F241" i="1"/>
  <c r="H239" i="1"/>
  <c r="F239" i="1"/>
  <c r="H238" i="1"/>
  <c r="F238" i="1"/>
  <c r="H237" i="1"/>
  <c r="F237" i="1"/>
  <c r="H236" i="1"/>
  <c r="F236" i="1"/>
  <c r="H235" i="1"/>
  <c r="F235" i="1"/>
  <c r="H234" i="1"/>
  <c r="F234" i="1"/>
  <c r="H233" i="1"/>
  <c r="F233" i="1"/>
  <c r="H231" i="1"/>
  <c r="F231" i="1"/>
  <c r="H230" i="1"/>
  <c r="F230" i="1"/>
  <c r="H229" i="1"/>
  <c r="F229" i="1"/>
  <c r="H228" i="1"/>
  <c r="F228" i="1"/>
  <c r="H225" i="1"/>
  <c r="F225" i="1"/>
  <c r="H224" i="1"/>
  <c r="F224" i="1"/>
  <c r="H223" i="1"/>
  <c r="F223" i="1"/>
  <c r="H221" i="1"/>
  <c r="F221" i="1"/>
  <c r="H219" i="1"/>
  <c r="F219" i="1"/>
  <c r="H217" i="1"/>
  <c r="F217" i="1"/>
  <c r="H216" i="1"/>
  <c r="F216" i="1"/>
  <c r="H215" i="1"/>
  <c r="F215" i="1"/>
  <c r="H214" i="1"/>
  <c r="F214" i="1"/>
  <c r="H213" i="1"/>
  <c r="F213" i="1"/>
  <c r="H212" i="1"/>
  <c r="F212" i="1"/>
  <c r="H211" i="1"/>
  <c r="F211" i="1"/>
  <c r="H210" i="1"/>
  <c r="F210" i="1"/>
  <c r="H209" i="1"/>
  <c r="F209" i="1"/>
  <c r="H207" i="1"/>
  <c r="F207" i="1"/>
  <c r="H205" i="1"/>
  <c r="F205" i="1"/>
  <c r="H204" i="1"/>
  <c r="F204" i="1"/>
  <c r="H202" i="1"/>
  <c r="F202" i="1"/>
  <c r="H201" i="1"/>
  <c r="F201" i="1"/>
  <c r="H199" i="1"/>
  <c r="F199" i="1"/>
  <c r="H198" i="1"/>
  <c r="F198" i="1"/>
  <c r="H196" i="1"/>
  <c r="F196" i="1"/>
  <c r="H195" i="1"/>
  <c r="F195" i="1"/>
  <c r="H193" i="1"/>
  <c r="F193" i="1"/>
  <c r="H191" i="1"/>
  <c r="F191" i="1"/>
  <c r="H190" i="1"/>
  <c r="F190" i="1"/>
  <c r="H189" i="1"/>
  <c r="F189" i="1"/>
  <c r="H188" i="1"/>
  <c r="F188" i="1"/>
  <c r="H187" i="1"/>
  <c r="F187" i="1"/>
  <c r="H186" i="1"/>
  <c r="F186" i="1"/>
  <c r="H185" i="1"/>
  <c r="F185" i="1"/>
  <c r="H183" i="1"/>
  <c r="F183" i="1"/>
  <c r="H181" i="1"/>
  <c r="F181" i="1"/>
  <c r="H179" i="1"/>
  <c r="F179" i="1"/>
  <c r="H178" i="1"/>
  <c r="F178" i="1"/>
  <c r="H177" i="1"/>
  <c r="F177" i="1"/>
  <c r="H176" i="1"/>
  <c r="F176" i="1"/>
  <c r="H175" i="1"/>
  <c r="F175" i="1"/>
  <c r="H174" i="1"/>
  <c r="F174" i="1"/>
  <c r="H173" i="1"/>
  <c r="F173" i="1"/>
  <c r="H172" i="1"/>
  <c r="F172" i="1"/>
  <c r="H171" i="1"/>
  <c r="F171" i="1"/>
  <c r="H170" i="1"/>
  <c r="F170" i="1"/>
  <c r="H169" i="1"/>
  <c r="F169" i="1"/>
  <c r="H168" i="1"/>
  <c r="F168" i="1"/>
  <c r="H167" i="1"/>
  <c r="F167" i="1"/>
  <c r="H166" i="1"/>
  <c r="F166" i="1"/>
  <c r="H165" i="1"/>
  <c r="F165" i="1"/>
  <c r="H164" i="1"/>
  <c r="F164" i="1"/>
  <c r="H163" i="1"/>
  <c r="F163" i="1"/>
  <c r="H162" i="1"/>
  <c r="F162" i="1"/>
  <c r="H161" i="1"/>
  <c r="F161" i="1"/>
  <c r="H160" i="1"/>
  <c r="F160" i="1"/>
  <c r="H159" i="1"/>
  <c r="F159" i="1"/>
  <c r="H158" i="1"/>
  <c r="F158" i="1"/>
  <c r="H156" i="1"/>
  <c r="F156" i="1"/>
  <c r="H155" i="1"/>
  <c r="F155" i="1"/>
  <c r="H154" i="1"/>
  <c r="F154" i="1"/>
  <c r="H153" i="1"/>
  <c r="F153" i="1"/>
  <c r="H152" i="1"/>
  <c r="F152" i="1"/>
  <c r="H151" i="1"/>
  <c r="F151" i="1"/>
  <c r="H150" i="1"/>
  <c r="F150" i="1"/>
  <c r="H149" i="1"/>
  <c r="F149" i="1"/>
  <c r="H148" i="1"/>
  <c r="F148" i="1"/>
  <c r="H146" i="1"/>
  <c r="F146" i="1"/>
  <c r="H144" i="1"/>
  <c r="F144" i="1"/>
  <c r="H143" i="1"/>
  <c r="F143" i="1"/>
  <c r="H142" i="1"/>
  <c r="F142" i="1"/>
  <c r="H141" i="1"/>
  <c r="F141" i="1"/>
  <c r="H140" i="1"/>
  <c r="F140" i="1"/>
  <c r="H139" i="1"/>
  <c r="F139" i="1"/>
  <c r="H138" i="1"/>
  <c r="F138" i="1"/>
  <c r="H137" i="1"/>
  <c r="F137" i="1"/>
  <c r="H136" i="1"/>
  <c r="F136" i="1"/>
  <c r="H135" i="1"/>
  <c r="F135" i="1"/>
  <c r="H134" i="1"/>
  <c r="F134" i="1"/>
  <c r="H133" i="1"/>
  <c r="F133" i="1"/>
  <c r="H132" i="1"/>
  <c r="F132" i="1"/>
  <c r="H131" i="1"/>
  <c r="F131" i="1"/>
  <c r="H130" i="1"/>
  <c r="F130" i="1"/>
  <c r="H129" i="1"/>
  <c r="F129" i="1"/>
  <c r="H128" i="1"/>
  <c r="F128" i="1"/>
  <c r="H127" i="1"/>
  <c r="F127" i="1"/>
  <c r="H126" i="1"/>
  <c r="F126" i="1"/>
  <c r="H125" i="1"/>
  <c r="F125" i="1"/>
  <c r="H122" i="1"/>
  <c r="F122" i="1"/>
  <c r="H121" i="1"/>
  <c r="F121" i="1"/>
  <c r="H120" i="1"/>
  <c r="F120" i="1"/>
  <c r="H119" i="1"/>
  <c r="F119" i="1"/>
  <c r="H118" i="1"/>
  <c r="F118" i="1"/>
  <c r="H117" i="1"/>
  <c r="F117" i="1"/>
  <c r="H116" i="1"/>
  <c r="F116" i="1"/>
  <c r="H115" i="1"/>
  <c r="F115" i="1"/>
  <c r="H114" i="1"/>
  <c r="F114" i="1"/>
  <c r="H113" i="1"/>
  <c r="F113" i="1"/>
  <c r="H112" i="1"/>
  <c r="F112" i="1"/>
  <c r="H111" i="1"/>
  <c r="F111" i="1"/>
  <c r="H110" i="1"/>
  <c r="F110" i="1"/>
  <c r="H109" i="1"/>
  <c r="F109" i="1"/>
  <c r="H108" i="1"/>
  <c r="F108" i="1"/>
  <c r="H107" i="1"/>
  <c r="F107" i="1"/>
  <c r="H106" i="1"/>
  <c r="F106" i="1"/>
  <c r="H105" i="1"/>
  <c r="F105" i="1"/>
  <c r="H104" i="1"/>
  <c r="F104" i="1"/>
  <c r="H103" i="1"/>
  <c r="F103" i="1"/>
  <c r="H102" i="1"/>
  <c r="F102" i="1"/>
  <c r="H101" i="1"/>
  <c r="F101" i="1"/>
  <c r="H100" i="1"/>
  <c r="F100" i="1"/>
  <c r="H99" i="1"/>
  <c r="F99" i="1"/>
  <c r="H98" i="1"/>
  <c r="F98" i="1"/>
  <c r="H97" i="1"/>
  <c r="F97" i="1"/>
  <c r="H96" i="1"/>
  <c r="F96" i="1"/>
  <c r="H95" i="1"/>
  <c r="F95" i="1"/>
  <c r="H94" i="1"/>
  <c r="F94" i="1"/>
  <c r="H93" i="1"/>
  <c r="F93" i="1"/>
  <c r="H92" i="1"/>
  <c r="F92" i="1"/>
  <c r="H91" i="1"/>
  <c r="F91" i="1"/>
  <c r="H90" i="1"/>
  <c r="F90" i="1"/>
  <c r="H89" i="1"/>
  <c r="F89" i="1"/>
  <c r="H88" i="1"/>
  <c r="F88" i="1"/>
  <c r="H86" i="1"/>
  <c r="F86" i="1"/>
  <c r="H85" i="1"/>
  <c r="F85" i="1"/>
  <c r="H84" i="1"/>
  <c r="F84" i="1"/>
  <c r="H83" i="1"/>
  <c r="F83" i="1"/>
  <c r="H80" i="1"/>
  <c r="F80" i="1"/>
  <c r="H78" i="1"/>
  <c r="F78" i="1"/>
  <c r="H77" i="1"/>
  <c r="F77" i="1"/>
  <c r="H76" i="1"/>
  <c r="F76" i="1"/>
  <c r="H75" i="1"/>
  <c r="F75" i="1"/>
  <c r="H74" i="1"/>
  <c r="F74" i="1"/>
  <c r="H73" i="1"/>
  <c r="F73" i="1"/>
  <c r="H72" i="1"/>
  <c r="F72" i="1"/>
  <c r="H69" i="1"/>
  <c r="F69" i="1"/>
  <c r="H67" i="1"/>
  <c r="F67" i="1"/>
  <c r="H65" i="1"/>
  <c r="F65" i="1"/>
  <c r="H63" i="1"/>
  <c r="F63" i="1"/>
  <c r="H61" i="1"/>
  <c r="F61" i="1"/>
  <c r="H59" i="1"/>
  <c r="F59" i="1"/>
  <c r="H57" i="1"/>
  <c r="F57" i="1"/>
  <c r="H55" i="1"/>
  <c r="F55" i="1"/>
  <c r="H53" i="1"/>
  <c r="F53" i="1"/>
  <c r="H51" i="1"/>
  <c r="F51" i="1"/>
  <c r="H49" i="1"/>
  <c r="F49" i="1"/>
  <c r="H47" i="1"/>
  <c r="F47" i="1"/>
  <c r="H45" i="1"/>
  <c r="F45" i="1"/>
  <c r="H43" i="1"/>
  <c r="F43" i="1"/>
  <c r="H42" i="1"/>
  <c r="F42" i="1"/>
  <c r="H41" i="1"/>
  <c r="F41" i="1"/>
  <c r="H39" i="1"/>
  <c r="F39" i="1"/>
  <c r="H38" i="1"/>
  <c r="F38" i="1"/>
  <c r="H36" i="1"/>
  <c r="F36" i="1"/>
  <c r="H35" i="1"/>
  <c r="F35" i="1"/>
  <c r="H33" i="1"/>
  <c r="F33" i="1"/>
  <c r="H31" i="1"/>
  <c r="F31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19" i="1"/>
  <c r="F19" i="1"/>
  <c r="H18" i="1"/>
  <c r="F18" i="1"/>
  <c r="H16" i="1"/>
  <c r="F16" i="1"/>
  <c r="H15" i="1"/>
  <c r="F15" i="1"/>
  <c r="H13" i="1"/>
  <c r="F13" i="1"/>
  <c r="H12" i="1"/>
  <c r="F12" i="1"/>
  <c r="K2253" i="1" l="1"/>
  <c r="I2253" i="1"/>
  <c r="G2253" i="1" s="1"/>
  <c r="K2127" i="1"/>
  <c r="I2127" i="1"/>
  <c r="G2127" i="1" s="1"/>
  <c r="K1938" i="1"/>
  <c r="I1938" i="1"/>
  <c r="G1938" i="1" s="1"/>
  <c r="I1890" i="1"/>
  <c r="K1890" i="1"/>
  <c r="G1890" i="1" s="1"/>
  <c r="I1639" i="1"/>
  <c r="K1639" i="1"/>
  <c r="G1639" i="1" s="1"/>
  <c r="I1543" i="1"/>
  <c r="K1543" i="1"/>
  <c r="K1315" i="1"/>
  <c r="I1315" i="1"/>
  <c r="G1315" i="1" s="1"/>
  <c r="I1311" i="1"/>
  <c r="K1311" i="1"/>
  <c r="G1311" i="1" s="1"/>
  <c r="K1076" i="1"/>
  <c r="I1076" i="1"/>
  <c r="G1076" i="1" s="1"/>
  <c r="K957" i="1"/>
  <c r="I957" i="1"/>
  <c r="G957" i="1" s="1"/>
  <c r="K842" i="1"/>
  <c r="I842" i="1"/>
  <c r="G842" i="1" s="1"/>
  <c r="I733" i="1"/>
  <c r="K733" i="1"/>
  <c r="G733" i="1" s="1"/>
  <c r="I683" i="1"/>
  <c r="K683" i="1"/>
  <c r="G683" i="1" s="1"/>
  <c r="K677" i="1"/>
  <c r="I677" i="1"/>
  <c r="G677" i="1" s="1"/>
  <c r="I649" i="1"/>
  <c r="K649" i="1"/>
  <c r="G649" i="1" s="1"/>
  <c r="K507" i="1"/>
  <c r="I507" i="1"/>
  <c r="G507" i="1" s="1"/>
  <c r="I151" i="1"/>
  <c r="K151" i="1"/>
  <c r="G151" i="1" s="1"/>
  <c r="K2370" i="1"/>
  <c r="I2370" i="1"/>
  <c r="G2370" i="1" s="1"/>
  <c r="K2369" i="1"/>
  <c r="I2369" i="1"/>
  <c r="G2369" i="1" s="1"/>
  <c r="K2368" i="1"/>
  <c r="I2368" i="1"/>
  <c r="G2368" i="1" s="1"/>
  <c r="I2367" i="1"/>
  <c r="K2367" i="1"/>
  <c r="K2366" i="1"/>
  <c r="I2366" i="1"/>
  <c r="G2366" i="1" s="1"/>
  <c r="K2365" i="1"/>
  <c r="I2365" i="1"/>
  <c r="G2365" i="1" s="1"/>
  <c r="K2364" i="1"/>
  <c r="I2364" i="1"/>
  <c r="G2364" i="1" s="1"/>
  <c r="I2363" i="1"/>
  <c r="K2363" i="1"/>
  <c r="K2362" i="1"/>
  <c r="I2362" i="1"/>
  <c r="G2362" i="1" s="1"/>
  <c r="I2361" i="1"/>
  <c r="K2361" i="1"/>
  <c r="K2360" i="1"/>
  <c r="I2360" i="1"/>
  <c r="G2360" i="1" s="1"/>
  <c r="K2359" i="1"/>
  <c r="I2359" i="1"/>
  <c r="G2359" i="1" s="1"/>
  <c r="K2358" i="1"/>
  <c r="I2358" i="1"/>
  <c r="G2358" i="1" s="1"/>
  <c r="K2357" i="1"/>
  <c r="I2357" i="1"/>
  <c r="G2357" i="1" s="1"/>
  <c r="K2356" i="1"/>
  <c r="I2356" i="1"/>
  <c r="G2356" i="1" s="1"/>
  <c r="K2355" i="1"/>
  <c r="I2355" i="1"/>
  <c r="G2355" i="1" s="1"/>
  <c r="K2354" i="1"/>
  <c r="I2354" i="1"/>
  <c r="G2354" i="1" s="1"/>
  <c r="K2353" i="1"/>
  <c r="I2353" i="1"/>
  <c r="G2353" i="1" s="1"/>
  <c r="I2352" i="1"/>
  <c r="K2352" i="1"/>
  <c r="K2351" i="1"/>
  <c r="I2351" i="1"/>
  <c r="G2351" i="1" s="1"/>
  <c r="I2350" i="1"/>
  <c r="K2350" i="1"/>
  <c r="K2348" i="1"/>
  <c r="I2348" i="1"/>
  <c r="G2348" i="1" s="1"/>
  <c r="K2347" i="1"/>
  <c r="I2347" i="1"/>
  <c r="G2347" i="1" s="1"/>
  <c r="K2346" i="1"/>
  <c r="I2346" i="1"/>
  <c r="G2346" i="1" s="1"/>
  <c r="I2344" i="1"/>
  <c r="K2344" i="1"/>
  <c r="K2343" i="1"/>
  <c r="I2343" i="1"/>
  <c r="G2343" i="1" s="1"/>
  <c r="K2341" i="1"/>
  <c r="I2341" i="1"/>
  <c r="G2341" i="1" s="1"/>
  <c r="K2340" i="1"/>
  <c r="I2340" i="1"/>
  <c r="G2340" i="1" s="1"/>
  <c r="I2339" i="1"/>
  <c r="K2339" i="1"/>
  <c r="K2338" i="1"/>
  <c r="I2338" i="1"/>
  <c r="G2338" i="1" s="1"/>
  <c r="I2337" i="1"/>
  <c r="K2337" i="1"/>
  <c r="K2336" i="1"/>
  <c r="I2336" i="1"/>
  <c r="G2336" i="1" s="1"/>
  <c r="K2335" i="1"/>
  <c r="I2335" i="1"/>
  <c r="G2335" i="1" s="1"/>
  <c r="K2334" i="1"/>
  <c r="I2334" i="1"/>
  <c r="G2334" i="1" s="1"/>
  <c r="K2332" i="1"/>
  <c r="I2332" i="1"/>
  <c r="G2332" i="1" s="1"/>
  <c r="K2331" i="1"/>
  <c r="I2331" i="1"/>
  <c r="G2331" i="1" s="1"/>
  <c r="K2330" i="1"/>
  <c r="I2330" i="1"/>
  <c r="G2330" i="1" s="1"/>
  <c r="K2329" i="1"/>
  <c r="I2329" i="1"/>
  <c r="G2329" i="1" s="1"/>
  <c r="K2328" i="1"/>
  <c r="I2328" i="1"/>
  <c r="G2328" i="1" s="1"/>
  <c r="K2327" i="1"/>
  <c r="I2327" i="1"/>
  <c r="G2327" i="1" s="1"/>
  <c r="K2326" i="1"/>
  <c r="I2326" i="1"/>
  <c r="G2326" i="1" s="1"/>
  <c r="K2325" i="1"/>
  <c r="I2325" i="1"/>
  <c r="G2325" i="1" s="1"/>
  <c r="K2323" i="1"/>
  <c r="I2323" i="1"/>
  <c r="G2323" i="1" s="1"/>
  <c r="I2322" i="1"/>
  <c r="K2322" i="1"/>
  <c r="K2321" i="1"/>
  <c r="I2321" i="1"/>
  <c r="G2321" i="1" s="1"/>
  <c r="K2320" i="1"/>
  <c r="I2320" i="1"/>
  <c r="G2320" i="1" s="1"/>
  <c r="K2319" i="1"/>
  <c r="I2319" i="1"/>
  <c r="G2319" i="1" s="1"/>
  <c r="I2318" i="1"/>
  <c r="K2318" i="1"/>
  <c r="K2317" i="1"/>
  <c r="I2317" i="1"/>
  <c r="G2317" i="1" s="1"/>
  <c r="K2316" i="1"/>
  <c r="I2316" i="1"/>
  <c r="G2316" i="1" s="1"/>
  <c r="K2315" i="1"/>
  <c r="I2315" i="1"/>
  <c r="G2315" i="1" s="1"/>
  <c r="I2314" i="1"/>
  <c r="K2314" i="1"/>
  <c r="K2313" i="1"/>
  <c r="I2313" i="1"/>
  <c r="G2313" i="1" s="1"/>
  <c r="I2312" i="1"/>
  <c r="K2312" i="1"/>
  <c r="K2311" i="1"/>
  <c r="I2311" i="1"/>
  <c r="G2311" i="1" s="1"/>
  <c r="K2309" i="1"/>
  <c r="I2309" i="1"/>
  <c r="G2309" i="1" s="1"/>
  <c r="K2308" i="1"/>
  <c r="I2308" i="1"/>
  <c r="G2308" i="1" s="1"/>
  <c r="K2307" i="1"/>
  <c r="I2307" i="1"/>
  <c r="G2307" i="1" s="1"/>
  <c r="K2306" i="1"/>
  <c r="I2306" i="1"/>
  <c r="G2306" i="1" s="1"/>
  <c r="K2305" i="1"/>
  <c r="I2305" i="1"/>
  <c r="G2305" i="1" s="1"/>
  <c r="K2303" i="1"/>
  <c r="I2303" i="1"/>
  <c r="G2303" i="1" s="1"/>
  <c r="K2302" i="1"/>
  <c r="I2302" i="1"/>
  <c r="G2302" i="1" s="1"/>
  <c r="K2300" i="1"/>
  <c r="I2300" i="1"/>
  <c r="G2300" i="1" s="1"/>
  <c r="I2299" i="1"/>
  <c r="K2299" i="1"/>
  <c r="I2298" i="1"/>
  <c r="K2298" i="1"/>
  <c r="I2297" i="1"/>
  <c r="K2297" i="1"/>
  <c r="K2296" i="1"/>
  <c r="I2296" i="1"/>
  <c r="G2296" i="1" s="1"/>
  <c r="K2295" i="1"/>
  <c r="I2295" i="1"/>
  <c r="G2295" i="1" s="1"/>
  <c r="K2294" i="1"/>
  <c r="I2294" i="1"/>
  <c r="G2294" i="1" s="1"/>
  <c r="I2293" i="1"/>
  <c r="K2293" i="1"/>
  <c r="K2292" i="1"/>
  <c r="I2292" i="1"/>
  <c r="G2292" i="1" s="1"/>
  <c r="K2291" i="1"/>
  <c r="I2291" i="1"/>
  <c r="G2291" i="1" s="1"/>
  <c r="K2290" i="1"/>
  <c r="I2290" i="1"/>
  <c r="G2290" i="1" s="1"/>
  <c r="K2289" i="1"/>
  <c r="I2289" i="1"/>
  <c r="G2289" i="1" s="1"/>
  <c r="I2288" i="1"/>
  <c r="K2288" i="1"/>
  <c r="K2287" i="1"/>
  <c r="I2287" i="1"/>
  <c r="G2287" i="1" s="1"/>
  <c r="I2286" i="1"/>
  <c r="K2286" i="1"/>
  <c r="K2285" i="1"/>
  <c r="I2285" i="1"/>
  <c r="G2285" i="1" s="1"/>
  <c r="K2284" i="1"/>
  <c r="I2284" i="1"/>
  <c r="G2284" i="1" s="1"/>
  <c r="K2282" i="1"/>
  <c r="I2282" i="1"/>
  <c r="G2282" i="1" s="1"/>
  <c r="K2281" i="1"/>
  <c r="I2281" i="1"/>
  <c r="G2281" i="1" s="1"/>
  <c r="K2280" i="1"/>
  <c r="I2280" i="1"/>
  <c r="G2280" i="1" s="1"/>
  <c r="K2279" i="1"/>
  <c r="I2279" i="1"/>
  <c r="G2279" i="1" s="1"/>
  <c r="K2278" i="1"/>
  <c r="I2278" i="1"/>
  <c r="G2278" i="1" s="1"/>
  <c r="K2277" i="1"/>
  <c r="I2277" i="1"/>
  <c r="G2277" i="1" s="1"/>
  <c r="K2276" i="1"/>
  <c r="I2276" i="1"/>
  <c r="G2276" i="1" s="1"/>
  <c r="K2275" i="1"/>
  <c r="I2275" i="1"/>
  <c r="G2275" i="1" s="1"/>
  <c r="I2274" i="1"/>
  <c r="K2274" i="1"/>
  <c r="I2273" i="1"/>
  <c r="K2273" i="1"/>
  <c r="I2272" i="1"/>
  <c r="K2272" i="1"/>
  <c r="K2271" i="1"/>
  <c r="I2271" i="1"/>
  <c r="G2271" i="1" s="1"/>
  <c r="K2270" i="1"/>
  <c r="I2270" i="1"/>
  <c r="G2270" i="1" s="1"/>
  <c r="I2269" i="1"/>
  <c r="K2269" i="1"/>
  <c r="K2268" i="1"/>
  <c r="I2268" i="1"/>
  <c r="G2268" i="1" s="1"/>
  <c r="K2267" i="1"/>
  <c r="I2267" i="1"/>
  <c r="G2267" i="1" s="1"/>
  <c r="K2266" i="1"/>
  <c r="I2266" i="1"/>
  <c r="G2266" i="1" s="1"/>
  <c r="K2265" i="1"/>
  <c r="I2265" i="1"/>
  <c r="G2265" i="1" s="1"/>
  <c r="K2263" i="1"/>
  <c r="I2263" i="1"/>
  <c r="G2263" i="1" s="1"/>
  <c r="K2262" i="1"/>
  <c r="I2262" i="1"/>
  <c r="G2262" i="1" s="1"/>
  <c r="K2261" i="1"/>
  <c r="I2261" i="1"/>
  <c r="G2261" i="1" s="1"/>
  <c r="K2260" i="1"/>
  <c r="I2260" i="1"/>
  <c r="G2260" i="1" s="1"/>
  <c r="K2259" i="1"/>
  <c r="I2259" i="1"/>
  <c r="G2259" i="1" s="1"/>
  <c r="K2258" i="1"/>
  <c r="I2258" i="1"/>
  <c r="G2258" i="1" s="1"/>
  <c r="I2257" i="1"/>
  <c r="K2257" i="1"/>
  <c r="K2256" i="1"/>
  <c r="I2256" i="1"/>
  <c r="G2256" i="1" s="1"/>
  <c r="I2255" i="1"/>
  <c r="K2255" i="1"/>
  <c r="K2254" i="1"/>
  <c r="I2254" i="1"/>
  <c r="G2254" i="1" s="1"/>
  <c r="K2252" i="1"/>
  <c r="I2252" i="1"/>
  <c r="G2252" i="1" s="1"/>
  <c r="K2251" i="1"/>
  <c r="I2251" i="1"/>
  <c r="G2251" i="1" s="1"/>
  <c r="K2250" i="1"/>
  <c r="I2250" i="1"/>
  <c r="G2250" i="1" s="1"/>
  <c r="K2249" i="1"/>
  <c r="I2249" i="1"/>
  <c r="G2249" i="1" s="1"/>
  <c r="K2248" i="1"/>
  <c r="I2248" i="1"/>
  <c r="G2248" i="1" s="1"/>
  <c r="K2247" i="1"/>
  <c r="I2247" i="1"/>
  <c r="G2247" i="1" s="1"/>
  <c r="I2245" i="1"/>
  <c r="K2245" i="1"/>
  <c r="I2244" i="1"/>
  <c r="K2244" i="1"/>
  <c r="K2243" i="1"/>
  <c r="I2243" i="1"/>
  <c r="G2243" i="1" s="1"/>
  <c r="I2242" i="1"/>
  <c r="K2242" i="1"/>
  <c r="I2241" i="1"/>
  <c r="K2241" i="1"/>
  <c r="I2240" i="1"/>
  <c r="K2240" i="1"/>
  <c r="I2238" i="1"/>
  <c r="K2238" i="1"/>
  <c r="I2237" i="1"/>
  <c r="K2237" i="1"/>
  <c r="K2236" i="1"/>
  <c r="I2236" i="1"/>
  <c r="G2236" i="1" s="1"/>
  <c r="K2235" i="1"/>
  <c r="I2235" i="1"/>
  <c r="I2234" i="1"/>
  <c r="K2234" i="1"/>
  <c r="K2233" i="1"/>
  <c r="I2233" i="1"/>
  <c r="G2233" i="1" s="1"/>
  <c r="K2231" i="1"/>
  <c r="I2231" i="1"/>
  <c r="G2231" i="1" s="1"/>
  <c r="K2230" i="1"/>
  <c r="I2230" i="1"/>
  <c r="G2230" i="1" s="1"/>
  <c r="K2229" i="1"/>
  <c r="I2229" i="1"/>
  <c r="G2229" i="1" s="1"/>
  <c r="K2228" i="1"/>
  <c r="I2228" i="1"/>
  <c r="G2228" i="1" s="1"/>
  <c r="K2227" i="1"/>
  <c r="I2227" i="1"/>
  <c r="G2227" i="1" s="1"/>
  <c r="I2226" i="1"/>
  <c r="K2226" i="1"/>
  <c r="I2224" i="1"/>
  <c r="K2224" i="1"/>
  <c r="K2223" i="1"/>
  <c r="I2223" i="1"/>
  <c r="K2222" i="1"/>
  <c r="I2222" i="1"/>
  <c r="G2222" i="1" s="1"/>
  <c r="K2221" i="1"/>
  <c r="I2221" i="1"/>
  <c r="G2221" i="1" s="1"/>
  <c r="K2220" i="1"/>
  <c r="I2220" i="1"/>
  <c r="G2220" i="1" s="1"/>
  <c r="K2219" i="1"/>
  <c r="I2219" i="1"/>
  <c r="G2219" i="1" s="1"/>
  <c r="K2217" i="1"/>
  <c r="I2217" i="1"/>
  <c r="G2217" i="1" s="1"/>
  <c r="K2216" i="1"/>
  <c r="I2216" i="1"/>
  <c r="G2216" i="1" s="1"/>
  <c r="K2215" i="1"/>
  <c r="I2215" i="1"/>
  <c r="G2215" i="1" s="1"/>
  <c r="K2214" i="1"/>
  <c r="I2214" i="1"/>
  <c r="G2214" i="1" s="1"/>
  <c r="K2213" i="1"/>
  <c r="I2213" i="1"/>
  <c r="G2213" i="1" s="1"/>
  <c r="I2212" i="1"/>
  <c r="K2212" i="1"/>
  <c r="I2210" i="1"/>
  <c r="K2210" i="1"/>
  <c r="I2209" i="1"/>
  <c r="K2209" i="1"/>
  <c r="I2208" i="1"/>
  <c r="K2208" i="1"/>
  <c r="K2207" i="1"/>
  <c r="I2207" i="1"/>
  <c r="G2207" i="1" s="1"/>
  <c r="K2206" i="1"/>
  <c r="I2206" i="1"/>
  <c r="G2206" i="1" s="1"/>
  <c r="I2205" i="1"/>
  <c r="K2205" i="1"/>
  <c r="I2203" i="1"/>
  <c r="K2203" i="1"/>
  <c r="K2202" i="1"/>
  <c r="I2202" i="1"/>
  <c r="G2202" i="1" s="1"/>
  <c r="K2201" i="1"/>
  <c r="I2201" i="1"/>
  <c r="G2201" i="1" s="1"/>
  <c r="I2200" i="1"/>
  <c r="K2200" i="1"/>
  <c r="K2199" i="1"/>
  <c r="I2199" i="1"/>
  <c r="G2199" i="1" s="1"/>
  <c r="K2198" i="1"/>
  <c r="I2198" i="1"/>
  <c r="G2198" i="1" s="1"/>
  <c r="I2196" i="1"/>
  <c r="K2196" i="1"/>
  <c r="I2195" i="1"/>
  <c r="K2195" i="1"/>
  <c r="I2194" i="1"/>
  <c r="K2194" i="1"/>
  <c r="I2193" i="1"/>
  <c r="K2193" i="1"/>
  <c r="I2192" i="1"/>
  <c r="K2192" i="1"/>
  <c r="I2191" i="1"/>
  <c r="K2191" i="1"/>
  <c r="K2189" i="1"/>
  <c r="I2189" i="1"/>
  <c r="G2189" i="1" s="1"/>
  <c r="K2188" i="1"/>
  <c r="I2188" i="1"/>
  <c r="G2188" i="1" s="1"/>
  <c r="K2187" i="1"/>
  <c r="I2187" i="1"/>
  <c r="G2187" i="1" s="1"/>
  <c r="K2186" i="1"/>
  <c r="I2186" i="1"/>
  <c r="G2186" i="1" s="1"/>
  <c r="I2185" i="1"/>
  <c r="K2185" i="1"/>
  <c r="I2184" i="1"/>
  <c r="K2184" i="1"/>
  <c r="I2182" i="1"/>
  <c r="K2182" i="1"/>
  <c r="K2181" i="1"/>
  <c r="I2181" i="1"/>
  <c r="G2181" i="1" s="1"/>
  <c r="K2180" i="1"/>
  <c r="I2180" i="1"/>
  <c r="G2180" i="1" s="1"/>
  <c r="K2179" i="1"/>
  <c r="I2179" i="1"/>
  <c r="G2179" i="1" s="1"/>
  <c r="K2178" i="1"/>
  <c r="I2178" i="1"/>
  <c r="G2178" i="1" s="1"/>
  <c r="K2177" i="1"/>
  <c r="I2177" i="1"/>
  <c r="G2177" i="1" s="1"/>
  <c r="K2175" i="1"/>
  <c r="I2175" i="1"/>
  <c r="G2175" i="1" s="1"/>
  <c r="K2174" i="1"/>
  <c r="I2174" i="1"/>
  <c r="G2174" i="1" s="1"/>
  <c r="K2173" i="1"/>
  <c r="I2173" i="1"/>
  <c r="G2173" i="1" s="1"/>
  <c r="K2172" i="1"/>
  <c r="I2172" i="1"/>
  <c r="G2172" i="1" s="1"/>
  <c r="K2171" i="1"/>
  <c r="I2171" i="1"/>
  <c r="G2171" i="1" s="1"/>
  <c r="K2170" i="1"/>
  <c r="I2170" i="1"/>
  <c r="G2170" i="1" s="1"/>
  <c r="K2168" i="1"/>
  <c r="I2168" i="1"/>
  <c r="G2168" i="1" s="1"/>
  <c r="K2167" i="1"/>
  <c r="I2167" i="1"/>
  <c r="G2167" i="1" s="1"/>
  <c r="K2166" i="1"/>
  <c r="I2166" i="1"/>
  <c r="G2166" i="1" s="1"/>
  <c r="K2165" i="1"/>
  <c r="I2165" i="1"/>
  <c r="G2165" i="1" s="1"/>
  <c r="K2164" i="1"/>
  <c r="I2164" i="1"/>
  <c r="G2164" i="1" s="1"/>
  <c r="I2163" i="1"/>
  <c r="K2163" i="1"/>
  <c r="K2161" i="1"/>
  <c r="I2161" i="1"/>
  <c r="G2161" i="1" s="1"/>
  <c r="I2160" i="1"/>
  <c r="K2160" i="1"/>
  <c r="I2159" i="1"/>
  <c r="K2159" i="1"/>
  <c r="I2158" i="1"/>
  <c r="K2158" i="1"/>
  <c r="I2157" i="1"/>
  <c r="K2157" i="1"/>
  <c r="I2156" i="1"/>
  <c r="K2156" i="1"/>
  <c r="K2154" i="1"/>
  <c r="I2154" i="1"/>
  <c r="G2154" i="1" s="1"/>
  <c r="K2153" i="1"/>
  <c r="I2153" i="1"/>
  <c r="G2153" i="1" s="1"/>
  <c r="K2152" i="1"/>
  <c r="I2152" i="1"/>
  <c r="G2152" i="1" s="1"/>
  <c r="K2151" i="1"/>
  <c r="I2151" i="1"/>
  <c r="G2151" i="1" s="1"/>
  <c r="I2150" i="1"/>
  <c r="K2150" i="1"/>
  <c r="I2148" i="1"/>
  <c r="G2148" i="1" s="1"/>
  <c r="K2148" i="1"/>
  <c r="K2147" i="1"/>
  <c r="I2147" i="1"/>
  <c r="G2147" i="1" s="1"/>
  <c r="I2146" i="1"/>
  <c r="K2146" i="1"/>
  <c r="I2145" i="1"/>
  <c r="K2145" i="1"/>
  <c r="I2144" i="1"/>
  <c r="K2144" i="1"/>
  <c r="I2143" i="1"/>
  <c r="G2143" i="1" s="1"/>
  <c r="K2143" i="1"/>
  <c r="I2142" i="1"/>
  <c r="G2142" i="1" s="1"/>
  <c r="K2142" i="1"/>
  <c r="I2141" i="1"/>
  <c r="K2141" i="1"/>
  <c r="K2140" i="1"/>
  <c r="I2140" i="1"/>
  <c r="G2140" i="1" s="1"/>
  <c r="K2139" i="1"/>
  <c r="I2139" i="1"/>
  <c r="G2139" i="1" s="1"/>
  <c r="I2137" i="1"/>
  <c r="K2137" i="1"/>
  <c r="I2136" i="1"/>
  <c r="G2136" i="1" s="1"/>
  <c r="K2136" i="1"/>
  <c r="I2135" i="1"/>
  <c r="K2135" i="1"/>
  <c r="I2134" i="1"/>
  <c r="G2134" i="1" s="1"/>
  <c r="K2134" i="1"/>
  <c r="I2133" i="1"/>
  <c r="G2133" i="1" s="1"/>
  <c r="K2133" i="1"/>
  <c r="K2132" i="1"/>
  <c r="I2132" i="1"/>
  <c r="G2132" i="1" s="1"/>
  <c r="I2131" i="1"/>
  <c r="G2131" i="1" s="1"/>
  <c r="K2131" i="1"/>
  <c r="I2130" i="1"/>
  <c r="K2130" i="1"/>
  <c r="I2128" i="1"/>
  <c r="K2128" i="1"/>
  <c r="I2126" i="1"/>
  <c r="K2126" i="1"/>
  <c r="I2125" i="1"/>
  <c r="G2125" i="1" s="1"/>
  <c r="K2125" i="1"/>
  <c r="I2124" i="1"/>
  <c r="K2124" i="1"/>
  <c r="I2122" i="1"/>
  <c r="G2122" i="1" s="1"/>
  <c r="K2122" i="1"/>
  <c r="I2121" i="1"/>
  <c r="K2121" i="1"/>
  <c r="I2120" i="1"/>
  <c r="K2120" i="1"/>
  <c r="I2119" i="1"/>
  <c r="K2119" i="1"/>
  <c r="I2118" i="1"/>
  <c r="G2118" i="1" s="1"/>
  <c r="K2118" i="1"/>
  <c r="I2117" i="1"/>
  <c r="G2117" i="1" s="1"/>
  <c r="K2117" i="1"/>
  <c r="I2116" i="1"/>
  <c r="G2116" i="1" s="1"/>
  <c r="K2116" i="1"/>
  <c r="K2115" i="1"/>
  <c r="I2115" i="1"/>
  <c r="G2115" i="1" s="1"/>
  <c r="I2114" i="1"/>
  <c r="G2114" i="1" s="1"/>
  <c r="K2114" i="1"/>
  <c r="I2113" i="1"/>
  <c r="G2113" i="1" s="1"/>
  <c r="K2113" i="1"/>
  <c r="K2112" i="1"/>
  <c r="I2112" i="1"/>
  <c r="G2112" i="1" s="1"/>
  <c r="K2110" i="1"/>
  <c r="I2110" i="1"/>
  <c r="G2110" i="1" s="1"/>
  <c r="K2109" i="1"/>
  <c r="I2109" i="1"/>
  <c r="G2109" i="1" s="1"/>
  <c r="I2108" i="1"/>
  <c r="K2108" i="1"/>
  <c r="I2107" i="1"/>
  <c r="G2107" i="1" s="1"/>
  <c r="K2107" i="1"/>
  <c r="K2106" i="1"/>
  <c r="I2106" i="1"/>
  <c r="G2106" i="1" s="1"/>
  <c r="K2105" i="1"/>
  <c r="I2105" i="1"/>
  <c r="G2105" i="1" s="1"/>
  <c r="I2104" i="1"/>
  <c r="K2104" i="1"/>
  <c r="I2103" i="1"/>
  <c r="K2103" i="1"/>
  <c r="K2102" i="1"/>
  <c r="I2102" i="1"/>
  <c r="G2102" i="1" s="1"/>
  <c r="K2100" i="1"/>
  <c r="I2100" i="1"/>
  <c r="G2100" i="1" s="1"/>
  <c r="K2099" i="1"/>
  <c r="I2099" i="1"/>
  <c r="G2099" i="1" s="1"/>
  <c r="K2098" i="1"/>
  <c r="I2098" i="1"/>
  <c r="G2098" i="1" s="1"/>
  <c r="I2097" i="1"/>
  <c r="G2097" i="1" s="1"/>
  <c r="K2097" i="1"/>
  <c r="K2096" i="1"/>
  <c r="I2096" i="1"/>
  <c r="G2096" i="1" s="1"/>
  <c r="I2095" i="1"/>
  <c r="G2095" i="1" s="1"/>
  <c r="K2095" i="1"/>
  <c r="I2094" i="1"/>
  <c r="G2094" i="1" s="1"/>
  <c r="K2094" i="1"/>
  <c r="K2093" i="1"/>
  <c r="I2093" i="1"/>
  <c r="G2093" i="1" s="1"/>
  <c r="I2092" i="1"/>
  <c r="G2092" i="1" s="1"/>
  <c r="K2092" i="1"/>
  <c r="K2090" i="1"/>
  <c r="I2090" i="1"/>
  <c r="G2090" i="1" s="1"/>
  <c r="I2089" i="1"/>
  <c r="K2089" i="1"/>
  <c r="I2088" i="1"/>
  <c r="K2088" i="1"/>
  <c r="I2087" i="1"/>
  <c r="K2087" i="1"/>
  <c r="K2086" i="1"/>
  <c r="I2086" i="1"/>
  <c r="G2086" i="1" s="1"/>
  <c r="I2085" i="1"/>
  <c r="G2085" i="1" s="1"/>
  <c r="K2085" i="1"/>
  <c r="I2084" i="1"/>
  <c r="G2084" i="1" s="1"/>
  <c r="K2084" i="1"/>
  <c r="K2083" i="1"/>
  <c r="I2083" i="1"/>
  <c r="G2083" i="1" s="1"/>
  <c r="K2082" i="1"/>
  <c r="I2082" i="1"/>
  <c r="G2082" i="1" s="1"/>
  <c r="K2081" i="1"/>
  <c r="I2081" i="1"/>
  <c r="G2081" i="1" s="1"/>
  <c r="K2079" i="1"/>
  <c r="I2079" i="1"/>
  <c r="G2079" i="1" s="1"/>
  <c r="K2078" i="1"/>
  <c r="I2078" i="1"/>
  <c r="G2078" i="1" s="1"/>
  <c r="I2077" i="1"/>
  <c r="K2077" i="1"/>
  <c r="I2076" i="1"/>
  <c r="K2076" i="1"/>
  <c r="I2075" i="1"/>
  <c r="G2075" i="1" s="1"/>
  <c r="K2075" i="1"/>
  <c r="I2074" i="1"/>
  <c r="G2074" i="1" s="1"/>
  <c r="K2074" i="1"/>
  <c r="K2073" i="1"/>
  <c r="I2073" i="1"/>
  <c r="G2073" i="1" s="1"/>
  <c r="K2072" i="1"/>
  <c r="I2072" i="1"/>
  <c r="G2072" i="1" s="1"/>
  <c r="K2071" i="1"/>
  <c r="I2071" i="1"/>
  <c r="K2070" i="1"/>
  <c r="I2070" i="1"/>
  <c r="G2070" i="1" s="1"/>
  <c r="I2069" i="1"/>
  <c r="K2069" i="1"/>
  <c r="I2068" i="1"/>
  <c r="K2068" i="1"/>
  <c r="I2067" i="1"/>
  <c r="G2067" i="1" s="1"/>
  <c r="K2067" i="1"/>
  <c r="I2066" i="1"/>
  <c r="G2066" i="1" s="1"/>
  <c r="K2066" i="1"/>
  <c r="I2064" i="1"/>
  <c r="K2064" i="1"/>
  <c r="I2063" i="1"/>
  <c r="K2063" i="1"/>
  <c r="K2062" i="1"/>
  <c r="I2062" i="1"/>
  <c r="G2062" i="1" s="1"/>
  <c r="K2061" i="1"/>
  <c r="I2061" i="1"/>
  <c r="G2061" i="1" s="1"/>
  <c r="I2060" i="1"/>
  <c r="K2060" i="1"/>
  <c r="K2059" i="1"/>
  <c r="I2059" i="1"/>
  <c r="G2059" i="1" s="1"/>
  <c r="I2058" i="1"/>
  <c r="G2058" i="1" s="1"/>
  <c r="K2058" i="1"/>
  <c r="K2057" i="1"/>
  <c r="I2057" i="1"/>
  <c r="G2057" i="1" s="1"/>
  <c r="I2056" i="1"/>
  <c r="K2056" i="1"/>
  <c r="I2055" i="1"/>
  <c r="K2055" i="1"/>
  <c r="I2054" i="1"/>
  <c r="K2054" i="1"/>
  <c r="K2053" i="1"/>
  <c r="I2053" i="1"/>
  <c r="G2053" i="1" s="1"/>
  <c r="I2052" i="1"/>
  <c r="K2052" i="1"/>
  <c r="I2051" i="1"/>
  <c r="K2051" i="1"/>
  <c r="I2050" i="1"/>
  <c r="K2050" i="1"/>
  <c r="K2049" i="1"/>
  <c r="I2049" i="1"/>
  <c r="G2049" i="1" s="1"/>
  <c r="K2048" i="1"/>
  <c r="I2048" i="1"/>
  <c r="K2047" i="1"/>
  <c r="I2047" i="1"/>
  <c r="G2047" i="1" s="1"/>
  <c r="K2046" i="1"/>
  <c r="I2046" i="1"/>
  <c r="G2046" i="1" s="1"/>
  <c r="I2045" i="1"/>
  <c r="K2045" i="1"/>
  <c r="I2044" i="1"/>
  <c r="K2044" i="1"/>
  <c r="K2043" i="1"/>
  <c r="I2043" i="1"/>
  <c r="G2043" i="1" s="1"/>
  <c r="I2042" i="1"/>
  <c r="K2042" i="1"/>
  <c r="I2041" i="1"/>
  <c r="K2041" i="1"/>
  <c r="I2040" i="1"/>
  <c r="K2040" i="1"/>
  <c r="K2039" i="1"/>
  <c r="I2039" i="1"/>
  <c r="G2039" i="1" s="1"/>
  <c r="K2038" i="1"/>
  <c r="I2038" i="1"/>
  <c r="G2038" i="1" s="1"/>
  <c r="K2037" i="1"/>
  <c r="I2037" i="1"/>
  <c r="G2037" i="1" s="1"/>
  <c r="K2036" i="1"/>
  <c r="I2036" i="1"/>
  <c r="G2036" i="1" s="1"/>
  <c r="K2034" i="1"/>
  <c r="I2034" i="1"/>
  <c r="G2034" i="1" s="1"/>
  <c r="K2033" i="1"/>
  <c r="I2033" i="1"/>
  <c r="G2033" i="1" s="1"/>
  <c r="K2032" i="1"/>
  <c r="I2032" i="1"/>
  <c r="G2032" i="1" s="1"/>
  <c r="K2031" i="1"/>
  <c r="I2031" i="1"/>
  <c r="G2031" i="1" s="1"/>
  <c r="K2030" i="1"/>
  <c r="I2030" i="1"/>
  <c r="G2030" i="1" s="1"/>
  <c r="K2029" i="1"/>
  <c r="I2029" i="1"/>
  <c r="G2029" i="1" s="1"/>
  <c r="K2028" i="1"/>
  <c r="I2028" i="1"/>
  <c r="G2028" i="1" s="1"/>
  <c r="K2027" i="1"/>
  <c r="I2027" i="1"/>
  <c r="G2027" i="1" s="1"/>
  <c r="K2026" i="1"/>
  <c r="I2026" i="1"/>
  <c r="G2026" i="1" s="1"/>
  <c r="K2025" i="1"/>
  <c r="I2025" i="1"/>
  <c r="G2025" i="1" s="1"/>
  <c r="K2023" i="1"/>
  <c r="I2023" i="1"/>
  <c r="G2023" i="1" s="1"/>
  <c r="K2022" i="1"/>
  <c r="I2022" i="1"/>
  <c r="G2022" i="1" s="1"/>
  <c r="K2020" i="1"/>
  <c r="I2020" i="1"/>
  <c r="G2020" i="1" s="1"/>
  <c r="K2019" i="1"/>
  <c r="I2019" i="1"/>
  <c r="G2019" i="1" s="1"/>
  <c r="K2018" i="1"/>
  <c r="I2018" i="1"/>
  <c r="G2018" i="1" s="1"/>
  <c r="K2017" i="1"/>
  <c r="I2017" i="1"/>
  <c r="G2017" i="1" s="1"/>
  <c r="I2016" i="1"/>
  <c r="K2016" i="1"/>
  <c r="I2015" i="1"/>
  <c r="K2015" i="1"/>
  <c r="I2014" i="1"/>
  <c r="K2014" i="1"/>
  <c r="I2013" i="1"/>
  <c r="K2013" i="1"/>
  <c r="I2012" i="1"/>
  <c r="K2012" i="1"/>
  <c r="I2011" i="1"/>
  <c r="K2011" i="1"/>
  <c r="I2010" i="1"/>
  <c r="G2010" i="1" s="1"/>
  <c r="K2010" i="1"/>
  <c r="I2008" i="1"/>
  <c r="G2008" i="1" s="1"/>
  <c r="K2008" i="1"/>
  <c r="I2007" i="1"/>
  <c r="K2007" i="1"/>
  <c r="K2006" i="1"/>
  <c r="I2006" i="1"/>
  <c r="G2006" i="1" s="1"/>
  <c r="I2005" i="1"/>
  <c r="G2005" i="1" s="1"/>
  <c r="K2005" i="1"/>
  <c r="I2004" i="1"/>
  <c r="K2004" i="1"/>
  <c r="I2002" i="1"/>
  <c r="G2002" i="1" s="1"/>
  <c r="K2002" i="1"/>
  <c r="K2001" i="1"/>
  <c r="I2001" i="1"/>
  <c r="G2001" i="1" s="1"/>
  <c r="K2000" i="1"/>
  <c r="I2000" i="1"/>
  <c r="G2000" i="1" s="1"/>
  <c r="K1999" i="1"/>
  <c r="I1999" i="1"/>
  <c r="G1999" i="1" s="1"/>
  <c r="K1998" i="1"/>
  <c r="I1998" i="1"/>
  <c r="G1998" i="1" s="1"/>
  <c r="K1997" i="1"/>
  <c r="I1997" i="1"/>
  <c r="G1997" i="1" s="1"/>
  <c r="K1996" i="1"/>
  <c r="I1996" i="1"/>
  <c r="G1996" i="1" s="1"/>
  <c r="I1995" i="1"/>
  <c r="K1995" i="1"/>
  <c r="I1994" i="1"/>
  <c r="K1994" i="1"/>
  <c r="K1993" i="1"/>
  <c r="I1993" i="1"/>
  <c r="G1993" i="1" s="1"/>
  <c r="I1992" i="1"/>
  <c r="G1992" i="1" s="1"/>
  <c r="K1992" i="1"/>
  <c r="K1991" i="1"/>
  <c r="I1991" i="1"/>
  <c r="I1990" i="1"/>
  <c r="K1990" i="1"/>
  <c r="K1989" i="1"/>
  <c r="I1989" i="1"/>
  <c r="G1989" i="1" s="1"/>
  <c r="K1988" i="1"/>
  <c r="I1988" i="1"/>
  <c r="G1988" i="1" s="1"/>
  <c r="K1987" i="1"/>
  <c r="I1987" i="1"/>
  <c r="G1987" i="1" s="1"/>
  <c r="I1986" i="1"/>
  <c r="G1986" i="1" s="1"/>
  <c r="K1986" i="1"/>
  <c r="K1985" i="1"/>
  <c r="I1985" i="1"/>
  <c r="G1985" i="1" s="1"/>
  <c r="K1984" i="1"/>
  <c r="I1984" i="1"/>
  <c r="K1983" i="1"/>
  <c r="I1983" i="1"/>
  <c r="G1983" i="1" s="1"/>
  <c r="K1982" i="1"/>
  <c r="I1982" i="1"/>
  <c r="G1982" i="1" s="1"/>
  <c r="I1981" i="1"/>
  <c r="K1981" i="1"/>
  <c r="I1980" i="1"/>
  <c r="G1980" i="1" s="1"/>
  <c r="K1980" i="1"/>
  <c r="K1979" i="1"/>
  <c r="I1979" i="1"/>
  <c r="G1979" i="1" s="1"/>
  <c r="I1978" i="1"/>
  <c r="G1978" i="1" s="1"/>
  <c r="K1978" i="1"/>
  <c r="I1977" i="1"/>
  <c r="K1977" i="1"/>
  <c r="I1976" i="1"/>
  <c r="K1976" i="1"/>
  <c r="K1975" i="1"/>
  <c r="I1975" i="1"/>
  <c r="G1975" i="1" s="1"/>
  <c r="I1974" i="1"/>
  <c r="K1974" i="1"/>
  <c r="I1973" i="1"/>
  <c r="K1973" i="1"/>
  <c r="K1972" i="1"/>
  <c r="I1972" i="1"/>
  <c r="G1972" i="1" s="1"/>
  <c r="I1971" i="1"/>
  <c r="G1971" i="1" s="1"/>
  <c r="K1971" i="1"/>
  <c r="K1969" i="1"/>
  <c r="I1969" i="1"/>
  <c r="G1969" i="1" s="1"/>
  <c r="I1967" i="1"/>
  <c r="K1967" i="1"/>
  <c r="I1966" i="1"/>
  <c r="G1966" i="1" s="1"/>
  <c r="K1966" i="1"/>
  <c r="I1965" i="1"/>
  <c r="K1965" i="1"/>
  <c r="I1964" i="1"/>
  <c r="K1964" i="1"/>
  <c r="K1963" i="1"/>
  <c r="I1963" i="1"/>
  <c r="G1963" i="1" s="1"/>
  <c r="K1961" i="1"/>
  <c r="I1961" i="1"/>
  <c r="G1961" i="1" s="1"/>
  <c r="I1960" i="1"/>
  <c r="K1960" i="1"/>
  <c r="K1959" i="1"/>
  <c r="I1959" i="1"/>
  <c r="G1959" i="1" s="1"/>
  <c r="K1957" i="1"/>
  <c r="I1957" i="1"/>
  <c r="G1957" i="1" s="1"/>
  <c r="I1956" i="1"/>
  <c r="G1956" i="1" s="1"/>
  <c r="K1956" i="1"/>
  <c r="I1955" i="1"/>
  <c r="K1955" i="1"/>
  <c r="K1954" i="1"/>
  <c r="I1954" i="1"/>
  <c r="G1954" i="1" s="1"/>
  <c r="K1953" i="1"/>
  <c r="I1953" i="1"/>
  <c r="K1952" i="1"/>
  <c r="I1952" i="1"/>
  <c r="G1952" i="1" s="1"/>
  <c r="I1951" i="1"/>
  <c r="G1951" i="1" s="1"/>
  <c r="K1951" i="1"/>
  <c r="I1950" i="1"/>
  <c r="K1950" i="1"/>
  <c r="K1949" i="1"/>
  <c r="I1949" i="1"/>
  <c r="G1949" i="1" s="1"/>
  <c r="K1947" i="1"/>
  <c r="I1947" i="1"/>
  <c r="G1947" i="1" s="1"/>
  <c r="K1946" i="1"/>
  <c r="I1946" i="1"/>
  <c r="G1946" i="1" s="1"/>
  <c r="I1945" i="1"/>
  <c r="G1945" i="1" s="1"/>
  <c r="K1945" i="1"/>
  <c r="K1944" i="1"/>
  <c r="I1944" i="1"/>
  <c r="G1944" i="1" s="1"/>
  <c r="I1943" i="1"/>
  <c r="K1943" i="1"/>
  <c r="I1942" i="1"/>
  <c r="K1942" i="1"/>
  <c r="I1941" i="1"/>
  <c r="G1941" i="1" s="1"/>
  <c r="K1941" i="1"/>
  <c r="K1940" i="1"/>
  <c r="I1940" i="1"/>
  <c r="G1940" i="1" s="1"/>
  <c r="K1937" i="1"/>
  <c r="I1937" i="1"/>
  <c r="G1937" i="1" s="1"/>
  <c r="K1936" i="1"/>
  <c r="I1936" i="1"/>
  <c r="G1936" i="1" s="1"/>
  <c r="K1935" i="1"/>
  <c r="I1935" i="1"/>
  <c r="G1935" i="1" s="1"/>
  <c r="K1934" i="1"/>
  <c r="I1934" i="1"/>
  <c r="I1933" i="1"/>
  <c r="K1933" i="1"/>
  <c r="K1932" i="1"/>
  <c r="I1932" i="1"/>
  <c r="G1932" i="1" s="1"/>
  <c r="I1931" i="1"/>
  <c r="K1931" i="1"/>
  <c r="K1930" i="1"/>
  <c r="I1930" i="1"/>
  <c r="G1930" i="1" s="1"/>
  <c r="K1929" i="1"/>
  <c r="I1929" i="1"/>
  <c r="G1929" i="1" s="1"/>
  <c r="K1928" i="1"/>
  <c r="I1928" i="1"/>
  <c r="G1928" i="1" s="1"/>
  <c r="K1927" i="1"/>
  <c r="I1927" i="1"/>
  <c r="G1927" i="1" s="1"/>
  <c r="I1926" i="1"/>
  <c r="K1926" i="1"/>
  <c r="I1925" i="1"/>
  <c r="G1925" i="1" s="1"/>
  <c r="K1925" i="1"/>
  <c r="I1924" i="1"/>
  <c r="K1924" i="1"/>
  <c r="I1923" i="1"/>
  <c r="K1923" i="1"/>
  <c r="K1922" i="1"/>
  <c r="I1922" i="1"/>
  <c r="G1922" i="1" s="1"/>
  <c r="K1921" i="1"/>
  <c r="I1921" i="1"/>
  <c r="G1921" i="1" s="1"/>
  <c r="I1920" i="1"/>
  <c r="K1920" i="1"/>
  <c r="K1919" i="1"/>
  <c r="I1919" i="1"/>
  <c r="G1919" i="1" s="1"/>
  <c r="I1918" i="1"/>
  <c r="K1918" i="1"/>
  <c r="K1917" i="1"/>
  <c r="I1917" i="1"/>
  <c r="G1917" i="1" s="1"/>
  <c r="I1916" i="1"/>
  <c r="K1916" i="1"/>
  <c r="K1915" i="1"/>
  <c r="I1915" i="1"/>
  <c r="G1915" i="1" s="1"/>
  <c r="K1913" i="1"/>
  <c r="I1913" i="1"/>
  <c r="G1913" i="1" s="1"/>
  <c r="K1912" i="1"/>
  <c r="I1912" i="1"/>
  <c r="G1912" i="1" s="1"/>
  <c r="I1911" i="1"/>
  <c r="G1911" i="1" s="1"/>
  <c r="K1911" i="1"/>
  <c r="K1910" i="1"/>
  <c r="I1910" i="1"/>
  <c r="G1910" i="1" s="1"/>
  <c r="K1909" i="1"/>
  <c r="I1909" i="1"/>
  <c r="G1909" i="1" s="1"/>
  <c r="I1908" i="1"/>
  <c r="G1908" i="1" s="1"/>
  <c r="K1908" i="1"/>
  <c r="K1907" i="1"/>
  <c r="I1907" i="1"/>
  <c r="G1907" i="1" s="1"/>
  <c r="K1906" i="1"/>
  <c r="I1906" i="1"/>
  <c r="G1906" i="1" s="1"/>
  <c r="I1905" i="1"/>
  <c r="K1905" i="1"/>
  <c r="I1904" i="1"/>
  <c r="G1904" i="1" s="1"/>
  <c r="K1904" i="1"/>
  <c r="I1903" i="1"/>
  <c r="K1903" i="1"/>
  <c r="K1902" i="1"/>
  <c r="I1902" i="1"/>
  <c r="G1902" i="1" s="1"/>
  <c r="I1901" i="1"/>
  <c r="K1901" i="1"/>
  <c r="K1900" i="1"/>
  <c r="I1900" i="1"/>
  <c r="G1900" i="1" s="1"/>
  <c r="I1899" i="1"/>
  <c r="G1899" i="1" s="1"/>
  <c r="K1899" i="1"/>
  <c r="K1898" i="1"/>
  <c r="I1898" i="1"/>
  <c r="G1898" i="1" s="1"/>
  <c r="K1897" i="1"/>
  <c r="I1897" i="1"/>
  <c r="G1897" i="1" s="1"/>
  <c r="K1896" i="1"/>
  <c r="I1896" i="1"/>
  <c r="G1896" i="1" s="1"/>
  <c r="K1895" i="1"/>
  <c r="I1895" i="1"/>
  <c r="G1895" i="1" s="1"/>
  <c r="I1894" i="1"/>
  <c r="K1894" i="1"/>
  <c r="K1893" i="1"/>
  <c r="I1893" i="1"/>
  <c r="I1891" i="1"/>
  <c r="K1891" i="1"/>
  <c r="K1889" i="1"/>
  <c r="I1889" i="1"/>
  <c r="G1889" i="1" s="1"/>
  <c r="K1888" i="1"/>
  <c r="I1888" i="1"/>
  <c r="G1888" i="1" s="1"/>
  <c r="I1887" i="1"/>
  <c r="K1887" i="1"/>
  <c r="I1886" i="1"/>
  <c r="K1886" i="1"/>
  <c r="I1885" i="1"/>
  <c r="G1885" i="1" s="1"/>
  <c r="K1885" i="1"/>
  <c r="I1884" i="1"/>
  <c r="K1884" i="1"/>
  <c r="K1883" i="1"/>
  <c r="I1883" i="1"/>
  <c r="G1883" i="1" s="1"/>
  <c r="K1882" i="1"/>
  <c r="I1882" i="1"/>
  <c r="G1882" i="1" s="1"/>
  <c r="I1881" i="1"/>
  <c r="K1881" i="1"/>
  <c r="I1880" i="1"/>
  <c r="G1880" i="1" s="1"/>
  <c r="K1880" i="1"/>
  <c r="K1879" i="1"/>
  <c r="I1879" i="1"/>
  <c r="G1879" i="1" s="1"/>
  <c r="K1878" i="1"/>
  <c r="I1878" i="1"/>
  <c r="G1878" i="1" s="1"/>
  <c r="K1877" i="1"/>
  <c r="I1877" i="1"/>
  <c r="G1877" i="1" s="1"/>
  <c r="K1876" i="1"/>
  <c r="I1876" i="1"/>
  <c r="G1876" i="1" s="1"/>
  <c r="K1875" i="1"/>
  <c r="I1875" i="1"/>
  <c r="G1875" i="1" s="1"/>
  <c r="K1874" i="1"/>
  <c r="I1874" i="1"/>
  <c r="G1874" i="1" s="1"/>
  <c r="I1873" i="1"/>
  <c r="G1873" i="1" s="1"/>
  <c r="K1873" i="1"/>
  <c r="K1872" i="1"/>
  <c r="I1872" i="1"/>
  <c r="G1872" i="1" s="1"/>
  <c r="I1871" i="1"/>
  <c r="G1871" i="1" s="1"/>
  <c r="K1871" i="1"/>
  <c r="I1870" i="1"/>
  <c r="K1870" i="1"/>
  <c r="K1869" i="1"/>
  <c r="I1869" i="1"/>
  <c r="G1869" i="1" s="1"/>
  <c r="K1868" i="1"/>
  <c r="I1868" i="1"/>
  <c r="G1868" i="1" s="1"/>
  <c r="K1867" i="1"/>
  <c r="I1867" i="1"/>
  <c r="K1866" i="1"/>
  <c r="I1866" i="1"/>
  <c r="K1865" i="1"/>
  <c r="I1865" i="1"/>
  <c r="G1865" i="1" s="1"/>
  <c r="K1864" i="1"/>
  <c r="I1864" i="1"/>
  <c r="K1862" i="1"/>
  <c r="I1862" i="1"/>
  <c r="G1862" i="1" s="1"/>
  <c r="I1861" i="1"/>
  <c r="K1861" i="1"/>
  <c r="I1860" i="1"/>
  <c r="K1860" i="1"/>
  <c r="I1859" i="1"/>
  <c r="K1859" i="1"/>
  <c r="K1858" i="1"/>
  <c r="I1858" i="1"/>
  <c r="G1858" i="1" s="1"/>
  <c r="I1856" i="1"/>
  <c r="K1856" i="1"/>
  <c r="K1855" i="1"/>
  <c r="I1855" i="1"/>
  <c r="G1855" i="1" s="1"/>
  <c r="I1854" i="1"/>
  <c r="K1854" i="1"/>
  <c r="I1853" i="1"/>
  <c r="G1853" i="1" s="1"/>
  <c r="K1853" i="1"/>
  <c r="K1852" i="1"/>
  <c r="I1852" i="1"/>
  <c r="G1852" i="1" s="1"/>
  <c r="K1851" i="1"/>
  <c r="I1851" i="1"/>
  <c r="G1851" i="1" s="1"/>
  <c r="K1850" i="1"/>
  <c r="I1850" i="1"/>
  <c r="G1850" i="1" s="1"/>
  <c r="K1848" i="1"/>
  <c r="I1848" i="1"/>
  <c r="G1848" i="1" s="1"/>
  <c r="K1847" i="1"/>
  <c r="I1847" i="1"/>
  <c r="G1847" i="1" s="1"/>
  <c r="K1846" i="1"/>
  <c r="I1846" i="1"/>
  <c r="G1846" i="1" s="1"/>
  <c r="I1844" i="1"/>
  <c r="K1844" i="1"/>
  <c r="K1843" i="1"/>
  <c r="I1843" i="1"/>
  <c r="G1843" i="1" s="1"/>
  <c r="I1842" i="1"/>
  <c r="G1842" i="1" s="1"/>
  <c r="K1842" i="1"/>
  <c r="I1840" i="1"/>
  <c r="K1840" i="1"/>
  <c r="I1839" i="1"/>
  <c r="K1839" i="1"/>
  <c r="I1838" i="1"/>
  <c r="K1838" i="1"/>
  <c r="K1837" i="1"/>
  <c r="I1837" i="1"/>
  <c r="G1837" i="1" s="1"/>
  <c r="K1835" i="1"/>
  <c r="I1835" i="1"/>
  <c r="G1835" i="1" s="1"/>
  <c r="I1834" i="1"/>
  <c r="K1834" i="1"/>
  <c r="I1833" i="1"/>
  <c r="K1833" i="1"/>
  <c r="I1832" i="1"/>
  <c r="G1832" i="1" s="1"/>
  <c r="K1832" i="1"/>
  <c r="I1831" i="1"/>
  <c r="G1831" i="1" s="1"/>
  <c r="K1831" i="1"/>
  <c r="I1830" i="1"/>
  <c r="K1830" i="1"/>
  <c r="I1828" i="1"/>
  <c r="G1828" i="1" s="1"/>
  <c r="K1828" i="1"/>
  <c r="I1827" i="1"/>
  <c r="K1827" i="1"/>
  <c r="I1826" i="1"/>
  <c r="K1826" i="1"/>
  <c r="I1825" i="1"/>
  <c r="K1825" i="1"/>
  <c r="I1824" i="1"/>
  <c r="G1824" i="1" s="1"/>
  <c r="K1824" i="1"/>
  <c r="I1823" i="1"/>
  <c r="G1823" i="1" s="1"/>
  <c r="K1823" i="1"/>
  <c r="K1822" i="1"/>
  <c r="I1822" i="1"/>
  <c r="G1822" i="1" s="1"/>
  <c r="I1821" i="1"/>
  <c r="K1821" i="1"/>
  <c r="I1819" i="1"/>
  <c r="K1819" i="1"/>
  <c r="K1818" i="1"/>
  <c r="I1818" i="1"/>
  <c r="G1818" i="1" s="1"/>
  <c r="I1817" i="1"/>
  <c r="G1817" i="1" s="1"/>
  <c r="K1817" i="1"/>
  <c r="K1816" i="1"/>
  <c r="I1816" i="1"/>
  <c r="G1816" i="1" s="1"/>
  <c r="I1815" i="1"/>
  <c r="G1815" i="1" s="1"/>
  <c r="K1815" i="1"/>
  <c r="I1813" i="1"/>
  <c r="K1813" i="1"/>
  <c r="K1812" i="1"/>
  <c r="I1812" i="1"/>
  <c r="G1812" i="1" s="1"/>
  <c r="I1811" i="1"/>
  <c r="K1811" i="1"/>
  <c r="K1810" i="1"/>
  <c r="I1810" i="1"/>
  <c r="G1810" i="1" s="1"/>
  <c r="I1809" i="1"/>
  <c r="K1809" i="1"/>
  <c r="I1808" i="1"/>
  <c r="K1808" i="1"/>
  <c r="K1807" i="1"/>
  <c r="I1807" i="1"/>
  <c r="G1807" i="1" s="1"/>
  <c r="K1806" i="1"/>
  <c r="I1806" i="1"/>
  <c r="G1806" i="1" s="1"/>
  <c r="I1805" i="1"/>
  <c r="K1805" i="1"/>
  <c r="I1804" i="1"/>
  <c r="K1804" i="1"/>
  <c r="I1803" i="1"/>
  <c r="K1803" i="1"/>
  <c r="I1802" i="1"/>
  <c r="K1802" i="1"/>
  <c r="I1801" i="1"/>
  <c r="K1801" i="1"/>
  <c r="I1800" i="1"/>
  <c r="K1800" i="1"/>
  <c r="K1799" i="1"/>
  <c r="I1799" i="1"/>
  <c r="G1799" i="1" s="1"/>
  <c r="K1798" i="1"/>
  <c r="I1798" i="1"/>
  <c r="G1798" i="1" s="1"/>
  <c r="K1797" i="1"/>
  <c r="I1797" i="1"/>
  <c r="G1797" i="1" s="1"/>
  <c r="K1796" i="1"/>
  <c r="I1796" i="1"/>
  <c r="G1796" i="1" s="1"/>
  <c r="K1795" i="1"/>
  <c r="I1795" i="1"/>
  <c r="G1795" i="1" s="1"/>
  <c r="K1794" i="1"/>
  <c r="I1794" i="1"/>
  <c r="G1794" i="1" s="1"/>
  <c r="K1793" i="1"/>
  <c r="I1793" i="1"/>
  <c r="G1793" i="1" s="1"/>
  <c r="K1791" i="1"/>
  <c r="I1791" i="1"/>
  <c r="G1791" i="1" s="1"/>
  <c r="K1790" i="1"/>
  <c r="I1790" i="1"/>
  <c r="G1790" i="1" s="1"/>
  <c r="I1789" i="1"/>
  <c r="K1789" i="1"/>
  <c r="K1788" i="1"/>
  <c r="I1788" i="1"/>
  <c r="G1788" i="1" s="1"/>
  <c r="I1787" i="1"/>
  <c r="K1787" i="1"/>
  <c r="I1786" i="1"/>
  <c r="K1786" i="1"/>
  <c r="I1785" i="1"/>
  <c r="K1785" i="1"/>
  <c r="I1784" i="1"/>
  <c r="K1784" i="1"/>
  <c r="I1783" i="1"/>
  <c r="K1783" i="1"/>
  <c r="I1782" i="1"/>
  <c r="K1782" i="1"/>
  <c r="K1781" i="1"/>
  <c r="I1781" i="1"/>
  <c r="G1781" i="1" s="1"/>
  <c r="I1780" i="1"/>
  <c r="K1780" i="1"/>
  <c r="I1779" i="1"/>
  <c r="K1779" i="1"/>
  <c r="I1778" i="1"/>
  <c r="K1778" i="1"/>
  <c r="I1777" i="1"/>
  <c r="K1777" i="1"/>
  <c r="I1776" i="1"/>
  <c r="K1776" i="1"/>
  <c r="K1775" i="1"/>
  <c r="I1775" i="1"/>
  <c r="G1775" i="1" s="1"/>
  <c r="I1774" i="1"/>
  <c r="K1774" i="1"/>
  <c r="I1773" i="1"/>
  <c r="K1773" i="1"/>
  <c r="I1772" i="1"/>
  <c r="K1772" i="1"/>
  <c r="I1771" i="1"/>
  <c r="K1771" i="1"/>
  <c r="K1770" i="1"/>
  <c r="I1770" i="1"/>
  <c r="G1770" i="1" s="1"/>
  <c r="I1769" i="1"/>
  <c r="K1769" i="1"/>
  <c r="K1768" i="1"/>
  <c r="I1768" i="1"/>
  <c r="G1768" i="1" s="1"/>
  <c r="I1767" i="1"/>
  <c r="K1767" i="1"/>
  <c r="I1766" i="1"/>
  <c r="K1766" i="1"/>
  <c r="K1765" i="1"/>
  <c r="I1765" i="1"/>
  <c r="G1765" i="1" s="1"/>
  <c r="I1764" i="1"/>
  <c r="K1764" i="1"/>
  <c r="I1763" i="1"/>
  <c r="K1763" i="1"/>
  <c r="I1762" i="1"/>
  <c r="K1762" i="1"/>
  <c r="K1761" i="1"/>
  <c r="I1761" i="1"/>
  <c r="G1761" i="1" s="1"/>
  <c r="K1760" i="1"/>
  <c r="I1760" i="1"/>
  <c r="G1760" i="1" s="1"/>
  <c r="K1758" i="1"/>
  <c r="I1758" i="1"/>
  <c r="G1758" i="1" s="1"/>
  <c r="K1757" i="1"/>
  <c r="I1757" i="1"/>
  <c r="G1757" i="1" s="1"/>
  <c r="K1756" i="1"/>
  <c r="I1756" i="1"/>
  <c r="G1756" i="1" s="1"/>
  <c r="K1755" i="1"/>
  <c r="I1755" i="1"/>
  <c r="G1755" i="1" s="1"/>
  <c r="K1754" i="1"/>
  <c r="I1754" i="1"/>
  <c r="G1754" i="1" s="1"/>
  <c r="I1753" i="1"/>
  <c r="K1753" i="1"/>
  <c r="K1752" i="1"/>
  <c r="I1752" i="1"/>
  <c r="G1752" i="1" s="1"/>
  <c r="K1751" i="1"/>
  <c r="I1751" i="1"/>
  <c r="G1751" i="1" s="1"/>
  <c r="K1750" i="1"/>
  <c r="I1750" i="1"/>
  <c r="G1750" i="1" s="1"/>
  <c r="K1749" i="1"/>
  <c r="I1749" i="1"/>
  <c r="G1749" i="1" s="1"/>
  <c r="I1748" i="1"/>
  <c r="K1748" i="1"/>
  <c r="K1747" i="1"/>
  <c r="I1747" i="1"/>
  <c r="G1747" i="1" s="1"/>
  <c r="I1746" i="1"/>
  <c r="K1746" i="1"/>
  <c r="I1745" i="1"/>
  <c r="K1745" i="1"/>
  <c r="I1744" i="1"/>
  <c r="K1744" i="1"/>
  <c r="I1743" i="1"/>
  <c r="K1743" i="1"/>
  <c r="I1742" i="1"/>
  <c r="K1742" i="1"/>
  <c r="K1741" i="1"/>
  <c r="I1741" i="1"/>
  <c r="G1741" i="1" s="1"/>
  <c r="K1740" i="1"/>
  <c r="I1740" i="1"/>
  <c r="G1740" i="1" s="1"/>
  <c r="K1739" i="1"/>
  <c r="I1739" i="1"/>
  <c r="G1739" i="1" s="1"/>
  <c r="K1738" i="1"/>
  <c r="I1738" i="1"/>
  <c r="G1738" i="1" s="1"/>
  <c r="K1736" i="1"/>
  <c r="I1736" i="1"/>
  <c r="G1736" i="1" s="1"/>
  <c r="K1735" i="1"/>
  <c r="I1735" i="1"/>
  <c r="G1735" i="1" s="1"/>
  <c r="K1734" i="1"/>
  <c r="I1734" i="1"/>
  <c r="G1734" i="1" s="1"/>
  <c r="I1733" i="1"/>
  <c r="K1733" i="1"/>
  <c r="I1732" i="1"/>
  <c r="K1732" i="1"/>
  <c r="I1731" i="1"/>
  <c r="K1731" i="1"/>
  <c r="I1730" i="1"/>
  <c r="K1730" i="1"/>
  <c r="K1729" i="1"/>
  <c r="I1729" i="1"/>
  <c r="G1729" i="1" s="1"/>
  <c r="I1728" i="1"/>
  <c r="K1728" i="1"/>
  <c r="I1727" i="1"/>
  <c r="K1727" i="1"/>
  <c r="I1726" i="1"/>
  <c r="K1726" i="1"/>
  <c r="K1725" i="1"/>
  <c r="I1725" i="1"/>
  <c r="G1725" i="1" s="1"/>
  <c r="I1724" i="1"/>
  <c r="K1724" i="1"/>
  <c r="K1723" i="1"/>
  <c r="I1723" i="1"/>
  <c r="G1723" i="1" s="1"/>
  <c r="K1722" i="1"/>
  <c r="I1722" i="1"/>
  <c r="G1722" i="1" s="1"/>
  <c r="K1721" i="1"/>
  <c r="I1721" i="1"/>
  <c r="G1721" i="1" s="1"/>
  <c r="I1720" i="1"/>
  <c r="K1720" i="1"/>
  <c r="K1719" i="1"/>
  <c r="I1719" i="1"/>
  <c r="G1719" i="1" s="1"/>
  <c r="K1718" i="1"/>
  <c r="I1718" i="1"/>
  <c r="G1718" i="1" s="1"/>
  <c r="K1717" i="1"/>
  <c r="I1717" i="1"/>
  <c r="G1717" i="1" s="1"/>
  <c r="K1716" i="1"/>
  <c r="I1716" i="1"/>
  <c r="G1716" i="1" s="1"/>
  <c r="K1715" i="1"/>
  <c r="I1715" i="1"/>
  <c r="G1715" i="1" s="1"/>
  <c r="K1714" i="1"/>
  <c r="I1714" i="1"/>
  <c r="G1714" i="1" s="1"/>
  <c r="K1713" i="1"/>
  <c r="I1713" i="1"/>
  <c r="G1713" i="1" s="1"/>
  <c r="K1712" i="1"/>
  <c r="I1712" i="1"/>
  <c r="G1712" i="1" s="1"/>
  <c r="K1711" i="1"/>
  <c r="I1711" i="1"/>
  <c r="G1711" i="1" s="1"/>
  <c r="K1710" i="1"/>
  <c r="I1710" i="1"/>
  <c r="G1710" i="1" s="1"/>
  <c r="K1709" i="1"/>
  <c r="I1709" i="1"/>
  <c r="G1709" i="1" s="1"/>
  <c r="K1708" i="1"/>
  <c r="I1708" i="1"/>
  <c r="G1708" i="1" s="1"/>
  <c r="K1707" i="1"/>
  <c r="I1707" i="1"/>
  <c r="G1707" i="1" s="1"/>
  <c r="K1706" i="1"/>
  <c r="I1706" i="1"/>
  <c r="G1706" i="1" s="1"/>
  <c r="K1705" i="1"/>
  <c r="I1705" i="1"/>
  <c r="G1705" i="1" s="1"/>
  <c r="K1703" i="1"/>
  <c r="I1703" i="1"/>
  <c r="G1703" i="1" s="1"/>
  <c r="K1702" i="1"/>
  <c r="I1702" i="1"/>
  <c r="G1702" i="1" s="1"/>
  <c r="K1701" i="1"/>
  <c r="I1701" i="1"/>
  <c r="G1701" i="1" s="1"/>
  <c r="K1700" i="1"/>
  <c r="I1700" i="1"/>
  <c r="G1700" i="1" s="1"/>
  <c r="K1699" i="1"/>
  <c r="I1699" i="1"/>
  <c r="G1699" i="1" s="1"/>
  <c r="I1698" i="1"/>
  <c r="K1698" i="1"/>
  <c r="K1696" i="1"/>
  <c r="I1696" i="1"/>
  <c r="G1696" i="1" s="1"/>
  <c r="K1695" i="1"/>
  <c r="I1695" i="1"/>
  <c r="G1695" i="1" s="1"/>
  <c r="K1694" i="1"/>
  <c r="I1694" i="1"/>
  <c r="G1694" i="1" s="1"/>
  <c r="K1693" i="1"/>
  <c r="I1693" i="1"/>
  <c r="G1693" i="1" s="1"/>
  <c r="I1692" i="1"/>
  <c r="K1692" i="1"/>
  <c r="K1691" i="1"/>
  <c r="I1691" i="1"/>
  <c r="G1691" i="1" s="1"/>
  <c r="K1690" i="1"/>
  <c r="I1690" i="1"/>
  <c r="G1690" i="1" s="1"/>
  <c r="K1689" i="1"/>
  <c r="I1689" i="1"/>
  <c r="G1689" i="1" s="1"/>
  <c r="I1688" i="1"/>
  <c r="K1688" i="1"/>
  <c r="I1687" i="1"/>
  <c r="K1687" i="1"/>
  <c r="K1686" i="1"/>
  <c r="I1686" i="1"/>
  <c r="G1686" i="1" s="1"/>
  <c r="I1685" i="1"/>
  <c r="K1685" i="1"/>
  <c r="K1684" i="1"/>
  <c r="I1684" i="1"/>
  <c r="G1684" i="1" s="1"/>
  <c r="K1683" i="1"/>
  <c r="I1683" i="1"/>
  <c r="G1683" i="1" s="1"/>
  <c r="K1682" i="1"/>
  <c r="I1682" i="1"/>
  <c r="G1682" i="1" s="1"/>
  <c r="K1681" i="1"/>
  <c r="I1681" i="1"/>
  <c r="G1681" i="1" s="1"/>
  <c r="K1680" i="1"/>
  <c r="I1680" i="1"/>
  <c r="G1680" i="1" s="1"/>
  <c r="K1679" i="1"/>
  <c r="I1679" i="1"/>
  <c r="G1679" i="1" s="1"/>
  <c r="K1678" i="1"/>
  <c r="I1678" i="1"/>
  <c r="G1678" i="1" s="1"/>
  <c r="K1677" i="1"/>
  <c r="I1677" i="1"/>
  <c r="G1677" i="1" s="1"/>
  <c r="I1676" i="1"/>
  <c r="K1676" i="1"/>
  <c r="I1675" i="1"/>
  <c r="K1675" i="1"/>
  <c r="K1674" i="1"/>
  <c r="I1674" i="1"/>
  <c r="G1674" i="1" s="1"/>
  <c r="K1673" i="1"/>
  <c r="I1673" i="1"/>
  <c r="G1673" i="1" s="1"/>
  <c r="K1672" i="1"/>
  <c r="I1672" i="1"/>
  <c r="G1672" i="1" s="1"/>
  <c r="K1671" i="1"/>
  <c r="I1671" i="1"/>
  <c r="G1671" i="1" s="1"/>
  <c r="K1670" i="1"/>
  <c r="I1670" i="1"/>
  <c r="G1670" i="1" s="1"/>
  <c r="K1669" i="1"/>
  <c r="I1669" i="1"/>
  <c r="G1669" i="1" s="1"/>
  <c r="I1668" i="1"/>
  <c r="K1668" i="1"/>
  <c r="I1667" i="1"/>
  <c r="K1667" i="1"/>
  <c r="K1666" i="1"/>
  <c r="I1666" i="1"/>
  <c r="G1666" i="1" s="1"/>
  <c r="I1665" i="1"/>
  <c r="K1665" i="1"/>
  <c r="K1664" i="1"/>
  <c r="I1664" i="1"/>
  <c r="G1664" i="1" s="1"/>
  <c r="I1663" i="1"/>
  <c r="K1663" i="1"/>
  <c r="I1661" i="1"/>
  <c r="K1661" i="1"/>
  <c r="I1660" i="1"/>
  <c r="K1660" i="1"/>
  <c r="K1659" i="1"/>
  <c r="I1659" i="1"/>
  <c r="G1659" i="1" s="1"/>
  <c r="I1658" i="1"/>
  <c r="K1658" i="1"/>
  <c r="K1657" i="1"/>
  <c r="I1657" i="1"/>
  <c r="G1657" i="1" s="1"/>
  <c r="I1656" i="1"/>
  <c r="K1656" i="1"/>
  <c r="K1654" i="1"/>
  <c r="I1654" i="1"/>
  <c r="G1654" i="1" s="1"/>
  <c r="I1653" i="1"/>
  <c r="K1653" i="1"/>
  <c r="I1652" i="1"/>
  <c r="K1652" i="1"/>
  <c r="K1651" i="1"/>
  <c r="I1651" i="1"/>
  <c r="G1651" i="1" s="1"/>
  <c r="I1650" i="1"/>
  <c r="K1650" i="1"/>
  <c r="K1649" i="1"/>
  <c r="I1649" i="1"/>
  <c r="G1649" i="1" s="1"/>
  <c r="I1648" i="1"/>
  <c r="K1648" i="1"/>
  <c r="K1647" i="1"/>
  <c r="I1647" i="1"/>
  <c r="G1647" i="1" s="1"/>
  <c r="I1646" i="1"/>
  <c r="K1646" i="1"/>
  <c r="I1645" i="1"/>
  <c r="K1645" i="1"/>
  <c r="K1644" i="1"/>
  <c r="I1644" i="1"/>
  <c r="G1644" i="1" s="1"/>
  <c r="I1643" i="1"/>
  <c r="K1643" i="1"/>
  <c r="K1642" i="1"/>
  <c r="I1642" i="1"/>
  <c r="G1642" i="1" s="1"/>
  <c r="I1641" i="1"/>
  <c r="K1641" i="1"/>
  <c r="K1640" i="1"/>
  <c r="I1640" i="1"/>
  <c r="G1640" i="1" s="1"/>
  <c r="I1638" i="1"/>
  <c r="K1638" i="1"/>
  <c r="K1637" i="1"/>
  <c r="I1637" i="1"/>
  <c r="G1637" i="1" s="1"/>
  <c r="I1636" i="1"/>
  <c r="K1636" i="1"/>
  <c r="I1635" i="1"/>
  <c r="K1635" i="1"/>
  <c r="I1634" i="1"/>
  <c r="K1634" i="1"/>
  <c r="K1633" i="1"/>
  <c r="I1633" i="1"/>
  <c r="G1633" i="1" s="1"/>
  <c r="K1632" i="1"/>
  <c r="I1632" i="1"/>
  <c r="G1632" i="1" s="1"/>
  <c r="I1631" i="1"/>
  <c r="K1631" i="1"/>
  <c r="K1630" i="1"/>
  <c r="I1630" i="1"/>
  <c r="G1630" i="1" s="1"/>
  <c r="I1629" i="1"/>
  <c r="K1629" i="1"/>
  <c r="I1628" i="1"/>
  <c r="K1628" i="1"/>
  <c r="I1627" i="1"/>
  <c r="K1627" i="1"/>
  <c r="K1626" i="1"/>
  <c r="I1626" i="1"/>
  <c r="G1626" i="1" s="1"/>
  <c r="K1625" i="1"/>
  <c r="I1625" i="1"/>
  <c r="G1625" i="1" s="1"/>
  <c r="I1624" i="1"/>
  <c r="K1624" i="1"/>
  <c r="K1623" i="1"/>
  <c r="I1623" i="1"/>
  <c r="G1623" i="1" s="1"/>
  <c r="I1622" i="1"/>
  <c r="K1622" i="1"/>
  <c r="K1621" i="1"/>
  <c r="I1621" i="1"/>
  <c r="G1621" i="1" s="1"/>
  <c r="K1619" i="1"/>
  <c r="I1619" i="1"/>
  <c r="G1619" i="1" s="1"/>
  <c r="I1618" i="1"/>
  <c r="K1618" i="1"/>
  <c r="K1617" i="1"/>
  <c r="I1617" i="1"/>
  <c r="G1617" i="1" s="1"/>
  <c r="I1616" i="1"/>
  <c r="K1616" i="1"/>
  <c r="I1615" i="1"/>
  <c r="K1615" i="1"/>
  <c r="I1614" i="1"/>
  <c r="K1614" i="1"/>
  <c r="I1613" i="1"/>
  <c r="K1613" i="1"/>
  <c r="I1612" i="1"/>
  <c r="K1612" i="1"/>
  <c r="K1611" i="1"/>
  <c r="I1611" i="1"/>
  <c r="G1611" i="1" s="1"/>
  <c r="I1610" i="1"/>
  <c r="K1610" i="1"/>
  <c r="K1609" i="1"/>
  <c r="I1609" i="1"/>
  <c r="G1609" i="1" s="1"/>
  <c r="K1608" i="1"/>
  <c r="I1608" i="1"/>
  <c r="G1608" i="1" s="1"/>
  <c r="I1607" i="1"/>
  <c r="K1607" i="1"/>
  <c r="I1606" i="1"/>
  <c r="K1606" i="1"/>
  <c r="I1605" i="1"/>
  <c r="K1605" i="1"/>
  <c r="I1604" i="1"/>
  <c r="K1604" i="1"/>
  <c r="I1603" i="1"/>
  <c r="K1603" i="1"/>
  <c r="I1602" i="1"/>
  <c r="K1602" i="1"/>
  <c r="I1601" i="1"/>
  <c r="K1601" i="1"/>
  <c r="K1599" i="1"/>
  <c r="I1599" i="1"/>
  <c r="G1599" i="1" s="1"/>
  <c r="K1598" i="1"/>
  <c r="I1598" i="1"/>
  <c r="G1598" i="1" s="1"/>
  <c r="K1597" i="1"/>
  <c r="I1597" i="1"/>
  <c r="G1597" i="1" s="1"/>
  <c r="K1596" i="1"/>
  <c r="I1596" i="1"/>
  <c r="G1596" i="1" s="1"/>
  <c r="I1595" i="1"/>
  <c r="K1595" i="1"/>
  <c r="I1594" i="1"/>
  <c r="K1594" i="1"/>
  <c r="I1593" i="1"/>
  <c r="K1593" i="1"/>
  <c r="I1592" i="1"/>
  <c r="K1592" i="1"/>
  <c r="K1590" i="1"/>
  <c r="I1590" i="1"/>
  <c r="G1590" i="1" s="1"/>
  <c r="K1589" i="1"/>
  <c r="I1589" i="1"/>
  <c r="G1589" i="1" s="1"/>
  <c r="K1588" i="1"/>
  <c r="I1588" i="1"/>
  <c r="G1588" i="1" s="1"/>
  <c r="K1587" i="1"/>
  <c r="I1587" i="1"/>
  <c r="G1587" i="1" s="1"/>
  <c r="I1586" i="1"/>
  <c r="K1586" i="1"/>
  <c r="I1585" i="1"/>
  <c r="K1585" i="1"/>
  <c r="I1584" i="1"/>
  <c r="K1584" i="1"/>
  <c r="K1583" i="1"/>
  <c r="I1583" i="1"/>
  <c r="G1583" i="1" s="1"/>
  <c r="K1582" i="1"/>
  <c r="I1582" i="1"/>
  <c r="G1582" i="1" s="1"/>
  <c r="I1580" i="1"/>
  <c r="K1580" i="1"/>
  <c r="K1579" i="1"/>
  <c r="I1579" i="1"/>
  <c r="G1579" i="1" s="1"/>
  <c r="K1578" i="1"/>
  <c r="I1578" i="1"/>
  <c r="G1578" i="1" s="1"/>
  <c r="I1577" i="1"/>
  <c r="K1577" i="1"/>
  <c r="I1576" i="1"/>
  <c r="K1576" i="1"/>
  <c r="I1575" i="1"/>
  <c r="K1575" i="1"/>
  <c r="I1574" i="1"/>
  <c r="K1574" i="1"/>
  <c r="I1573" i="1"/>
  <c r="K1573" i="1"/>
  <c r="K1572" i="1"/>
  <c r="I1572" i="1"/>
  <c r="G1572" i="1" s="1"/>
  <c r="I1571" i="1"/>
  <c r="K1571" i="1"/>
  <c r="I1570" i="1"/>
  <c r="K1570" i="1"/>
  <c r="I1569" i="1"/>
  <c r="K1569" i="1"/>
  <c r="I1568" i="1"/>
  <c r="K1568" i="1"/>
  <c r="K1567" i="1"/>
  <c r="I1567" i="1"/>
  <c r="G1567" i="1" s="1"/>
  <c r="K1566" i="1"/>
  <c r="I1566" i="1"/>
  <c r="G1566" i="1" s="1"/>
  <c r="K1565" i="1"/>
  <c r="I1565" i="1"/>
  <c r="G1565" i="1" s="1"/>
  <c r="K1564" i="1"/>
  <c r="I1564" i="1"/>
  <c r="G1564" i="1" s="1"/>
  <c r="K1563" i="1"/>
  <c r="I1563" i="1"/>
  <c r="G1563" i="1" s="1"/>
  <c r="I1562" i="1"/>
  <c r="K1562" i="1"/>
  <c r="K1561" i="1"/>
  <c r="I1561" i="1"/>
  <c r="G1561" i="1" s="1"/>
  <c r="I1560" i="1"/>
  <c r="K1560" i="1"/>
  <c r="K1559" i="1"/>
  <c r="I1559" i="1"/>
  <c r="G1559" i="1" s="1"/>
  <c r="K1558" i="1"/>
  <c r="I1558" i="1"/>
  <c r="G1558" i="1" s="1"/>
  <c r="K1557" i="1"/>
  <c r="I1557" i="1"/>
  <c r="G1557" i="1" s="1"/>
  <c r="K1556" i="1"/>
  <c r="I1556" i="1"/>
  <c r="G1556" i="1" s="1"/>
  <c r="K1554" i="1"/>
  <c r="I1554" i="1"/>
  <c r="G1554" i="1" s="1"/>
  <c r="I1553" i="1"/>
  <c r="K1553" i="1"/>
  <c r="K1552" i="1"/>
  <c r="I1552" i="1"/>
  <c r="G1552" i="1" s="1"/>
  <c r="I1551" i="1"/>
  <c r="K1551" i="1"/>
  <c r="K1550" i="1"/>
  <c r="I1550" i="1"/>
  <c r="G1550" i="1" s="1"/>
  <c r="I1549" i="1"/>
  <c r="K1549" i="1"/>
  <c r="I1548" i="1"/>
  <c r="K1548" i="1"/>
  <c r="K1547" i="1"/>
  <c r="I1547" i="1"/>
  <c r="G1547" i="1" s="1"/>
  <c r="K1546" i="1"/>
  <c r="I1546" i="1"/>
  <c r="G1546" i="1" s="1"/>
  <c r="K1545" i="1"/>
  <c r="I1545" i="1"/>
  <c r="G1545" i="1" s="1"/>
  <c r="K1544" i="1"/>
  <c r="I1544" i="1"/>
  <c r="G1544" i="1" s="1"/>
  <c r="K1542" i="1"/>
  <c r="I1542" i="1"/>
  <c r="K1541" i="1"/>
  <c r="I1541" i="1"/>
  <c r="G1541" i="1" s="1"/>
  <c r="K1540" i="1"/>
  <c r="I1540" i="1"/>
  <c r="G1540" i="1" s="1"/>
  <c r="K1539" i="1"/>
  <c r="I1539" i="1"/>
  <c r="G1539" i="1" s="1"/>
  <c r="I1538" i="1"/>
  <c r="K1538" i="1"/>
  <c r="K1537" i="1"/>
  <c r="I1537" i="1"/>
  <c r="G1537" i="1" s="1"/>
  <c r="I1535" i="1"/>
  <c r="K1535" i="1"/>
  <c r="I1534" i="1"/>
  <c r="K1534" i="1"/>
  <c r="K1533" i="1"/>
  <c r="I1533" i="1"/>
  <c r="G1533" i="1" s="1"/>
  <c r="I1532" i="1"/>
  <c r="K1532" i="1"/>
  <c r="K1531" i="1"/>
  <c r="I1531" i="1"/>
  <c r="G1531" i="1" s="1"/>
  <c r="I1530" i="1"/>
  <c r="K1530" i="1"/>
  <c r="I1529" i="1"/>
  <c r="K1529" i="1"/>
  <c r="K1528" i="1"/>
  <c r="I1528" i="1"/>
  <c r="G1528" i="1" s="1"/>
  <c r="K1527" i="1"/>
  <c r="I1527" i="1"/>
  <c r="G1527" i="1" s="1"/>
  <c r="K1526" i="1"/>
  <c r="I1526" i="1"/>
  <c r="G1526" i="1" s="1"/>
  <c r="K1525" i="1"/>
  <c r="I1525" i="1"/>
  <c r="G1525" i="1" s="1"/>
  <c r="K1524" i="1"/>
  <c r="I1524" i="1"/>
  <c r="G1524" i="1" s="1"/>
  <c r="K1523" i="1"/>
  <c r="I1523" i="1"/>
  <c r="G1523" i="1" s="1"/>
  <c r="I1522" i="1"/>
  <c r="K1522" i="1"/>
  <c r="I1521" i="1"/>
  <c r="K1521" i="1"/>
  <c r="I1520" i="1"/>
  <c r="K1520" i="1"/>
  <c r="K1519" i="1"/>
  <c r="I1519" i="1"/>
  <c r="G1519" i="1" s="1"/>
  <c r="I1518" i="1"/>
  <c r="K1518" i="1"/>
  <c r="I1517" i="1"/>
  <c r="K1517" i="1"/>
  <c r="I1516" i="1"/>
  <c r="K1516" i="1"/>
  <c r="K1515" i="1"/>
  <c r="I1515" i="1"/>
  <c r="G1515" i="1" s="1"/>
  <c r="K1514" i="1"/>
  <c r="I1514" i="1"/>
  <c r="G1514" i="1" s="1"/>
  <c r="I1513" i="1"/>
  <c r="K1513" i="1"/>
  <c r="K1512" i="1"/>
  <c r="I1512" i="1"/>
  <c r="G1512" i="1" s="1"/>
  <c r="I1511" i="1"/>
  <c r="K1511" i="1"/>
  <c r="I1510" i="1"/>
  <c r="K1510" i="1"/>
  <c r="I1509" i="1"/>
  <c r="K1509" i="1"/>
  <c r="I1508" i="1"/>
  <c r="K1508" i="1"/>
  <c r="K1507" i="1"/>
  <c r="I1507" i="1"/>
  <c r="G1507" i="1" s="1"/>
  <c r="K1506" i="1"/>
  <c r="I1506" i="1"/>
  <c r="G1506" i="1" s="1"/>
  <c r="K1505" i="1"/>
  <c r="I1505" i="1"/>
  <c r="G1505" i="1" s="1"/>
  <c r="K1504" i="1"/>
  <c r="I1504" i="1"/>
  <c r="G1504" i="1" s="1"/>
  <c r="I1503" i="1"/>
  <c r="K1503" i="1"/>
  <c r="I1502" i="1"/>
  <c r="K1502" i="1"/>
  <c r="K1501" i="1"/>
  <c r="I1501" i="1"/>
  <c r="G1501" i="1" s="1"/>
  <c r="K1500" i="1"/>
  <c r="I1500" i="1"/>
  <c r="G1500" i="1" s="1"/>
  <c r="K1499" i="1"/>
  <c r="I1499" i="1"/>
  <c r="G1499" i="1" s="1"/>
  <c r="I1498" i="1"/>
  <c r="K1498" i="1"/>
  <c r="K1497" i="1"/>
  <c r="I1497" i="1"/>
  <c r="G1497" i="1" s="1"/>
  <c r="I1496" i="1"/>
  <c r="K1496" i="1"/>
  <c r="I1495" i="1"/>
  <c r="K1495" i="1"/>
  <c r="I1494" i="1"/>
  <c r="K1494" i="1"/>
  <c r="I1493" i="1"/>
  <c r="K1493" i="1"/>
  <c r="K1492" i="1"/>
  <c r="I1492" i="1"/>
  <c r="G1492" i="1" s="1"/>
  <c r="K1491" i="1"/>
  <c r="I1491" i="1"/>
  <c r="G1491" i="1" s="1"/>
  <c r="K1490" i="1"/>
  <c r="I1490" i="1"/>
  <c r="G1490" i="1" s="1"/>
  <c r="K1489" i="1"/>
  <c r="I1489" i="1"/>
  <c r="G1489" i="1" s="1"/>
  <c r="I1488" i="1"/>
  <c r="K1488" i="1"/>
  <c r="I1487" i="1"/>
  <c r="K1487" i="1"/>
  <c r="K1486" i="1"/>
  <c r="I1486" i="1"/>
  <c r="G1486" i="1" s="1"/>
  <c r="K1484" i="1"/>
  <c r="I1484" i="1"/>
  <c r="G1484" i="1" s="1"/>
  <c r="K1483" i="1"/>
  <c r="I1483" i="1"/>
  <c r="G1483" i="1" s="1"/>
  <c r="K1482" i="1"/>
  <c r="I1482" i="1"/>
  <c r="G1482" i="1" s="1"/>
  <c r="I1481" i="1"/>
  <c r="K1481" i="1"/>
  <c r="K1480" i="1"/>
  <c r="I1480" i="1"/>
  <c r="G1480" i="1" s="1"/>
  <c r="I1479" i="1"/>
  <c r="K1479" i="1"/>
  <c r="I1478" i="1"/>
  <c r="K1478" i="1"/>
  <c r="I1477" i="1"/>
  <c r="K1477" i="1"/>
  <c r="I1476" i="1"/>
  <c r="K1476" i="1"/>
  <c r="K1475" i="1"/>
  <c r="I1475" i="1"/>
  <c r="G1475" i="1" s="1"/>
  <c r="K1474" i="1"/>
  <c r="I1474" i="1"/>
  <c r="G1474" i="1" s="1"/>
  <c r="I1473" i="1"/>
  <c r="K1473" i="1"/>
  <c r="K1472" i="1"/>
  <c r="I1472" i="1"/>
  <c r="G1472" i="1" s="1"/>
  <c r="K1471" i="1"/>
  <c r="I1471" i="1"/>
  <c r="G1471" i="1" s="1"/>
  <c r="I1470" i="1"/>
  <c r="K1470" i="1"/>
  <c r="I1469" i="1"/>
  <c r="K1469" i="1"/>
  <c r="K1468" i="1"/>
  <c r="I1468" i="1"/>
  <c r="G1468" i="1" s="1"/>
  <c r="K1467" i="1"/>
  <c r="I1467" i="1"/>
  <c r="G1467" i="1" s="1"/>
  <c r="K1466" i="1"/>
  <c r="I1466" i="1"/>
  <c r="G1466" i="1" s="1"/>
  <c r="K1465" i="1"/>
  <c r="I1465" i="1"/>
  <c r="G1465" i="1" s="1"/>
  <c r="K1464" i="1"/>
  <c r="I1464" i="1"/>
  <c r="G1464" i="1" s="1"/>
  <c r="K1463" i="1"/>
  <c r="I1463" i="1"/>
  <c r="G1463" i="1" s="1"/>
  <c r="K1462" i="1"/>
  <c r="I1462" i="1"/>
  <c r="G1462" i="1" s="1"/>
  <c r="K1461" i="1"/>
  <c r="I1461" i="1"/>
  <c r="G1461" i="1" s="1"/>
  <c r="K1460" i="1"/>
  <c r="I1460" i="1"/>
  <c r="G1460" i="1" s="1"/>
  <c r="K1459" i="1"/>
  <c r="I1459" i="1"/>
  <c r="G1459" i="1" s="1"/>
  <c r="K1458" i="1"/>
  <c r="I1458" i="1"/>
  <c r="G1458" i="1" s="1"/>
  <c r="I1457" i="1"/>
  <c r="K1457" i="1"/>
  <c r="K1456" i="1"/>
  <c r="I1456" i="1"/>
  <c r="G1456" i="1" s="1"/>
  <c r="I1455" i="1"/>
  <c r="K1455" i="1"/>
  <c r="K1453" i="1"/>
  <c r="I1453" i="1"/>
  <c r="G1453" i="1" s="1"/>
  <c r="I1452" i="1"/>
  <c r="K1452" i="1"/>
  <c r="I1451" i="1"/>
  <c r="K1451" i="1"/>
  <c r="I1450" i="1"/>
  <c r="K1450" i="1"/>
  <c r="K1449" i="1"/>
  <c r="I1449" i="1"/>
  <c r="G1449" i="1" s="1"/>
  <c r="K1448" i="1"/>
  <c r="I1448" i="1"/>
  <c r="G1448" i="1" s="1"/>
  <c r="K1447" i="1"/>
  <c r="I1447" i="1"/>
  <c r="G1447" i="1" s="1"/>
  <c r="K1446" i="1"/>
  <c r="I1446" i="1"/>
  <c r="G1446" i="1" s="1"/>
  <c r="K1445" i="1"/>
  <c r="I1445" i="1"/>
  <c r="G1445" i="1" s="1"/>
  <c r="K1444" i="1"/>
  <c r="I1444" i="1"/>
  <c r="G1444" i="1" s="1"/>
  <c r="K1443" i="1"/>
  <c r="I1443" i="1"/>
  <c r="G1443" i="1" s="1"/>
  <c r="K1442" i="1"/>
  <c r="I1442" i="1"/>
  <c r="G1442" i="1" s="1"/>
  <c r="K1441" i="1"/>
  <c r="I1441" i="1"/>
  <c r="G1441" i="1" s="1"/>
  <c r="I1440" i="1"/>
  <c r="K1440" i="1"/>
  <c r="I1439" i="1"/>
  <c r="K1439" i="1"/>
  <c r="I1438" i="1"/>
  <c r="K1438" i="1"/>
  <c r="K1437" i="1"/>
  <c r="I1437" i="1"/>
  <c r="G1437" i="1" s="1"/>
  <c r="I1436" i="1"/>
  <c r="K1436" i="1"/>
  <c r="K1435" i="1"/>
  <c r="I1435" i="1"/>
  <c r="G1435" i="1" s="1"/>
  <c r="K1434" i="1"/>
  <c r="I1434" i="1"/>
  <c r="G1434" i="1" s="1"/>
  <c r="K1433" i="1"/>
  <c r="I1433" i="1"/>
  <c r="G1433" i="1" s="1"/>
  <c r="K1432" i="1"/>
  <c r="I1432" i="1"/>
  <c r="G1432" i="1" s="1"/>
  <c r="K1431" i="1"/>
  <c r="I1431" i="1"/>
  <c r="G1431" i="1" s="1"/>
  <c r="K1430" i="1"/>
  <c r="I1430" i="1"/>
  <c r="G1430" i="1" s="1"/>
  <c r="K1429" i="1"/>
  <c r="I1429" i="1"/>
  <c r="G1429" i="1" s="1"/>
  <c r="K1428" i="1"/>
  <c r="I1428" i="1"/>
  <c r="G1428" i="1" s="1"/>
  <c r="K1427" i="1"/>
  <c r="I1427" i="1"/>
  <c r="G1427" i="1" s="1"/>
  <c r="K1426" i="1"/>
  <c r="I1426" i="1"/>
  <c r="G1426" i="1" s="1"/>
  <c r="K1425" i="1"/>
  <c r="I1425" i="1"/>
  <c r="G1425" i="1" s="1"/>
  <c r="K1424" i="1"/>
  <c r="I1424" i="1"/>
  <c r="G1424" i="1" s="1"/>
  <c r="K1423" i="1"/>
  <c r="I1423" i="1"/>
  <c r="G1423" i="1" s="1"/>
  <c r="K1422" i="1"/>
  <c r="I1422" i="1"/>
  <c r="G1422" i="1" s="1"/>
  <c r="K1421" i="1"/>
  <c r="I1421" i="1"/>
  <c r="G1421" i="1" s="1"/>
  <c r="K1420" i="1"/>
  <c r="I1420" i="1"/>
  <c r="G1420" i="1" s="1"/>
  <c r="K1419" i="1"/>
  <c r="I1419" i="1"/>
  <c r="G1419" i="1" s="1"/>
  <c r="K1418" i="1"/>
  <c r="I1418" i="1"/>
  <c r="G1418" i="1" s="1"/>
  <c r="K1417" i="1"/>
  <c r="I1417" i="1"/>
  <c r="G1417" i="1" s="1"/>
  <c r="K1416" i="1"/>
  <c r="I1416" i="1"/>
  <c r="G1416" i="1" s="1"/>
  <c r="K1415" i="1"/>
  <c r="I1415" i="1"/>
  <c r="G1415" i="1" s="1"/>
  <c r="K1414" i="1"/>
  <c r="I1414" i="1"/>
  <c r="G1414" i="1" s="1"/>
  <c r="K1413" i="1"/>
  <c r="I1413" i="1"/>
  <c r="G1413" i="1" s="1"/>
  <c r="K1412" i="1"/>
  <c r="I1412" i="1"/>
  <c r="G1412" i="1" s="1"/>
  <c r="K1411" i="1"/>
  <c r="I1411" i="1"/>
  <c r="G1411" i="1" s="1"/>
  <c r="K1410" i="1"/>
  <c r="I1410" i="1"/>
  <c r="G1410" i="1" s="1"/>
  <c r="K1408" i="1"/>
  <c r="I1408" i="1"/>
  <c r="G1408" i="1" s="1"/>
  <c r="K1407" i="1"/>
  <c r="I1407" i="1"/>
  <c r="G1407" i="1" s="1"/>
  <c r="K1406" i="1"/>
  <c r="I1406" i="1"/>
  <c r="G1406" i="1" s="1"/>
  <c r="K1405" i="1"/>
  <c r="I1405" i="1"/>
  <c r="G1405" i="1" s="1"/>
  <c r="K1404" i="1"/>
  <c r="I1404" i="1"/>
  <c r="G1404" i="1" s="1"/>
  <c r="K1403" i="1"/>
  <c r="I1403" i="1"/>
  <c r="G1403" i="1" s="1"/>
  <c r="K1402" i="1"/>
  <c r="I1402" i="1"/>
  <c r="G1402" i="1" s="1"/>
  <c r="K1401" i="1"/>
  <c r="I1401" i="1"/>
  <c r="G1401" i="1" s="1"/>
  <c r="K1399" i="1"/>
  <c r="I1399" i="1"/>
  <c r="G1399" i="1" s="1"/>
  <c r="I1398" i="1"/>
  <c r="K1398" i="1"/>
  <c r="I1397" i="1"/>
  <c r="K1397" i="1"/>
  <c r="I1396" i="1"/>
  <c r="K1396" i="1"/>
  <c r="K1395" i="1"/>
  <c r="I1395" i="1"/>
  <c r="G1395" i="1" s="1"/>
  <c r="I1394" i="1"/>
  <c r="K1394" i="1"/>
  <c r="I1392" i="1"/>
  <c r="K1392" i="1"/>
  <c r="K1391" i="1"/>
  <c r="I1391" i="1"/>
  <c r="G1391" i="1" s="1"/>
  <c r="I1390" i="1"/>
  <c r="K1390" i="1"/>
  <c r="I1389" i="1"/>
  <c r="K1389" i="1"/>
  <c r="K1388" i="1"/>
  <c r="I1388" i="1"/>
  <c r="G1388" i="1" s="1"/>
  <c r="K1387" i="1"/>
  <c r="I1387" i="1"/>
  <c r="G1387" i="1" s="1"/>
  <c r="K1386" i="1"/>
  <c r="I1386" i="1"/>
  <c r="G1386" i="1" s="1"/>
  <c r="I1385" i="1"/>
  <c r="K1385" i="1"/>
  <c r="I1384" i="1"/>
  <c r="K1384" i="1"/>
  <c r="K1382" i="1"/>
  <c r="I1382" i="1"/>
  <c r="G1382" i="1" s="1"/>
  <c r="K1381" i="1"/>
  <c r="I1381" i="1"/>
  <c r="G1381" i="1" s="1"/>
  <c r="I1380" i="1"/>
  <c r="K1380" i="1"/>
  <c r="I1379" i="1"/>
  <c r="K1379" i="1"/>
  <c r="K1378" i="1"/>
  <c r="I1378" i="1"/>
  <c r="G1378" i="1" s="1"/>
  <c r="I1377" i="1"/>
  <c r="K1377" i="1"/>
  <c r="I1375" i="1"/>
  <c r="K1375" i="1"/>
  <c r="K1374" i="1"/>
  <c r="I1374" i="1"/>
  <c r="G1374" i="1" s="1"/>
  <c r="K1373" i="1"/>
  <c r="I1373" i="1"/>
  <c r="G1373" i="1" s="1"/>
  <c r="I1372" i="1"/>
  <c r="K1372" i="1"/>
  <c r="K1371" i="1"/>
  <c r="I1371" i="1"/>
  <c r="G1371" i="1" s="1"/>
  <c r="K1370" i="1"/>
  <c r="I1370" i="1"/>
  <c r="G1370" i="1" s="1"/>
  <c r="I1368" i="1"/>
  <c r="K1368" i="1"/>
  <c r="K1367" i="1"/>
  <c r="I1367" i="1"/>
  <c r="G1367" i="1" s="1"/>
  <c r="K1365" i="1"/>
  <c r="I1365" i="1"/>
  <c r="G1365" i="1" s="1"/>
  <c r="I1364" i="1"/>
  <c r="K1364" i="1"/>
  <c r="K1363" i="1"/>
  <c r="I1363" i="1"/>
  <c r="G1363" i="1" s="1"/>
  <c r="K1362" i="1"/>
  <c r="I1362" i="1"/>
  <c r="G1362" i="1" s="1"/>
  <c r="K1361" i="1"/>
  <c r="I1361" i="1"/>
  <c r="G1361" i="1" s="1"/>
  <c r="K1359" i="1"/>
  <c r="I1359" i="1"/>
  <c r="G1359" i="1" s="1"/>
  <c r="I1358" i="1"/>
  <c r="K1358" i="1"/>
  <c r="I1357" i="1"/>
  <c r="K1357" i="1"/>
  <c r="I1356" i="1"/>
  <c r="K1356" i="1"/>
  <c r="K1355" i="1"/>
  <c r="I1355" i="1"/>
  <c r="G1355" i="1" s="1"/>
  <c r="K1354" i="1"/>
  <c r="I1354" i="1"/>
  <c r="G1354" i="1" s="1"/>
  <c r="I1353" i="1"/>
  <c r="K1353" i="1"/>
  <c r="K1352" i="1"/>
  <c r="I1352" i="1"/>
  <c r="G1352" i="1" s="1"/>
  <c r="I1351" i="1"/>
  <c r="K1351" i="1"/>
  <c r="K1349" i="1"/>
  <c r="I1349" i="1"/>
  <c r="G1349" i="1" s="1"/>
  <c r="I1348" i="1"/>
  <c r="K1348" i="1"/>
  <c r="I1347" i="1"/>
  <c r="K1347" i="1"/>
  <c r="I1346" i="1"/>
  <c r="K1346" i="1"/>
  <c r="K1345" i="1"/>
  <c r="I1345" i="1"/>
  <c r="G1345" i="1" s="1"/>
  <c r="K1344" i="1"/>
  <c r="I1344" i="1"/>
  <c r="G1344" i="1" s="1"/>
  <c r="K1343" i="1"/>
  <c r="I1343" i="1"/>
  <c r="I1342" i="1"/>
  <c r="K1342" i="1"/>
  <c r="I1341" i="1"/>
  <c r="K1341" i="1"/>
  <c r="I1340" i="1"/>
  <c r="K1340" i="1"/>
  <c r="K1339" i="1"/>
  <c r="I1339" i="1"/>
  <c r="G1339" i="1" s="1"/>
  <c r="I1338" i="1"/>
  <c r="K1338" i="1"/>
  <c r="I1336" i="1"/>
  <c r="K1336" i="1"/>
  <c r="I1335" i="1"/>
  <c r="K1335" i="1"/>
  <c r="I1334" i="1"/>
  <c r="K1334" i="1"/>
  <c r="I1333" i="1"/>
  <c r="K1333" i="1"/>
  <c r="I1332" i="1"/>
  <c r="K1332" i="1"/>
  <c r="K1331" i="1"/>
  <c r="I1331" i="1"/>
  <c r="G1331" i="1" s="1"/>
  <c r="I1330" i="1"/>
  <c r="K1330" i="1"/>
  <c r="I1329" i="1"/>
  <c r="K1329" i="1"/>
  <c r="K1327" i="1"/>
  <c r="I1327" i="1"/>
  <c r="G1327" i="1" s="1"/>
  <c r="I1326" i="1"/>
  <c r="K1326" i="1"/>
  <c r="K1325" i="1"/>
  <c r="I1325" i="1"/>
  <c r="G1325" i="1" s="1"/>
  <c r="I1324" i="1"/>
  <c r="K1324" i="1"/>
  <c r="I1323" i="1"/>
  <c r="K1323" i="1"/>
  <c r="K1322" i="1"/>
  <c r="I1322" i="1"/>
  <c r="G1322" i="1" s="1"/>
  <c r="I1321" i="1"/>
  <c r="K1321" i="1"/>
  <c r="I1320" i="1"/>
  <c r="K1320" i="1"/>
  <c r="K1319" i="1"/>
  <c r="I1319" i="1"/>
  <c r="G1319" i="1" s="1"/>
  <c r="I1318" i="1"/>
  <c r="K1318" i="1"/>
  <c r="K1317" i="1"/>
  <c r="I1317" i="1"/>
  <c r="G1317" i="1" s="1"/>
  <c r="I1316" i="1"/>
  <c r="K1316" i="1"/>
  <c r="I1314" i="1"/>
  <c r="K1314" i="1"/>
  <c r="K1313" i="1"/>
  <c r="I1313" i="1"/>
  <c r="G1313" i="1" s="1"/>
  <c r="I1312" i="1"/>
  <c r="K1312" i="1"/>
  <c r="K1310" i="1"/>
  <c r="I1310" i="1"/>
  <c r="G1310" i="1" s="1"/>
  <c r="I1309" i="1"/>
  <c r="K1309" i="1"/>
  <c r="I1308" i="1"/>
  <c r="K1308" i="1"/>
  <c r="K1307" i="1"/>
  <c r="I1307" i="1"/>
  <c r="G1307" i="1" s="1"/>
  <c r="K1306" i="1"/>
  <c r="I1306" i="1"/>
  <c r="G1306" i="1" s="1"/>
  <c r="K1305" i="1"/>
  <c r="I1305" i="1"/>
  <c r="G1305" i="1" s="1"/>
  <c r="K1304" i="1"/>
  <c r="I1304" i="1"/>
  <c r="G1304" i="1" s="1"/>
  <c r="K1303" i="1"/>
  <c r="I1303" i="1"/>
  <c r="G1303" i="1" s="1"/>
  <c r="I1302" i="1"/>
  <c r="K1302" i="1"/>
  <c r="I1301" i="1"/>
  <c r="K1301" i="1"/>
  <c r="I1300" i="1"/>
  <c r="K1300" i="1"/>
  <c r="I1299" i="1"/>
  <c r="K1299" i="1"/>
  <c r="K1298" i="1"/>
  <c r="I1298" i="1"/>
  <c r="G1298" i="1" s="1"/>
  <c r="I1296" i="1"/>
  <c r="K1296" i="1"/>
  <c r="K1295" i="1"/>
  <c r="I1295" i="1"/>
  <c r="G1295" i="1" s="1"/>
  <c r="K1294" i="1"/>
  <c r="I1294" i="1"/>
  <c r="G1294" i="1" s="1"/>
  <c r="K1293" i="1"/>
  <c r="I1293" i="1"/>
  <c r="G1293" i="1" s="1"/>
  <c r="K1292" i="1"/>
  <c r="I1292" i="1"/>
  <c r="G1292" i="1" s="1"/>
  <c r="I1291" i="1"/>
  <c r="K1291" i="1"/>
  <c r="K1290" i="1"/>
  <c r="I1290" i="1"/>
  <c r="G1290" i="1" s="1"/>
  <c r="K1289" i="1"/>
  <c r="I1289" i="1"/>
  <c r="G1289" i="1" s="1"/>
  <c r="K1288" i="1"/>
  <c r="I1288" i="1"/>
  <c r="G1288" i="1" s="1"/>
  <c r="K1287" i="1"/>
  <c r="I1287" i="1"/>
  <c r="G1287" i="1" s="1"/>
  <c r="K1286" i="1"/>
  <c r="I1286" i="1"/>
  <c r="G1286" i="1" s="1"/>
  <c r="K1285" i="1"/>
  <c r="I1285" i="1"/>
  <c r="G1285" i="1" s="1"/>
  <c r="K1284" i="1"/>
  <c r="I1284" i="1"/>
  <c r="G1284" i="1" s="1"/>
  <c r="K1283" i="1"/>
  <c r="I1283" i="1"/>
  <c r="G1283" i="1" s="1"/>
  <c r="I1282" i="1"/>
  <c r="K1282" i="1"/>
  <c r="I1281" i="1"/>
  <c r="K1281" i="1"/>
  <c r="K1279" i="1"/>
  <c r="I1279" i="1"/>
  <c r="G1279" i="1" s="1"/>
  <c r="I1278" i="1"/>
  <c r="K1278" i="1"/>
  <c r="I1277" i="1"/>
  <c r="K1277" i="1"/>
  <c r="I1276" i="1"/>
  <c r="K1276" i="1"/>
  <c r="K1275" i="1"/>
  <c r="I1275" i="1"/>
  <c r="G1275" i="1" s="1"/>
  <c r="K1274" i="1"/>
  <c r="I1274" i="1"/>
  <c r="G1274" i="1" s="1"/>
  <c r="K1273" i="1"/>
  <c r="I1273" i="1"/>
  <c r="G1273" i="1" s="1"/>
  <c r="I1272" i="1"/>
  <c r="K1272" i="1"/>
  <c r="I1271" i="1"/>
  <c r="K1271" i="1"/>
  <c r="K1270" i="1"/>
  <c r="I1270" i="1"/>
  <c r="G1270" i="1" s="1"/>
  <c r="I1269" i="1"/>
  <c r="K1269" i="1"/>
  <c r="I1267" i="1"/>
  <c r="K1267" i="1"/>
  <c r="I1266" i="1"/>
  <c r="K1266" i="1"/>
  <c r="K1265" i="1"/>
  <c r="I1265" i="1"/>
  <c r="G1265" i="1" s="1"/>
  <c r="K1264" i="1"/>
  <c r="I1264" i="1"/>
  <c r="G1264" i="1" s="1"/>
  <c r="K1263" i="1"/>
  <c r="I1263" i="1"/>
  <c r="G1263" i="1" s="1"/>
  <c r="I1262" i="1"/>
  <c r="K1262" i="1"/>
  <c r="K1261" i="1"/>
  <c r="I1261" i="1"/>
  <c r="G1261" i="1" s="1"/>
  <c r="I1260" i="1"/>
  <c r="K1260" i="1"/>
  <c r="I1259" i="1"/>
  <c r="K1259" i="1"/>
  <c r="K1258" i="1"/>
  <c r="I1258" i="1"/>
  <c r="G1258" i="1" s="1"/>
  <c r="K1257" i="1"/>
  <c r="I1257" i="1"/>
  <c r="G1257" i="1" s="1"/>
  <c r="K1256" i="1"/>
  <c r="I1256" i="1"/>
  <c r="G1256" i="1" s="1"/>
  <c r="K1255" i="1"/>
  <c r="I1255" i="1"/>
  <c r="G1255" i="1" s="1"/>
  <c r="K1254" i="1"/>
  <c r="I1254" i="1"/>
  <c r="G1254" i="1" s="1"/>
  <c r="K1253" i="1"/>
  <c r="I1253" i="1"/>
  <c r="G1253" i="1" s="1"/>
  <c r="K1252" i="1"/>
  <c r="I1252" i="1"/>
  <c r="G1252" i="1" s="1"/>
  <c r="K1251" i="1"/>
  <c r="I1251" i="1"/>
  <c r="G1251" i="1" s="1"/>
  <c r="I1250" i="1"/>
  <c r="K1250" i="1"/>
  <c r="I1249" i="1"/>
  <c r="K1249" i="1"/>
  <c r="I1248" i="1"/>
  <c r="K1248" i="1"/>
  <c r="I1247" i="1"/>
  <c r="K1247" i="1"/>
  <c r="I1246" i="1"/>
  <c r="K1246" i="1"/>
  <c r="I1244" i="1"/>
  <c r="K1244" i="1"/>
  <c r="I1242" i="1"/>
  <c r="K1242" i="1"/>
  <c r="I1241" i="1"/>
  <c r="K1241" i="1"/>
  <c r="I1240" i="1"/>
  <c r="K1240" i="1"/>
  <c r="I1239" i="1"/>
  <c r="K1239" i="1"/>
  <c r="K1238" i="1"/>
  <c r="I1238" i="1"/>
  <c r="G1238" i="1" s="1"/>
  <c r="K1237" i="1"/>
  <c r="I1237" i="1"/>
  <c r="G1237" i="1" s="1"/>
  <c r="K1236" i="1"/>
  <c r="I1236" i="1"/>
  <c r="G1236" i="1" s="1"/>
  <c r="I1235" i="1"/>
  <c r="K1235" i="1"/>
  <c r="I1234" i="1"/>
  <c r="K1234" i="1"/>
  <c r="K1233" i="1"/>
  <c r="I1233" i="1"/>
  <c r="G1233" i="1" s="1"/>
  <c r="K1232" i="1"/>
  <c r="I1232" i="1"/>
  <c r="G1232" i="1" s="1"/>
  <c r="I1231" i="1"/>
  <c r="K1231" i="1"/>
  <c r="I1230" i="1"/>
  <c r="K1230" i="1"/>
  <c r="I1229" i="1"/>
  <c r="K1229" i="1"/>
  <c r="I1228" i="1"/>
  <c r="K1228" i="1"/>
  <c r="K1227" i="1"/>
  <c r="I1227" i="1"/>
  <c r="G1227" i="1" s="1"/>
  <c r="K1226" i="1"/>
  <c r="I1226" i="1"/>
  <c r="G1226" i="1" s="1"/>
  <c r="K1224" i="1"/>
  <c r="I1224" i="1"/>
  <c r="G1224" i="1" s="1"/>
  <c r="K1223" i="1"/>
  <c r="I1223" i="1"/>
  <c r="G1223" i="1" s="1"/>
  <c r="I1222" i="1"/>
  <c r="K1222" i="1"/>
  <c r="K1221" i="1"/>
  <c r="I1221" i="1"/>
  <c r="G1221" i="1" s="1"/>
  <c r="I1220" i="1"/>
  <c r="K1220" i="1"/>
  <c r="K1219" i="1"/>
  <c r="I1219" i="1"/>
  <c r="G1219" i="1" s="1"/>
  <c r="I1218" i="1"/>
  <c r="K1218" i="1"/>
  <c r="K1217" i="1"/>
  <c r="I1217" i="1"/>
  <c r="G1217" i="1" s="1"/>
  <c r="I1216" i="1"/>
  <c r="K1216" i="1"/>
  <c r="K1215" i="1"/>
  <c r="I1215" i="1"/>
  <c r="G1215" i="1" s="1"/>
  <c r="K1214" i="1"/>
  <c r="I1214" i="1"/>
  <c r="G1214" i="1" s="1"/>
  <c r="I1213" i="1"/>
  <c r="K1213" i="1"/>
  <c r="K1212" i="1"/>
  <c r="I1212" i="1"/>
  <c r="G1212" i="1" s="1"/>
  <c r="K1211" i="1"/>
  <c r="I1211" i="1"/>
  <c r="G1211" i="1" s="1"/>
  <c r="K1210" i="1"/>
  <c r="I1210" i="1"/>
  <c r="G1210" i="1" s="1"/>
  <c r="I1209" i="1"/>
  <c r="K1209" i="1"/>
  <c r="I1208" i="1"/>
  <c r="K1208" i="1"/>
  <c r="I1207" i="1"/>
  <c r="K1207" i="1"/>
  <c r="I1206" i="1"/>
  <c r="K1206" i="1"/>
  <c r="I1205" i="1"/>
  <c r="K1205" i="1"/>
  <c r="I1204" i="1"/>
  <c r="K1204" i="1"/>
  <c r="I1203" i="1"/>
  <c r="K1203" i="1"/>
  <c r="K1202" i="1"/>
  <c r="I1202" i="1"/>
  <c r="G1202" i="1" s="1"/>
  <c r="I1200" i="1"/>
  <c r="K1200" i="1"/>
  <c r="K1199" i="1"/>
  <c r="I1199" i="1"/>
  <c r="G1199" i="1" s="1"/>
  <c r="K1198" i="1"/>
  <c r="I1198" i="1"/>
  <c r="G1198" i="1" s="1"/>
  <c r="K1196" i="1"/>
  <c r="I1196" i="1"/>
  <c r="G1196" i="1" s="1"/>
  <c r="K1194" i="1"/>
  <c r="I1194" i="1"/>
  <c r="G1194" i="1" s="1"/>
  <c r="K1193" i="1"/>
  <c r="I1193" i="1"/>
  <c r="G1193" i="1" s="1"/>
  <c r="K1192" i="1"/>
  <c r="I1192" i="1"/>
  <c r="G1192" i="1" s="1"/>
  <c r="K1191" i="1"/>
  <c r="I1191" i="1"/>
  <c r="G1191" i="1" s="1"/>
  <c r="I1190" i="1"/>
  <c r="K1190" i="1"/>
  <c r="K1189" i="1"/>
  <c r="I1189" i="1"/>
  <c r="G1189" i="1" s="1"/>
  <c r="K1188" i="1"/>
  <c r="I1188" i="1"/>
  <c r="G1188" i="1" s="1"/>
  <c r="K1187" i="1"/>
  <c r="I1187" i="1"/>
  <c r="G1187" i="1" s="1"/>
  <c r="I1186" i="1"/>
  <c r="K1186" i="1"/>
  <c r="K1184" i="1"/>
  <c r="I1184" i="1"/>
  <c r="G1184" i="1" s="1"/>
  <c r="K1183" i="1"/>
  <c r="I1183" i="1"/>
  <c r="G1183" i="1" s="1"/>
  <c r="K1182" i="1"/>
  <c r="I1182" i="1"/>
  <c r="G1182" i="1" s="1"/>
  <c r="I1181" i="1"/>
  <c r="K1181" i="1"/>
  <c r="I1180" i="1"/>
  <c r="K1180" i="1"/>
  <c r="K1178" i="1"/>
  <c r="I1178" i="1"/>
  <c r="G1178" i="1" s="1"/>
  <c r="I1177" i="1"/>
  <c r="K1177" i="1"/>
  <c r="I1176" i="1"/>
  <c r="K1176" i="1"/>
  <c r="I1174" i="1"/>
  <c r="K1174" i="1"/>
  <c r="K1173" i="1"/>
  <c r="I1173" i="1"/>
  <c r="G1173" i="1" s="1"/>
  <c r="K1172" i="1"/>
  <c r="I1172" i="1"/>
  <c r="G1172" i="1" s="1"/>
  <c r="K1171" i="1"/>
  <c r="I1171" i="1"/>
  <c r="G1171" i="1" s="1"/>
  <c r="K1170" i="1"/>
  <c r="I1170" i="1"/>
  <c r="G1170" i="1" s="1"/>
  <c r="K1168" i="1"/>
  <c r="I1168" i="1"/>
  <c r="G1168" i="1" s="1"/>
  <c r="I1167" i="1"/>
  <c r="K1167" i="1"/>
  <c r="I1166" i="1"/>
  <c r="K1166" i="1"/>
  <c r="I1165" i="1"/>
  <c r="K1165" i="1"/>
  <c r="I1164" i="1"/>
  <c r="K1164" i="1"/>
  <c r="K1163" i="1"/>
  <c r="I1163" i="1"/>
  <c r="G1163" i="1" s="1"/>
  <c r="K1162" i="1"/>
  <c r="I1162" i="1"/>
  <c r="G1162" i="1" s="1"/>
  <c r="K1161" i="1"/>
  <c r="I1161" i="1"/>
  <c r="G1161" i="1" s="1"/>
  <c r="I1160" i="1"/>
  <c r="K1160" i="1"/>
  <c r="K1159" i="1"/>
  <c r="I1159" i="1"/>
  <c r="G1159" i="1" s="1"/>
  <c r="K1158" i="1"/>
  <c r="I1158" i="1"/>
  <c r="G1158" i="1" s="1"/>
  <c r="K1157" i="1"/>
  <c r="I1157" i="1"/>
  <c r="G1157" i="1" s="1"/>
  <c r="K1156" i="1"/>
  <c r="I1156" i="1"/>
  <c r="I1155" i="1"/>
  <c r="K1155" i="1"/>
  <c r="I1154" i="1"/>
  <c r="K1154" i="1"/>
  <c r="K1153" i="1"/>
  <c r="I1153" i="1"/>
  <c r="G1153" i="1" s="1"/>
  <c r="K1152" i="1"/>
  <c r="I1152" i="1"/>
  <c r="G1152" i="1" s="1"/>
  <c r="K1151" i="1"/>
  <c r="I1151" i="1"/>
  <c r="G1151" i="1" s="1"/>
  <c r="K1150" i="1"/>
  <c r="I1150" i="1"/>
  <c r="G1150" i="1" s="1"/>
  <c r="K1149" i="1"/>
  <c r="I1149" i="1"/>
  <c r="G1149" i="1" s="1"/>
  <c r="K1148" i="1"/>
  <c r="I1148" i="1"/>
  <c r="G1148" i="1" s="1"/>
  <c r="K1147" i="1"/>
  <c r="I1147" i="1"/>
  <c r="G1147" i="1" s="1"/>
  <c r="K1146" i="1"/>
  <c r="I1146" i="1"/>
  <c r="G1146" i="1" s="1"/>
  <c r="K1145" i="1"/>
  <c r="I1145" i="1"/>
  <c r="G1145" i="1" s="1"/>
  <c r="K1144" i="1"/>
  <c r="I1144" i="1"/>
  <c r="G1144" i="1" s="1"/>
  <c r="K1143" i="1"/>
  <c r="I1143" i="1"/>
  <c r="G1143" i="1" s="1"/>
  <c r="I1142" i="1"/>
  <c r="K1142" i="1"/>
  <c r="I1141" i="1"/>
  <c r="K1141" i="1"/>
  <c r="I1140" i="1"/>
  <c r="K1140" i="1"/>
  <c r="K1139" i="1"/>
  <c r="I1139" i="1"/>
  <c r="G1139" i="1" s="1"/>
  <c r="K1138" i="1"/>
  <c r="I1138" i="1"/>
  <c r="K1137" i="1"/>
  <c r="I1137" i="1"/>
  <c r="I1136" i="1"/>
  <c r="K1136" i="1"/>
  <c r="K1135" i="1"/>
  <c r="I1135" i="1"/>
  <c r="G1135" i="1" s="1"/>
  <c r="I1134" i="1"/>
  <c r="K1134" i="1"/>
  <c r="K1133" i="1"/>
  <c r="I1133" i="1"/>
  <c r="G1133" i="1" s="1"/>
  <c r="I1132" i="1"/>
  <c r="K1132" i="1"/>
  <c r="K1131" i="1"/>
  <c r="I1131" i="1"/>
  <c r="G1131" i="1" s="1"/>
  <c r="K1129" i="1"/>
  <c r="I1129" i="1"/>
  <c r="G1129" i="1" s="1"/>
  <c r="K1128" i="1"/>
  <c r="I1128" i="1"/>
  <c r="G1128" i="1" s="1"/>
  <c r="K1127" i="1"/>
  <c r="I1127" i="1"/>
  <c r="G1127" i="1" s="1"/>
  <c r="I1126" i="1"/>
  <c r="K1126" i="1"/>
  <c r="K1125" i="1"/>
  <c r="I1125" i="1"/>
  <c r="G1125" i="1" s="1"/>
  <c r="K1124" i="1"/>
  <c r="I1124" i="1"/>
  <c r="G1124" i="1" s="1"/>
  <c r="I1123" i="1"/>
  <c r="K1123" i="1"/>
  <c r="K1122" i="1"/>
  <c r="I1122" i="1"/>
  <c r="G1122" i="1" s="1"/>
  <c r="K1120" i="1"/>
  <c r="I1120" i="1"/>
  <c r="G1120" i="1" s="1"/>
  <c r="K1119" i="1"/>
  <c r="I1119" i="1"/>
  <c r="G1119" i="1" s="1"/>
  <c r="I1118" i="1"/>
  <c r="K1118" i="1"/>
  <c r="K1117" i="1"/>
  <c r="I1117" i="1"/>
  <c r="G1117" i="1" s="1"/>
  <c r="K1116" i="1"/>
  <c r="I1116" i="1"/>
  <c r="G1116" i="1" s="1"/>
  <c r="I1115" i="1"/>
  <c r="K1115" i="1"/>
  <c r="K1113" i="1"/>
  <c r="I1113" i="1"/>
  <c r="I1112" i="1"/>
  <c r="K1112" i="1"/>
  <c r="I1111" i="1"/>
  <c r="K1111" i="1"/>
  <c r="I1110" i="1"/>
  <c r="K1110" i="1"/>
  <c r="K1109" i="1"/>
  <c r="I1109" i="1"/>
  <c r="G1109" i="1" s="1"/>
  <c r="K1108" i="1"/>
  <c r="I1108" i="1"/>
  <c r="G1108" i="1" s="1"/>
  <c r="K1107" i="1"/>
  <c r="I1107" i="1"/>
  <c r="K1106" i="1"/>
  <c r="I1106" i="1"/>
  <c r="I1105" i="1"/>
  <c r="K1105" i="1"/>
  <c r="K1103" i="1"/>
  <c r="I1103" i="1"/>
  <c r="G1103" i="1" s="1"/>
  <c r="K1102" i="1"/>
  <c r="I1102" i="1"/>
  <c r="G1102" i="1" s="1"/>
  <c r="K1101" i="1"/>
  <c r="I1101" i="1"/>
  <c r="K1100" i="1"/>
  <c r="I1100" i="1"/>
  <c r="G1100" i="1" s="1"/>
  <c r="K1099" i="1"/>
  <c r="I1099" i="1"/>
  <c r="G1099" i="1" s="1"/>
  <c r="K1098" i="1"/>
  <c r="I1098" i="1"/>
  <c r="I1097" i="1"/>
  <c r="K1097" i="1"/>
  <c r="I1096" i="1"/>
  <c r="K1096" i="1"/>
  <c r="I1095" i="1"/>
  <c r="K1095" i="1"/>
  <c r="I1094" i="1"/>
  <c r="K1094" i="1"/>
  <c r="I1093" i="1"/>
  <c r="K1093" i="1"/>
  <c r="K1091" i="1"/>
  <c r="I1091" i="1"/>
  <c r="G1091" i="1" s="1"/>
  <c r="K1090" i="1"/>
  <c r="I1090" i="1"/>
  <c r="G1090" i="1" s="1"/>
  <c r="K1089" i="1"/>
  <c r="I1089" i="1"/>
  <c r="G1089" i="1" s="1"/>
  <c r="K1088" i="1"/>
  <c r="I1088" i="1"/>
  <c r="G1088" i="1" s="1"/>
  <c r="K1087" i="1"/>
  <c r="I1087" i="1"/>
  <c r="G1087" i="1" s="1"/>
  <c r="I1086" i="1"/>
  <c r="K1086" i="1"/>
  <c r="K1085" i="1"/>
  <c r="I1085" i="1"/>
  <c r="G1085" i="1" s="1"/>
  <c r="I1084" i="1"/>
  <c r="K1084" i="1"/>
  <c r="I1083" i="1"/>
  <c r="K1083" i="1"/>
  <c r="K1082" i="1"/>
  <c r="I1082" i="1"/>
  <c r="G1082" i="1" s="1"/>
  <c r="I1081" i="1"/>
  <c r="K1081" i="1"/>
  <c r="I1080" i="1"/>
  <c r="K1080" i="1"/>
  <c r="K1079" i="1"/>
  <c r="I1079" i="1"/>
  <c r="G1079" i="1" s="1"/>
  <c r="I1078" i="1"/>
  <c r="K1078" i="1"/>
  <c r="K1077" i="1"/>
  <c r="I1077" i="1"/>
  <c r="G1077" i="1" s="1"/>
  <c r="I1075" i="1"/>
  <c r="K1075" i="1"/>
  <c r="K1074" i="1"/>
  <c r="I1074" i="1"/>
  <c r="G1074" i="1" s="1"/>
  <c r="K1073" i="1"/>
  <c r="I1073" i="1"/>
  <c r="G1073" i="1" s="1"/>
  <c r="K1072" i="1"/>
  <c r="I1072" i="1"/>
  <c r="G1072" i="1" s="1"/>
  <c r="K1071" i="1"/>
  <c r="I1071" i="1"/>
  <c r="G1071" i="1" s="1"/>
  <c r="I1070" i="1"/>
  <c r="K1070" i="1"/>
  <c r="I1069" i="1"/>
  <c r="K1069" i="1"/>
  <c r="I1068" i="1"/>
  <c r="K1068" i="1"/>
  <c r="I1067" i="1"/>
  <c r="K1067" i="1"/>
  <c r="K1066" i="1"/>
  <c r="I1066" i="1"/>
  <c r="G1066" i="1" s="1"/>
  <c r="K1065" i="1"/>
  <c r="I1065" i="1"/>
  <c r="G1065" i="1" s="1"/>
  <c r="K1064" i="1"/>
  <c r="I1064" i="1"/>
  <c r="G1064" i="1" s="1"/>
  <c r="K1063" i="1"/>
  <c r="I1063" i="1"/>
  <c r="G1063" i="1" s="1"/>
  <c r="I1062" i="1"/>
  <c r="K1062" i="1"/>
  <c r="I1061" i="1"/>
  <c r="K1061" i="1"/>
  <c r="K1059" i="1"/>
  <c r="I1059" i="1"/>
  <c r="G1059" i="1" s="1"/>
  <c r="K1058" i="1"/>
  <c r="I1058" i="1"/>
  <c r="G1058" i="1" s="1"/>
  <c r="K1056" i="1"/>
  <c r="I1056" i="1"/>
  <c r="G1056" i="1" s="1"/>
  <c r="I1055" i="1"/>
  <c r="K1055" i="1"/>
  <c r="K1054" i="1"/>
  <c r="I1054" i="1"/>
  <c r="G1054" i="1" s="1"/>
  <c r="I1053" i="1"/>
  <c r="K1053" i="1"/>
  <c r="K1051" i="1"/>
  <c r="I1051" i="1"/>
  <c r="G1051" i="1" s="1"/>
  <c r="K1050" i="1"/>
  <c r="I1050" i="1"/>
  <c r="G1050" i="1" s="1"/>
  <c r="I1048" i="1"/>
  <c r="K1048" i="1"/>
  <c r="I1047" i="1"/>
  <c r="K1047" i="1"/>
  <c r="K1046" i="1"/>
  <c r="I1046" i="1"/>
  <c r="G1046" i="1" s="1"/>
  <c r="K1044" i="1"/>
  <c r="I1044" i="1"/>
  <c r="G1044" i="1" s="1"/>
  <c r="K1043" i="1"/>
  <c r="I1043" i="1"/>
  <c r="G1043" i="1" s="1"/>
  <c r="K1042" i="1"/>
  <c r="I1042" i="1"/>
  <c r="G1042" i="1" s="1"/>
  <c r="I1041" i="1"/>
  <c r="K1041" i="1"/>
  <c r="K1039" i="1"/>
  <c r="I1039" i="1"/>
  <c r="G1039" i="1" s="1"/>
  <c r="K1038" i="1"/>
  <c r="I1038" i="1"/>
  <c r="G1038" i="1" s="1"/>
  <c r="K1036" i="1"/>
  <c r="I1036" i="1"/>
  <c r="G1036" i="1" s="1"/>
  <c r="I1035" i="1"/>
  <c r="K1035" i="1"/>
  <c r="K1034" i="1"/>
  <c r="I1034" i="1"/>
  <c r="G1034" i="1" s="1"/>
  <c r="K1033" i="1"/>
  <c r="I1033" i="1"/>
  <c r="G1033" i="1" s="1"/>
  <c r="K1032" i="1"/>
  <c r="I1032" i="1"/>
  <c r="G1032" i="1" s="1"/>
  <c r="I1031" i="1"/>
  <c r="K1031" i="1"/>
  <c r="I1030" i="1"/>
  <c r="K1030" i="1"/>
  <c r="I1029" i="1"/>
  <c r="K1029" i="1"/>
  <c r="I1028" i="1"/>
  <c r="K1028" i="1"/>
  <c r="K1027" i="1"/>
  <c r="I1027" i="1"/>
  <c r="G1027" i="1" s="1"/>
  <c r="K1026" i="1"/>
  <c r="I1026" i="1"/>
  <c r="G1026" i="1" s="1"/>
  <c r="K1025" i="1"/>
  <c r="I1025" i="1"/>
  <c r="G1025" i="1" s="1"/>
  <c r="K1024" i="1"/>
  <c r="I1024" i="1"/>
  <c r="G1024" i="1" s="1"/>
  <c r="I1023" i="1"/>
  <c r="K1023" i="1"/>
  <c r="I1022" i="1"/>
  <c r="K1022" i="1"/>
  <c r="K1020" i="1"/>
  <c r="I1020" i="1"/>
  <c r="G1020" i="1" s="1"/>
  <c r="I1019" i="1"/>
  <c r="K1019" i="1"/>
  <c r="I1018" i="1"/>
  <c r="K1018" i="1"/>
  <c r="I1017" i="1"/>
  <c r="K1017" i="1"/>
  <c r="I1016" i="1"/>
  <c r="K1016" i="1"/>
  <c r="I1015" i="1"/>
  <c r="K1015" i="1"/>
  <c r="I1014" i="1"/>
  <c r="K1014" i="1"/>
  <c r="K1013" i="1"/>
  <c r="I1013" i="1"/>
  <c r="G1013" i="1" s="1"/>
  <c r="K1012" i="1"/>
  <c r="I1012" i="1"/>
  <c r="G1012" i="1" s="1"/>
  <c r="I1011" i="1"/>
  <c r="K1011" i="1"/>
  <c r="K1009" i="1"/>
  <c r="I1009" i="1"/>
  <c r="G1009" i="1" s="1"/>
  <c r="I1008" i="1"/>
  <c r="K1008" i="1"/>
  <c r="I1007" i="1"/>
  <c r="K1007" i="1"/>
  <c r="I1006" i="1"/>
  <c r="K1006" i="1"/>
  <c r="I1005" i="1"/>
  <c r="K1005" i="1"/>
  <c r="I1003" i="1"/>
  <c r="K1003" i="1"/>
  <c r="I1002" i="1"/>
  <c r="K1002" i="1"/>
  <c r="I1001" i="1"/>
  <c r="K1001" i="1"/>
  <c r="I1000" i="1"/>
  <c r="K1000" i="1"/>
  <c r="K999" i="1"/>
  <c r="I999" i="1"/>
  <c r="G999" i="1" s="1"/>
  <c r="K998" i="1"/>
  <c r="I998" i="1"/>
  <c r="G998" i="1" s="1"/>
  <c r="K997" i="1"/>
  <c r="I997" i="1"/>
  <c r="G997" i="1" s="1"/>
  <c r="I996" i="1"/>
  <c r="K996" i="1"/>
  <c r="K995" i="1"/>
  <c r="I995" i="1"/>
  <c r="G995" i="1" s="1"/>
  <c r="I994" i="1"/>
  <c r="K994" i="1"/>
  <c r="I993" i="1"/>
  <c r="K993" i="1"/>
  <c r="I992" i="1"/>
  <c r="K992" i="1"/>
  <c r="I991" i="1"/>
  <c r="K991" i="1"/>
  <c r="I990" i="1"/>
  <c r="K990" i="1"/>
  <c r="I989" i="1"/>
  <c r="K989" i="1"/>
  <c r="I988" i="1"/>
  <c r="K988" i="1"/>
  <c r="K987" i="1"/>
  <c r="I987" i="1"/>
  <c r="G987" i="1" s="1"/>
  <c r="I986" i="1"/>
  <c r="K986" i="1"/>
  <c r="K985" i="1"/>
  <c r="I985" i="1"/>
  <c r="G985" i="1" s="1"/>
  <c r="I984" i="1"/>
  <c r="K984" i="1"/>
  <c r="I983" i="1"/>
  <c r="K983" i="1"/>
  <c r="I982" i="1"/>
  <c r="K982" i="1"/>
  <c r="I981" i="1"/>
  <c r="G981" i="1" s="1"/>
  <c r="K981" i="1"/>
  <c r="I980" i="1"/>
  <c r="K980" i="1"/>
  <c r="K979" i="1"/>
  <c r="I979" i="1"/>
  <c r="G979" i="1" s="1"/>
  <c r="I978" i="1"/>
  <c r="K978" i="1"/>
  <c r="K977" i="1"/>
  <c r="I977" i="1"/>
  <c r="G977" i="1" s="1"/>
  <c r="K976" i="1"/>
  <c r="I976" i="1"/>
  <c r="G976" i="1" s="1"/>
  <c r="K975" i="1"/>
  <c r="I975" i="1"/>
  <c r="G975" i="1" s="1"/>
  <c r="K974" i="1"/>
  <c r="I974" i="1"/>
  <c r="G974" i="1" s="1"/>
  <c r="K973" i="1"/>
  <c r="I973" i="1"/>
  <c r="G973" i="1" s="1"/>
  <c r="K972" i="1"/>
  <c r="I972" i="1"/>
  <c r="G972" i="1" s="1"/>
  <c r="I971" i="1"/>
  <c r="K971" i="1"/>
  <c r="I970" i="1"/>
  <c r="K970" i="1"/>
  <c r="I969" i="1"/>
  <c r="K969" i="1"/>
  <c r="K968" i="1"/>
  <c r="I968" i="1"/>
  <c r="G968" i="1" s="1"/>
  <c r="K967" i="1"/>
  <c r="I967" i="1"/>
  <c r="G967" i="1" s="1"/>
  <c r="I966" i="1"/>
  <c r="K966" i="1"/>
  <c r="I965" i="1"/>
  <c r="K965" i="1"/>
  <c r="I964" i="1"/>
  <c r="K964" i="1"/>
  <c r="K963" i="1"/>
  <c r="I963" i="1"/>
  <c r="G963" i="1" s="1"/>
  <c r="K962" i="1"/>
  <c r="I962" i="1"/>
  <c r="G962" i="1" s="1"/>
  <c r="K961" i="1"/>
  <c r="I961" i="1"/>
  <c r="G961" i="1" s="1"/>
  <c r="K960" i="1"/>
  <c r="I960" i="1"/>
  <c r="G960" i="1" s="1"/>
  <c r="K959" i="1"/>
  <c r="I959" i="1"/>
  <c r="G959" i="1" s="1"/>
  <c r="K958" i="1"/>
  <c r="I958" i="1"/>
  <c r="G958" i="1" s="1"/>
  <c r="I956" i="1"/>
  <c r="G956" i="1" s="1"/>
  <c r="K956" i="1"/>
  <c r="I955" i="1"/>
  <c r="K955" i="1"/>
  <c r="K954" i="1"/>
  <c r="I954" i="1"/>
  <c r="G954" i="1" s="1"/>
  <c r="I953" i="1"/>
  <c r="G953" i="1" s="1"/>
  <c r="K953" i="1"/>
  <c r="K952" i="1"/>
  <c r="I952" i="1"/>
  <c r="G952" i="1" s="1"/>
  <c r="K950" i="1"/>
  <c r="I950" i="1"/>
  <c r="G950" i="1" s="1"/>
  <c r="K949" i="1"/>
  <c r="I949" i="1"/>
  <c r="G949" i="1" s="1"/>
  <c r="K948" i="1"/>
  <c r="I948" i="1"/>
  <c r="G948" i="1" s="1"/>
  <c r="I947" i="1"/>
  <c r="K947" i="1"/>
  <c r="K946" i="1"/>
  <c r="I946" i="1"/>
  <c r="G946" i="1" s="1"/>
  <c r="K945" i="1"/>
  <c r="I945" i="1"/>
  <c r="G945" i="1" s="1"/>
  <c r="K944" i="1"/>
  <c r="I944" i="1"/>
  <c r="G944" i="1" s="1"/>
  <c r="K943" i="1"/>
  <c r="I943" i="1"/>
  <c r="G943" i="1" s="1"/>
  <c r="K942" i="1"/>
  <c r="I942" i="1"/>
  <c r="G942" i="1" s="1"/>
  <c r="K941" i="1"/>
  <c r="I941" i="1"/>
  <c r="G941" i="1" s="1"/>
  <c r="I940" i="1"/>
  <c r="K940" i="1"/>
  <c r="I939" i="1"/>
  <c r="K939" i="1"/>
  <c r="I938" i="1"/>
  <c r="K938" i="1"/>
  <c r="I937" i="1"/>
  <c r="K937" i="1"/>
  <c r="I936" i="1"/>
  <c r="K936" i="1"/>
  <c r="I935" i="1"/>
  <c r="K935" i="1"/>
  <c r="K934" i="1"/>
  <c r="I934" i="1"/>
  <c r="G934" i="1" s="1"/>
  <c r="I932" i="1"/>
  <c r="K932" i="1"/>
  <c r="I931" i="1"/>
  <c r="K931" i="1"/>
  <c r="I930" i="1"/>
  <c r="K930" i="1"/>
  <c r="I929" i="1"/>
  <c r="K929" i="1"/>
  <c r="I928" i="1"/>
  <c r="K928" i="1"/>
  <c r="I927" i="1"/>
  <c r="K927" i="1"/>
  <c r="K926" i="1"/>
  <c r="I926" i="1"/>
  <c r="G926" i="1" s="1"/>
  <c r="K925" i="1"/>
  <c r="I925" i="1"/>
  <c r="K924" i="1"/>
  <c r="I924" i="1"/>
  <c r="G924" i="1" s="1"/>
  <c r="I923" i="1"/>
  <c r="K923" i="1"/>
  <c r="I922" i="1"/>
  <c r="K922" i="1"/>
  <c r="I921" i="1"/>
  <c r="K921" i="1"/>
  <c r="I920" i="1"/>
  <c r="K920" i="1"/>
  <c r="I919" i="1"/>
  <c r="K919" i="1"/>
  <c r="I918" i="1"/>
  <c r="K918" i="1"/>
  <c r="I917" i="1"/>
  <c r="K917" i="1"/>
  <c r="I916" i="1"/>
  <c r="K916" i="1"/>
  <c r="K915" i="1"/>
  <c r="I915" i="1"/>
  <c r="G915" i="1" s="1"/>
  <c r="K914" i="1"/>
  <c r="I914" i="1"/>
  <c r="G914" i="1" s="1"/>
  <c r="K912" i="1"/>
  <c r="I912" i="1"/>
  <c r="G912" i="1" s="1"/>
  <c r="K911" i="1"/>
  <c r="I911" i="1"/>
  <c r="G911" i="1" s="1"/>
  <c r="K910" i="1"/>
  <c r="I910" i="1"/>
  <c r="G910" i="1" s="1"/>
  <c r="K909" i="1"/>
  <c r="I909" i="1"/>
  <c r="G909" i="1" s="1"/>
  <c r="I908" i="1"/>
  <c r="K908" i="1"/>
  <c r="K907" i="1"/>
  <c r="I907" i="1"/>
  <c r="G907" i="1" s="1"/>
  <c r="K906" i="1"/>
  <c r="I906" i="1"/>
  <c r="G906" i="1" s="1"/>
  <c r="K905" i="1"/>
  <c r="I905" i="1"/>
  <c r="G905" i="1" s="1"/>
  <c r="K904" i="1"/>
  <c r="I904" i="1"/>
  <c r="G904" i="1" s="1"/>
  <c r="K903" i="1"/>
  <c r="I903" i="1"/>
  <c r="G903" i="1" s="1"/>
  <c r="K902" i="1"/>
  <c r="I902" i="1"/>
  <c r="G902" i="1" s="1"/>
  <c r="I901" i="1"/>
  <c r="K901" i="1"/>
  <c r="K900" i="1"/>
  <c r="I900" i="1"/>
  <c r="G900" i="1" s="1"/>
  <c r="K899" i="1"/>
  <c r="I899" i="1"/>
  <c r="G899" i="1" s="1"/>
  <c r="I898" i="1"/>
  <c r="K898" i="1"/>
  <c r="K897" i="1"/>
  <c r="I897" i="1"/>
  <c r="G897" i="1" s="1"/>
  <c r="I896" i="1"/>
  <c r="K896" i="1"/>
  <c r="I895" i="1"/>
  <c r="K895" i="1"/>
  <c r="K894" i="1"/>
  <c r="I894" i="1"/>
  <c r="G894" i="1" s="1"/>
  <c r="I893" i="1"/>
  <c r="K893" i="1"/>
  <c r="I892" i="1"/>
  <c r="K892" i="1"/>
  <c r="K891" i="1"/>
  <c r="I891" i="1"/>
  <c r="G891" i="1" s="1"/>
  <c r="K890" i="1"/>
  <c r="I890" i="1"/>
  <c r="G890" i="1" s="1"/>
  <c r="K889" i="1"/>
  <c r="I889" i="1"/>
  <c r="G889" i="1" s="1"/>
  <c r="I887" i="1"/>
  <c r="K887" i="1"/>
  <c r="I886" i="1"/>
  <c r="K886" i="1"/>
  <c r="I885" i="1"/>
  <c r="K885" i="1"/>
  <c r="K884" i="1"/>
  <c r="I884" i="1"/>
  <c r="G884" i="1" s="1"/>
  <c r="K883" i="1"/>
  <c r="I883" i="1"/>
  <c r="G883" i="1" s="1"/>
  <c r="K882" i="1"/>
  <c r="I882" i="1"/>
  <c r="G882" i="1" s="1"/>
  <c r="K881" i="1"/>
  <c r="I881" i="1"/>
  <c r="G881" i="1" s="1"/>
  <c r="K880" i="1"/>
  <c r="I880" i="1"/>
  <c r="G880" i="1" s="1"/>
  <c r="K879" i="1"/>
  <c r="I879" i="1"/>
  <c r="G879" i="1" s="1"/>
  <c r="K878" i="1"/>
  <c r="I878" i="1"/>
  <c r="G878" i="1" s="1"/>
  <c r="K877" i="1"/>
  <c r="I877" i="1"/>
  <c r="G877" i="1" s="1"/>
  <c r="I876" i="1"/>
  <c r="K876" i="1"/>
  <c r="I875" i="1"/>
  <c r="K875" i="1"/>
  <c r="I874" i="1"/>
  <c r="K874" i="1"/>
  <c r="K873" i="1"/>
  <c r="I873" i="1"/>
  <c r="G873" i="1" s="1"/>
  <c r="I872" i="1"/>
  <c r="K872" i="1"/>
  <c r="I871" i="1"/>
  <c r="K871" i="1"/>
  <c r="I870" i="1"/>
  <c r="K870" i="1"/>
  <c r="K869" i="1"/>
  <c r="I869" i="1"/>
  <c r="G869" i="1" s="1"/>
  <c r="I868" i="1"/>
  <c r="K868" i="1"/>
  <c r="K867" i="1"/>
  <c r="I867" i="1"/>
  <c r="G867" i="1" s="1"/>
  <c r="K865" i="1"/>
  <c r="I865" i="1"/>
  <c r="G865" i="1" s="1"/>
  <c r="I864" i="1"/>
  <c r="K864" i="1"/>
  <c r="K863" i="1"/>
  <c r="I863" i="1"/>
  <c r="G863" i="1" s="1"/>
  <c r="K862" i="1"/>
  <c r="I862" i="1"/>
  <c r="G862" i="1" s="1"/>
  <c r="K861" i="1"/>
  <c r="I861" i="1"/>
  <c r="G861" i="1" s="1"/>
  <c r="K860" i="1"/>
  <c r="I860" i="1"/>
  <c r="I859" i="1"/>
  <c r="K859" i="1"/>
  <c r="K858" i="1"/>
  <c r="I858" i="1"/>
  <c r="K857" i="1"/>
  <c r="I857" i="1"/>
  <c r="G857" i="1" s="1"/>
  <c r="I856" i="1"/>
  <c r="K856" i="1"/>
  <c r="I855" i="1"/>
  <c r="K855" i="1"/>
  <c r="K854" i="1"/>
  <c r="I854" i="1"/>
  <c r="G854" i="1" s="1"/>
  <c r="I853" i="1"/>
  <c r="K853" i="1"/>
  <c r="K852" i="1"/>
  <c r="I852" i="1"/>
  <c r="K851" i="1"/>
  <c r="I851" i="1"/>
  <c r="G851" i="1" s="1"/>
  <c r="K850" i="1"/>
  <c r="I850" i="1"/>
  <c r="G850" i="1" s="1"/>
  <c r="K849" i="1"/>
  <c r="I849" i="1"/>
  <c r="G849" i="1" s="1"/>
  <c r="I848" i="1"/>
  <c r="K848" i="1"/>
  <c r="I847" i="1"/>
  <c r="K847" i="1"/>
  <c r="K846" i="1"/>
  <c r="I846" i="1"/>
  <c r="G846" i="1" s="1"/>
  <c r="K844" i="1"/>
  <c r="I844" i="1"/>
  <c r="G844" i="1" s="1"/>
  <c r="I843" i="1"/>
  <c r="K843" i="1"/>
  <c r="I841" i="1"/>
  <c r="K841" i="1"/>
  <c r="K840" i="1"/>
  <c r="I840" i="1"/>
  <c r="G840" i="1" s="1"/>
  <c r="K839" i="1"/>
  <c r="I839" i="1"/>
  <c r="G839" i="1" s="1"/>
  <c r="K838" i="1"/>
  <c r="I838" i="1"/>
  <c r="G838" i="1" s="1"/>
  <c r="I837" i="1"/>
  <c r="K837" i="1"/>
  <c r="K836" i="1"/>
  <c r="I836" i="1"/>
  <c r="G836" i="1" s="1"/>
  <c r="K835" i="1"/>
  <c r="I835" i="1"/>
  <c r="G835" i="1" s="1"/>
  <c r="K834" i="1"/>
  <c r="I834" i="1"/>
  <c r="G834" i="1" s="1"/>
  <c r="I833" i="1"/>
  <c r="K833" i="1"/>
  <c r="I832" i="1"/>
  <c r="K832" i="1"/>
  <c r="I831" i="1"/>
  <c r="K831" i="1"/>
  <c r="I830" i="1"/>
  <c r="K830" i="1"/>
  <c r="I829" i="1"/>
  <c r="K829" i="1"/>
  <c r="I828" i="1"/>
  <c r="K828" i="1"/>
  <c r="K827" i="1"/>
  <c r="I827" i="1"/>
  <c r="G827" i="1" s="1"/>
  <c r="K826" i="1"/>
  <c r="I826" i="1"/>
  <c r="G826" i="1" s="1"/>
  <c r="I825" i="1"/>
  <c r="K825" i="1"/>
  <c r="I824" i="1"/>
  <c r="K824" i="1"/>
  <c r="K823" i="1"/>
  <c r="I823" i="1"/>
  <c r="G823" i="1" s="1"/>
  <c r="K821" i="1"/>
  <c r="I821" i="1"/>
  <c r="G821" i="1" s="1"/>
  <c r="I820" i="1"/>
  <c r="K820" i="1"/>
  <c r="K819" i="1"/>
  <c r="I819" i="1"/>
  <c r="G819" i="1" s="1"/>
  <c r="I818" i="1"/>
  <c r="K818" i="1"/>
  <c r="K817" i="1"/>
  <c r="I817" i="1"/>
  <c r="G817" i="1" s="1"/>
  <c r="I816" i="1"/>
  <c r="K816" i="1"/>
  <c r="I815" i="1"/>
  <c r="K815" i="1"/>
  <c r="K814" i="1"/>
  <c r="I814" i="1"/>
  <c r="G814" i="1" s="1"/>
  <c r="I813" i="1"/>
  <c r="K813" i="1"/>
  <c r="K812" i="1"/>
  <c r="I812" i="1"/>
  <c r="G812" i="1" s="1"/>
  <c r="K811" i="1"/>
  <c r="I811" i="1"/>
  <c r="G811" i="1" s="1"/>
  <c r="K810" i="1"/>
  <c r="I810" i="1"/>
  <c r="G810" i="1" s="1"/>
  <c r="K809" i="1"/>
  <c r="I809" i="1"/>
  <c r="G809" i="1" s="1"/>
  <c r="K808" i="1"/>
  <c r="I808" i="1"/>
  <c r="G808" i="1" s="1"/>
  <c r="I807" i="1"/>
  <c r="K807" i="1"/>
  <c r="K806" i="1"/>
  <c r="I806" i="1"/>
  <c r="G806" i="1" s="1"/>
  <c r="K805" i="1"/>
  <c r="I805" i="1"/>
  <c r="G805" i="1" s="1"/>
  <c r="K804" i="1"/>
  <c r="I804" i="1"/>
  <c r="I803" i="1"/>
  <c r="K803" i="1"/>
  <c r="K802" i="1"/>
  <c r="I802" i="1"/>
  <c r="G802" i="1" s="1"/>
  <c r="K801" i="1"/>
  <c r="I801" i="1"/>
  <c r="G801" i="1" s="1"/>
  <c r="K800" i="1"/>
  <c r="I800" i="1"/>
  <c r="G800" i="1" s="1"/>
  <c r="K799" i="1"/>
  <c r="I799" i="1"/>
  <c r="G799" i="1" s="1"/>
  <c r="I798" i="1"/>
  <c r="K798" i="1"/>
  <c r="I797" i="1"/>
  <c r="K797" i="1"/>
  <c r="K796" i="1"/>
  <c r="I796" i="1"/>
  <c r="G796" i="1" s="1"/>
  <c r="K795" i="1"/>
  <c r="I795" i="1"/>
  <c r="G795" i="1" s="1"/>
  <c r="I794" i="1"/>
  <c r="K794" i="1"/>
  <c r="I793" i="1"/>
  <c r="K793" i="1"/>
  <c r="I792" i="1"/>
  <c r="K792" i="1"/>
  <c r="K791" i="1"/>
  <c r="I791" i="1"/>
  <c r="G791" i="1" s="1"/>
  <c r="K790" i="1"/>
  <c r="I790" i="1"/>
  <c r="G790" i="1" s="1"/>
  <c r="K789" i="1"/>
  <c r="I789" i="1"/>
  <c r="G789" i="1" s="1"/>
  <c r="K788" i="1"/>
  <c r="I788" i="1"/>
  <c r="G788" i="1" s="1"/>
  <c r="K787" i="1"/>
  <c r="I787" i="1"/>
  <c r="G787" i="1" s="1"/>
  <c r="K786" i="1"/>
  <c r="I786" i="1"/>
  <c r="I785" i="1"/>
  <c r="K785" i="1"/>
  <c r="I784" i="1"/>
  <c r="K784" i="1"/>
  <c r="I783" i="1"/>
  <c r="K783" i="1"/>
  <c r="I782" i="1"/>
  <c r="K782" i="1"/>
  <c r="K781" i="1"/>
  <c r="I781" i="1"/>
  <c r="G781" i="1" s="1"/>
  <c r="I779" i="1"/>
  <c r="K779" i="1"/>
  <c r="K778" i="1"/>
  <c r="I778" i="1"/>
  <c r="K777" i="1"/>
  <c r="I777" i="1"/>
  <c r="G777" i="1" s="1"/>
  <c r="K776" i="1"/>
  <c r="I776" i="1"/>
  <c r="G776" i="1" s="1"/>
  <c r="I775" i="1"/>
  <c r="K775" i="1"/>
  <c r="I774" i="1"/>
  <c r="K774" i="1"/>
  <c r="I773" i="1"/>
  <c r="K773" i="1"/>
  <c r="I772" i="1"/>
  <c r="K772" i="1"/>
  <c r="K771" i="1"/>
  <c r="I771" i="1"/>
  <c r="G771" i="1" s="1"/>
  <c r="K770" i="1"/>
  <c r="I770" i="1"/>
  <c r="G770" i="1" s="1"/>
  <c r="K769" i="1"/>
  <c r="I769" i="1"/>
  <c r="G769" i="1" s="1"/>
  <c r="K768" i="1"/>
  <c r="I768" i="1"/>
  <c r="G768" i="1" s="1"/>
  <c r="K767" i="1"/>
  <c r="I767" i="1"/>
  <c r="G767" i="1" s="1"/>
  <c r="K766" i="1"/>
  <c r="I766" i="1"/>
  <c r="G766" i="1" s="1"/>
  <c r="K765" i="1"/>
  <c r="I765" i="1"/>
  <c r="G765" i="1" s="1"/>
  <c r="K764" i="1"/>
  <c r="I764" i="1"/>
  <c r="G764" i="1" s="1"/>
  <c r="I763" i="1"/>
  <c r="K763" i="1"/>
  <c r="K762" i="1"/>
  <c r="I762" i="1"/>
  <c r="G762" i="1" s="1"/>
  <c r="I761" i="1"/>
  <c r="K761" i="1"/>
  <c r="I760" i="1"/>
  <c r="K760" i="1"/>
  <c r="K759" i="1"/>
  <c r="I759" i="1"/>
  <c r="G759" i="1" s="1"/>
  <c r="I758" i="1"/>
  <c r="K758" i="1"/>
  <c r="K757" i="1"/>
  <c r="I757" i="1"/>
  <c r="G757" i="1" s="1"/>
  <c r="I756" i="1"/>
  <c r="K756" i="1"/>
  <c r="I755" i="1"/>
  <c r="K755" i="1"/>
  <c r="K754" i="1"/>
  <c r="I754" i="1"/>
  <c r="G754" i="1" s="1"/>
  <c r="I753" i="1"/>
  <c r="K753" i="1"/>
  <c r="I752" i="1"/>
  <c r="K752" i="1"/>
  <c r="K751" i="1"/>
  <c r="I751" i="1"/>
  <c r="G751" i="1" s="1"/>
  <c r="K750" i="1"/>
  <c r="I750" i="1"/>
  <c r="G750" i="1" s="1"/>
  <c r="K749" i="1"/>
  <c r="I749" i="1"/>
  <c r="G749" i="1" s="1"/>
  <c r="I748" i="1"/>
  <c r="K748" i="1"/>
  <c r="K747" i="1"/>
  <c r="I747" i="1"/>
  <c r="G747" i="1" s="1"/>
  <c r="I746" i="1"/>
  <c r="K746" i="1"/>
  <c r="K745" i="1"/>
  <c r="I745" i="1"/>
  <c r="G745" i="1" s="1"/>
  <c r="K744" i="1"/>
  <c r="I744" i="1"/>
  <c r="I743" i="1"/>
  <c r="K743" i="1"/>
  <c r="K742" i="1"/>
  <c r="I742" i="1"/>
  <c r="G742" i="1" s="1"/>
  <c r="K741" i="1"/>
  <c r="I741" i="1"/>
  <c r="G741" i="1" s="1"/>
  <c r="I740" i="1"/>
  <c r="K740" i="1"/>
  <c r="I739" i="1"/>
  <c r="K739" i="1"/>
  <c r="I738" i="1"/>
  <c r="K738" i="1"/>
  <c r="I737" i="1"/>
  <c r="K737" i="1"/>
  <c r="I736" i="1"/>
  <c r="K736" i="1"/>
  <c r="I735" i="1"/>
  <c r="K735" i="1"/>
  <c r="I734" i="1"/>
  <c r="K734" i="1"/>
  <c r="I732" i="1"/>
  <c r="K732" i="1"/>
  <c r="K731" i="1"/>
  <c r="I731" i="1"/>
  <c r="G731" i="1" s="1"/>
  <c r="I730" i="1"/>
  <c r="K730" i="1"/>
  <c r="I729" i="1"/>
  <c r="K729" i="1"/>
  <c r="K728" i="1"/>
  <c r="I728" i="1"/>
  <c r="G728" i="1" s="1"/>
  <c r="K727" i="1"/>
  <c r="I727" i="1"/>
  <c r="G727" i="1" s="1"/>
  <c r="K726" i="1"/>
  <c r="I726" i="1"/>
  <c r="G726" i="1" s="1"/>
  <c r="I725" i="1"/>
  <c r="K725" i="1"/>
  <c r="I724" i="1"/>
  <c r="K724" i="1"/>
  <c r="I723" i="1"/>
  <c r="K723" i="1"/>
  <c r="K722" i="1"/>
  <c r="I722" i="1"/>
  <c r="G722" i="1" s="1"/>
  <c r="K721" i="1"/>
  <c r="I721" i="1"/>
  <c r="G721" i="1" s="1"/>
  <c r="I720" i="1"/>
  <c r="K720" i="1"/>
  <c r="I719" i="1"/>
  <c r="K719" i="1"/>
  <c r="K718" i="1"/>
  <c r="I718" i="1"/>
  <c r="G718" i="1" s="1"/>
  <c r="K717" i="1"/>
  <c r="I717" i="1"/>
  <c r="G717" i="1" s="1"/>
  <c r="I716" i="1"/>
  <c r="K716" i="1"/>
  <c r="K715" i="1"/>
  <c r="I715" i="1"/>
  <c r="G715" i="1" s="1"/>
  <c r="I714" i="1"/>
  <c r="K714" i="1"/>
  <c r="I713" i="1"/>
  <c r="K713" i="1"/>
  <c r="K712" i="1"/>
  <c r="I712" i="1"/>
  <c r="G712" i="1" s="1"/>
  <c r="I711" i="1"/>
  <c r="K711" i="1"/>
  <c r="I710" i="1"/>
  <c r="K710" i="1"/>
  <c r="I709" i="1"/>
  <c r="K709" i="1"/>
  <c r="I708" i="1"/>
  <c r="K708" i="1"/>
  <c r="K707" i="1"/>
  <c r="I707" i="1"/>
  <c r="G707" i="1" s="1"/>
  <c r="I706" i="1"/>
  <c r="K706" i="1"/>
  <c r="I705" i="1"/>
  <c r="K705" i="1"/>
  <c r="I704" i="1"/>
  <c r="K704" i="1"/>
  <c r="K703" i="1"/>
  <c r="I703" i="1"/>
  <c r="G703" i="1" s="1"/>
  <c r="I702" i="1"/>
  <c r="K702" i="1"/>
  <c r="K701" i="1"/>
  <c r="I701" i="1"/>
  <c r="G701" i="1" s="1"/>
  <c r="K700" i="1"/>
  <c r="I700" i="1"/>
  <c r="G700" i="1" s="1"/>
  <c r="I699" i="1"/>
  <c r="K699" i="1"/>
  <c r="I698" i="1"/>
  <c r="K698" i="1"/>
  <c r="I697" i="1"/>
  <c r="K697" i="1"/>
  <c r="K696" i="1"/>
  <c r="I696" i="1"/>
  <c r="G696" i="1" s="1"/>
  <c r="K695" i="1"/>
  <c r="I695" i="1"/>
  <c r="G695" i="1" s="1"/>
  <c r="K694" i="1"/>
  <c r="I694" i="1"/>
  <c r="G694" i="1" s="1"/>
  <c r="K693" i="1"/>
  <c r="I693" i="1"/>
  <c r="G693" i="1" s="1"/>
  <c r="I692" i="1"/>
  <c r="K692" i="1"/>
  <c r="I691" i="1"/>
  <c r="K691" i="1"/>
  <c r="K690" i="1"/>
  <c r="I690" i="1"/>
  <c r="G690" i="1" s="1"/>
  <c r="K689" i="1"/>
  <c r="I689" i="1"/>
  <c r="G689" i="1" s="1"/>
  <c r="I688" i="1"/>
  <c r="K688" i="1"/>
  <c r="K687" i="1"/>
  <c r="I687" i="1"/>
  <c r="G687" i="1" s="1"/>
  <c r="K686" i="1"/>
  <c r="I686" i="1"/>
  <c r="K685" i="1"/>
  <c r="I685" i="1"/>
  <c r="G685" i="1" s="1"/>
  <c r="I684" i="1"/>
  <c r="K684" i="1"/>
  <c r="K682" i="1"/>
  <c r="I682" i="1"/>
  <c r="G682" i="1" s="1"/>
  <c r="I681" i="1"/>
  <c r="K681" i="1"/>
  <c r="I680" i="1"/>
  <c r="K680" i="1"/>
  <c r="K679" i="1"/>
  <c r="I679" i="1"/>
  <c r="G679" i="1" s="1"/>
  <c r="K678" i="1"/>
  <c r="I678" i="1"/>
  <c r="G678" i="1" s="1"/>
  <c r="K676" i="1"/>
  <c r="I676" i="1"/>
  <c r="G676" i="1" s="1"/>
  <c r="I675" i="1"/>
  <c r="K675" i="1"/>
  <c r="K674" i="1"/>
  <c r="I674" i="1"/>
  <c r="G674" i="1" s="1"/>
  <c r="K673" i="1"/>
  <c r="I673" i="1"/>
  <c r="G673" i="1" s="1"/>
  <c r="K672" i="1"/>
  <c r="I672" i="1"/>
  <c r="G672" i="1" s="1"/>
  <c r="I671" i="1"/>
  <c r="K671" i="1"/>
  <c r="K670" i="1"/>
  <c r="I670" i="1"/>
  <c r="G670" i="1" s="1"/>
  <c r="I669" i="1"/>
  <c r="K669" i="1"/>
  <c r="I668" i="1"/>
  <c r="K668" i="1"/>
  <c r="K667" i="1"/>
  <c r="I667" i="1"/>
  <c r="G667" i="1" s="1"/>
  <c r="I666" i="1"/>
  <c r="K666" i="1"/>
  <c r="I665" i="1"/>
  <c r="K665" i="1"/>
  <c r="I664" i="1"/>
  <c r="K664" i="1"/>
  <c r="K663" i="1"/>
  <c r="I663" i="1"/>
  <c r="G663" i="1" s="1"/>
  <c r="K662" i="1"/>
  <c r="I662" i="1"/>
  <c r="G662" i="1" s="1"/>
  <c r="K661" i="1"/>
  <c r="I661" i="1"/>
  <c r="G661" i="1" s="1"/>
  <c r="K660" i="1"/>
  <c r="I660" i="1"/>
  <c r="G660" i="1" s="1"/>
  <c r="K659" i="1"/>
  <c r="I659" i="1"/>
  <c r="K658" i="1"/>
  <c r="I658" i="1"/>
  <c r="G658" i="1" s="1"/>
  <c r="I657" i="1"/>
  <c r="K657" i="1"/>
  <c r="K656" i="1"/>
  <c r="I656" i="1"/>
  <c r="G656" i="1" s="1"/>
  <c r="I655" i="1"/>
  <c r="K655" i="1"/>
  <c r="I654" i="1"/>
  <c r="K654" i="1"/>
  <c r="K653" i="1"/>
  <c r="I653" i="1"/>
  <c r="G653" i="1" s="1"/>
  <c r="I652" i="1"/>
  <c r="K652" i="1"/>
  <c r="K651" i="1"/>
  <c r="I651" i="1"/>
  <c r="G651" i="1" s="1"/>
  <c r="K650" i="1"/>
  <c r="I650" i="1"/>
  <c r="G650" i="1" s="1"/>
  <c r="K648" i="1"/>
  <c r="I648" i="1"/>
  <c r="G648" i="1" s="1"/>
  <c r="I647" i="1"/>
  <c r="K647" i="1"/>
  <c r="K646" i="1"/>
  <c r="I646" i="1"/>
  <c r="G646" i="1" s="1"/>
  <c r="K645" i="1"/>
  <c r="I645" i="1"/>
  <c r="G645" i="1" s="1"/>
  <c r="K644" i="1"/>
  <c r="I644" i="1"/>
  <c r="G644" i="1" s="1"/>
  <c r="K643" i="1"/>
  <c r="I643" i="1"/>
  <c r="G643" i="1" s="1"/>
  <c r="K642" i="1"/>
  <c r="I642" i="1"/>
  <c r="G642" i="1" s="1"/>
  <c r="K641" i="1"/>
  <c r="I641" i="1"/>
  <c r="G641" i="1" s="1"/>
  <c r="I639" i="1"/>
  <c r="K639" i="1"/>
  <c r="I638" i="1"/>
  <c r="K638" i="1"/>
  <c r="K637" i="1"/>
  <c r="I637" i="1"/>
  <c r="G637" i="1" s="1"/>
  <c r="I636" i="1"/>
  <c r="K636" i="1"/>
  <c r="K635" i="1"/>
  <c r="I635" i="1"/>
  <c r="G635" i="1" s="1"/>
  <c r="I633" i="1"/>
  <c r="K633" i="1"/>
  <c r="K632" i="1"/>
  <c r="I632" i="1"/>
  <c r="G632" i="1" s="1"/>
  <c r="K631" i="1"/>
  <c r="I631" i="1"/>
  <c r="G631" i="1" s="1"/>
  <c r="K630" i="1"/>
  <c r="I630" i="1"/>
  <c r="G630" i="1" s="1"/>
  <c r="I629" i="1"/>
  <c r="K629" i="1"/>
  <c r="K628" i="1"/>
  <c r="I628" i="1"/>
  <c r="G628" i="1" s="1"/>
  <c r="I627" i="1"/>
  <c r="K627" i="1"/>
  <c r="K626" i="1"/>
  <c r="I626" i="1"/>
  <c r="G626" i="1" s="1"/>
  <c r="I625" i="1"/>
  <c r="K625" i="1"/>
  <c r="I624" i="1"/>
  <c r="K624" i="1"/>
  <c r="K623" i="1"/>
  <c r="I623" i="1"/>
  <c r="G623" i="1" s="1"/>
  <c r="K622" i="1"/>
  <c r="I622" i="1"/>
  <c r="G622" i="1" s="1"/>
  <c r="K621" i="1"/>
  <c r="I621" i="1"/>
  <c r="G621" i="1" s="1"/>
  <c r="K620" i="1"/>
  <c r="I620" i="1"/>
  <c r="G620" i="1" s="1"/>
  <c r="I619" i="1"/>
  <c r="K619" i="1"/>
  <c r="I618" i="1"/>
  <c r="K618" i="1"/>
  <c r="K617" i="1"/>
  <c r="I617" i="1"/>
  <c r="G617" i="1" s="1"/>
  <c r="I615" i="1"/>
  <c r="K615" i="1"/>
  <c r="K614" i="1"/>
  <c r="I614" i="1"/>
  <c r="G614" i="1" s="1"/>
  <c r="K613" i="1"/>
  <c r="I613" i="1"/>
  <c r="K612" i="1"/>
  <c r="I612" i="1"/>
  <c r="G612" i="1" s="1"/>
  <c r="K611" i="1"/>
  <c r="I611" i="1"/>
  <c r="G611" i="1" s="1"/>
  <c r="I610" i="1"/>
  <c r="K610" i="1"/>
  <c r="I609" i="1"/>
  <c r="K609" i="1"/>
  <c r="K608" i="1"/>
  <c r="I608" i="1"/>
  <c r="G608" i="1" s="1"/>
  <c r="I607" i="1"/>
  <c r="K607" i="1"/>
  <c r="K606" i="1"/>
  <c r="I606" i="1"/>
  <c r="G606" i="1" s="1"/>
  <c r="K605" i="1"/>
  <c r="I605" i="1"/>
  <c r="G605" i="1" s="1"/>
  <c r="K604" i="1"/>
  <c r="I604" i="1"/>
  <c r="I603" i="1"/>
  <c r="K603" i="1"/>
  <c r="I602" i="1"/>
  <c r="K602" i="1"/>
  <c r="K601" i="1"/>
  <c r="I601" i="1"/>
  <c r="G601" i="1" s="1"/>
  <c r="I600" i="1"/>
  <c r="K600" i="1"/>
  <c r="I599" i="1"/>
  <c r="K599" i="1"/>
  <c r="I598" i="1"/>
  <c r="K598" i="1"/>
  <c r="I597" i="1"/>
  <c r="K597" i="1"/>
  <c r="I596" i="1"/>
  <c r="K596" i="1"/>
  <c r="K595" i="1"/>
  <c r="I595" i="1"/>
  <c r="G595" i="1" s="1"/>
  <c r="K594" i="1"/>
  <c r="I594" i="1"/>
  <c r="K593" i="1"/>
  <c r="I593" i="1"/>
  <c r="G593" i="1" s="1"/>
  <c r="K592" i="1"/>
  <c r="I592" i="1"/>
  <c r="G592" i="1" s="1"/>
  <c r="K591" i="1"/>
  <c r="I591" i="1"/>
  <c r="G591" i="1" s="1"/>
  <c r="K590" i="1"/>
  <c r="I590" i="1"/>
  <c r="G590" i="1" s="1"/>
  <c r="I589" i="1"/>
  <c r="K589" i="1"/>
  <c r="I588" i="1"/>
  <c r="K588" i="1"/>
  <c r="I587" i="1"/>
  <c r="K587" i="1"/>
  <c r="I586" i="1"/>
  <c r="K586" i="1"/>
  <c r="I585" i="1"/>
  <c r="K585" i="1"/>
  <c r="K584" i="1"/>
  <c r="I584" i="1"/>
  <c r="G584" i="1" s="1"/>
  <c r="K583" i="1"/>
  <c r="I583" i="1"/>
  <c r="G583" i="1" s="1"/>
  <c r="K582" i="1"/>
  <c r="I582" i="1"/>
  <c r="G582" i="1" s="1"/>
  <c r="K581" i="1"/>
  <c r="I581" i="1"/>
  <c r="K580" i="1"/>
  <c r="I580" i="1"/>
  <c r="G580" i="1" s="1"/>
  <c r="K579" i="1"/>
  <c r="I579" i="1"/>
  <c r="G579" i="1" s="1"/>
  <c r="K578" i="1"/>
  <c r="I578" i="1"/>
  <c r="G578" i="1" s="1"/>
  <c r="K577" i="1"/>
  <c r="I577" i="1"/>
  <c r="G577" i="1" s="1"/>
  <c r="K576" i="1"/>
  <c r="I576" i="1"/>
  <c r="G576" i="1" s="1"/>
  <c r="K575" i="1"/>
  <c r="I575" i="1"/>
  <c r="G575" i="1" s="1"/>
  <c r="K574" i="1"/>
  <c r="I574" i="1"/>
  <c r="G574" i="1" s="1"/>
  <c r="K573" i="1"/>
  <c r="I573" i="1"/>
  <c r="G573" i="1" s="1"/>
  <c r="K572" i="1"/>
  <c r="I572" i="1"/>
  <c r="G572" i="1" s="1"/>
  <c r="K571" i="1"/>
  <c r="I571" i="1"/>
  <c r="G571" i="1" s="1"/>
  <c r="K570" i="1"/>
  <c r="I570" i="1"/>
  <c r="G570" i="1" s="1"/>
  <c r="K569" i="1"/>
  <c r="I569" i="1"/>
  <c r="G569" i="1" s="1"/>
  <c r="K568" i="1"/>
  <c r="I568" i="1"/>
  <c r="G568" i="1" s="1"/>
  <c r="K567" i="1"/>
  <c r="I567" i="1"/>
  <c r="G567" i="1" s="1"/>
  <c r="K566" i="1"/>
  <c r="I566" i="1"/>
  <c r="G566" i="1" s="1"/>
  <c r="K564" i="1"/>
  <c r="I564" i="1"/>
  <c r="G564" i="1" s="1"/>
  <c r="K563" i="1"/>
  <c r="I563" i="1"/>
  <c r="G563" i="1" s="1"/>
  <c r="K562" i="1"/>
  <c r="I562" i="1"/>
  <c r="G562" i="1" s="1"/>
  <c r="K561" i="1"/>
  <c r="I561" i="1"/>
  <c r="G561" i="1" s="1"/>
  <c r="K560" i="1"/>
  <c r="I560" i="1"/>
  <c r="G560" i="1" s="1"/>
  <c r="K559" i="1"/>
  <c r="I559" i="1"/>
  <c r="G559" i="1" s="1"/>
  <c r="K558" i="1"/>
  <c r="I558" i="1"/>
  <c r="K557" i="1"/>
  <c r="I557" i="1"/>
  <c r="G557" i="1" s="1"/>
  <c r="K556" i="1"/>
  <c r="I556" i="1"/>
  <c r="G556" i="1" s="1"/>
  <c r="K555" i="1"/>
  <c r="I555" i="1"/>
  <c r="G555" i="1" s="1"/>
  <c r="K554" i="1"/>
  <c r="I554" i="1"/>
  <c r="G554" i="1" s="1"/>
  <c r="K553" i="1"/>
  <c r="I553" i="1"/>
  <c r="G553" i="1" s="1"/>
  <c r="K552" i="1"/>
  <c r="I552" i="1"/>
  <c r="G552" i="1" s="1"/>
  <c r="K551" i="1"/>
  <c r="I551" i="1"/>
  <c r="G551" i="1" s="1"/>
  <c r="K549" i="1"/>
  <c r="I549" i="1"/>
  <c r="G549" i="1" s="1"/>
  <c r="I548" i="1"/>
  <c r="K548" i="1"/>
  <c r="I547" i="1"/>
  <c r="K547" i="1"/>
  <c r="K546" i="1"/>
  <c r="I546" i="1"/>
  <c r="G546" i="1" s="1"/>
  <c r="I545" i="1"/>
  <c r="K545" i="1"/>
  <c r="K544" i="1"/>
  <c r="I544" i="1"/>
  <c r="G544" i="1" s="1"/>
  <c r="I543" i="1"/>
  <c r="K543" i="1"/>
  <c r="K542" i="1"/>
  <c r="I542" i="1"/>
  <c r="G542" i="1" s="1"/>
  <c r="I541" i="1"/>
  <c r="K541" i="1"/>
  <c r="K540" i="1"/>
  <c r="I540" i="1"/>
  <c r="G540" i="1" s="1"/>
  <c r="K539" i="1"/>
  <c r="I539" i="1"/>
  <c r="G539" i="1" s="1"/>
  <c r="K538" i="1"/>
  <c r="I538" i="1"/>
  <c r="G538" i="1" s="1"/>
  <c r="K537" i="1"/>
  <c r="I537" i="1"/>
  <c r="G537" i="1" s="1"/>
  <c r="K535" i="1"/>
  <c r="I535" i="1"/>
  <c r="G535" i="1" s="1"/>
  <c r="I534" i="1"/>
  <c r="K534" i="1"/>
  <c r="I533" i="1"/>
  <c r="K533" i="1"/>
  <c r="K532" i="1"/>
  <c r="I532" i="1"/>
  <c r="G532" i="1" s="1"/>
  <c r="K531" i="1"/>
  <c r="I531" i="1"/>
  <c r="I530" i="1"/>
  <c r="K530" i="1"/>
  <c r="K529" i="1"/>
  <c r="I529" i="1"/>
  <c r="G529" i="1" s="1"/>
  <c r="K528" i="1"/>
  <c r="I528" i="1"/>
  <c r="G528" i="1" s="1"/>
  <c r="K527" i="1"/>
  <c r="I527" i="1"/>
  <c r="G527" i="1" s="1"/>
  <c r="K526" i="1"/>
  <c r="I526" i="1"/>
  <c r="G526" i="1" s="1"/>
  <c r="K525" i="1"/>
  <c r="I525" i="1"/>
  <c r="G525" i="1" s="1"/>
  <c r="K524" i="1"/>
  <c r="I524" i="1"/>
  <c r="G524" i="1" s="1"/>
  <c r="K523" i="1"/>
  <c r="I523" i="1"/>
  <c r="G523" i="1" s="1"/>
  <c r="K522" i="1"/>
  <c r="I522" i="1"/>
  <c r="G522" i="1" s="1"/>
  <c r="K521" i="1"/>
  <c r="I521" i="1"/>
  <c r="G521" i="1" s="1"/>
  <c r="K520" i="1"/>
  <c r="I520" i="1"/>
  <c r="G520" i="1" s="1"/>
  <c r="I519" i="1"/>
  <c r="K519" i="1"/>
  <c r="K518" i="1"/>
  <c r="I518" i="1"/>
  <c r="G518" i="1" s="1"/>
  <c r="K517" i="1"/>
  <c r="I517" i="1"/>
  <c r="G517" i="1" s="1"/>
  <c r="K516" i="1"/>
  <c r="I516" i="1"/>
  <c r="G516" i="1" s="1"/>
  <c r="I514" i="1"/>
  <c r="K514" i="1"/>
  <c r="I513" i="1"/>
  <c r="K513" i="1"/>
  <c r="I512" i="1"/>
  <c r="K512" i="1"/>
  <c r="I511" i="1"/>
  <c r="K511" i="1"/>
  <c r="I510" i="1"/>
  <c r="K510" i="1"/>
  <c r="I509" i="1"/>
  <c r="K509" i="1"/>
  <c r="I508" i="1"/>
  <c r="G508" i="1" s="1"/>
  <c r="K508" i="1"/>
  <c r="K506" i="1"/>
  <c r="I506" i="1"/>
  <c r="G506" i="1" s="1"/>
  <c r="K505" i="1"/>
  <c r="I505" i="1"/>
  <c r="G505" i="1" s="1"/>
  <c r="K504" i="1"/>
  <c r="I504" i="1"/>
  <c r="G504" i="1" s="1"/>
  <c r="K503" i="1"/>
  <c r="I503" i="1"/>
  <c r="I502" i="1"/>
  <c r="K502" i="1"/>
  <c r="K501" i="1"/>
  <c r="I501" i="1"/>
  <c r="G501" i="1" s="1"/>
  <c r="K500" i="1"/>
  <c r="I500" i="1"/>
  <c r="G500" i="1" s="1"/>
  <c r="K499" i="1"/>
  <c r="I499" i="1"/>
  <c r="I498" i="1"/>
  <c r="K498" i="1"/>
  <c r="I496" i="1"/>
  <c r="K496" i="1"/>
  <c r="I495" i="1"/>
  <c r="K495" i="1"/>
  <c r="K494" i="1"/>
  <c r="I494" i="1"/>
  <c r="G494" i="1" s="1"/>
  <c r="K493" i="1"/>
  <c r="I493" i="1"/>
  <c r="G493" i="1" s="1"/>
  <c r="I492" i="1"/>
  <c r="K492" i="1"/>
  <c r="K491" i="1"/>
  <c r="I491" i="1"/>
  <c r="G491" i="1" s="1"/>
  <c r="K490" i="1"/>
  <c r="I490" i="1"/>
  <c r="G490" i="1" s="1"/>
  <c r="K489" i="1"/>
  <c r="I489" i="1"/>
  <c r="G489" i="1" s="1"/>
  <c r="I488" i="1"/>
  <c r="K488" i="1"/>
  <c r="K487" i="1"/>
  <c r="I487" i="1"/>
  <c r="G487" i="1" s="1"/>
  <c r="K486" i="1"/>
  <c r="I486" i="1"/>
  <c r="G486" i="1" s="1"/>
  <c r="K485" i="1"/>
  <c r="I485" i="1"/>
  <c r="G485" i="1" s="1"/>
  <c r="K484" i="1"/>
  <c r="I484" i="1"/>
  <c r="G484" i="1" s="1"/>
  <c r="K483" i="1"/>
  <c r="I483" i="1"/>
  <c r="G483" i="1" s="1"/>
  <c r="I482" i="1"/>
  <c r="K482" i="1"/>
  <c r="I481" i="1"/>
  <c r="K481" i="1"/>
  <c r="K480" i="1"/>
  <c r="I480" i="1"/>
  <c r="G480" i="1" s="1"/>
  <c r="K479" i="1"/>
  <c r="I479" i="1"/>
  <c r="G479" i="1" s="1"/>
  <c r="I478" i="1"/>
  <c r="K478" i="1"/>
  <c r="K477" i="1"/>
  <c r="I477" i="1"/>
  <c r="G477" i="1" s="1"/>
  <c r="K476" i="1"/>
  <c r="I476" i="1"/>
  <c r="G476" i="1" s="1"/>
  <c r="K475" i="1"/>
  <c r="I475" i="1"/>
  <c r="K474" i="1"/>
  <c r="I474" i="1"/>
  <c r="G474" i="1" s="1"/>
  <c r="I473" i="1"/>
  <c r="K473" i="1"/>
  <c r="K472" i="1"/>
  <c r="I472" i="1"/>
  <c r="G472" i="1" s="1"/>
  <c r="I471" i="1"/>
  <c r="K471" i="1"/>
  <c r="I469" i="1"/>
  <c r="K469" i="1"/>
  <c r="I468" i="1"/>
  <c r="K468" i="1"/>
  <c r="I467" i="1"/>
  <c r="K467" i="1"/>
  <c r="K466" i="1"/>
  <c r="I466" i="1"/>
  <c r="G466" i="1" s="1"/>
  <c r="K465" i="1"/>
  <c r="I465" i="1"/>
  <c r="G465" i="1" s="1"/>
  <c r="K464" i="1"/>
  <c r="I464" i="1"/>
  <c r="G464" i="1" s="1"/>
  <c r="K463" i="1"/>
  <c r="I463" i="1"/>
  <c r="G463" i="1" s="1"/>
  <c r="K462" i="1"/>
  <c r="I462" i="1"/>
  <c r="G462" i="1" s="1"/>
  <c r="K461" i="1"/>
  <c r="I461" i="1"/>
  <c r="G461" i="1" s="1"/>
  <c r="K460" i="1"/>
  <c r="I460" i="1"/>
  <c r="G460" i="1" s="1"/>
  <c r="K459" i="1"/>
  <c r="I459" i="1"/>
  <c r="G459" i="1" s="1"/>
  <c r="K458" i="1"/>
  <c r="I458" i="1"/>
  <c r="G458" i="1" s="1"/>
  <c r="K457" i="1"/>
  <c r="I457" i="1"/>
  <c r="G457" i="1" s="1"/>
  <c r="I456" i="1"/>
  <c r="K456" i="1"/>
  <c r="K455" i="1"/>
  <c r="I455" i="1"/>
  <c r="I454" i="1"/>
  <c r="K454" i="1"/>
  <c r="K453" i="1"/>
  <c r="I453" i="1"/>
  <c r="G453" i="1" s="1"/>
  <c r="K452" i="1"/>
  <c r="I452" i="1"/>
  <c r="G452" i="1" s="1"/>
  <c r="I451" i="1"/>
  <c r="K451" i="1"/>
  <c r="K450" i="1"/>
  <c r="I450" i="1"/>
  <c r="G450" i="1" s="1"/>
  <c r="I449" i="1"/>
  <c r="K449" i="1"/>
  <c r="I448" i="1"/>
  <c r="K448" i="1"/>
  <c r="I447" i="1"/>
  <c r="K447" i="1"/>
  <c r="I446" i="1"/>
  <c r="K446" i="1"/>
  <c r="K445" i="1"/>
  <c r="I445" i="1"/>
  <c r="G445" i="1" s="1"/>
  <c r="K444" i="1"/>
  <c r="I444" i="1"/>
  <c r="G444" i="1" s="1"/>
  <c r="I443" i="1"/>
  <c r="K443" i="1"/>
  <c r="I442" i="1"/>
  <c r="K442" i="1"/>
  <c r="K441" i="1"/>
  <c r="I441" i="1"/>
  <c r="G441" i="1" s="1"/>
  <c r="K440" i="1"/>
  <c r="I440" i="1"/>
  <c r="G440" i="1" s="1"/>
  <c r="I439" i="1"/>
  <c r="K439" i="1"/>
  <c r="I438" i="1"/>
  <c r="K438" i="1"/>
  <c r="K437" i="1"/>
  <c r="I437" i="1"/>
  <c r="G437" i="1" s="1"/>
  <c r="K436" i="1"/>
  <c r="I436" i="1"/>
  <c r="G436" i="1" s="1"/>
  <c r="K435" i="1"/>
  <c r="I435" i="1"/>
  <c r="G435" i="1" s="1"/>
  <c r="I434" i="1"/>
  <c r="K434" i="1"/>
  <c r="K433" i="1"/>
  <c r="I433" i="1"/>
  <c r="G433" i="1" s="1"/>
  <c r="I432" i="1"/>
  <c r="K432" i="1"/>
  <c r="K431" i="1"/>
  <c r="I431" i="1"/>
  <c r="G431" i="1" s="1"/>
  <c r="I430" i="1"/>
  <c r="K430" i="1"/>
  <c r="I429" i="1"/>
  <c r="K429" i="1"/>
  <c r="I427" i="1"/>
  <c r="K427" i="1"/>
  <c r="I426" i="1"/>
  <c r="K426" i="1"/>
  <c r="K425" i="1"/>
  <c r="I425" i="1"/>
  <c r="G425" i="1" s="1"/>
  <c r="I424" i="1"/>
  <c r="K424" i="1"/>
  <c r="I423" i="1"/>
  <c r="K423" i="1"/>
  <c r="I422" i="1"/>
  <c r="K422" i="1"/>
  <c r="I421" i="1"/>
  <c r="K421" i="1"/>
  <c r="I420" i="1"/>
  <c r="K420" i="1"/>
  <c r="I419" i="1"/>
  <c r="K419" i="1"/>
  <c r="K418" i="1"/>
  <c r="I418" i="1"/>
  <c r="G418" i="1" s="1"/>
  <c r="K417" i="1"/>
  <c r="I417" i="1"/>
  <c r="G417" i="1" s="1"/>
  <c r="K415" i="1"/>
  <c r="I415" i="1"/>
  <c r="G415" i="1" s="1"/>
  <c r="K414" i="1"/>
  <c r="I414" i="1"/>
  <c r="G414" i="1" s="1"/>
  <c r="I413" i="1"/>
  <c r="K413" i="1"/>
  <c r="I412" i="1"/>
  <c r="K412" i="1"/>
  <c r="I411" i="1"/>
  <c r="K411" i="1"/>
  <c r="K410" i="1"/>
  <c r="I410" i="1"/>
  <c r="G410" i="1" s="1"/>
  <c r="K409" i="1"/>
  <c r="I409" i="1"/>
  <c r="G409" i="1" s="1"/>
  <c r="I408" i="1"/>
  <c r="K408" i="1"/>
  <c r="I407" i="1"/>
  <c r="K407" i="1"/>
  <c r="K406" i="1"/>
  <c r="I406" i="1"/>
  <c r="G406" i="1" s="1"/>
  <c r="I405" i="1"/>
  <c r="K405" i="1"/>
  <c r="I404" i="1"/>
  <c r="K404" i="1"/>
  <c r="I403" i="1"/>
  <c r="K403" i="1"/>
  <c r="I402" i="1"/>
  <c r="K402" i="1"/>
  <c r="I401" i="1"/>
  <c r="K401" i="1"/>
  <c r="I400" i="1"/>
  <c r="K400" i="1"/>
  <c r="K399" i="1"/>
  <c r="I399" i="1"/>
  <c r="G399" i="1" s="1"/>
  <c r="K398" i="1"/>
  <c r="I398" i="1"/>
  <c r="G398" i="1" s="1"/>
  <c r="K397" i="1"/>
  <c r="I397" i="1"/>
  <c r="G397" i="1" s="1"/>
  <c r="I395" i="1"/>
  <c r="K395" i="1"/>
  <c r="I394" i="1"/>
  <c r="K394" i="1"/>
  <c r="I393" i="1"/>
  <c r="K393" i="1"/>
  <c r="I392" i="1"/>
  <c r="K392" i="1"/>
  <c r="I391" i="1"/>
  <c r="K391" i="1"/>
  <c r="K389" i="1"/>
  <c r="I389" i="1"/>
  <c r="G389" i="1" s="1"/>
  <c r="I388" i="1"/>
  <c r="K388" i="1"/>
  <c r="K387" i="1"/>
  <c r="I387" i="1"/>
  <c r="G387" i="1" s="1"/>
  <c r="K386" i="1"/>
  <c r="I386" i="1"/>
  <c r="G386" i="1" s="1"/>
  <c r="I385" i="1"/>
  <c r="K385" i="1"/>
  <c r="K384" i="1"/>
  <c r="I384" i="1"/>
  <c r="G384" i="1" s="1"/>
  <c r="K383" i="1"/>
  <c r="I383" i="1"/>
  <c r="G383" i="1" s="1"/>
  <c r="I382" i="1"/>
  <c r="K382" i="1"/>
  <c r="K381" i="1"/>
  <c r="I381" i="1"/>
  <c r="G381" i="1" s="1"/>
  <c r="I380" i="1"/>
  <c r="K380" i="1"/>
  <c r="I378" i="1"/>
  <c r="K378" i="1"/>
  <c r="I377" i="1"/>
  <c r="K377" i="1"/>
  <c r="K376" i="1"/>
  <c r="I376" i="1"/>
  <c r="G376" i="1" s="1"/>
  <c r="K375" i="1"/>
  <c r="I375" i="1"/>
  <c r="G375" i="1" s="1"/>
  <c r="K374" i="1"/>
  <c r="I374" i="1"/>
  <c r="G374" i="1" s="1"/>
  <c r="I373" i="1"/>
  <c r="K373" i="1"/>
  <c r="I372" i="1"/>
  <c r="K372" i="1"/>
  <c r="I371" i="1"/>
  <c r="K371" i="1"/>
  <c r="K370" i="1"/>
  <c r="I370" i="1"/>
  <c r="G370" i="1" s="1"/>
  <c r="K369" i="1"/>
  <c r="I369" i="1"/>
  <c r="G369" i="1" s="1"/>
  <c r="I368" i="1"/>
  <c r="K368" i="1"/>
  <c r="I367" i="1"/>
  <c r="K367" i="1"/>
  <c r="K366" i="1"/>
  <c r="I366" i="1"/>
  <c r="G366" i="1" s="1"/>
  <c r="K365" i="1"/>
  <c r="I365" i="1"/>
  <c r="K364" i="1"/>
  <c r="I364" i="1"/>
  <c r="G364" i="1" s="1"/>
  <c r="K363" i="1"/>
  <c r="I363" i="1"/>
  <c r="G363" i="1" s="1"/>
  <c r="K362" i="1"/>
  <c r="I362" i="1"/>
  <c r="G362" i="1" s="1"/>
  <c r="I361" i="1"/>
  <c r="K361" i="1"/>
  <c r="I360" i="1"/>
  <c r="K360" i="1"/>
  <c r="K359" i="1"/>
  <c r="I359" i="1"/>
  <c r="G359" i="1" s="1"/>
  <c r="I358" i="1"/>
  <c r="K358" i="1"/>
  <c r="K357" i="1"/>
  <c r="I357" i="1"/>
  <c r="G357" i="1" s="1"/>
  <c r="I356" i="1"/>
  <c r="K356" i="1"/>
  <c r="I355" i="1"/>
  <c r="K355" i="1"/>
  <c r="K354" i="1"/>
  <c r="I354" i="1"/>
  <c r="G354" i="1" s="1"/>
  <c r="K353" i="1"/>
  <c r="I353" i="1"/>
  <c r="G353" i="1" s="1"/>
  <c r="I352" i="1"/>
  <c r="K352" i="1"/>
  <c r="I351" i="1"/>
  <c r="K351" i="1"/>
  <c r="K350" i="1"/>
  <c r="I350" i="1"/>
  <c r="G350" i="1" s="1"/>
  <c r="I349" i="1"/>
  <c r="K349" i="1"/>
  <c r="K348" i="1"/>
  <c r="I348" i="1"/>
  <c r="G348" i="1" s="1"/>
  <c r="K347" i="1"/>
  <c r="I347" i="1"/>
  <c r="G347" i="1" s="1"/>
  <c r="K346" i="1"/>
  <c r="I346" i="1"/>
  <c r="I345" i="1"/>
  <c r="K345" i="1"/>
  <c r="K344" i="1"/>
  <c r="I344" i="1"/>
  <c r="G344" i="1" s="1"/>
  <c r="K343" i="1"/>
  <c r="I343" i="1"/>
  <c r="G343" i="1" s="1"/>
  <c r="K342" i="1"/>
  <c r="I342" i="1"/>
  <c r="G342" i="1" s="1"/>
  <c r="K341" i="1"/>
  <c r="I341" i="1"/>
  <c r="G341" i="1" s="1"/>
  <c r="K340" i="1"/>
  <c r="I340" i="1"/>
  <c r="G340" i="1" s="1"/>
  <c r="I339" i="1"/>
  <c r="K339" i="1"/>
  <c r="K338" i="1"/>
  <c r="I338" i="1"/>
  <c r="G338" i="1" s="1"/>
  <c r="K337" i="1"/>
  <c r="I337" i="1"/>
  <c r="G337" i="1" s="1"/>
  <c r="I336" i="1"/>
  <c r="K336" i="1"/>
  <c r="K335" i="1"/>
  <c r="I335" i="1"/>
  <c r="G335" i="1" s="1"/>
  <c r="I334" i="1"/>
  <c r="K334" i="1"/>
  <c r="K333" i="1"/>
  <c r="I333" i="1"/>
  <c r="G333" i="1" s="1"/>
  <c r="I332" i="1"/>
  <c r="K332" i="1"/>
  <c r="I331" i="1"/>
  <c r="K331" i="1"/>
  <c r="K330" i="1"/>
  <c r="I330" i="1"/>
  <c r="I329" i="1"/>
  <c r="K329" i="1"/>
  <c r="K328" i="1"/>
  <c r="I328" i="1"/>
  <c r="G328" i="1" s="1"/>
  <c r="I327" i="1"/>
  <c r="K327" i="1"/>
  <c r="K326" i="1"/>
  <c r="I326" i="1"/>
  <c r="G326" i="1" s="1"/>
  <c r="K325" i="1"/>
  <c r="I325" i="1"/>
  <c r="G325" i="1" s="1"/>
  <c r="I324" i="1"/>
  <c r="K324" i="1"/>
  <c r="K323" i="1"/>
  <c r="I323" i="1"/>
  <c r="G323" i="1" s="1"/>
  <c r="I322" i="1"/>
  <c r="K322" i="1"/>
  <c r="I321" i="1"/>
  <c r="K321" i="1"/>
  <c r="K320" i="1"/>
  <c r="I320" i="1"/>
  <c r="G320" i="1" s="1"/>
  <c r="I319" i="1"/>
  <c r="K319" i="1"/>
  <c r="K318" i="1"/>
  <c r="I318" i="1"/>
  <c r="G318" i="1" s="1"/>
  <c r="I317" i="1"/>
  <c r="K317" i="1"/>
  <c r="K316" i="1"/>
  <c r="I316" i="1"/>
  <c r="G316" i="1" s="1"/>
  <c r="I315" i="1"/>
  <c r="K315" i="1"/>
  <c r="K314" i="1"/>
  <c r="I314" i="1"/>
  <c r="G314" i="1" s="1"/>
  <c r="K313" i="1"/>
  <c r="I313" i="1"/>
  <c r="G313" i="1" s="1"/>
  <c r="K312" i="1"/>
  <c r="I312" i="1"/>
  <c r="G312" i="1" s="1"/>
  <c r="K310" i="1"/>
  <c r="I310" i="1"/>
  <c r="G310" i="1" s="1"/>
  <c r="K309" i="1"/>
  <c r="I309" i="1"/>
  <c r="I308" i="1"/>
  <c r="K308" i="1"/>
  <c r="K307" i="1"/>
  <c r="I307" i="1"/>
  <c r="G307" i="1" s="1"/>
  <c r="K306" i="1"/>
  <c r="I306" i="1"/>
  <c r="G306" i="1" s="1"/>
  <c r="I305" i="1"/>
  <c r="K305" i="1"/>
  <c r="K304" i="1"/>
  <c r="I304" i="1"/>
  <c r="I303" i="1"/>
  <c r="K303" i="1"/>
  <c r="K302" i="1"/>
  <c r="I302" i="1"/>
  <c r="G302" i="1" s="1"/>
  <c r="K301" i="1"/>
  <c r="I301" i="1"/>
  <c r="G301" i="1" s="1"/>
  <c r="K300" i="1"/>
  <c r="I300" i="1"/>
  <c r="G300" i="1" s="1"/>
  <c r="K299" i="1"/>
  <c r="I299" i="1"/>
  <c r="I298" i="1"/>
  <c r="K298" i="1"/>
  <c r="K297" i="1"/>
  <c r="I297" i="1"/>
  <c r="G297" i="1" s="1"/>
  <c r="I296" i="1"/>
  <c r="K296" i="1"/>
  <c r="K294" i="1"/>
  <c r="I294" i="1"/>
  <c r="G294" i="1" s="1"/>
  <c r="K293" i="1"/>
  <c r="I293" i="1"/>
  <c r="G293" i="1" s="1"/>
  <c r="K292" i="1"/>
  <c r="I292" i="1"/>
  <c r="G292" i="1" s="1"/>
  <c r="K291" i="1"/>
  <c r="I291" i="1"/>
  <c r="G291" i="1" s="1"/>
  <c r="I290" i="1"/>
  <c r="K290" i="1"/>
  <c r="I289" i="1"/>
  <c r="K289" i="1"/>
  <c r="I288" i="1"/>
  <c r="K288" i="1"/>
  <c r="K286" i="1"/>
  <c r="I286" i="1"/>
  <c r="G286" i="1" s="1"/>
  <c r="I285" i="1"/>
  <c r="K285" i="1"/>
  <c r="I284" i="1"/>
  <c r="K284" i="1"/>
  <c r="K283" i="1"/>
  <c r="I283" i="1"/>
  <c r="G283" i="1" s="1"/>
  <c r="I282" i="1"/>
  <c r="G282" i="1" s="1"/>
  <c r="K282" i="1"/>
  <c r="K281" i="1"/>
  <c r="I281" i="1"/>
  <c r="G281" i="1" s="1"/>
  <c r="K280" i="1"/>
  <c r="I280" i="1"/>
  <c r="G280" i="1" s="1"/>
  <c r="K279" i="1"/>
  <c r="I279" i="1"/>
  <c r="G279" i="1" s="1"/>
  <c r="I278" i="1"/>
  <c r="K278" i="1"/>
  <c r="I277" i="1"/>
  <c r="K277" i="1"/>
  <c r="K276" i="1"/>
  <c r="I276" i="1"/>
  <c r="G276" i="1" s="1"/>
  <c r="K275" i="1"/>
  <c r="I275" i="1"/>
  <c r="G275" i="1" s="1"/>
  <c r="K274" i="1"/>
  <c r="I274" i="1"/>
  <c r="G274" i="1" s="1"/>
  <c r="K273" i="1"/>
  <c r="I273" i="1"/>
  <c r="G273" i="1" s="1"/>
  <c r="K272" i="1"/>
  <c r="I272" i="1"/>
  <c r="G272" i="1" s="1"/>
  <c r="K271" i="1"/>
  <c r="I271" i="1"/>
  <c r="G271" i="1" s="1"/>
  <c r="K270" i="1"/>
  <c r="I270" i="1"/>
  <c r="G270" i="1" s="1"/>
  <c r="I269" i="1"/>
  <c r="K269" i="1"/>
  <c r="I268" i="1"/>
  <c r="K268" i="1"/>
  <c r="K267" i="1"/>
  <c r="I267" i="1"/>
  <c r="G267" i="1" s="1"/>
  <c r="K266" i="1"/>
  <c r="I266" i="1"/>
  <c r="G266" i="1" s="1"/>
  <c r="I265" i="1"/>
  <c r="K265" i="1"/>
  <c r="K264" i="1"/>
  <c r="I264" i="1"/>
  <c r="G264" i="1" s="1"/>
  <c r="K263" i="1"/>
  <c r="I263" i="1"/>
  <c r="G263" i="1" s="1"/>
  <c r="K262" i="1"/>
  <c r="I262" i="1"/>
  <c r="G262" i="1" s="1"/>
  <c r="I261" i="1"/>
  <c r="K261" i="1"/>
  <c r="I259" i="1"/>
  <c r="K259" i="1"/>
  <c r="I258" i="1"/>
  <c r="K258" i="1"/>
  <c r="K257" i="1"/>
  <c r="I257" i="1"/>
  <c r="G257" i="1" s="1"/>
  <c r="I256" i="1"/>
  <c r="K256" i="1"/>
  <c r="I255" i="1"/>
  <c r="K255" i="1"/>
  <c r="K254" i="1"/>
  <c r="I254" i="1"/>
  <c r="G254" i="1" s="1"/>
  <c r="I253" i="1"/>
  <c r="K253" i="1"/>
  <c r="I252" i="1"/>
  <c r="K252" i="1"/>
  <c r="K251" i="1"/>
  <c r="I251" i="1"/>
  <c r="G251" i="1" s="1"/>
  <c r="I250" i="1"/>
  <c r="K250" i="1"/>
  <c r="I249" i="1"/>
  <c r="K249" i="1"/>
  <c r="K248" i="1"/>
  <c r="I248" i="1"/>
  <c r="G248" i="1" s="1"/>
  <c r="K247" i="1"/>
  <c r="I247" i="1"/>
  <c r="G247" i="1" s="1"/>
  <c r="K246" i="1"/>
  <c r="I246" i="1"/>
  <c r="G246" i="1" s="1"/>
  <c r="K245" i="1"/>
  <c r="I245" i="1"/>
  <c r="G245" i="1" s="1"/>
  <c r="K244" i="1"/>
  <c r="I244" i="1"/>
  <c r="G244" i="1" s="1"/>
  <c r="K243" i="1"/>
  <c r="I243" i="1"/>
  <c r="G243" i="1" s="1"/>
  <c r="I242" i="1"/>
  <c r="K242" i="1"/>
  <c r="I241" i="1"/>
  <c r="K241" i="1"/>
  <c r="I239" i="1"/>
  <c r="K239" i="1"/>
  <c r="I238" i="1"/>
  <c r="K238" i="1"/>
  <c r="I237" i="1"/>
  <c r="K237" i="1"/>
  <c r="I236" i="1"/>
  <c r="K236" i="1"/>
  <c r="K235" i="1"/>
  <c r="I235" i="1"/>
  <c r="G235" i="1" s="1"/>
  <c r="I234" i="1"/>
  <c r="K234" i="1"/>
  <c r="K233" i="1"/>
  <c r="I233" i="1"/>
  <c r="G233" i="1" s="1"/>
  <c r="I231" i="1"/>
  <c r="K231" i="1"/>
  <c r="I230" i="1"/>
  <c r="K230" i="1"/>
  <c r="I229" i="1"/>
  <c r="K229" i="1"/>
  <c r="I228" i="1"/>
  <c r="K228" i="1"/>
  <c r="K225" i="1"/>
  <c r="I225" i="1"/>
  <c r="G225" i="1" s="1"/>
  <c r="K224" i="1"/>
  <c r="I224" i="1"/>
  <c r="G224" i="1" s="1"/>
  <c r="K223" i="1"/>
  <c r="I223" i="1"/>
  <c r="G223" i="1" s="1"/>
  <c r="K221" i="1"/>
  <c r="I221" i="1"/>
  <c r="G221" i="1" s="1"/>
  <c r="K219" i="1"/>
  <c r="I219" i="1"/>
  <c r="G219" i="1" s="1"/>
  <c r="K217" i="1"/>
  <c r="I217" i="1"/>
  <c r="G217" i="1" s="1"/>
  <c r="K216" i="1"/>
  <c r="I216" i="1"/>
  <c r="G216" i="1" s="1"/>
  <c r="K215" i="1"/>
  <c r="I215" i="1"/>
  <c r="G215" i="1" s="1"/>
  <c r="K214" i="1"/>
  <c r="I214" i="1"/>
  <c r="G214" i="1" s="1"/>
  <c r="I213" i="1"/>
  <c r="K213" i="1"/>
  <c r="K212" i="1"/>
  <c r="I212" i="1"/>
  <c r="G212" i="1" s="1"/>
  <c r="I211" i="1"/>
  <c r="K211" i="1"/>
  <c r="I210" i="1"/>
  <c r="K210" i="1"/>
  <c r="I209" i="1"/>
  <c r="K209" i="1"/>
  <c r="K207" i="1"/>
  <c r="I207" i="1"/>
  <c r="G207" i="1" s="1"/>
  <c r="I205" i="1"/>
  <c r="K205" i="1"/>
  <c r="K204" i="1"/>
  <c r="I204" i="1"/>
  <c r="G204" i="1" s="1"/>
  <c r="K202" i="1"/>
  <c r="I202" i="1"/>
  <c r="G202" i="1" s="1"/>
  <c r="I201" i="1"/>
  <c r="K201" i="1"/>
  <c r="I199" i="1"/>
  <c r="K199" i="1"/>
  <c r="I198" i="1"/>
  <c r="K198" i="1"/>
  <c r="K196" i="1"/>
  <c r="I196" i="1"/>
  <c r="G196" i="1" s="1"/>
  <c r="K195" i="1"/>
  <c r="I195" i="1"/>
  <c r="G195" i="1" s="1"/>
  <c r="K193" i="1"/>
  <c r="I193" i="1"/>
  <c r="G193" i="1" s="1"/>
  <c r="I191" i="1"/>
  <c r="K191" i="1"/>
  <c r="K190" i="1"/>
  <c r="I190" i="1"/>
  <c r="G190" i="1" s="1"/>
  <c r="I189" i="1"/>
  <c r="K189" i="1"/>
  <c r="K188" i="1"/>
  <c r="I188" i="1"/>
  <c r="G188" i="1" s="1"/>
  <c r="I187" i="1"/>
  <c r="K187" i="1"/>
  <c r="I186" i="1"/>
  <c r="K186" i="1"/>
  <c r="I185" i="1"/>
  <c r="K185" i="1"/>
  <c r="I183" i="1"/>
  <c r="K183" i="1"/>
  <c r="I181" i="1"/>
  <c r="K181" i="1"/>
  <c r="K179" i="1"/>
  <c r="I179" i="1"/>
  <c r="G179" i="1" s="1"/>
  <c r="I178" i="1"/>
  <c r="K178" i="1"/>
  <c r="I177" i="1"/>
  <c r="K177" i="1"/>
  <c r="I176" i="1"/>
  <c r="K176" i="1"/>
  <c r="I175" i="1"/>
  <c r="K175" i="1"/>
  <c r="I174" i="1"/>
  <c r="K174" i="1"/>
  <c r="K173" i="1"/>
  <c r="I173" i="1"/>
  <c r="G173" i="1" s="1"/>
  <c r="I172" i="1"/>
  <c r="K172" i="1"/>
  <c r="K171" i="1"/>
  <c r="I171" i="1"/>
  <c r="G171" i="1" s="1"/>
  <c r="K170" i="1"/>
  <c r="I170" i="1"/>
  <c r="G170" i="1" s="1"/>
  <c r="I169" i="1"/>
  <c r="K169" i="1"/>
  <c r="I168" i="1"/>
  <c r="K168" i="1"/>
  <c r="I167" i="1"/>
  <c r="K167" i="1"/>
  <c r="I166" i="1"/>
  <c r="K166" i="1"/>
  <c r="I165" i="1"/>
  <c r="K165" i="1"/>
  <c r="I164" i="1"/>
  <c r="K164" i="1"/>
  <c r="K163" i="1"/>
  <c r="I163" i="1"/>
  <c r="G163" i="1" s="1"/>
  <c r="I162" i="1"/>
  <c r="K162" i="1"/>
  <c r="I161" i="1"/>
  <c r="K161" i="1"/>
  <c r="I160" i="1"/>
  <c r="K160" i="1"/>
  <c r="I159" i="1"/>
  <c r="K159" i="1"/>
  <c r="K158" i="1"/>
  <c r="I158" i="1"/>
  <c r="G158" i="1" s="1"/>
  <c r="I156" i="1"/>
  <c r="K156" i="1"/>
  <c r="I155" i="1"/>
  <c r="K155" i="1"/>
  <c r="I154" i="1"/>
  <c r="K154" i="1"/>
  <c r="K153" i="1"/>
  <c r="I153" i="1"/>
  <c r="G153" i="1" s="1"/>
  <c r="K152" i="1"/>
  <c r="I152" i="1"/>
  <c r="G152" i="1" s="1"/>
  <c r="K150" i="1"/>
  <c r="I150" i="1"/>
  <c r="G150" i="1" s="1"/>
  <c r="K149" i="1"/>
  <c r="I149" i="1"/>
  <c r="G149" i="1" s="1"/>
  <c r="K148" i="1"/>
  <c r="I148" i="1"/>
  <c r="G148" i="1" s="1"/>
  <c r="K146" i="1"/>
  <c r="I146" i="1"/>
  <c r="G146" i="1" s="1"/>
  <c r="K144" i="1"/>
  <c r="I144" i="1"/>
  <c r="G144" i="1" s="1"/>
  <c r="K143" i="1"/>
  <c r="I143" i="1"/>
  <c r="G143" i="1" s="1"/>
  <c r="K142" i="1"/>
  <c r="I142" i="1"/>
  <c r="G142" i="1" s="1"/>
  <c r="K141" i="1"/>
  <c r="I141" i="1"/>
  <c r="G141" i="1" s="1"/>
  <c r="K140" i="1"/>
  <c r="I140" i="1"/>
  <c r="G140" i="1" s="1"/>
  <c r="K139" i="1"/>
  <c r="I139" i="1"/>
  <c r="G139" i="1" s="1"/>
  <c r="I138" i="1"/>
  <c r="K138" i="1"/>
  <c r="K137" i="1"/>
  <c r="I137" i="1"/>
  <c r="G137" i="1" s="1"/>
  <c r="K136" i="1"/>
  <c r="I136" i="1"/>
  <c r="G136" i="1" s="1"/>
  <c r="K135" i="1"/>
  <c r="I135" i="1"/>
  <c r="G135" i="1" s="1"/>
  <c r="K134" i="1"/>
  <c r="I134" i="1"/>
  <c r="G134" i="1" s="1"/>
  <c r="K133" i="1"/>
  <c r="I133" i="1"/>
  <c r="G133" i="1" s="1"/>
  <c r="K132" i="1"/>
  <c r="I132" i="1"/>
  <c r="G132" i="1" s="1"/>
  <c r="K131" i="1"/>
  <c r="I131" i="1"/>
  <c r="G131" i="1" s="1"/>
  <c r="I130" i="1"/>
  <c r="K130" i="1"/>
  <c r="I129" i="1"/>
  <c r="K129" i="1"/>
  <c r="K128" i="1"/>
  <c r="I128" i="1"/>
  <c r="G128" i="1" s="1"/>
  <c r="K127" i="1"/>
  <c r="I127" i="1"/>
  <c r="G127" i="1" s="1"/>
  <c r="K126" i="1"/>
  <c r="I126" i="1"/>
  <c r="G126" i="1" s="1"/>
  <c r="K125" i="1"/>
  <c r="I125" i="1"/>
  <c r="G125" i="1" s="1"/>
  <c r="I122" i="1"/>
  <c r="K122" i="1"/>
  <c r="K121" i="1"/>
  <c r="I121" i="1"/>
  <c r="G121" i="1" s="1"/>
  <c r="K120" i="1"/>
  <c r="I120" i="1"/>
  <c r="G120" i="1" s="1"/>
  <c r="K119" i="1"/>
  <c r="I119" i="1"/>
  <c r="G119" i="1" s="1"/>
  <c r="K118" i="1"/>
  <c r="I118" i="1"/>
  <c r="G118" i="1" s="1"/>
  <c r="K117" i="1"/>
  <c r="I117" i="1"/>
  <c r="G117" i="1" s="1"/>
  <c r="K116" i="1"/>
  <c r="I116" i="1"/>
  <c r="G116" i="1" s="1"/>
  <c r="K115" i="1"/>
  <c r="I115" i="1"/>
  <c r="G115" i="1" s="1"/>
  <c r="K114" i="1"/>
  <c r="I114" i="1"/>
  <c r="G114" i="1" s="1"/>
  <c r="K113" i="1"/>
  <c r="I113" i="1"/>
  <c r="G113" i="1" s="1"/>
  <c r="K112" i="1"/>
  <c r="I112" i="1"/>
  <c r="G112" i="1" s="1"/>
  <c r="K111" i="1"/>
  <c r="I111" i="1"/>
  <c r="G111" i="1" s="1"/>
  <c r="K110" i="1"/>
  <c r="I110" i="1"/>
  <c r="G110" i="1" s="1"/>
  <c r="K109" i="1"/>
  <c r="I109" i="1"/>
  <c r="G109" i="1" s="1"/>
  <c r="K108" i="1"/>
  <c r="I108" i="1"/>
  <c r="G108" i="1" s="1"/>
  <c r="K107" i="1"/>
  <c r="I107" i="1"/>
  <c r="G107" i="1" s="1"/>
  <c r="K106" i="1"/>
  <c r="I106" i="1"/>
  <c r="G106" i="1" s="1"/>
  <c r="K105" i="1"/>
  <c r="I105" i="1"/>
  <c r="G105" i="1" s="1"/>
  <c r="K104" i="1"/>
  <c r="I104" i="1"/>
  <c r="G104" i="1" s="1"/>
  <c r="K103" i="1"/>
  <c r="I103" i="1"/>
  <c r="G103" i="1" s="1"/>
  <c r="K102" i="1"/>
  <c r="I102" i="1"/>
  <c r="G102" i="1" s="1"/>
  <c r="K101" i="1"/>
  <c r="I101" i="1"/>
  <c r="G101" i="1" s="1"/>
  <c r="K100" i="1"/>
  <c r="I100" i="1"/>
  <c r="G100" i="1" s="1"/>
  <c r="K99" i="1"/>
  <c r="I99" i="1"/>
  <c r="G99" i="1" s="1"/>
  <c r="K98" i="1"/>
  <c r="I98" i="1"/>
  <c r="G98" i="1" s="1"/>
  <c r="K97" i="1"/>
  <c r="I97" i="1"/>
  <c r="G97" i="1" s="1"/>
  <c r="K96" i="1"/>
  <c r="I96" i="1"/>
  <c r="G96" i="1" s="1"/>
  <c r="K95" i="1"/>
  <c r="I95" i="1"/>
  <c r="G95" i="1" s="1"/>
  <c r="K94" i="1"/>
  <c r="I94" i="1"/>
  <c r="G94" i="1" s="1"/>
  <c r="K93" i="1"/>
  <c r="I93" i="1"/>
  <c r="G93" i="1" s="1"/>
  <c r="K92" i="1"/>
  <c r="I92" i="1"/>
  <c r="G92" i="1" s="1"/>
  <c r="I91" i="1"/>
  <c r="K91" i="1"/>
  <c r="I90" i="1"/>
  <c r="K90" i="1"/>
  <c r="K89" i="1"/>
  <c r="I89" i="1"/>
  <c r="G89" i="1" s="1"/>
  <c r="K88" i="1"/>
  <c r="I88" i="1"/>
  <c r="G88" i="1" s="1"/>
  <c r="I86" i="1"/>
  <c r="K86" i="1"/>
  <c r="K85" i="1"/>
  <c r="I85" i="1"/>
  <c r="G85" i="1" s="1"/>
  <c r="K84" i="1"/>
  <c r="I84" i="1"/>
  <c r="G84" i="1" s="1"/>
  <c r="I83" i="1"/>
  <c r="K83" i="1"/>
  <c r="K80" i="1"/>
  <c r="I80" i="1"/>
  <c r="G80" i="1" s="1"/>
  <c r="K78" i="1"/>
  <c r="I78" i="1"/>
  <c r="G78" i="1" s="1"/>
  <c r="K77" i="1"/>
  <c r="I77" i="1"/>
  <c r="G77" i="1" s="1"/>
  <c r="K76" i="1"/>
  <c r="I76" i="1"/>
  <c r="G76" i="1" s="1"/>
  <c r="K75" i="1"/>
  <c r="I75" i="1"/>
  <c r="G75" i="1" s="1"/>
  <c r="K74" i="1"/>
  <c r="I74" i="1"/>
  <c r="G74" i="1" s="1"/>
  <c r="K73" i="1"/>
  <c r="I73" i="1"/>
  <c r="K72" i="1"/>
  <c r="I72" i="1"/>
  <c r="G72" i="1" s="1"/>
  <c r="K69" i="1"/>
  <c r="I69" i="1"/>
  <c r="G69" i="1" s="1"/>
  <c r="K67" i="1"/>
  <c r="I67" i="1"/>
  <c r="G67" i="1" s="1"/>
  <c r="K65" i="1"/>
  <c r="I65" i="1"/>
  <c r="G65" i="1" s="1"/>
  <c r="K63" i="1"/>
  <c r="I63" i="1"/>
  <c r="G63" i="1" s="1"/>
  <c r="K61" i="1"/>
  <c r="I61" i="1"/>
  <c r="G61" i="1" s="1"/>
  <c r="K59" i="1"/>
  <c r="I59" i="1"/>
  <c r="G59" i="1" s="1"/>
  <c r="K57" i="1"/>
  <c r="I57" i="1"/>
  <c r="G57" i="1" s="1"/>
  <c r="K55" i="1"/>
  <c r="I55" i="1"/>
  <c r="G55" i="1" s="1"/>
  <c r="K53" i="1"/>
  <c r="I53" i="1"/>
  <c r="G53" i="1" s="1"/>
  <c r="K51" i="1"/>
  <c r="I51" i="1"/>
  <c r="G51" i="1" s="1"/>
  <c r="K49" i="1"/>
  <c r="I49" i="1"/>
  <c r="G49" i="1" s="1"/>
  <c r="K47" i="1"/>
  <c r="I47" i="1"/>
  <c r="G47" i="1" s="1"/>
  <c r="K45" i="1"/>
  <c r="I45" i="1"/>
  <c r="G45" i="1" s="1"/>
  <c r="K43" i="1"/>
  <c r="I43" i="1"/>
  <c r="G43" i="1" s="1"/>
  <c r="K42" i="1"/>
  <c r="I42" i="1"/>
  <c r="G42" i="1" s="1"/>
  <c r="I41" i="1"/>
  <c r="K41" i="1"/>
  <c r="K39" i="1"/>
  <c r="I39" i="1"/>
  <c r="G39" i="1" s="1"/>
  <c r="K38" i="1"/>
  <c r="I38" i="1"/>
  <c r="G38" i="1" s="1"/>
  <c r="K36" i="1"/>
  <c r="I36" i="1"/>
  <c r="G36" i="1" s="1"/>
  <c r="K35" i="1"/>
  <c r="I35" i="1"/>
  <c r="G35" i="1" s="1"/>
  <c r="K33" i="1"/>
  <c r="I33" i="1"/>
  <c r="G33" i="1" s="1"/>
  <c r="K31" i="1"/>
  <c r="I31" i="1"/>
  <c r="G31" i="1" s="1"/>
  <c r="K29" i="1"/>
  <c r="I29" i="1"/>
  <c r="G29" i="1" s="1"/>
  <c r="K28" i="1"/>
  <c r="I28" i="1"/>
  <c r="G28" i="1" s="1"/>
  <c r="K27" i="1"/>
  <c r="I27" i="1"/>
  <c r="G27" i="1" s="1"/>
  <c r="K26" i="1"/>
  <c r="I26" i="1"/>
  <c r="G26" i="1" s="1"/>
  <c r="I25" i="1"/>
  <c r="K25" i="1"/>
  <c r="K24" i="1"/>
  <c r="I24" i="1"/>
  <c r="G24" i="1" s="1"/>
  <c r="K23" i="1"/>
  <c r="I23" i="1"/>
  <c r="G23" i="1" s="1"/>
  <c r="K22" i="1"/>
  <c r="I22" i="1"/>
  <c r="G22" i="1" s="1"/>
  <c r="K21" i="1"/>
  <c r="I21" i="1"/>
  <c r="G21" i="1" s="1"/>
  <c r="I19" i="1"/>
  <c r="K19" i="1"/>
  <c r="K18" i="1"/>
  <c r="I18" i="1"/>
  <c r="G18" i="1" s="1"/>
  <c r="K16" i="1"/>
  <c r="I16" i="1"/>
  <c r="G16" i="1" s="1"/>
  <c r="I15" i="1"/>
  <c r="K15" i="1"/>
  <c r="K13" i="1"/>
  <c r="I13" i="1"/>
  <c r="G13" i="1" s="1"/>
  <c r="F2371" i="1"/>
  <c r="F2372" i="1" s="1"/>
  <c r="F2373" i="1" s="1"/>
  <c r="K12" i="1"/>
  <c r="I12" i="1"/>
  <c r="G12" i="1" s="1"/>
  <c r="G1870" i="1" l="1"/>
  <c r="G2041" i="1"/>
  <c r="G1903" i="1"/>
  <c r="G1811" i="1"/>
  <c r="G1805" i="1"/>
  <c r="G1804" i="1"/>
  <c r="G1802" i="1"/>
  <c r="G1800" i="1"/>
  <c r="G1789" i="1"/>
  <c r="G1787" i="1"/>
  <c r="G1786" i="1"/>
  <c r="G1785" i="1"/>
  <c r="G1782" i="1"/>
  <c r="G1780" i="1"/>
  <c r="G1779" i="1"/>
  <c r="G1778" i="1"/>
  <c r="G1777" i="1"/>
  <c r="G1773" i="1"/>
  <c r="G1772" i="1"/>
  <c r="G1771" i="1"/>
  <c r="G1542" i="1"/>
  <c r="G876" i="1"/>
  <c r="G2135" i="1"/>
  <c r="G2071" i="1"/>
  <c r="G2013" i="1"/>
  <c r="G1981" i="1"/>
  <c r="G1918" i="1"/>
  <c r="G1893" i="1"/>
  <c r="G1886" i="1"/>
  <c r="G2064" i="1"/>
  <c r="G2055" i="1"/>
  <c r="G2011" i="1"/>
  <c r="G971" i="1"/>
  <c r="G969" i="1"/>
  <c r="G955" i="1"/>
  <c r="G939" i="1"/>
  <c r="G927" i="1"/>
  <c r="G2063" i="1"/>
  <c r="G1867" i="1"/>
  <c r="G1343" i="1"/>
  <c r="G2056" i="1"/>
  <c r="G2007" i="1"/>
  <c r="G1984" i="1"/>
  <c r="G1854" i="1"/>
  <c r="G1156" i="1"/>
  <c r="G1155" i="1"/>
  <c r="G1141" i="1"/>
  <c r="G1136" i="1"/>
  <c r="G1134" i="1"/>
  <c r="G1105" i="1"/>
  <c r="G1069" i="1"/>
  <c r="G1047" i="1"/>
  <c r="G1029" i="1"/>
  <c r="G1023" i="1"/>
  <c r="G1016" i="1"/>
  <c r="G1015" i="1"/>
  <c r="G1005" i="1"/>
  <c r="G1002" i="1"/>
  <c r="G988" i="1"/>
  <c r="G984" i="1"/>
  <c r="G852" i="1"/>
  <c r="G825" i="1"/>
  <c r="G807" i="1"/>
  <c r="G792" i="1"/>
  <c r="G785" i="1"/>
  <c r="G782" i="1"/>
  <c r="G772" i="1"/>
  <c r="G758" i="1"/>
  <c r="G748" i="1"/>
  <c r="G475" i="1"/>
  <c r="G455" i="1"/>
  <c r="G351" i="1"/>
  <c r="G346" i="1"/>
  <c r="G330" i="1"/>
  <c r="G321" i="1"/>
  <c r="G308" i="1"/>
  <c r="G304" i="1"/>
  <c r="G299" i="1"/>
  <c r="G290" i="1"/>
  <c r="G277" i="1"/>
  <c r="G2076" i="1"/>
  <c r="G2015" i="1"/>
  <c r="G2014" i="1"/>
  <c r="G1864" i="1"/>
  <c r="G1830" i="1"/>
  <c r="G736" i="1"/>
  <c r="G730" i="1"/>
  <c r="G723" i="1"/>
  <c r="G711" i="1"/>
  <c r="G709" i="1"/>
  <c r="G705" i="1"/>
  <c r="G668" i="1"/>
  <c r="G664" i="1"/>
  <c r="G613" i="1"/>
  <c r="G607" i="1"/>
  <c r="G594" i="1"/>
  <c r="G588" i="1"/>
  <c r="G547" i="1"/>
  <c r="G509" i="1"/>
  <c r="G558" i="1"/>
  <c r="G534" i="1"/>
  <c r="G531" i="1"/>
  <c r="G530" i="1"/>
  <c r="G513" i="1"/>
  <c r="G512" i="1"/>
  <c r="G499" i="1"/>
  <c r="G365" i="1"/>
  <c r="G309" i="1"/>
  <c r="G1813" i="1"/>
  <c r="G2137" i="1"/>
  <c r="G241" i="1"/>
  <c r="G239" i="1"/>
  <c r="G237" i="1"/>
  <c r="G213" i="1"/>
  <c r="G209" i="1"/>
  <c r="G198" i="1"/>
  <c r="G187" i="1"/>
  <c r="G181" i="1"/>
  <c r="G178" i="1"/>
  <c r="G176" i="1"/>
  <c r="G174" i="1"/>
  <c r="G172" i="1"/>
  <c r="G164" i="1"/>
  <c r="G155" i="1"/>
  <c r="G1543" i="1"/>
  <c r="G2350" i="1"/>
  <c r="G2339" i="1"/>
  <c r="G2337" i="1"/>
  <c r="G2322" i="1"/>
  <c r="G2312" i="1"/>
  <c r="G2297" i="1"/>
  <c r="G2293" i="1"/>
  <c r="G2288" i="1"/>
  <c r="G2286" i="1"/>
  <c r="G2274" i="1"/>
  <c r="G2272" i="1"/>
  <c r="G2269" i="1"/>
  <c r="G2245" i="1"/>
  <c r="G2241" i="1"/>
  <c r="G2238" i="1"/>
  <c r="G2237" i="1"/>
  <c r="G1990" i="1"/>
  <c r="G1953" i="1"/>
  <c r="G1916" i="1"/>
  <c r="G129" i="1"/>
  <c r="G2235" i="1"/>
  <c r="G2234" i="1"/>
  <c r="G2226" i="1"/>
  <c r="G2224" i="1"/>
  <c r="G2212" i="1"/>
  <c r="G2210" i="1"/>
  <c r="G2209" i="1"/>
  <c r="G2208" i="1"/>
  <c r="G2203" i="1"/>
  <c r="G2196" i="1"/>
  <c r="G2195" i="1"/>
  <c r="G2194" i="1"/>
  <c r="G2193" i="1"/>
  <c r="G2185" i="1"/>
  <c r="G2184" i="1"/>
  <c r="G2182" i="1"/>
  <c r="G2163" i="1"/>
  <c r="G2160" i="1"/>
  <c r="G2158" i="1"/>
  <c r="G2119" i="1"/>
  <c r="G2089" i="1"/>
  <c r="G1884" i="1"/>
  <c r="G1833" i="1"/>
  <c r="F2374" i="1"/>
  <c r="F2375" i="1" s="1"/>
  <c r="C5" i="1" s="1"/>
  <c r="G1769" i="1"/>
  <c r="G1767" i="1"/>
  <c r="G1766" i="1"/>
  <c r="G1764" i="1"/>
  <c r="G1763" i="1"/>
  <c r="G1762" i="1"/>
  <c r="G1753" i="1"/>
  <c r="G1748" i="1"/>
  <c r="G1746" i="1"/>
  <c r="G1745" i="1"/>
  <c r="G1744" i="1"/>
  <c r="G1743" i="1"/>
  <c r="G1742" i="1"/>
  <c r="G1733" i="1"/>
  <c r="G1732" i="1"/>
  <c r="G1731" i="1"/>
  <c r="G1730" i="1"/>
  <c r="G1728" i="1"/>
  <c r="G1727" i="1"/>
  <c r="G1726" i="1"/>
  <c r="G1724" i="1"/>
  <c r="G1720" i="1"/>
  <c r="G1698" i="1"/>
  <c r="G1692" i="1"/>
  <c r="G1688" i="1"/>
  <c r="G1687" i="1"/>
  <c r="G1685" i="1"/>
  <c r="G1676" i="1"/>
  <c r="G1675" i="1"/>
  <c r="G1668" i="1"/>
  <c r="G1667" i="1"/>
  <c r="G1665" i="1"/>
  <c r="G1663" i="1"/>
  <c r="G1661" i="1"/>
  <c r="G1660" i="1"/>
  <c r="G1658" i="1"/>
  <c r="G1656" i="1"/>
  <c r="G1653" i="1"/>
  <c r="G1652" i="1"/>
  <c r="G1650" i="1"/>
  <c r="G1648" i="1"/>
  <c r="G1646" i="1"/>
  <c r="G1645" i="1"/>
  <c r="G1643" i="1"/>
  <c r="G1641" i="1"/>
  <c r="G1638" i="1"/>
  <c r="G1636" i="1"/>
  <c r="G1635" i="1"/>
  <c r="G1634" i="1"/>
  <c r="G1631" i="1"/>
  <c r="G1629" i="1"/>
  <c r="G1628" i="1"/>
  <c r="G1627" i="1"/>
  <c r="G1624" i="1"/>
  <c r="G1622" i="1"/>
  <c r="G1618" i="1"/>
  <c r="G1616" i="1"/>
  <c r="G1615" i="1"/>
  <c r="G1614" i="1"/>
  <c r="G1613" i="1"/>
  <c r="G1612" i="1"/>
  <c r="G1610" i="1"/>
  <c r="G1607" i="1"/>
  <c r="G1606" i="1"/>
  <c r="G1605" i="1"/>
  <c r="G1604" i="1"/>
  <c r="G1603" i="1"/>
  <c r="G1602" i="1"/>
  <c r="G1601" i="1"/>
  <c r="G1595" i="1"/>
  <c r="G1594" i="1"/>
  <c r="G1593" i="1"/>
  <c r="G1592" i="1"/>
  <c r="G1586" i="1"/>
  <c r="G1585" i="1"/>
  <c r="G1584" i="1"/>
  <c r="G1580" i="1"/>
  <c r="G1577" i="1"/>
  <c r="G1576" i="1"/>
  <c r="G1575" i="1"/>
  <c r="G1574" i="1"/>
  <c r="G1573" i="1"/>
  <c r="G1571" i="1"/>
  <c r="G1570" i="1"/>
  <c r="G1569" i="1"/>
  <c r="G1568" i="1"/>
  <c r="G1562" i="1"/>
  <c r="G1560" i="1"/>
  <c r="G1553" i="1"/>
  <c r="G1551" i="1"/>
  <c r="G1549" i="1"/>
  <c r="G1548" i="1"/>
  <c r="G1538" i="1"/>
  <c r="G1535" i="1"/>
  <c r="G1534" i="1"/>
  <c r="G1532" i="1"/>
  <c r="G1530" i="1"/>
  <c r="G1529" i="1"/>
  <c r="G1522" i="1"/>
  <c r="G1521" i="1"/>
  <c r="G1520" i="1"/>
  <c r="G1518" i="1"/>
  <c r="G1517" i="1"/>
  <c r="G1516" i="1"/>
  <c r="G1513" i="1"/>
  <c r="G1511" i="1"/>
  <c r="G1510" i="1"/>
  <c r="G1509" i="1"/>
  <c r="G1508" i="1"/>
  <c r="G1503" i="1"/>
  <c r="G1502" i="1"/>
  <c r="G1498" i="1"/>
  <c r="G1496" i="1"/>
  <c r="G1495" i="1"/>
  <c r="G1494" i="1"/>
  <c r="G1493" i="1"/>
  <c r="G1488" i="1"/>
  <c r="G1487" i="1"/>
  <c r="G1481" i="1"/>
  <c r="G1479" i="1"/>
  <c r="G1478" i="1"/>
  <c r="G1477" i="1"/>
  <c r="G1476" i="1"/>
  <c r="G1473" i="1"/>
  <c r="G1470" i="1"/>
  <c r="G1469" i="1"/>
  <c r="G1457" i="1"/>
  <c r="G1455" i="1"/>
  <c r="G1452" i="1"/>
  <c r="G1451" i="1"/>
  <c r="G1450" i="1"/>
  <c r="G1440" i="1"/>
  <c r="G1439" i="1"/>
  <c r="G1438" i="1"/>
  <c r="G1436" i="1"/>
  <c r="G1398" i="1"/>
  <c r="G1397" i="1"/>
  <c r="G1396" i="1"/>
  <c r="G1394" i="1"/>
  <c r="G1392" i="1"/>
  <c r="G1390" i="1"/>
  <c r="G1389" i="1"/>
  <c r="G1385" i="1"/>
  <c r="G1384" i="1"/>
  <c r="G1380" i="1"/>
  <c r="G1379" i="1"/>
  <c r="G1377" i="1"/>
  <c r="G1375" i="1"/>
  <c r="G1372" i="1"/>
  <c r="G1368" i="1"/>
  <c r="G1364" i="1"/>
  <c r="G1358" i="1"/>
  <c r="G1357" i="1"/>
  <c r="G1356" i="1"/>
  <c r="G1353" i="1"/>
  <c r="G1351" i="1"/>
  <c r="G1348" i="1"/>
  <c r="G1347" i="1"/>
  <c r="G1346" i="1"/>
  <c r="G1342" i="1"/>
  <c r="G1341" i="1"/>
  <c r="G1340" i="1"/>
  <c r="G1338" i="1"/>
  <c r="G1336" i="1"/>
  <c r="G1335" i="1"/>
  <c r="G1334" i="1"/>
  <c r="G1333" i="1"/>
  <c r="G1332" i="1"/>
  <c r="G1330" i="1"/>
  <c r="G1329" i="1"/>
  <c r="G1326" i="1"/>
  <c r="G1324" i="1"/>
  <c r="G1323" i="1"/>
  <c r="G1321" i="1"/>
  <c r="G1320" i="1"/>
  <c r="G1318" i="1"/>
  <c r="G1316" i="1"/>
  <c r="G1314" i="1"/>
  <c r="G1312" i="1"/>
  <c r="G1309" i="1"/>
  <c r="G1308" i="1"/>
  <c r="G1302" i="1"/>
  <c r="G1301" i="1"/>
  <c r="G1300" i="1"/>
  <c r="G1299" i="1"/>
  <c r="G1296" i="1"/>
  <c r="G1291" i="1"/>
  <c r="G1282" i="1"/>
  <c r="G1281" i="1"/>
  <c r="G1278" i="1"/>
  <c r="G1277" i="1"/>
  <c r="G1276" i="1"/>
  <c r="G1272" i="1"/>
  <c r="G1271" i="1"/>
  <c r="G1269" i="1"/>
  <c r="G1267" i="1"/>
  <c r="G1266" i="1"/>
  <c r="G1262" i="1"/>
  <c r="G1260" i="1"/>
  <c r="G1259" i="1"/>
  <c r="G1250" i="1"/>
  <c r="G1249" i="1"/>
  <c r="G1248" i="1"/>
  <c r="G1247" i="1"/>
  <c r="G1246" i="1"/>
  <c r="G1244" i="1"/>
  <c r="G1242" i="1"/>
  <c r="G1241" i="1"/>
  <c r="G1240" i="1"/>
  <c r="G1239" i="1"/>
  <c r="G1235" i="1"/>
  <c r="G1234" i="1"/>
  <c r="G1231" i="1"/>
  <c r="G1230" i="1"/>
  <c r="G1229" i="1"/>
  <c r="G1228" i="1"/>
  <c r="G1222" i="1"/>
  <c r="G1220" i="1"/>
  <c r="G1218" i="1"/>
  <c r="G1216" i="1"/>
  <c r="G1213" i="1"/>
  <c r="G1209" i="1"/>
  <c r="G1208" i="1"/>
  <c r="G1207" i="1"/>
  <c r="G1206" i="1"/>
  <c r="G1205" i="1"/>
  <c r="G1204" i="1"/>
  <c r="G1203" i="1"/>
  <c r="G1200" i="1"/>
  <c r="G1164" i="1"/>
  <c r="G1160" i="1"/>
  <c r="G1142" i="1"/>
  <c r="G1140" i="1"/>
  <c r="G1138" i="1"/>
  <c r="G1137" i="1"/>
  <c r="G1118" i="1"/>
  <c r="G1115" i="1"/>
  <c r="G1113" i="1"/>
  <c r="G1112" i="1"/>
  <c r="G1111" i="1"/>
  <c r="G1110" i="1"/>
  <c r="G1107" i="1"/>
  <c r="G1106" i="1"/>
  <c r="G1101" i="1"/>
  <c r="G1098" i="1"/>
  <c r="G1097" i="1"/>
  <c r="G1096" i="1"/>
  <c r="G1095" i="1"/>
  <c r="G1094" i="1"/>
  <c r="G1093" i="1"/>
  <c r="G1086" i="1"/>
  <c r="G1078" i="1"/>
  <c r="G1068" i="1"/>
  <c r="G1067" i="1"/>
  <c r="G1055" i="1"/>
  <c r="G1053" i="1"/>
  <c r="G1048" i="1"/>
  <c r="G1041" i="1"/>
  <c r="G1028" i="1"/>
  <c r="G1022" i="1"/>
  <c r="G1019" i="1"/>
  <c r="G1018" i="1"/>
  <c r="G1017" i="1"/>
  <c r="G1011" i="1"/>
  <c r="G1008" i="1"/>
  <c r="G1007" i="1"/>
  <c r="G1003" i="1"/>
  <c r="G996" i="1"/>
  <c r="G994" i="1"/>
  <c r="G993" i="1"/>
  <c r="G991" i="1"/>
  <c r="G990" i="1"/>
  <c r="G989" i="1"/>
  <c r="G986" i="1"/>
  <c r="G983" i="1"/>
  <c r="G982" i="1"/>
  <c r="G978" i="1"/>
  <c r="G970" i="1"/>
  <c r="G966" i="1"/>
  <c r="G965" i="1"/>
  <c r="G964" i="1"/>
  <c r="G940" i="1"/>
  <c r="G938" i="1"/>
  <c r="G937" i="1"/>
  <c r="G936" i="1"/>
  <c r="G935" i="1"/>
  <c r="G930" i="1"/>
  <c r="G929" i="1"/>
  <c r="G887" i="1"/>
  <c r="G886" i="1"/>
  <c r="G885" i="1"/>
  <c r="G875" i="1"/>
  <c r="G874" i="1"/>
  <c r="G871" i="1"/>
  <c r="G868" i="1"/>
  <c r="G860" i="1"/>
  <c r="G858" i="1"/>
  <c r="G856" i="1"/>
  <c r="G855" i="1"/>
  <c r="G853" i="1"/>
  <c r="G848" i="1"/>
  <c r="G847" i="1"/>
  <c r="G841" i="1"/>
  <c r="G833" i="1"/>
  <c r="G832" i="1"/>
  <c r="G831" i="1"/>
  <c r="G830" i="1"/>
  <c r="G829" i="1"/>
  <c r="G828" i="1"/>
  <c r="G824" i="1"/>
  <c r="G804" i="1"/>
  <c r="G803" i="1"/>
  <c r="G798" i="1"/>
  <c r="G797" i="1"/>
  <c r="G794" i="1"/>
  <c r="G786" i="1"/>
  <c r="G784" i="1"/>
  <c r="G783" i="1"/>
  <c r="G778" i="1"/>
  <c r="G773" i="1"/>
  <c r="G763" i="1"/>
  <c r="G752" i="1"/>
  <c r="G746" i="1"/>
  <c r="G744" i="1"/>
  <c r="G743" i="1"/>
  <c r="G739" i="1"/>
  <c r="G738" i="1"/>
  <c r="G737" i="1"/>
  <c r="G734" i="1"/>
  <c r="G732" i="1"/>
  <c r="G729" i="1"/>
  <c r="G724" i="1"/>
  <c r="G720" i="1"/>
  <c r="G719" i="1"/>
  <c r="G716" i="1"/>
  <c r="G714" i="1"/>
  <c r="G713" i="1"/>
  <c r="G710" i="1"/>
  <c r="G706" i="1"/>
  <c r="G704" i="1"/>
  <c r="G702" i="1"/>
  <c r="G680" i="1"/>
  <c r="G671" i="1"/>
  <c r="G666" i="1"/>
  <c r="G665" i="1"/>
  <c r="G659" i="1"/>
  <c r="G657" i="1"/>
  <c r="G655" i="1"/>
  <c r="G654" i="1"/>
  <c r="G652" i="1"/>
  <c r="G647" i="1"/>
  <c r="G639" i="1"/>
  <c r="G638" i="1"/>
  <c r="G636" i="1"/>
  <c r="G633" i="1"/>
  <c r="G629" i="1"/>
  <c r="G627" i="1"/>
  <c r="G625" i="1"/>
  <c r="G624" i="1"/>
  <c r="G619" i="1"/>
  <c r="G618" i="1"/>
  <c r="G615" i="1"/>
  <c r="G610" i="1"/>
  <c r="G609" i="1"/>
  <c r="G604" i="1"/>
  <c r="G603" i="1"/>
  <c r="G602" i="1"/>
  <c r="G600" i="1"/>
  <c r="G589" i="1"/>
  <c r="G586" i="1"/>
  <c r="G585" i="1"/>
  <c r="G581" i="1"/>
  <c r="G548" i="1"/>
  <c r="G545" i="1"/>
  <c r="G543" i="1"/>
  <c r="G533" i="1"/>
  <c r="G514" i="1"/>
  <c r="G511" i="1"/>
  <c r="G510" i="1"/>
  <c r="G503" i="1"/>
  <c r="G1809" i="1"/>
  <c r="G1808" i="1"/>
  <c r="G1190" i="1"/>
  <c r="G1186" i="1"/>
  <c r="G1181" i="1"/>
  <c r="G1180" i="1"/>
  <c r="G1177" i="1"/>
  <c r="G1176" i="1"/>
  <c r="G1174" i="1"/>
  <c r="G1167" i="1"/>
  <c r="G1166" i="1"/>
  <c r="G1165" i="1"/>
  <c r="G1154" i="1"/>
  <c r="G1132" i="1"/>
  <c r="G1126" i="1"/>
  <c r="G1123" i="1"/>
  <c r="G1084" i="1"/>
  <c r="G1083" i="1"/>
  <c r="G1081" i="1"/>
  <c r="G1080" i="1"/>
  <c r="G1075" i="1"/>
  <c r="G1070" i="1"/>
  <c r="G1062" i="1"/>
  <c r="G1061" i="1"/>
  <c r="G1035" i="1"/>
  <c r="G1031" i="1"/>
  <c r="G1030" i="1"/>
  <c r="G1014" i="1"/>
  <c r="G1006" i="1"/>
  <c r="G1001" i="1"/>
  <c r="G1000" i="1"/>
  <c r="G992" i="1"/>
  <c r="G980" i="1"/>
  <c r="G947" i="1"/>
  <c r="G932" i="1"/>
  <c r="G931" i="1"/>
  <c r="G928" i="1"/>
  <c r="G925" i="1"/>
  <c r="G923" i="1"/>
  <c r="G922" i="1"/>
  <c r="G921" i="1"/>
  <c r="G920" i="1"/>
  <c r="G919" i="1"/>
  <c r="G918" i="1"/>
  <c r="G917" i="1"/>
  <c r="G916" i="1"/>
  <c r="G908" i="1"/>
  <c r="G901" i="1"/>
  <c r="G898" i="1"/>
  <c r="G896" i="1"/>
  <c r="G895" i="1"/>
  <c r="G893" i="1"/>
  <c r="G892" i="1"/>
  <c r="G872" i="1"/>
  <c r="G870" i="1"/>
  <c r="G864" i="1"/>
  <c r="G859" i="1"/>
  <c r="G843" i="1"/>
  <c r="G837" i="1"/>
  <c r="G820" i="1"/>
  <c r="G818" i="1"/>
  <c r="G816" i="1"/>
  <c r="G815" i="1"/>
  <c r="G813" i="1"/>
  <c r="G793" i="1"/>
  <c r="G779" i="1"/>
  <c r="G775" i="1"/>
  <c r="G774" i="1"/>
  <c r="G761" i="1"/>
  <c r="G760" i="1"/>
  <c r="G756" i="1"/>
  <c r="G755" i="1"/>
  <c r="G753" i="1"/>
  <c r="G740" i="1"/>
  <c r="G735" i="1"/>
  <c r="G725" i="1"/>
  <c r="G708" i="1"/>
  <c r="G699" i="1"/>
  <c r="G698" i="1"/>
  <c r="G697" i="1"/>
  <c r="G692" i="1"/>
  <c r="G691" i="1"/>
  <c r="G688" i="1"/>
  <c r="G686" i="1"/>
  <c r="G684" i="1"/>
  <c r="G681" i="1"/>
  <c r="G675" i="1"/>
  <c r="G669" i="1"/>
  <c r="G599" i="1"/>
  <c r="G598" i="1"/>
  <c r="G597" i="1"/>
  <c r="G596" i="1"/>
  <c r="G587" i="1"/>
  <c r="G541" i="1"/>
  <c r="G519" i="1"/>
  <c r="G502" i="1"/>
  <c r="G498" i="1"/>
  <c r="G496" i="1"/>
  <c r="G495" i="1"/>
  <c r="G492" i="1"/>
  <c r="G488" i="1"/>
  <c r="G482" i="1"/>
  <c r="G481" i="1"/>
  <c r="G478" i="1"/>
  <c r="G473" i="1"/>
  <c r="G471" i="1"/>
  <c r="G469" i="1"/>
  <c r="G468" i="1"/>
  <c r="G467" i="1"/>
  <c r="G456" i="1"/>
  <c r="G454" i="1"/>
  <c r="G451" i="1"/>
  <c r="G449" i="1"/>
  <c r="G448" i="1"/>
  <c r="G447" i="1"/>
  <c r="G446" i="1"/>
  <c r="G443" i="1"/>
  <c r="G442" i="1"/>
  <c r="G439" i="1"/>
  <c r="G438" i="1"/>
  <c r="G434" i="1"/>
  <c r="G432" i="1"/>
  <c r="G430" i="1"/>
  <c r="G429" i="1"/>
  <c r="G427" i="1"/>
  <c r="G426" i="1"/>
  <c r="G424" i="1"/>
  <c r="G423" i="1"/>
  <c r="G422" i="1"/>
  <c r="G421" i="1"/>
  <c r="G420" i="1"/>
  <c r="G419" i="1"/>
  <c r="G413" i="1"/>
  <c r="G412" i="1"/>
  <c r="G411" i="1"/>
  <c r="G408" i="1"/>
  <c r="G407" i="1"/>
  <c r="G405" i="1"/>
  <c r="G404" i="1"/>
  <c r="G403" i="1"/>
  <c r="G402" i="1"/>
  <c r="G401" i="1"/>
  <c r="G400" i="1"/>
  <c r="G395" i="1"/>
  <c r="G394" i="1"/>
  <c r="G393" i="1"/>
  <c r="G392" i="1"/>
  <c r="G391" i="1"/>
  <c r="G368" i="1"/>
  <c r="G361" i="1"/>
  <c r="G360" i="1"/>
  <c r="G358" i="1"/>
  <c r="G352" i="1"/>
  <c r="G349" i="1"/>
  <c r="G336" i="1"/>
  <c r="G334" i="1"/>
  <c r="G332" i="1"/>
  <c r="G327" i="1"/>
  <c r="G324" i="1"/>
  <c r="G322" i="1"/>
  <c r="G319" i="1"/>
  <c r="G305" i="1"/>
  <c r="G303" i="1"/>
  <c r="G298" i="1"/>
  <c r="G296" i="1"/>
  <c r="G289" i="1"/>
  <c r="G288" i="1"/>
  <c r="G284" i="1"/>
  <c r="G278" i="1"/>
  <c r="G258" i="1"/>
  <c r="G252" i="1"/>
  <c r="G250" i="1"/>
  <c r="G242" i="1"/>
  <c r="G238" i="1"/>
  <c r="G231" i="1"/>
  <c r="G230" i="1"/>
  <c r="G229" i="1"/>
  <c r="G228" i="1"/>
  <c r="G211" i="1"/>
  <c r="G210" i="1"/>
  <c r="G201" i="1"/>
  <c r="G189" i="1"/>
  <c r="G186" i="1"/>
  <c r="G185" i="1"/>
  <c r="G183" i="1"/>
  <c r="G175" i="1"/>
  <c r="G169" i="1"/>
  <c r="G168" i="1"/>
  <c r="G167" i="1"/>
  <c r="G166" i="1"/>
  <c r="G165" i="1"/>
  <c r="G159" i="1"/>
  <c r="G156" i="1"/>
  <c r="G122" i="1"/>
  <c r="G91" i="1"/>
  <c r="G86" i="1"/>
  <c r="G83" i="1"/>
  <c r="G73" i="1"/>
  <c r="G41" i="1"/>
  <c r="G25" i="1"/>
  <c r="G19" i="1"/>
  <c r="G2361" i="1"/>
  <c r="G2352" i="1"/>
  <c r="G2344" i="1"/>
  <c r="G2318" i="1"/>
  <c r="G2314" i="1"/>
  <c r="G2298" i="1"/>
  <c r="G2273" i="1"/>
  <c r="G2257" i="1"/>
  <c r="G2240" i="1"/>
  <c r="G2223" i="1"/>
  <c r="G2156" i="1"/>
  <c r="G2150" i="1"/>
  <c r="G2141" i="1"/>
  <c r="G2120" i="1"/>
  <c r="G2068" i="1"/>
  <c r="G2060" i="1"/>
  <c r="G2016" i="1"/>
  <c r="G2012" i="1"/>
  <c r="G1995" i="1"/>
  <c r="G1976" i="1"/>
  <c r="G1974" i="1"/>
  <c r="G1965" i="1"/>
  <c r="G1960" i="1"/>
  <c r="G1950" i="1"/>
  <c r="G1943" i="1"/>
  <c r="G1923" i="1"/>
  <c r="G1920" i="1"/>
  <c r="G1894" i="1"/>
  <c r="G1887" i="1"/>
  <c r="G1866" i="1"/>
  <c r="G1859" i="1"/>
  <c r="G1839" i="1"/>
  <c r="G1784" i="1"/>
  <c r="G388" i="1"/>
  <c r="G385" i="1"/>
  <c r="G382" i="1"/>
  <c r="G380" i="1"/>
  <c r="G378" i="1"/>
  <c r="G377" i="1"/>
  <c r="G373" i="1"/>
  <c r="G372" i="1"/>
  <c r="G371" i="1"/>
  <c r="G367" i="1"/>
  <c r="G356" i="1"/>
  <c r="G355" i="1"/>
  <c r="G345" i="1"/>
  <c r="G339" i="1"/>
  <c r="G331" i="1"/>
  <c r="G329" i="1"/>
  <c r="G317" i="1"/>
  <c r="G315" i="1"/>
  <c r="G285" i="1"/>
  <c r="G269" i="1"/>
  <c r="G268" i="1"/>
  <c r="G265" i="1"/>
  <c r="G261" i="1"/>
  <c r="G259" i="1"/>
  <c r="G256" i="1"/>
  <c r="G255" i="1"/>
  <c r="G253" i="1"/>
  <c r="G249" i="1"/>
  <c r="G236" i="1"/>
  <c r="G234" i="1"/>
  <c r="G205" i="1"/>
  <c r="G199" i="1"/>
  <c r="G191" i="1"/>
  <c r="G177" i="1"/>
  <c r="G162" i="1"/>
  <c r="G161" i="1"/>
  <c r="G160" i="1"/>
  <c r="G154" i="1"/>
  <c r="G138" i="1"/>
  <c r="G130" i="1"/>
  <c r="G90" i="1"/>
  <c r="G15" i="1"/>
  <c r="G2367" i="1"/>
  <c r="G2363" i="1"/>
  <c r="G2299" i="1"/>
  <c r="G2244" i="1"/>
  <c r="G2159" i="1"/>
  <c r="G2157" i="1"/>
  <c r="G2146" i="1"/>
  <c r="G2145" i="1"/>
  <c r="G2126" i="1"/>
  <c r="G2124" i="1"/>
  <c r="G2103" i="1"/>
  <c r="G2077" i="1"/>
  <c r="G2054" i="1"/>
  <c r="G2052" i="1"/>
  <c r="G2051" i="1"/>
  <c r="G2048" i="1"/>
  <c r="G2004" i="1"/>
  <c r="G1991" i="1"/>
  <c r="G1973" i="1"/>
  <c r="G1967" i="1"/>
  <c r="G1955" i="1"/>
  <c r="G1942" i="1"/>
  <c r="G1934" i="1"/>
  <c r="G1931" i="1"/>
  <c r="G1905" i="1"/>
  <c r="G1901" i="1"/>
  <c r="G1840" i="1"/>
  <c r="G1838" i="1"/>
  <c r="G1834" i="1"/>
  <c r="G1827" i="1"/>
  <c r="G1826" i="1"/>
  <c r="G1825" i="1"/>
  <c r="G1803" i="1"/>
  <c r="G1801" i="1"/>
  <c r="G1783" i="1"/>
  <c r="G2255" i="1"/>
  <c r="G2242" i="1"/>
  <c r="G2205" i="1"/>
  <c r="G2200" i="1"/>
  <c r="G2192" i="1"/>
  <c r="G2191" i="1"/>
  <c r="G2144" i="1"/>
  <c r="G2130" i="1"/>
  <c r="G2128" i="1"/>
  <c r="G2121" i="1"/>
  <c r="G2108" i="1"/>
  <c r="G2104" i="1"/>
  <c r="G2088" i="1"/>
  <c r="G2087" i="1"/>
  <c r="G2069" i="1"/>
  <c r="G2050" i="1"/>
  <c r="G2045" i="1"/>
  <c r="G2044" i="1"/>
  <c r="G2042" i="1"/>
  <c r="G2040" i="1"/>
  <c r="G1994" i="1"/>
  <c r="G1977" i="1"/>
  <c r="G1964" i="1"/>
  <c r="G1933" i="1"/>
  <c r="G1926" i="1"/>
  <c r="G1924" i="1"/>
  <c r="G1891" i="1"/>
  <c r="G1881" i="1"/>
  <c r="G1861" i="1"/>
  <c r="G1860" i="1"/>
  <c r="G1856" i="1"/>
  <c r="G1844" i="1"/>
  <c r="G1821" i="1"/>
  <c r="G1819" i="1"/>
  <c r="G1776" i="1"/>
  <c r="G177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AZ-BOQ</author>
  </authors>
  <commentList>
    <comment ref="D152" authorId="0" shapeId="0" xr:uid="{00000000-0006-0000-0000-000001000000}">
      <text>
        <r>
          <rPr>
            <sz val="11"/>
            <color theme="1"/>
            <rFont val="Aptos Narrow"/>
            <family val="2"/>
            <charset val="204"/>
            <scheme val="minor"/>
          </rPr>
          <t>Drawing quantity 0.23 m³ (matched). equals Guard room, roof timber total</t>
        </r>
      </text>
    </comment>
    <comment ref="D153" authorId="0" shapeId="0" xr:uid="{00000000-0006-0000-0000-000002000000}">
      <text>
        <r>
          <rPr>
            <sz val="11"/>
            <color theme="1"/>
            <rFont val="Aptos Narrow"/>
            <family val="2"/>
            <charset val="204"/>
            <scheme val="minor"/>
          </rPr>
          <t>Drawing quantity 9.6 m² (matched). equals Guard room, metal roof tile area</t>
        </r>
      </text>
    </comment>
    <comment ref="D213" authorId="0" shapeId="0" xr:uid="{00000000-0006-0000-0000-000003000000}">
      <text>
        <r>
          <rPr>
            <sz val="11"/>
            <color theme="1"/>
            <rFont val="Aptos Narrow"/>
            <family val="2"/>
            <charset val="204"/>
            <scheme val="minor"/>
          </rPr>
          <t>Drawing quantity 0.33 m³ (matched). equals Pump station, roof timber total</t>
        </r>
      </text>
    </comment>
    <comment ref="D214" authorId="0" shapeId="0" xr:uid="{00000000-0006-0000-0000-000004000000}">
      <text>
        <r>
          <rPr>
            <sz val="11"/>
            <color theme="1"/>
            <rFont val="Aptos Narrow"/>
            <family val="2"/>
            <charset val="204"/>
            <scheme val="minor"/>
          </rPr>
          <t>Drawing quantity 27.64 m² (matched). equals Pump station, metal roof tile area</t>
        </r>
      </text>
    </comment>
    <comment ref="D228" authorId="0" shapeId="0" xr:uid="{00000000-0006-0000-0000-000005000000}">
      <text>
        <r>
          <rPr>
            <sz val="11"/>
            <color theme="1"/>
            <rFont val="Aptos Narrow"/>
            <family val="2"/>
            <charset val="204"/>
            <scheme val="minor"/>
          </rPr>
          <t>Drawing quantity 7625.4 m³ (matched). equals Demolition volume</t>
        </r>
      </text>
    </comment>
    <comment ref="D434" authorId="0" shapeId="0" xr:uid="{00000000-0006-0000-0000-000006000000}">
      <text>
        <r>
          <rPr>
            <sz val="11"/>
            <color theme="1"/>
            <rFont val="Aptos Narrow"/>
            <family val="2"/>
            <charset val="204"/>
            <scheme val="minor"/>
          </rPr>
          <t>Drawing quantity 2.7 m (matched). equals Basement storey height (found automatically)</t>
        </r>
      </text>
    </comment>
    <comment ref="D439" authorId="0" shapeId="0" xr:uid="{00000000-0006-0000-0000-000007000000}">
      <text>
        <r>
          <rPr>
            <sz val="11"/>
            <color theme="1"/>
            <rFont val="Aptos Narrow"/>
            <family val="2"/>
            <charset val="204"/>
            <scheme val="minor"/>
          </rPr>
          <t>Drawing quantity 2.7 m (matched). equals Basement storey height (found automatically)</t>
        </r>
      </text>
    </comment>
    <comment ref="D440" authorId="0" shapeId="0" xr:uid="{00000000-0006-0000-0000-000008000000}">
      <text>
        <r>
          <rPr>
            <sz val="11"/>
            <color theme="1"/>
            <rFont val="Aptos Narrow"/>
            <family val="2"/>
            <charset val="204"/>
            <scheme val="minor"/>
          </rPr>
          <t>Drawing quantity 2.7 m (matched). equals Basement storey height (found automatically)</t>
        </r>
      </text>
    </comment>
    <comment ref="D633" authorId="0" shapeId="0" xr:uid="{00000000-0006-0000-0000-000009000000}">
      <text>
        <r>
          <rPr>
            <sz val="11"/>
            <color theme="1"/>
            <rFont val="Aptos Narrow"/>
            <family val="2"/>
            <charset val="204"/>
            <scheme val="minor"/>
          </rPr>
          <t>Drawing quantity 6 m (matched). equals Bay module (found automatically)</t>
        </r>
      </text>
    </comment>
    <comment ref="D1228" authorId="0" shapeId="0" xr:uid="{00000000-0006-0000-0000-00000A000000}">
      <text>
        <r>
          <rPr>
            <sz val="11"/>
            <color theme="1"/>
            <rFont val="Aptos Narrow"/>
            <family val="2"/>
            <charset val="204"/>
            <scheme val="minor"/>
          </rPr>
          <t>Drawing quantity 12 each (matched). equals Tower, smoke detectors</t>
        </r>
      </text>
    </comment>
    <comment ref="D1229" authorId="0" shapeId="0" xr:uid="{00000000-0006-0000-0000-00000B000000}">
      <text>
        <r>
          <rPr>
            <sz val="11"/>
            <color theme="1"/>
            <rFont val="Aptos Narrow"/>
            <family val="2"/>
            <charset val="204"/>
            <scheme val="minor"/>
          </rPr>
          <t>Drawing quantity 12 each (matched). equals Tower, smoke detectors</t>
        </r>
      </text>
    </comment>
    <comment ref="D1230" authorId="0" shapeId="0" xr:uid="{00000000-0006-0000-0000-00000C000000}">
      <text>
        <r>
          <rPr>
            <sz val="11"/>
            <color theme="1"/>
            <rFont val="Aptos Narrow"/>
            <family val="2"/>
            <charset val="204"/>
            <scheme val="minor"/>
          </rPr>
          <t>Drawing quantity 5 each (different). bill 6 vs drawing 5 each</t>
        </r>
      </text>
    </comment>
    <comment ref="D1231" authorId="0" shapeId="0" xr:uid="{00000000-0006-0000-0000-00000D000000}">
      <text>
        <r>
          <rPr>
            <sz val="11"/>
            <color theme="1"/>
            <rFont val="Aptos Narrow"/>
            <family val="2"/>
            <charset val="204"/>
            <scheme val="minor"/>
          </rPr>
          <t>Drawing quantity 5 each (different). bill 6 vs drawing 5 each</t>
        </r>
      </text>
    </comment>
    <comment ref="D1237" authorId="0" shapeId="0" xr:uid="{00000000-0006-0000-0000-00000E000000}">
      <text>
        <r>
          <rPr>
            <sz val="11"/>
            <color theme="1"/>
            <rFont val="Aptos Narrow"/>
            <family val="2"/>
            <charset val="204"/>
            <scheme val="minor"/>
          </rPr>
          <t>Drawing quantity 12 each (matched). equals Tower, smoke detectors</t>
        </r>
      </text>
    </comment>
    <comment ref="D2083" authorId="0" shapeId="0" xr:uid="{00000000-0006-0000-0000-00000F000000}">
      <text>
        <r>
          <rPr>
            <sz val="11"/>
            <color theme="1"/>
            <rFont val="Aptos Narrow"/>
            <family val="2"/>
            <charset val="204"/>
            <scheme val="minor"/>
          </rPr>
          <t>Drawing quantity 8683 m³ (matched). equals Suitable soil shortfall</t>
        </r>
      </text>
    </comment>
    <comment ref="D2085" authorId="0" shapeId="0" xr:uid="{00000000-0006-0000-0000-000010000000}">
      <text>
        <r>
          <rPr>
            <sz val="11"/>
            <color theme="1"/>
            <rFont val="Aptos Narrow"/>
            <family val="2"/>
            <charset val="204"/>
            <scheme val="minor"/>
          </rPr>
          <t>Drawing quantity 12996 m³ (matched). equals Site fill</t>
        </r>
      </text>
    </comment>
    <comment ref="D2086" authorId="0" shapeId="0" xr:uid="{00000000-0006-0000-0000-000011000000}">
      <text>
        <r>
          <rPr>
            <sz val="11"/>
            <color theme="1"/>
            <rFont val="Aptos Narrow"/>
            <family val="2"/>
            <charset val="204"/>
            <scheme val="minor"/>
          </rPr>
          <t>Drawing quantity 12996 m³ (matched). equals Site fill</t>
        </r>
      </text>
    </comment>
    <comment ref="D2087" authorId="0" shapeId="0" xr:uid="{00000000-0006-0000-0000-000012000000}">
      <text>
        <r>
          <rPr>
            <sz val="11"/>
            <color theme="1"/>
            <rFont val="Aptos Narrow"/>
            <family val="2"/>
            <charset val="204"/>
            <scheme val="minor"/>
          </rPr>
          <t>Drawing quantity 12996 m³ (matched). equals Site fill</t>
        </r>
      </text>
    </comment>
    <comment ref="D2088" authorId="0" shapeId="0" xr:uid="{00000000-0006-0000-0000-000013000000}">
      <text>
        <r>
          <rPr>
            <sz val="11"/>
            <color theme="1"/>
            <rFont val="Aptos Narrow"/>
            <family val="2"/>
            <charset val="204"/>
            <scheme val="minor"/>
          </rPr>
          <t>Drawing quantity 12996 m³ (matched). equals Site fill</t>
        </r>
      </text>
    </comment>
    <comment ref="D2089" authorId="0" shapeId="0" xr:uid="{00000000-0006-0000-0000-000014000000}">
      <text>
        <r>
          <rPr>
            <sz val="11"/>
            <color theme="1"/>
            <rFont val="Aptos Narrow"/>
            <family val="2"/>
            <charset val="204"/>
            <scheme val="minor"/>
          </rPr>
          <t>Drawing quantity 522 m³ (matched). equals Topsoil to landscaped area</t>
        </r>
      </text>
    </comment>
    <comment ref="D2094" authorId="0" shapeId="0" xr:uid="{00000000-0006-0000-0000-000015000000}">
      <text>
        <r>
          <rPr>
            <sz val="11"/>
            <color theme="1"/>
            <rFont val="Aptos Narrow"/>
            <family val="2"/>
            <charset val="204"/>
            <scheme val="minor"/>
          </rPr>
          <t>Drawing quantity 383.7 m² (matched). lines 19.1.3 + 20.1.3 = 599.7 equals the printed 599.7 m²</t>
        </r>
      </text>
    </comment>
    <comment ref="D2104" authorId="0" shapeId="0" xr:uid="{00000000-0006-0000-0000-000016000000}">
      <text>
        <r>
          <rPr>
            <sz val="11"/>
            <color theme="1"/>
            <rFont val="Aptos Narrow"/>
            <family val="2"/>
            <charset val="204"/>
            <scheme val="minor"/>
          </rPr>
          <t>Drawing quantity 216 m² (matched). lines 19.1.3 + 20.1.3 = 599.7 equals the printed 599.7 m²</t>
        </r>
      </text>
    </comment>
    <comment ref="D2114" authorId="0" shapeId="0" xr:uid="{00000000-0006-0000-0000-000017000000}">
      <text>
        <r>
          <rPr>
            <sz val="11"/>
            <color theme="1"/>
            <rFont val="Aptos Narrow"/>
            <family val="2"/>
            <charset val="204"/>
            <scheme val="minor"/>
          </rPr>
          <t>Drawing quantity 1021 m² (matched). equals Reinforced-concrete roads</t>
        </r>
      </text>
    </comment>
    <comment ref="D2115" authorId="0" shapeId="0" xr:uid="{00000000-0006-0000-0000-000018000000}">
      <text>
        <r>
          <rPr>
            <sz val="11"/>
            <color theme="1"/>
            <rFont val="Aptos Narrow"/>
            <family val="2"/>
            <charset val="204"/>
            <scheme val="minor"/>
          </rPr>
          <t>Drawing quantity 1021 m² (matched). equals Reinforced-concrete roads</t>
        </r>
      </text>
    </comment>
    <comment ref="D2119" authorId="0" shapeId="0" xr:uid="{00000000-0006-0000-0000-000019000000}">
      <text>
        <r>
          <rPr>
            <sz val="11"/>
            <color theme="1"/>
            <rFont val="Aptos Narrow"/>
            <family val="2"/>
            <charset val="204"/>
            <scheme val="minor"/>
          </rPr>
          <t>Drawing quantity 1021 m² (matched). equals Reinforced-concrete roads</t>
        </r>
      </text>
    </comment>
    <comment ref="D2120" authorId="0" shapeId="0" xr:uid="{00000000-0006-0000-0000-00001A000000}">
      <text>
        <r>
          <rPr>
            <sz val="11"/>
            <color theme="1"/>
            <rFont val="Aptos Narrow"/>
            <family val="2"/>
            <charset val="204"/>
            <scheme val="minor"/>
          </rPr>
          <t>Drawing quantity 1021 m² (matched). equals Reinforced-concrete roads</t>
        </r>
      </text>
    </comment>
    <comment ref="D2121" authorId="0" shapeId="0" xr:uid="{00000000-0006-0000-0000-00001B000000}">
      <text>
        <r>
          <rPr>
            <sz val="11"/>
            <color theme="1"/>
            <rFont val="Aptos Narrow"/>
            <family val="2"/>
            <charset val="204"/>
            <scheme val="minor"/>
          </rPr>
          <t>Drawing quantity 1021 m² (matched). equals Reinforced-concrete roads</t>
        </r>
      </text>
    </comment>
    <comment ref="D2126" authorId="0" shapeId="0" xr:uid="{00000000-0006-0000-0000-00001C000000}">
      <text>
        <r>
          <rPr>
            <sz val="11"/>
            <color theme="1"/>
            <rFont val="Aptos Narrow"/>
            <family val="2"/>
            <charset val="204"/>
            <scheme val="minor"/>
          </rPr>
          <t>Drawing quantity 1437.8 m² (matched). equals Pavements and yards</t>
        </r>
      </text>
    </comment>
    <comment ref="D2127" authorId="0" shapeId="0" xr:uid="{00000000-0006-0000-0000-00001D000000}">
      <text>
        <r>
          <rPr>
            <sz val="11"/>
            <color theme="1"/>
            <rFont val="Aptos Narrow"/>
            <family val="2"/>
            <charset val="204"/>
            <scheme val="minor"/>
          </rPr>
          <t>Drawing quantity 1437.8 m² (matched). equals Pavements and yards</t>
        </r>
      </text>
    </comment>
    <comment ref="D2130" authorId="0" shapeId="0" xr:uid="{00000000-0006-0000-0000-00001E000000}">
      <text>
        <r>
          <rPr>
            <sz val="11"/>
            <color theme="1"/>
            <rFont val="Aptos Narrow"/>
            <family val="2"/>
            <charset val="204"/>
            <scheme val="minor"/>
          </rPr>
          <t>Drawing quantity 3482.3 m² (matched). equals Landscaped area</t>
        </r>
      </text>
    </comment>
    <comment ref="D2131" authorId="0" shapeId="0" xr:uid="{00000000-0006-0000-0000-00001F000000}">
      <text>
        <r>
          <rPr>
            <sz val="11"/>
            <color theme="1"/>
            <rFont val="Aptos Narrow"/>
            <family val="2"/>
            <charset val="204"/>
            <scheme val="minor"/>
          </rPr>
          <t>Drawing quantity 3482.3 m² (matched). equals Landscaped area</t>
        </r>
      </text>
    </comment>
  </commentList>
</comments>
</file>

<file path=xl/sharedStrings.xml><?xml version="1.0" encoding="utf-8"?>
<sst xmlns="http://schemas.openxmlformats.org/spreadsheetml/2006/main" count="4748" uniqueCount="1427">
  <si>
    <t xml:space="preserve">PROJECT / İnşaat obyekti : </t>
  </si>
  <si>
    <t xml:space="preserve">EMPLOYER / Sifarişçi : </t>
  </si>
  <si>
    <t>LOGO</t>
  </si>
  <si>
    <t xml:space="preserve">CONTRACT NO &amp; DATE / Müqavilə:  № ve Tarix : </t>
  </si>
  <si>
    <t xml:space="preserve">SUBCONTRACTOR / Podratçı : </t>
  </si>
  <si>
    <t>PPC NO / A  K  T № :</t>
  </si>
  <si>
    <t xml:space="preserve">CONTRACT PRICE / Müqavilə üzrə Qiyməti : </t>
  </si>
  <si>
    <t>PPC DATE / Tarix :</t>
  </si>
  <si>
    <t>BOQ No</t>
  </si>
  <si>
    <t xml:space="preserve">                 
Description /  İşin adı</t>
  </si>
  <si>
    <t>Uom / Ölçü 
vahidi</t>
  </si>
  <si>
    <t>Quantity / 
Həcmi</t>
  </si>
  <si>
    <t xml:space="preserve">Unit Price in AZN / 
İş vahidinin
 qiyməti manat </t>
  </si>
  <si>
    <t>Total Unit Price in AZN / Ümumi
qiymət 
manat</t>
  </si>
  <si>
    <t xml:space="preserve">Progress Payment / Yerinə yetirilmişdir  </t>
  </si>
  <si>
    <t>Pogress Up-to date / Tikinti işlərinin əvvəlindən</t>
  </si>
  <si>
    <t>Previous Progress / Əvvəlki dövr</t>
  </si>
  <si>
    <t>This Month Progress  /       O cümlədən hesabat ayı ərzində</t>
  </si>
  <si>
    <t>Total Quantity / 
Həcmi</t>
  </si>
  <si>
    <t>Total Amount / 
Qiyməti</t>
  </si>
  <si>
    <t>Previous Quantity / 
Həcmi</t>
  </si>
  <si>
    <t>Previous Amount / 
Qiyməti</t>
  </si>
  <si>
    <t>This Interim Quantity / 
Həcmi</t>
  </si>
  <si>
    <t>This Interim  Amount / 
Qiyməti</t>
  </si>
  <si>
    <t>Zirzəmi  /  Basement</t>
  </si>
  <si>
    <t>2.2</t>
  </si>
  <si>
    <t>2.2  4 çıxışlı Yanğın Deposu binası  (Bünövrə)</t>
  </si>
  <si>
    <t>390x190x188 mm ölçülərində mişarlanmış əhəng daşından bina və qurğuların bütöv divarlarının hörgüsü: 39 sm qalınlığında (Mişarlanmış əhəng daşından xarici zirzəmi divarı)</t>
  </si>
  <si>
    <t>m2</t>
  </si>
  <si>
    <t>Quraşdırma: zolaqlşəkilli və nazikvərəqli poladdan nov, qəfəslər, cəftələr (Zirzəmidə havalandırma deşiklərinə metal torun vurulması)</t>
  </si>
  <si>
    <t>ton</t>
  </si>
  <si>
    <t>2.7</t>
  </si>
  <si>
    <t>2.7  4 çıxışlı Yanğın Deposu binası  (Döşəmələr)</t>
  </si>
  <si>
    <t>Örtüklərin düzəldilməsi: əlavə 5 mm (Zirzəmi)</t>
  </si>
  <si>
    <t>Sement məhlulunda tavalardan örtüklərin düzəldilməsi: keramik, döşəmələr üçün bir rəngli boya ilə (Zirzəmi)</t>
  </si>
  <si>
    <t>2.8</t>
  </si>
  <si>
    <t>2.8  4 çıxışlı Yanğın Deposu binası  (Daxili bəzək işləri)</t>
  </si>
  <si>
    <t>Binanın daxilində əhəngli sulu tərkiblərlə rəngləmə: kərpic və beton üzrə (zirzəmi tavan)</t>
  </si>
  <si>
    <t>Beton və daş səthlərin sement-əhəng və ya sement məhlulu ilə suvanması: divarların, sadə (Zirzəmi divarlar)</t>
  </si>
  <si>
    <t>2.11</t>
  </si>
  <si>
    <t>2.11  4 çıxışlı Yanğın Deposu binası  (Zirzəmiyə giriş pilləkəni Zp1-Zp2)</t>
  </si>
  <si>
    <t>Bünövrə altı əsasların qurulması:qırmadaşlı</t>
  </si>
  <si>
    <t>m3</t>
  </si>
  <si>
    <t>Beton hazırlıq qatının qurulması</t>
  </si>
  <si>
    <t>Qurulması: dəmir-beton pillələrin</t>
  </si>
  <si>
    <t>A-1 sinifli armatur</t>
  </si>
  <si>
    <t>A-3 sinifli armatur</t>
  </si>
  <si>
    <t>Birləşdirici qatın düzəldilməsi: sement, qalınlığı 20 mm</t>
  </si>
  <si>
    <t>Sement məhlulunda tavalardan örtüklərin düzəldilməsi: keramik, döşəmələr üçün bir rəngli boya ilə</t>
  </si>
  <si>
    <t>Tutacaqsız metal məhəccərlərin qurulması</t>
  </si>
  <si>
    <t>m</t>
  </si>
  <si>
    <t>İsti qaldırma qalvanizə olunması; metal məhəccərlər tipli metal konstruksiyalar</t>
  </si>
  <si>
    <t>10.1</t>
  </si>
  <si>
    <t>10.1  V=81 m3-luq yanğın əleyhinə 1-ci su anbarı (Tikinti işləri)</t>
  </si>
  <si>
    <t>Boru kəmərləri bünövrə və zirzəmi divarlarından keçdikdə, kipgəclərin birləşmə yerlərinin doldurulması, boruların diametri: 100 mm-ə qədər</t>
  </si>
  <si>
    <t>ədəd</t>
  </si>
  <si>
    <t>11.1</t>
  </si>
  <si>
    <t>11.1  V=81 m3-luq yanğın əleyhinə 2-ci su anbarı (Tikinti işləri)</t>
  </si>
  <si>
    <t>12.1</t>
  </si>
  <si>
    <t>12.1  V=27 m3-luq 1-ci içməli su anbarı (Tikinti işləri)</t>
  </si>
  <si>
    <t>Boru kəmərləri bünövrə və zirzəmi divarlarından keçdikdə, kipgəclərin birləşmə yerlərinin doldurulması, boruların diametri: 200 mm-ə qədər</t>
  </si>
  <si>
    <t>13.1</t>
  </si>
  <si>
    <t>13.1  V=27 m3-luq 2-ci içməli su anbarı (Tikinti işləri)</t>
  </si>
  <si>
    <t>14.2</t>
  </si>
  <si>
    <t>14.2  Su nasos stansiyası (Bünövrə)</t>
  </si>
  <si>
    <t>İstinad divarlarının və zirzəmi divarlarının qurulması: betondan (b10)</t>
  </si>
  <si>
    <t>m(3)</t>
  </si>
  <si>
    <t>Boru kəmərləri bünövrə və zirzəmi divarlarından keçdikdə, kipgəclərin birləşmə yerlərinin doldurulması, boruların diametri: 100 mm-ə qədər (d-100mm)</t>
  </si>
  <si>
    <t>Boru kəmərləri bünövrə və zirzəmi divarlarından keçdikdə, kipgəclərin birləşmə yerlərinin doldurulması, boruların diametri: 100 mm-ə qədər (D-80mm-(2ədəd, D-50mm-(1əd.))</t>
  </si>
  <si>
    <t>25.1.1</t>
  </si>
  <si>
    <t>25.1.1  İstinad divarı və daş hasar (İstinad divarı İD-1)</t>
  </si>
  <si>
    <t>Dəmir-beton istinad divarlarının və zirzəmi divarlarının qurulması, hündürlüyü: 3 m-ə qədər, qalınlığı 500 mm-ə qədər (b25)</t>
  </si>
  <si>
    <t>25.1.2</t>
  </si>
  <si>
    <t>25.1.2  İstinad divarı və daş hasar (İstinad divarı İD-2)</t>
  </si>
  <si>
    <t>25.1.3</t>
  </si>
  <si>
    <t>25.1.3  İstinad divarı və daş hasar (İstinad divarı İD-3)</t>
  </si>
  <si>
    <t>25.1.4</t>
  </si>
  <si>
    <t>25.1.4  İstinad divarı və daş hasar (İstinad divarı İD-4)</t>
  </si>
  <si>
    <t>25.1.5</t>
  </si>
  <si>
    <t>25.1.5  İstinad divarı və daş hasar (İstinad divarı İD-5)</t>
  </si>
  <si>
    <t>25.1.6</t>
  </si>
  <si>
    <t>25.1.6  İstinad divarı və daş hasar (İstinad divarı İD-6)</t>
  </si>
  <si>
    <t>25.1.7</t>
  </si>
  <si>
    <t>25.1.7  İstinad divarı və daş hasar (İstinad divarı İD-7)</t>
  </si>
  <si>
    <t>25.1.8</t>
  </si>
  <si>
    <t>25.1.8  İstinad divarı və daş hasar (İstinad divarı İD-8)</t>
  </si>
  <si>
    <t>25.1.9</t>
  </si>
  <si>
    <t>25.1.9  İstinad divarı və daş hasar (İstinad divarı İD-9)</t>
  </si>
  <si>
    <t>25.1.10</t>
  </si>
  <si>
    <t>25.1.10  İstinad divarı və daş hasar (İstinad divarı İD-10)</t>
  </si>
  <si>
    <t>25.1.11</t>
  </si>
  <si>
    <t>25.1.11  İstinad divarı və daş hasar (İstinad divarı İD-11)</t>
  </si>
  <si>
    <t>25.1.12</t>
  </si>
  <si>
    <t>25.1.12  İstinad divarı və daş hasar (İstinad divarı İD-12)</t>
  </si>
  <si>
    <t>25.1.13</t>
  </si>
  <si>
    <t>25.1.13  İstinad divarı və daş hasar (İstinad divarı İD-13)</t>
  </si>
  <si>
    <t>1-ci mərtəbə  /  1st floor</t>
  </si>
  <si>
    <t>Mozaik örtüklərin düzəldilməsi: əlavə 5 mm üçün (1-ci mərtəbə)</t>
  </si>
  <si>
    <t>Rənglənən və astarlanan döşəmələrin lakla örtülməsi: 2 dəfə (1-ci mərtəbə)</t>
  </si>
  <si>
    <t>Örtüklərin düzəldilməsi: açar üsulu ilə laminasiya olunmuş taxtalardan (1-ci mərtəbə)</t>
  </si>
  <si>
    <t>Keramoqranit tavalardan örtüklərin qurulması, ölçüləri: 60x60sm (1-ci mərtəbə Tip-4)</t>
  </si>
  <si>
    <t>Sement məhlulunda tavalardan örtüklərin düzəldilməsi: keramik, döşəmələr üçün bir rəngli boya ilə (1-ci mərtəbə)</t>
  </si>
  <si>
    <t>Pillələrin və pilləaltlarının pardaqlanmış mərmər tavalarla üzlənməsi (1-ci mərtəbə süni mərmər)</t>
  </si>
  <si>
    <t>4.7</t>
  </si>
  <si>
    <t>4.7  Qüllə (Döşəmələr)</t>
  </si>
  <si>
    <t>Mozaik örtüklərin düzəldilməsi: terraso, qalınlığı 20 mm, şəkilsiz (Tip1-29.71m², 1-ci mərtəbə)</t>
  </si>
  <si>
    <t>m(2)</t>
  </si>
  <si>
    <t>2-ci mərtəbə  /  2nd floor</t>
  </si>
  <si>
    <t>Örtüklərin düzəldilməsi: açar üsulu ilə laminasiya olunmuş taxtalardan (2-ci mərtəbə)</t>
  </si>
  <si>
    <t>Sement məhlulunda tavalardan örtüklərin düzəldilməsi: keramik, döşəmələr üçün bir rəngli boya ilə (2-ci mərtəbə)</t>
  </si>
  <si>
    <t>Pillələrin və pilləaltlarının pardaqlanmış mərmər tavalarla üzlənməsi (2-ci mərtəbə süni mərmər)</t>
  </si>
  <si>
    <t>2.31</t>
  </si>
  <si>
    <t>2.31  4 çıxışlı Yanğın Deposu binası.Texnoloji avadanlıqlar (2-ci mərtəbə)</t>
  </si>
  <si>
    <t>İş masası (alt rəfli tək çəkməcəli), ölçüləri 2000*600*850</t>
  </si>
  <si>
    <t>Ofis mebeli: İş masası – 160sm+200sm * 70sm * 75sm, kamod- 200sm*90sm*42sm, jurnal masası – 100sm*50sm*40sm (ön masa yan masa)</t>
  </si>
  <si>
    <t>dəst</t>
  </si>
  <si>
    <t>Kreslo, ofis üçün, rəhbər üçün, multi mexanizmli, başlıqlı, 4 pilləli, qazla qalxıb-enən, təkərli, dəridən</t>
  </si>
  <si>
    <t>Kreslo, ofis üçün, rəhbər üçün, multi mexanizmli, başlıqlı, 4 pilləli, qazla qalxıb-enən, təkərli, parçadan (Dirsəkli kreslo)</t>
  </si>
  <si>
    <t>Tumba 3 siyirməli təkərli (mərkəzi kilidli), eni 42 sm, uzunluğu 40 sm, hündürlüyü 62 sm</t>
  </si>
  <si>
    <t>Kompyuter+monitor dəsti</t>
  </si>
  <si>
    <t>Dolab geyim üçün 800x500x1800</t>
  </si>
  <si>
    <t>Televizor 32" Smart TV</t>
  </si>
  <si>
    <t>Yumşaq divan (3 yerli) (210x80x73) sm; (Süni dəri, 25 kg/m3 Xrom ayaq h= 5 sm)</t>
  </si>
  <si>
    <t>Oturacaq (müsafir üçün)</t>
  </si>
  <si>
    <t>Jurnal masa (60x40x45) sm; (Metal gövdə, toz boya Üst lay 18 mm laminat PVC 1 mm Plastik dabanlıqlar)</t>
  </si>
  <si>
    <t>Eni 80 sm,uzunluğu(dərinlik) 60sm,hündürlüyü 75 sm olan,laminasya olunmuş DSP dən ibarət yazı masası (iş masası)</t>
  </si>
  <si>
    <t>Stul (yumşaq) 400x400x800 (kreslo dirsəkli)</t>
  </si>
  <si>
    <t>Toplantı (Müsafir) masası 320x110x75(h)sm (İclas masası)</t>
  </si>
  <si>
    <t>Yarı yumşaq oturacaq (470x465x740) mm, (Palata üçün yarı yumşaq oturacaq ; Metal, xrom ayaqlar, dikt, Süni dəri üzlük) (İclas zalı üçün stul)</t>
  </si>
  <si>
    <t>Printer 3 in 1</t>
  </si>
  <si>
    <t>Printer Lazer 2500 page  (Printer 4 in)</t>
  </si>
  <si>
    <t>İş masası (dolablı alt rəfli sürgü qapılı), ölçüləri 1200*600*850 (Printer dolabı)</t>
  </si>
  <si>
    <t>Kreslo dönən (630x470x910) sm</t>
  </si>
  <si>
    <t>Universal şkaf, sənədlər üçün, şüşəli ( Sənəd dolabı) (80x40x185) sm; (Korpus: laminat 18 mm, PVC 0,4 mm Üst qapılar: sadə şəffaf şüşə Petlə laminat qapıda vakkum, şüşə qapıda sadə Dəstək: xrom, 9,6 sm , ayparavari, orta hissəsi incə Ayaq lapa plastik, h=5sm Arxa lay DVP mat, içdən)</t>
  </si>
  <si>
    <t>Paltar dolabı 2 qapaqlı 200x90x62sm, laminat</t>
  </si>
  <si>
    <t>Stellaj dörd rəfli, ölçüləri 900*450*1800</t>
  </si>
  <si>
    <t>Çarpayı 200x95sm, başlıq və yanlar döşəmə</t>
  </si>
  <si>
    <t>Çarpayı tumbası, 400x400x860mm</t>
  </si>
  <si>
    <t>Yarı yumşaq oturacaq (470x465x740) mm, (Palata üçün yarı yumşaq oturacaq ; Metal, xrom ayaqlar Paralon, dikt, Süni dəri üzlük)</t>
  </si>
  <si>
    <t>1 Laylı paltar dolabı (60x40x185) sm; (Laminat 18 mm, PVC qapıda 1 mm, qalan hissələrdə 0,4 mm Petlə vakkum Dəstək: xrom, 9,6 sm , ayparavari, orta hissəsi incə Asılqan, papaq yeri Kilid 1 ədəd Ayaq xrom silindirik, h=5sm Arxa lay, içdən, DVP mat)</t>
  </si>
  <si>
    <t>Toplantı masası 400x120x75sm</t>
  </si>
  <si>
    <t>Məşvərət zalı üçün kreslo (standart); Poliuretan içlik, üzəri parça gövdə metal, xrom) (Toplantı stolu)</t>
  </si>
  <si>
    <t>Akt zalı üçün kreslo (standart)</t>
  </si>
  <si>
    <t>Dəsmal qurudanlar,bərkidicilərlə (Əl qurudan)</t>
  </si>
  <si>
    <t>Mətbəx mebeli</t>
  </si>
  <si>
    <t>pagon metr</t>
  </si>
  <si>
    <t>Elektrik çaynik,tutumu 10 L</t>
  </si>
  <si>
    <t>Mikrodalğalı soba</t>
  </si>
  <si>
    <t>Bir bölməli yuma vannası 600x600x800</t>
  </si>
  <si>
    <t>Hündürlüyü 167 sm ,eni 60 sm ,dərinliyi 63 sm olan, dondurucu kamerası yuxarda yerləşən de frost məişət soyuducusu</t>
  </si>
  <si>
    <t>Dam  /  Roof</t>
  </si>
  <si>
    <t>2.5</t>
  </si>
  <si>
    <t>2.5  4 çıxışlı Yanğın Deposu binası  (Dam örtüyü)</t>
  </si>
  <si>
    <t>Sement-qum düzləndirici qatın hazırlanması: 15 mm qalınlığında</t>
  </si>
  <si>
    <t>Sement-qum düzləndirici qatın hazırlanması: qəlavə 1 mm</t>
  </si>
  <si>
    <t>Örtüyün bitum mastikası ilə polistirollu penoplast tavalarla isidilməsi: bir qat (Penopolistrol - 75 mm)</t>
  </si>
  <si>
    <t>Penopolistrol istilik izolyasiya plitələri</t>
  </si>
  <si>
    <t>İzolyasiya karkasın düz və əyrixətli səthlərdə qurulması: tordan</t>
  </si>
  <si>
    <t>Şüşə tor, tikinti üçün</t>
  </si>
  <si>
    <t>Sement-qum düzləndirici qatın hazırlanması: əlavə 1 mm</t>
  </si>
  <si>
    <t>Çatıların qoyulması</t>
  </si>
  <si>
    <t>Qeyri-istehsalat təyinatlı obyektlər üçün profilləşdirilmiş vərəqlərdən dam örtüyünün quraşdırılması: orta mürəkkəb</t>
  </si>
  <si>
    <t>Profnastil dam örtüyü, qalınlığı 0,4 mm</t>
  </si>
  <si>
    <t>Sinklənmiş polad vərəqdən kiçik örtüklərin (brandmauerlər, parapetlər, çıxıntılar və s.) düzəldilməsi</t>
  </si>
  <si>
    <t>Novların düzəldilməsi: asma</t>
  </si>
  <si>
    <t>Metal su axıdıcı sistemin qurulması: düz boru bağlantıları (PVC 100 mm )</t>
  </si>
  <si>
    <t>Yüksək elastikliyə, geniş diapazonlu təzyiqə malik,  standartlara cavab verən polietilen su və qaz borusu: diametri 110 mm, divarının qalınlığı 2,7 mm</t>
  </si>
  <si>
    <t>Örtüklərdə lyukların quraşdırılması, boşluğun sahəsi 2 m²-ə qədər</t>
  </si>
  <si>
    <t>Çəpərləmə ilə düzxətli və əyrixətli yanğın pilləkənlərinin quraşdırılması</t>
  </si>
  <si>
    <t>Dam örtüyünün məhəccərlə çəpərlənməsi</t>
  </si>
  <si>
    <t>Dam pəncərələrinin qurulması</t>
  </si>
  <si>
    <t>Yastı dam örtüyünün bitum mastikalı çınqılla mühafizəsi (Çətirlər)</t>
  </si>
  <si>
    <t>2.13</t>
  </si>
  <si>
    <t>2.13  4 çıxışlı Yanğın Deposu binası. Daxili su kəməri və kanalizasiya (SO-Ümumi təyinatlı su şəbəkəsi)</t>
  </si>
  <si>
    <t>Sinklənmiş poladdan dam örtüyünün düzəldilməsi: divar novları olmadan (İçməli su çəni (1.5x1.5x0.7(h) Sinkləşdirilmiş nazik polad vərəq)</t>
  </si>
  <si>
    <t>3.5</t>
  </si>
  <si>
    <t>3.5  Nəzarətçi otağı (Dam örtüyü)</t>
  </si>
  <si>
    <t>Bir qat araqatı buxar izolyasiyasının düzəldilməsi</t>
  </si>
  <si>
    <t>Örtüyün isidilməsi: keramzitlə</t>
  </si>
  <si>
    <t>Sement-qum düzləndirici qatın hazırlanması: qalınlığın hər 1 mm dəyişməsinə əlavə etmək və ya çıxmaq (12-01-017-01)-ə</t>
  </si>
  <si>
    <t>Hazır dayaq tirlər üzrə metal keramitdən dam örtüklərinin düzəldilməsi: orta mürəkkəbli</t>
  </si>
  <si>
    <t>Metal su axıdıcı sistemin qurulması: düz boru bağlantıları (PVC 100 mm)</t>
  </si>
  <si>
    <t>4.5</t>
  </si>
  <si>
    <t>4.5  Qüllə (Dam örtüyü)</t>
  </si>
  <si>
    <t>Yapışdırılan buxar izolyasiyasının düzəldilməsi: bir qat (Tip1-32m² Tol qatı)</t>
  </si>
  <si>
    <t>Dam örtüyu tol</t>
  </si>
  <si>
    <t>Örtüyün isidilməsi: keramzitlə (qal.80mm)</t>
  </si>
  <si>
    <t>Sement-qum düzləndirici qatın hazırlanması:  (əlavə-10mm)</t>
  </si>
  <si>
    <t>Metal su axıdıcı sistemin qurulması: düz boru bağlantıları</t>
  </si>
  <si>
    <t>Qıflar</t>
  </si>
  <si>
    <t>Metal səthlərin yağlı boya ilə rənglənməsi: böyük səthlərin (dam örtüyündən başqa), rənglənmənin sayı 2 dəfə</t>
  </si>
  <si>
    <t>Yapışdırılan buxar izolyasiyasının düzəldilməsi: bir qat (Tip2-13.5m²)</t>
  </si>
  <si>
    <t>Sement-qum düzləndirici qatın hazırlanması:  (əlavə 10mm)</t>
  </si>
  <si>
    <t>4.6</t>
  </si>
  <si>
    <t>4.6  Qüllə (Qapı və pəncərələr)</t>
  </si>
  <si>
    <t>4.9</t>
  </si>
  <si>
    <t>4.9  Qüllə (Müxtəlif işlər)</t>
  </si>
  <si>
    <t>9.5</t>
  </si>
  <si>
    <t>9.5  İstilik məntəqəsi (Dam örtüyü)</t>
  </si>
  <si>
    <t>Pastalarla antiseptikləşdirmə: baş tirlərin, tirlərin, astar qatının örtüklərinin</t>
  </si>
  <si>
    <t>Metal su axıdıcı sistemin qurulması: qıflar</t>
  </si>
  <si>
    <t>9.6</t>
  </si>
  <si>
    <t>9.6  İstilik məntəqəsi (Qapı və pəncərələr)</t>
  </si>
  <si>
    <t>Əridilən materiallardan maili dam örtüyünün düzəldilməsi: 2 qatlı</t>
  </si>
  <si>
    <t>14.5</t>
  </si>
  <si>
    <t>14.5  Su nasos stansiyası (Dam örtüyü)</t>
  </si>
  <si>
    <t>Yapışdırılan buxar izolyasiyasının düzəldilməsi: bir qat</t>
  </si>
  <si>
    <t>Örtüyün isidilməsi: keramzitlə (qal.100mm)</t>
  </si>
  <si>
    <t>Sement-qum düzləndirici qatın hazırlanması: (əlavə 10mm)</t>
  </si>
  <si>
    <t>Metal su axıdıcı sistemin qurulması: qıf</t>
  </si>
  <si>
    <t>14.6</t>
  </si>
  <si>
    <t>14.6  Su nasos stansiyası (Qapı və pəncərələr)</t>
  </si>
  <si>
    <t>16.1</t>
  </si>
  <si>
    <t>16.1  2 yerlik ayaqyolu (Tikinti işləri)</t>
  </si>
  <si>
    <t>Sinklənmiş poladdan dam örtüyünün düzəldilməsi: divar novları ilə</t>
  </si>
  <si>
    <t>26.4</t>
  </si>
  <si>
    <t>26.4  Söhbətgah (Örtük)</t>
  </si>
  <si>
    <t>Hazır dayaq tirlər üzrə metal keramitdən dam örtüklərinin düzəldilməsi: sadə dam örtüyü</t>
  </si>
  <si>
    <t>Dam örtüyü üçün yəhər (Metal bel kəməri)</t>
  </si>
  <si>
    <t>Novalça (dam örtüyü aksesuarı)</t>
  </si>
  <si>
    <t>Mərtəbə yazılmayıb  /  Floor not stated</t>
  </si>
  <si>
    <t>1.1</t>
  </si>
  <si>
    <t>1.1  (Söküntü işləri)</t>
  </si>
  <si>
    <t>Binaların uçurulma metodu ilə sökülməsi: kərpic, isidilməyən binaların</t>
  </si>
  <si>
    <t>Çalovunun tutumu 0,5 m3-ə qədər olan ekskavatorla yüklənən inşaat tullantısı: Yükləmə</t>
  </si>
  <si>
    <t>Özüboşaldan avtomobil, 17 t daşınma məsafəsi - 5 km. 1-ci sinifli yük</t>
  </si>
  <si>
    <t>Torpağın töküntü yerində işlərin yerinə yetirilməsi, qruntun qrupu: 2-3</t>
  </si>
  <si>
    <t>2.1</t>
  </si>
  <si>
    <t>2.1  4 çıxışlı Yanğın Deposu binası  (Torpaq işləri)</t>
  </si>
  <si>
    <t>Çalovunun tutumu 0,5 (0,5-0,63) m3 olan ekskavatorlarla qruntun özüboşaldan avtomobillərə yüklənməklə qazılması, qruntun qrupu: 1 (Artıq qrunt)</t>
  </si>
  <si>
    <t>Çalovunun tutumu 0,5-0,63 m3 olan ekskavatorlarla qruntun kənara atılaraq qazılması, qruntun qrupu: 1</t>
  </si>
  <si>
    <t>Dərinliyi 2 m-ə qədər olan yamaclı xəndəklərdə qruntun bərkitmələr olmadan əl ilə qazılması, qruntun qrupu: 1</t>
  </si>
  <si>
    <t>Qruntu 5 m-ə qədər məsafəyə yerinin dəyişdirilməsi ilə çalaların və xəndəklərin buldozerlərlə doldurulması, buldozerin gücü: 59 (80) kVt (a.g.), 1-ci qrup qrunt</t>
  </si>
  <si>
    <t>Xəndəklərin, çalaların və çuxurların əl ilə doldurulması, qruntun qrupu: 1</t>
  </si>
  <si>
    <t>Pnevmatik döyəcləyicilərlə qruntun sıxlaşdırılması, qruntun qrupu: 1, 2</t>
  </si>
  <si>
    <t>Bünövrə altı əsasların qurulması:çınqıllı</t>
  </si>
  <si>
    <t>Lentvari bünövrələrin qurulması: dəmir-beton, yuxarı tərəfinin eni 1000 mm-ə qədər olduqda</t>
  </si>
  <si>
    <t>Qoyma detalların qurulması, çəkisi: döşənək və betonlama qatlarının armaturlanması</t>
  </si>
  <si>
    <t>Dəmir-beton divarların və arakəsmələrin qurulması, hündürlüyü: 3 m-ə qədər, qalınlığı 500 mm</t>
  </si>
  <si>
    <t>Dəmir-beton divarların və arakəsmələrin qurulması, hündürlüyü: 3 m-ə qədər, qalınlığı 200 mm</t>
  </si>
  <si>
    <t>Yandan hidroizolyasiya: kərpic, beton və but hörgüsünün düzləndirilmiş səthi üzrə yaxmalı bitumlu 2 qat</t>
  </si>
  <si>
    <t>Döşənək qatlarının düzəldilməsi: qırmadaşlı</t>
  </si>
  <si>
    <t>Döşənək qatlarının düzəldilməsi: betonlu (-2.75 səv-də beton döşəmə )</t>
  </si>
  <si>
    <t>Divarların və yastı diblərin quraşdırılması, qalınlığı: 150 mm-dən artıq dairəvi qurğuların (Havalandırma çalası)</t>
  </si>
  <si>
    <t>2.3</t>
  </si>
  <si>
    <t>2.3  4 çıxışlı Yanğın Deposu binası  (D/b konsturksiyalar)</t>
  </si>
  <si>
    <t>Taxta qəlibdə dəmir-beton sütunların qurulması, hündürlüyü: 4 m-ə qədər, perimetri 2 m-ə qədər</t>
  </si>
  <si>
    <t>Örtüklər üçün tirlərin, dayaq meydançasından 6 m-ə qədər hündürlükdə olan kranaltı və bağlayıcı tirlərin qurulması, tirlərin hündürlüyü: 500 mm-ə qədər</t>
  </si>
  <si>
    <t>Kəmərlərin qurulması: qəlibdə</t>
  </si>
  <si>
    <t>Tirsiz örtüklərin qurulması, qalınlığı: 200 mm-ə qədər, dayaq meydançasından 6 m-ə qədər hündürlükdə</t>
  </si>
  <si>
    <t>Qabırğalı örtüklərin qurulması, dayaq meydançasından hündürlüyü: 6 m-ə qədər (Pilləkən qəfəsəsi)</t>
  </si>
  <si>
    <t>Tutacaqsız metal məhəccərlərin qurulması (Daxili pilləkən məhəccəri)</t>
  </si>
  <si>
    <t>Tirsiz örtüklərin qurulması, qalınlığı: 200 mm-ə qədər, dayaq meydançasından 6 m-ə qədər hündürlükdə (çətir)</t>
  </si>
  <si>
    <t>2.4</t>
  </si>
  <si>
    <t>2.4  4 çıxışlı Yanğın Deposu binası  (Divar və arakəsmələr)</t>
  </si>
  <si>
    <t>390x190x188 mm ölçülərində mişarlanmış əhəng daşından yaşayış və ictimai binaların xarici divarlarının hörgüsü: 39 sm qalınlığında</t>
  </si>
  <si>
    <t>390x190x188 mm ölçülərində mişarlanmış əhəng daşından yaşayış və ictimai binaların xarici divarlarının hörgüsü: 39 sm qalınlığında (Parapet divar)</t>
  </si>
  <si>
    <t>390x190x188 mm ölçülərində mişarlanmış əhəng daşından yaşayış, ictimai və sənaye binalarının daxili divarlarının hörgüsü: 39 sm qalınlığında</t>
  </si>
  <si>
    <t>Daxili kərpic divar hörgüsü: mərtəbənin hündürlüyü 4 m-ə qədər olduqda (1201,7 m², qal=20 sm)</t>
  </si>
  <si>
    <t>Divar hörgüsünün və digər konstruksiyaların armaturlanması</t>
  </si>
  <si>
    <t>Kərpicdən armaturlanmış arakəsmələrin hörgüsü: mərtəbənin hündürlüyü 4 m-ə qədər olduqda, 1/2 kərpic qalınlığında</t>
  </si>
  <si>
    <t>Quraşdırma məmulatlarının qoyulması, kütləsi: 20 kq-a qədər</t>
  </si>
  <si>
    <t>2.6</t>
  </si>
  <si>
    <t>2.6  4 çıxışlı Yanğın Deposu binası  (Qapı və pəncərələr)</t>
  </si>
  <si>
    <t>Hazır boşluqlara metal qapı bloklarının qurulması</t>
  </si>
  <si>
    <t>PVX blokların daxili və xarici qapı boşluqlarına qoyulması daş divarlarda, boşluğun sahəsi 3m²-dək</t>
  </si>
  <si>
    <t>Xarici və daxili qapı boşluqlarında blokların qoyulması: daş divarlarda, boşluğun sahəsi 3 m²-ə qədər (MDF qapı)</t>
  </si>
  <si>
    <t>Xarici və daxili qapı boşluqlarında blokların qoyulması: daş divarlarda, boşluğun sahəsi 3 m² -dən artıq (MDF qapı)</t>
  </si>
  <si>
    <t>PVX blokların daxili və xarici qapı boşluqlarına qoyulması daş divarlarda, boşluğun sahəsi 3m²-dən cox</t>
  </si>
  <si>
    <t>Alüminium yarıqörtənlərli alüminium pəncərə bloklarının quraşdırılması (252,28 m²)</t>
  </si>
  <si>
    <t>Paket şəffaf şüşə 4mm+şəffaf şüşə 4mm</t>
  </si>
  <si>
    <t>Yaşayış və ictimai binalarda PVX profildən pəncərə bloklarının qoyulması: dönən (açılan, dönən-açılan), boşluğun sahəsi 2 m²-dən artıq, iki laylı</t>
  </si>
  <si>
    <t>Alüminium yarıqörtənlərli alüminium pəncərə bloklarının quraşdırılması (Alüminium şüşəli qapıların quraşdırılması- 39 m²)</t>
  </si>
  <si>
    <t>Pardaqlanmış pəncərəaltı mərmər tavaların düzülməsi (süni mərmər)</t>
  </si>
  <si>
    <t>Atmaların qoyulması, kütləsi: 0,3 tona qədər</t>
  </si>
  <si>
    <t>Atmaların qurulması</t>
  </si>
  <si>
    <t>Örtüklərin düzəldilməsi: beton, qalınlığı 30 mm</t>
  </si>
  <si>
    <t>Səpilmə istilik-səs izolyasiyasının düzəldilməsi: keramzitlə (35 mm)</t>
  </si>
  <si>
    <t>Armatur məftil, azkarbonlu poladdan, diametri 4 mm</t>
  </si>
  <si>
    <t>Birləşdirici qatın düzəldilməsi: sement, birləşdirici qat əlavə 5 mm</t>
  </si>
  <si>
    <t>Rulonlu materiallarla yapışqanlı hidroizolyasiyanın düzəldilməsi: Bitum mastikasında 1-ci qat</t>
  </si>
  <si>
    <t>Rulonlu materiallarla yapışqanlı hidroizolyasiyanın düzəldilməsi: Bitum mastikasında sonrakı qat</t>
  </si>
  <si>
    <t>Mozaik örtüklərin düzəldilməsi: terraso, qalınlığı 20 mm, şəkilsiz</t>
  </si>
  <si>
    <t>Ağac lifli tavalardan laqaaltı lentvari istilik-səs izolyasiyasının düzəldilməsi</t>
  </si>
  <si>
    <t>Bütöv istilik-səs izolyasiyasının tavalardan düzəldilməsi: və ya mineral pambıq və ya şüşə lifli rulonlardan (penopolistrol-70 mm)</t>
  </si>
  <si>
    <t>Laqaların qoyulması: örtük tavaları üzrə</t>
  </si>
  <si>
    <t>Taxta örtüklərin düzəldilməsi: qalınlığı 36 mm</t>
  </si>
  <si>
    <t>Taxta səthlərin əliflənməsi: fırça ilə (Döşəməyə dolğunun vurulması)</t>
  </si>
  <si>
    <t>SELLÜLOZİK DOLĞU, Nitrosellüloza əsaslı, bir komponentli yüksək keyfiyyətli dolğudur.Mebellərdə, parket və bütün növ taxta materialların səthində istifadə olunur.Çəkilər: 0,75 // 2,5 kg // 12 kg</t>
  </si>
  <si>
    <t>kg</t>
  </si>
  <si>
    <t>Bir lay fanerdan döşəmələrin əsasının qurulması: sahəsi 20m² qədər (Dikt-20 mm)</t>
  </si>
  <si>
    <t>Dikt (1,52*1,52) 18 mm</t>
  </si>
  <si>
    <t>Armatur məftil, Vr-l azkarbonlu poladdan, diametri 4 mm</t>
  </si>
  <si>
    <t>Səpilmə istilik-səs izolyasiyasının düzəldilməsi: qumla</t>
  </si>
  <si>
    <t>Birləşdirici qatın düzəldilməsi: yüngül beton, qalınlığı 20 mm</t>
  </si>
  <si>
    <t>Birləşdirici qatın düzəldilməsi: yüngül beton , birləşdirici qat əlavə 5 mm</t>
  </si>
  <si>
    <t>Birləşdirici qatın düzəldilməsi: sement, birləşdirici qatın qalınlığının əlavə 5 mm</t>
  </si>
  <si>
    <t>Birləşdirici qatın düzəldilməsi: sement,əlavə 5 mm</t>
  </si>
  <si>
    <t>Beton səthlərin əhəng məhlulu ilə bütöv hamarlanması (birqat suvaq): tavanların</t>
  </si>
  <si>
    <t>Polivinilasetatlı suemulsiya tərkiblərlə yaxşılaşdırılmış rəngləmə: suvaq üzrə tavanları</t>
  </si>
  <si>
    <t>Gipskarton vərəqlərdən (GKV) asma tavanların quraşdırılması: bir səviyyəli (Alçipan asma tavan)</t>
  </si>
  <si>
    <t>Polivinilasetatlı suemulsiya tərkiblərlə yaxşılaşdırılmış rəngləmə: yığma konstruksiyaları, rənglənməyə hazırlanmış tavanları</t>
  </si>
  <si>
    <t>Tavanların qurulması: alüminium reykalardan (Alüminium asma tavan)</t>
  </si>
  <si>
    <t>Binanın daxilində əhəngli sulu tərkiblərlə rəngləmə: suvaq üzrə</t>
  </si>
  <si>
    <t>Beton və daş səthlərin sement-əhəng və ya sement məhlulu ilə suvanması: divarların, yaxşılaşdırılmış</t>
  </si>
  <si>
    <t>Polivinilasetatlı suemulsiya tərkiblərlə yaxşılaşdırılmış rəngləmə: suvaq üzrə divarları</t>
  </si>
  <si>
    <t>Beton və daş səthlərin sement-əhəng və ya sement məhlulu ilə suvanması: divarların, sadə</t>
  </si>
  <si>
    <t>Divar, dirək, pilyastr və mail səthlərin quru qarışıqdan yapışqanla, (karniz, plintus və künc tavalarından başqa) tualet qarnitur tavaları qoyulmadan, hamar üzlənməsi: kərpic və beton üzrə</t>
  </si>
  <si>
    <t>2.9</t>
  </si>
  <si>
    <t>2.9  4 çıxışlı Yanğın Deposu binası  (Xarici bəzək işləri)</t>
  </si>
  <si>
    <t>Sement-əhəng məhlulu ilə daş üzrə yaxşılaşdırılmış suvama: divarları</t>
  </si>
  <si>
    <t>İsidicinin üzərindən nazik qat suvaq çəkməklə binalarin xarici istilik izolyasiyasinin qurulması, plitənin qalınlığı: 50 mm (istilik izolyasiyası- 50 mm, şüşə lifli tor, yapışdırıcı məhlul, astar, dekorativ suvaq, fasad boyası)</t>
  </si>
  <si>
    <t>Qabarit ölçüləri 100 mm-dən 200 mm-ə qədər olan çay daşlarından divar səthlərinin üzlənməsi</t>
  </si>
  <si>
    <t>Hündürlüyü 16 m-ə qədər olan xarici inventar taxtabəndlərin qurulması və sökülməsi: digər tamamlama işləri üçün, borulu</t>
  </si>
  <si>
    <t>2.10</t>
  </si>
  <si>
    <t>2.10  4 çıxışlı Yanğın Deposu binası  (Müayinə çalası-2 ədəd)</t>
  </si>
  <si>
    <t>Xəndəklərin, çalaların və çuxurların əl ilə doldurulması, qruntun qrupu: 2</t>
  </si>
  <si>
    <t>Dəmir-beton bünövrə tavalarının qurulması: yastı (Bt-1)</t>
  </si>
  <si>
    <t>Qoyma detalların qurulması, çəkisi: 20 kq-dan artıq</t>
  </si>
  <si>
    <t>Təbii qum-çınqıl qatışığı</t>
  </si>
  <si>
    <t>Dəmir-beton bünövrə tavalarının qurulması: yastı (Döşəmə tavası)</t>
  </si>
  <si>
    <t>Qurulması: beton pillələrin</t>
  </si>
  <si>
    <t>2.12</t>
  </si>
  <si>
    <t>2.12  4 çıxışlı Yanğın Deposu binası  (Artırmalar)</t>
  </si>
  <si>
    <t>Qurulması: dəmir-beton artırmalar</t>
  </si>
  <si>
    <t>Birləşdirici qatın düzəldilməsi: əlavə 5 mm</t>
  </si>
  <si>
    <t>Mərmər tavalardan örtüklərin düzəldilməsi, 1 m²-də tavaların sayı: 3 ədədə qədər (süni mərmər)</t>
  </si>
  <si>
    <t>Elektrik qaynaqlı polad borulardan istilik və su təchizatı boru kəmərlərinin çəkilməsi, diametri: 65 mm (D63.5x3.5mm)</t>
  </si>
  <si>
    <t>Elektriklə qaynaq edilmiş borular, 60/3,5mm</t>
  </si>
  <si>
    <t>Elektrik qaynaqlı polad borulardan istilik və su təchizatı boru kəmərlərinin çəkilməsi, diametri: 50 mm (D57x3.5mm)</t>
  </si>
  <si>
    <t>Xarici diametri 57 mm, divarının qalınlığı 3,5 mm olan  poladdan, faskası çıxarılmış, düztikişli elektrik qaynaqlı polad borular</t>
  </si>
  <si>
    <t>İstilik sistemi, su kəməri və isti su təchizatı boru kəmərlərinin hidravlik sınağı, boruların diametri: 100 mm-ə qədər</t>
  </si>
  <si>
    <t>Polad boruların futlyara salınması, boruların diametri: 100 mm (D114x5.0mm)</t>
  </si>
  <si>
    <t>Sinklənmiş polad su-qaz borularından su təchizatı boru kəmərlərinin çəkilməsi, diametri: 25 mm</t>
  </si>
  <si>
    <t>Qaz-su xətləri üçün şərti keçid diametri 25 mm, divarının qalınlığı 3,2 mm olan sinklənmiş, adi, yivli, qaynaq edilmiş polad borular</t>
  </si>
  <si>
    <t>Sinklənmiş polad su-qaz borularından su təchizatı boru kəmərlərinin çəkilməsi, diametri: 20 mm</t>
  </si>
  <si>
    <t>Qaz-su xətləri üçün şərti keçid diametri 20 mm, divarının qalınlığı 2,8 mm olan sinklənmiş, adi, yivli, qaynaq edilmiş polad borular</t>
  </si>
  <si>
    <t>Sinklənmiş polad su-qaz borularından su təchizatı boru kəmərlərinin çəkilməsi, diametri: 15 mm</t>
  </si>
  <si>
    <t>Qaz-su xətləri üçün şərti keçid diametri 15 mm, divarının qalınlığı 2,8 mm olan sinklənmiş, adi, yivli, qaynaq edilmiş polad borular</t>
  </si>
  <si>
    <t>İstilik sistemi, su kəməri və isti su təchizatı boru kəmərlərinin hidravlik sınağı, boruların diametri: 50 mm-ə qədər</t>
  </si>
  <si>
    <t>Polipropilen borulardan daxili su təchizatı və istilik sistemlərinin boru kəmərlərinin çəkilməsi: 32mm (Yüksək təzyiqə davamlı polipropilen su borusu D25(32x2.9))</t>
  </si>
  <si>
    <t>Yüksək elastikliyə, geniş diapazonlu təzyiqə malik,  standartlara cavab verən polietilen su və qaz borusu: diametri 32 mm, divarının qalınlığı 3 mm</t>
  </si>
  <si>
    <t>Polipropilen borulardan daxili su təchizatı və istilik sistemlərinin boru kəmərlərinin çəkilməsi: 25mm (Yüksək təzyiqə davamlı polipropilen su borusu D20(25x2.3))</t>
  </si>
  <si>
    <t>Yüksək elastikliyə, geniş diapazonlu təzyiqə malik,  standartlara cavab verən polietilen su və qaz borusu: diametri 25 mm, divarının qalınlığı 2,3 mm</t>
  </si>
  <si>
    <t>Polipropilen borulardan daxili su təchizatı və istilik sistemlərinin boru kəmərlərinin çəkilməsi: 20mm (Yüksək təzyiqə davamlı polipropilen su borusu S5(PN10) D15(20x2.0))</t>
  </si>
  <si>
    <t>Yüksək elastikliyə, geniş diapazonlu təzyiqə malik,  standartlara cavab verən polietilen su və qaz borusu: diametri 20 mm, divarının qalınlığı 2 mm</t>
  </si>
  <si>
    <t>Polad borulardan olan boru kəmərlərinə ventillərin, siyirtmələrin, sürgülərin, əks klapanların, keçid kranlarının qoyulması, boruların diametri: 50 mm-ə qədər (D50mm siyirtmə quraşdırma)</t>
  </si>
  <si>
    <t>Polad siyirtmələr, 50 mm</t>
  </si>
  <si>
    <t>Poladdan qaynaq olunmuş yastı polad flanslar; təzyiqi 0,6 MPa (6 kqq/sm²), 50 mm diametrli</t>
  </si>
  <si>
    <t>Əks klapan D=50mm 16kq/sm²</t>
  </si>
  <si>
    <t>Diametri 25 mm olan 1,6 MPa (16 kqq/sm²) təzyiqli su üçün, muftalı keçid ventilləri</t>
  </si>
  <si>
    <t>Ventil, 20mm</t>
  </si>
  <si>
    <t>Diametri 15 mm olan 1,6 MPa (16 kqq/sm²) təzyiqli su üçün, muftalı keçid ventilləri</t>
  </si>
  <si>
    <t>Diametri 50 mm olan yanğın kranının qoyulması</t>
  </si>
  <si>
    <t>Yanğın şlanqları, normal, quru kətandan hörülmüş, diametri 51 mm</t>
  </si>
  <si>
    <t>Kranlar (Su kranı D15mm)</t>
  </si>
  <si>
    <t>Su üçün rezin-parça tərkibli şlanqlar, təzyiqlə soran, təzyiqi 1 MPa (10 kqq/sm²), diametri 16 mm</t>
  </si>
  <si>
    <t>Üzgəc klapanlar (D32mm)</t>
  </si>
  <si>
    <t>Tikişləri yağlamaqla izolyasiya səthlərinin rulon materialları ilə tam quru sarınması (Su çəninin izolyasiyası. İzolmastika)</t>
  </si>
  <si>
    <t>Sintetik yapışdırıcılı mineral pambıqdan silindrlərlə və yarımsilindrlərlə boru kəmərlərinin izolyasiya edilməsi (Mineral pambıq qatı 40mm)</t>
  </si>
  <si>
    <t>Elastiki qılaflarla boru kəmərlərinin izolyasiya səthlərinin örtülməsi: şüşə-plastikləri ilə, şüşə parçalarla (Şüşətekstolit)</t>
  </si>
  <si>
    <t>Elektrik qaynaqlı polad borulardan istilik və su təchizatı boru kəmərlərinin çəkilməsi, diametri: 40 mm-ə qədər (Elektrik qaynaqlı polad boru D38x2.5mm)</t>
  </si>
  <si>
    <t>Xarici diametri 40 mm, divarının qalınlığı 2,5 mm olan  poladdan, faskası çıxarılmış, düztikişli elektrik qaynaqlı polad borular (D38x2.5mm)</t>
  </si>
  <si>
    <t>Elektrik qaynaqlı polad borulardan istilik və su təchizatı boru kəmərlərinin çəkilməsi, diametri: 40 mm-ə qədər (Elektrik qaynaqlı polad boru D32x2.2mm)</t>
  </si>
  <si>
    <t>Elektrik qaynaqlı tikişli polad borular 32x2,5mm</t>
  </si>
  <si>
    <t>Diametri 32 mm olan 1,6 MPa (16 kqq/sm²) təzyiqli su üçün, muftalı keçid ventilləri</t>
  </si>
  <si>
    <t>2.14</t>
  </si>
  <si>
    <t>2.14  4 çıxışlı Yanğın Deposu binası. Daxili su kəməri və kanalizasiya (İS3: İS4- İsti su və dövrü su şəbəkəsi)</t>
  </si>
  <si>
    <t>Sinklənmiş polad su-qaz borularından su təchizatı boru kəmərlərinin çəkilməsi, diametri: 40 mm</t>
  </si>
  <si>
    <t>Qaz-su xətləri üçün şərti keçid diametri 40 mm, divarının qalınlığı 3,5 mm olan sinklənmiş, adi, yivli, qaynaq edilmiş polad borular</t>
  </si>
  <si>
    <t>Polipropilen borulardan daxili su təchizatı və istilik sistemlərinin boru kəmərlərinin çəkilməsi: 32mm (Yüksək təzyiqə davamlı polipropilen boru D25 (32x4.4))</t>
  </si>
  <si>
    <t>Yüksək elastikliyə, geniş diapazonlu təzyiqə malik,  standartlara cavab verən polietilen su və qaz borusu: diametri 32 mm, divarının qalınlığı 4,4 mm</t>
  </si>
  <si>
    <t>Polipropilen borulardan daxili su təchizatı və istilik sistemlərinin boru kəmərlərinin çəkilməsi: 25mm (Yüksək təzyiqə davamlı polipropilen boru D20 (25x3.5))</t>
  </si>
  <si>
    <t>Yüksək elastikliyə, geniş diapazonlu təzyiqə malik,  standartlara cavab verən polietilen su və qaz borusu: diametri 25 mm, divarının qalınlığı 3,5 mm</t>
  </si>
  <si>
    <t>Polipropilen borulardan daxili su təchizatı və istilik sistemlərinin boru kəmərlərinin çəkilməsi: 20mm (Yüksək təzyiqə davamlı polipropilen boru D15 (20x2.8))</t>
  </si>
  <si>
    <t>Yüksək elastikliyə, geniş diapazonlu təzyiqə malik,  standartlara cavab verən polietilen su və qaz borusu: diametri 20 mm, divarının qalınlığı 3 mm, (D20x2.8mm)</t>
  </si>
  <si>
    <t>Diametri 40 mm olan 1,6 MPa (16 kqq/sm²) təzyiqli su üçün, muftalı keçid ventilləri</t>
  </si>
  <si>
    <t>Qarışdırıcıların quraşdırılması (Gigiyenik duş qarışdırıcı ilə)</t>
  </si>
  <si>
    <t>Gigiyenik su qarışdırıcı (şlanqlı,başliqlı)</t>
  </si>
  <si>
    <t>Qarışdırıcıların quraşdırılması (Duş qurğusu qarışdırıcı ilə)</t>
  </si>
  <si>
    <t>Duş qarışdırıcı komplekt</t>
  </si>
  <si>
    <t>2.15</t>
  </si>
  <si>
    <t>2.15  4 çıxışlı Yanğın Deposu binası. Daxili su kəməri və kanalizasiya (K1- Məişət kanalizasiyası)</t>
  </si>
  <si>
    <t>Polipropilen borulardan daxili kanalizasiya boru kəmərlərin çəkilməsi, diametri: 110mm (Polivinilxlorid kanalizasiya borusu D110mm)</t>
  </si>
  <si>
    <t>Daxili kanalizasiya üçün  olan polietilen borulardan boru kəmərləri, diametri 100 mm (D110mm)</t>
  </si>
  <si>
    <t>Polipropilen borulardan daxili kanalizasiya boru kəmərlərin çəkilməsi, diametri: 50mm (Polivinilxlorid kanalizasiya borusu D50mm)</t>
  </si>
  <si>
    <t>Yüksək sıxlıqlı polietilen borulardan kanalizasiya boru kəmərləri, gilizli, diametri 50 mm</t>
  </si>
  <si>
    <t>Santexnika (yoxlama) lyuklarının qoyulması: özü kəsən şuruplarla bərkidilməsi (Yoxlayıcı D110mm)</t>
  </si>
  <si>
    <t>Əlüzyuyanların quraşdırılması: isti və soyuq su çəkilməklə</t>
  </si>
  <si>
    <t>Keramik çanaq, (sifonlu, su qarışdırıcılı)</t>
  </si>
  <si>
    <t>Unitazların quraşdırılması: baçokla bilavasitə birləşdirilmiş</t>
  </si>
  <si>
    <t>Unitaz iki hissə</t>
  </si>
  <si>
    <t>Duş altlıqlarının quraşdırılması: xırda polad və çuqun</t>
  </si>
  <si>
    <t>Duş üçün balaca çuqun və polad paddon</t>
  </si>
  <si>
    <t>Çanaq üçün sifon boru (poddon üçün)</t>
  </si>
  <si>
    <t>Trapların quraşdırılması diametri: 100 mm</t>
  </si>
  <si>
    <t>Trapların quraşdırılması diametri: 50 mm</t>
  </si>
  <si>
    <t>Elektrik qaynaqlı polad borulardan istilik və su təchizatı boru kəmərlərinin çəkilməsi, diametri: 300 mm (D32x5.0mm)</t>
  </si>
  <si>
    <t>Xarici diametri 325 mm, divarının qalınlığı 5,0 mm olan  poladdan diametri 20 –dən 377 mm –dək, faskası çıxarılmış, düztikişli elektrik qaynaqlı polad borular</t>
  </si>
  <si>
    <t>İstilik sistemi, su kəməri və isti su təchizatı boru kəmərlərinin hidravlik sınağı, boruların diametri: 400 mm-ə qədər</t>
  </si>
  <si>
    <t>2.16</t>
  </si>
  <si>
    <t>2.16  4 çıxışlı Yanğın Deposu binası. Daxili su kəməri və kanalizasiya (K1T-Təzyiqli məişət kanalizasiyası)</t>
  </si>
  <si>
    <t>Elektrik qaynaqlı polad borulardan istilik və su təchizatı boru kəmərlərinin çəkilməsi, diametri: 80 mm (D89x3.0)</t>
  </si>
  <si>
    <t>Xarici diametri 89 mm, divarının qalınlığı 2,8 mm olan  poladdan diametri 20 –dən 377 mm–dək, faskası çıxarılmış, düztikişli elektrik qaynaqlı polad borular</t>
  </si>
  <si>
    <t>Polad borulardan olan boru kəmərlərinə ventillərin, siyirtmələrin, sürgülərin, əks klapanların, keçid kranlarının qoyulması, boruların diametri: 100 mm-ə qədər (D80mm siyirtmənin quraşdırılması)</t>
  </si>
  <si>
    <t>Siyirtmə diametri 76mm* (D80mm)</t>
  </si>
  <si>
    <t>Poladdan qaynaq olunmuş yastı polad flanslar; təzyiqi 0,6 MPa (6 kqq/sm²), diametri 80 mm</t>
  </si>
  <si>
    <t>Əks klapan D=80mm 16kq/sm²</t>
  </si>
  <si>
    <t>Elektrik mühərrikli mərkəzdənqaçma nasoslarının qoyulması, aqreqatın kütləsi: 0,1 tona qədər</t>
  </si>
  <si>
    <t>Kanalizasiya nasosu Q=1-8,6m3/saat H=19,8m, N=1,2kvt (Kanalizasiya nasosu  N=1,9kvt (76kq))</t>
  </si>
  <si>
    <t>Qısaqapanma rotorlu dəyişən cərəyanla işləyən yığılmış halda daxil olan lövhəli podşipnikli eletrik maşının sınağa, sazlama və buraxılışa təhvil verilməsi, elektrik şəbəkəsinə birləşdirilməsinə hazırlanması, kütləsi, t, qədər:0,15</t>
  </si>
  <si>
    <t>2.17</t>
  </si>
  <si>
    <t>2.17  4 çıxışlı Yanğın Deposu binası. Daxili su kəməri və kanalizasiya (K3-İstehsalat kanalizasiyası)</t>
  </si>
  <si>
    <t>Santexnika (yoxlama) lyuklarının qoyulması: özü kəsən şuruplarla bərkidilməsi (Yoxlayıcı D100mm. D50mm)</t>
  </si>
  <si>
    <t>Yuyucuların quraşdırılması: bir hissəli (Yuyucu qarışdırıcı və sifonla quraşdırma)</t>
  </si>
  <si>
    <t>Tək çanaqlı yuma vannası(40*40*25), ölçüləri 600*600*850</t>
  </si>
  <si>
    <t>Çanaq üçün sifon boru</t>
  </si>
  <si>
    <t>Çanaq üçün sifon boru (Texnoloji avadanlıqlar üçün sifon)</t>
  </si>
  <si>
    <t>Elektrik qaynaqlı polad borulardan istilik və su təchizatı boru kəmərlərinin çəkilməsi, diametri: 300 mm (futlyar D32x5.0mm)</t>
  </si>
  <si>
    <t>2.18</t>
  </si>
  <si>
    <t>2.18  4 çıxışlı Yanğın Deposu binası. Daxili su kəməri və kanalizasiya (K3T-Təzyiqli sistem)</t>
  </si>
  <si>
    <t>Polipropilen borulardan daxili su təchizatı və istilik sistemlərinin boru kəmərlərinin çəkilməsi: 40mm (Yüksək təzyiqə davamlı polietilen su borusu D32(38x2.5))</t>
  </si>
  <si>
    <t>Yüksək elastikliyə, geniş diapazonlu təzyiqə malik,  standartlara cavab verən polietilen su və qaz borusu: diametri 40 mm, divarının qalınlığı 2,4 mm</t>
  </si>
  <si>
    <t>Polad borulardan olan boru kəmərlərinə ventillərin, siyirtmələrin, sürgülərin, əks klapanların, keçid kranlarının qoyulması, boruların diametri: 50 mm-ə qədər (D50mm siyirtmə quraşdırılması)</t>
  </si>
  <si>
    <t>Polad siyirtmələr (və ya əks klapanlar), su kəməri üçün (Əks klapan D32mm)</t>
  </si>
  <si>
    <t>Dalğıc tipli drenaj su nasosu: Q=2.5 l/san= 9 m³/saat, H=3-5 m, N=1.0 kVt (Dalğıc nasos  Q=8.0m3/saat N=0.55kw H=10.0)</t>
  </si>
  <si>
    <t>2.19</t>
  </si>
  <si>
    <t>2.19  4 çıxışlı Yanğın Deposu binası (İsitmə sistemi)</t>
  </si>
  <si>
    <t>Polipropilen borulardan daxili su təchizatı və istilik sistemlərinin boru kəmərlərinin çəkilməsi: 25mm</t>
  </si>
  <si>
    <t>Yüksək elastikliyə, geniş diapazonlu təzyiqə malik,  standartlara cavab verən polietilen su və qaz borusu: diametri 25 mm, divarının qalınlığı 4,2 mm</t>
  </si>
  <si>
    <t>Polipropilen borulardan daxili su təchizatı və istilik sistemlərinin boru kəmərlərinin çəkilməsi: 32mm</t>
  </si>
  <si>
    <t>Yüksək elastikliyə, geniş diapazonlu təzyiqə malik,  standartlara cavab verən polietilen su və qaz borusu: diametri 32 mm, divarının qalınlığı 5,4 mm</t>
  </si>
  <si>
    <t>Polipropilen borulardan daxili su təchizatı və istilik sistemlərinin boru kəmərlərinin çəkilməsi: 40mm</t>
  </si>
  <si>
    <t>Yüksək elastikliyə, geniş diapazonlu təzyiqə malik,  standartlara cavab verən polietilen su və qaz borusu: diametri 40 mm, divarının qalınlığı 6,7 mm</t>
  </si>
  <si>
    <t>Polipropilen borulardan daxili su təchizatı və istilik sistemlərinin boru kəmərlərinin çəkilməsi: 50mm</t>
  </si>
  <si>
    <t>Yüksək elastikliyə, geniş diapazonlu təzyiqə malik,  standartlara cavab verən polietilen su və qaz borusu: diametri 50 mm, divarının qalınlığı 8,3 mm</t>
  </si>
  <si>
    <t>Polipropilen borulardan daxili su təchizatı və istilik sistemlərinin boru kəmərlərinin çəkilməsi: 63mm</t>
  </si>
  <si>
    <t>Yüksək elastikliyə, geniş diapazonlu təzyiqə malik,  standartlara cavab verən polietilen su və qaz borusu: diametri 63 mm, divarının qalınlığı 7,1 mm</t>
  </si>
  <si>
    <t>Elektrik qaynaqlı polad borulardan istilik və su təchizatı boru kəmərlərinin çəkilməsi, diametri: 65 mm</t>
  </si>
  <si>
    <t>Xarici diametri 76 mm, divarının qalınlığı 3,5 mm olan  poladdan diametri 20–dən 377 mm–dək, faskası çıxarılmış, düztikişli elektrik qaynaqlı polad borular</t>
  </si>
  <si>
    <t>Polipropilen borulardan daxili su təchizatı və istilik sistemlərinin boru kəmərlərinin çəkilməsi: 110mm</t>
  </si>
  <si>
    <t>Yüksək elastikliyə malik, qırılma-çatlama-korroziyaya uğrama xüsusiyyətləri olmayan, mexaniki zərbələrə davamlı olan   polietilen dirsək: DN 110, 45 dərəcə</t>
  </si>
  <si>
    <t>3 seksiyalı istilik radiatoru h=0,5m</t>
  </si>
  <si>
    <t>5 seksiyalı istilik radiatoru h=0,5m</t>
  </si>
  <si>
    <t>6 seksiyalı istilik radiatoru h=0,5m</t>
  </si>
  <si>
    <t>7 seksiyalı istilik radiatoru h=0,5m</t>
  </si>
  <si>
    <t>8 seksiyalı istilik radiatoru h=0,5m</t>
  </si>
  <si>
    <t>9 seksiyalı istilik radiatoru h=0,5m</t>
  </si>
  <si>
    <t>10 seksiyalı istilik radiatoru h=0,5m</t>
  </si>
  <si>
    <t>11 seksiyalı istilik radiatoru h=0,5m</t>
  </si>
  <si>
    <t>12 seksiyalı istilik radiatoru h=0,5m</t>
  </si>
  <si>
    <t>13 seksiyalı istilik radiatoru h=0,5m</t>
  </si>
  <si>
    <t>14 seksiyalı istilik radiatoru h=0,5m</t>
  </si>
  <si>
    <t>16 seksiyalı istilik radiatoru h=0,5m</t>
  </si>
  <si>
    <t>İstilik radiatorları, seksiya 572x75x96mm</t>
  </si>
  <si>
    <t>Radial ventilyatorların qoyulması, kütləsi: 0,2 tona qədər (İstilik ventilyatorunun quraşdırılması)</t>
  </si>
  <si>
    <t>Kanal tipli hava sovurucu ventilyator Q=1050m³\h P=350 pa N=1.0Kw ~1 (İstilik ventilyatoru)</t>
  </si>
  <si>
    <t>Radiator ventili 1/2x16 (kürəvari kran)</t>
  </si>
  <si>
    <t>Hava kranlarının qoyulması ( hava xaric edici)</t>
  </si>
  <si>
    <t>Radiator hava klapanı,D=15</t>
  </si>
  <si>
    <t>Havaaparıcıların qoyulması (Avtomatik hava buraxıcıların quraşdırılması D=15mm)</t>
  </si>
  <si>
    <t>Avtomatik hava buraxıcılar D=15mm</t>
  </si>
  <si>
    <t>Ventil, 50mm</t>
  </si>
  <si>
    <t>Çuqun ventillər, 80mm (D75mm)</t>
  </si>
  <si>
    <t>Süzgəclərin qoyulması, diametri: 65 mm (D75mm)</t>
  </si>
  <si>
    <t>Süzgəclərin qoyulması, diametri: 25 mm (D15mm)</t>
  </si>
  <si>
    <t>Polad borulardan olan boru kəmərlərinə ventillərin, siyirtmələrin, sürgülərin, əks klapanların, keçid kranlarının qoyulması, boruların diametri: 25 mm-ə qədər</t>
  </si>
  <si>
    <t>Üç girişli ventil, 220 V ,16 ATM,1 m-lik kabelli,yarım zqonlu,çöl diş yivli,ölçüləri 3/4" (servomotorlu) (İdarəedici mexanizm olan 3 gedişli tənzimləyici klapan)</t>
  </si>
  <si>
    <t>Termostatlı radiator ventili ; 1/2 düyümlü</t>
  </si>
  <si>
    <t>Manometrlərin qoyulması: üç gedişli kranlı</t>
  </si>
  <si>
    <t>Manometr</t>
  </si>
  <si>
    <t>Düz və künc termometrlərinin çərçivədə qoyulması</t>
  </si>
  <si>
    <t>Termometr Hiqrometr elektron</t>
  </si>
  <si>
    <t>Penopoliuretandan (yarımsilindrlərlə və seqmentlərlə) ədədi məmulatlarla boru kəməri səthlərinin izolyasiya edilməsi</t>
  </si>
  <si>
    <t>2.20</t>
  </si>
  <si>
    <t>2.20  4 çıxışlı Yanğın Deposu binası (Ventilyasiya sistemi)</t>
  </si>
  <si>
    <t>Radial ventilyatorların qoyulması, kütləsi: 0,2 tona qədər</t>
  </si>
  <si>
    <t>Kanal tipli ventilyator L=400 m3/saat N=0.1 kvt (Kanal tipli ventilyator L=350 m3/saat N=0.158 kvt )</t>
  </si>
  <si>
    <t>Sovurucu ventilyator 3000m³/s  (Hava sorucu oxlu ventilyator L=400 m3/saat N=0.064 kvt )</t>
  </si>
  <si>
    <t>Kanal tipli hava sorucu ventilyator 3000 m³/saat (Hava sorucu ventilyator)</t>
  </si>
  <si>
    <t>Oxlu ventilyator (L=95m3/saat, H=35Pa, N=0.014 kVt) (Məişət ventilyatoru  N=0.014 )</t>
  </si>
  <si>
    <t>Polad jalüz qəfəslərin qoyulması: tənzimləyici (RR), 1 saylı, 100x200 mm ölçülü (150x150 )</t>
  </si>
  <si>
    <t>Polad jalüz qəfəslərin qoyulması: tənzimləyici (RR), 4 saylı, 200x400 mm ölçülü (300x150 350x150)</t>
  </si>
  <si>
    <t>Jalüz qəfəslərin qoyulması, təmiz sahəsi: 0,5 m²-ə qədər</t>
  </si>
  <si>
    <t>İşçi zonaya hava vermək üçün nəzərdə tututlmuş havapaylayıcıların qoyulması, kütləsi: 20 kq-a qədər (diffuzorların quraşdırılması )</t>
  </si>
  <si>
    <t>Paslanmaz polad diffuzor jalüz 150x150mm (diffuzor )</t>
  </si>
  <si>
    <t>Şaxtalar üzərində polad vərəqdən dairəvi en kəsikli çətirlərin qoyulması, diametri: 200 mm</t>
  </si>
  <si>
    <t>Şaxtalar üzərində polad vərəqdən dairəvi en kəsikli çətirlərin qoyulması, diametri: 315 mm (400mm)</t>
  </si>
  <si>
    <t>Flanslı elastik taxma D=65mm (Ventilyatorlar üçün elastik taxma)</t>
  </si>
  <si>
    <t>Sinklənmiş polad vərəqlərdən və N (normal) sinifli alüminiumdan havaötürücü xətlərin çəkilməsi, qalınlığı: 0,5 mm, diametri 200 mm-ə qədər</t>
  </si>
  <si>
    <t>Sinklənmiş polad vərəqlərdən və N (normal) sinifli alüminiumdan havaötürücü xətlərin çəkilməsi, qalınlığı: 0,6 mm, diametri 355 mm-ə qədər</t>
  </si>
  <si>
    <t>Sinklənmiş polad vərəqlərdən və N (normal) sinifli alüminiumdan havaötürücü xətlərin çəkilməsi, qalınlığı: 0,6 mm, diametri 450 mm-ə qədər</t>
  </si>
  <si>
    <t>Elastik hava kəməri Dn100</t>
  </si>
  <si>
    <t>2.21</t>
  </si>
  <si>
    <t>2.21  4 çıxışlı Yanğın Deposu binası (Kondisionerləşmə)</t>
  </si>
  <si>
    <t>Split-sistemlərin divar üstü növlü daxili blokunun quraşdırılması, gücü: 5 kVt qədər</t>
  </si>
  <si>
    <t>Split tipli divar kondisioneri (gücü (kVt): 2,5 gücü (BTU): 9000 ) (Qs=2.17kvt; Qs=2.6kvt)</t>
  </si>
  <si>
    <t>Split tipli divar kondisioneri  (gücü (kVt): 3,5 gücü (BTU): 12000) (Qs=3.18 kvt və Qs=4.62kvt)</t>
  </si>
  <si>
    <t>Split-sistemlərin divar üstü növlü daxili blokunun quraşdırılması, gücü: 8 kVt qədər</t>
  </si>
  <si>
    <t>Split tipli kondisioner,gərginlik 24 v, 50HZ 24000BTU</t>
  </si>
  <si>
    <t>2.22</t>
  </si>
  <si>
    <t>2.22  4 çıxışlı Yanğın Deposu binası (Elektrik güc avadanlıqları)</t>
  </si>
  <si>
    <t>İşıq şkafı (Metal şkaf ölçüsü (1000x600x600)mm)</t>
  </si>
  <si>
    <t>Asma idarəetmə şkafı (pult), hündürlüyü, eni və dərinliyi, mm, qədər:900 x 600 x 500</t>
  </si>
  <si>
    <t>3FAZ C TİPİ 400A AVTOMAT AÇAR,</t>
  </si>
  <si>
    <t>3FAZ C TİPİ 100A AVTOMAT AÇAR,</t>
  </si>
  <si>
    <t>3FAZ C TİPİ 80A AVTOMAT AÇAR,</t>
  </si>
  <si>
    <t>3FAZ C TİPİ 63A AVTOMAT AÇAR,</t>
  </si>
  <si>
    <t>3FAZ C TİPİ 50A AVTOMAT AÇAR,</t>
  </si>
  <si>
    <t>3FAZ C TİPİ 40A AVTOMAT AÇAR,</t>
  </si>
  <si>
    <t>3FAZ C TİPİ 25A AVTOMAT AÇAR,</t>
  </si>
  <si>
    <t>3FAZ C TİPİ 20A AVTOMAT AÇAR,</t>
  </si>
  <si>
    <t>3FAZ C TİPİ 16A AVTOMAT AÇAR,</t>
  </si>
  <si>
    <t>Cihaz və ya aparat</t>
  </si>
  <si>
    <t>Daxili elektrik təchizatı üçün elektrik sayğacı (Sayğac 380V, 5A)</t>
  </si>
  <si>
    <t>Hazır vəziyyətdə quraşdırılmış sayğaclar üçfazalı</t>
  </si>
  <si>
    <t>Daxili elektrik təchizatı üçün cərəyan transfarmatoru (400/5 A transformasiya nisbətli, dəqiqlik sinfi 0,5 olan, nominal gücü minimum 100 VA olan, 0,4 kV şəbəkə üçün nəzərdə tutulmuş cərəyan transformatoru)</t>
  </si>
  <si>
    <t>Cərəyan transformatoru, gərginlik kV, qədər: 10</t>
  </si>
  <si>
    <t>3FAZ C TİPİ 400A AVTOMAT AÇAR,   (Ehtiyatın avtomatik qoşulması 380V, 400A EAQ)</t>
  </si>
  <si>
    <t>Divar və ya sütunda konstruksiya üzərində quraşdırılan bir-, iki-, üçpolyuslu avtomat, cərəyan, A, qədər:400 (Ehtiyatın avtomatik qoşulması)</t>
  </si>
  <si>
    <t>Daxili elektrik təchizatı üçün paylayıcı lövhə (Metal şkaf ölçüsü (600x400x250)mm)</t>
  </si>
  <si>
    <t>Asma idarəetmə şkafı (pult), hündürlüyü, eni və dərinliyi, mm, qədər:600 x 600 x 350</t>
  </si>
  <si>
    <t>3FAZ C TİPİ 32A AVTOMAT AÇAR,</t>
  </si>
  <si>
    <t>1FAZ C TİPİ 10A AVTOMAT AÇAR,</t>
  </si>
  <si>
    <t>Avtomatik qoşulan ehtiyat qurğusu 3x40A (Ehtiyatın avtomatik qoşulması 380V, 50A EAQ)</t>
  </si>
  <si>
    <t>Divar və ya sütunda konstruksiya üzərində quraşdırılan bir-, iki-, üçpolyuslu avtomat, cərəyan, A, qədər:100</t>
  </si>
  <si>
    <t>Daxili elektrik təchizatı üçün paylayıcı lövhə (Metal şkaf ölçüsü (600x400x250)mm PQ1)</t>
  </si>
  <si>
    <t>1FAZ C TİPİ 25A AVTOMAT AÇAR,</t>
  </si>
  <si>
    <t>1FAZ C TİPİ 16A AVTOMAT AÇAR,</t>
  </si>
  <si>
    <t>Daxili elektrik təchizatı üçün paylayıcı lövhə (Metal şkaf ölçüsü (600x400x250)mm PQ2)</t>
  </si>
  <si>
    <t>3FAZ C TİPİ 16A AVTOMAT AÇAR,   (3FAZ C TİPİ 10A AVTOMAT AÇAR)</t>
  </si>
  <si>
    <t>1FAZ C TİPİ 20A AVTOMAT AÇAR, Qütb sayı: 1;</t>
  </si>
  <si>
    <t>Maqnit işəsalıcı (Maqnit işə salıcı rele ilə 380V)</t>
  </si>
  <si>
    <t>Divar və ya sütunda konstruksiya üzərində quraşdırılan ümumi təyinatlı bir maqnitli buraxıcı qurğudan ibarət yığma, cərəyan, A, qədər 40</t>
  </si>
  <si>
    <t>Düyməli post "Start-Stop"(İdarəetmə düyməsi)</t>
  </si>
  <si>
    <t>Divar və ya sütunda konstruksiya üzərində quraşdırılan ümumi təyinatlı düyməli bir neçə idarəetmə postlarından ibarət yığma, post elementlərinin sayı, qədər:3</t>
  </si>
  <si>
    <t>0,6/1,0 kV-luq güc kabeli 5х4</t>
  </si>
  <si>
    <t>Daxili elektrik təchizatı üçün paylayıcı lövhə (Metal şkaf ölçüsü (600x400x250)mm PQ4)</t>
  </si>
  <si>
    <t>Düyməli post "Start-Stop" (İdarəetmə düyməsi)</t>
  </si>
  <si>
    <t>Daxili elektrik təchizatı üçün paylayıcı lövhə (Metal şkaf ölçüsü (600x400x250)mm PQÇ)</t>
  </si>
  <si>
    <t>Daxili elektrik təchizatı üçün paylayıcı lövhə (Metal şkaf ölçüsü (600x400x250)mm PQM)</t>
  </si>
  <si>
    <t>1FAZ C TİPİ 40A AVTOMAT AÇAR,</t>
  </si>
  <si>
    <t>Ştepsel rozetkası-yerlə birləşdirmə, (Ştepsel rozetkası-yerlə birləşdirmə 220V, 10A və 16A)</t>
  </si>
  <si>
    <t>Ştepsel rozetkalar, TORPAQLI RAZETKA 2Lİ (Ştepsel rozetkası-yerlə birləşdirmə, 2-li 220V, 10A)</t>
  </si>
  <si>
    <t>Ştepsel rozetkalar, Modul tipli, (Ştepsel rozetkası-yerlə birləşdirmə, 220V, 25A)</t>
  </si>
  <si>
    <t>Ştepsel rozetkası: gizli üsulla elektrik şəbəkəsinin çəkilməsi zamanı, batıqlı tipli</t>
  </si>
  <si>
    <t>Germetik ştepsel rozetkası</t>
  </si>
  <si>
    <t>Ştepsel rozetkası: yarımgermetik və germetik</t>
  </si>
  <si>
    <t>Elektrik QUTUSU,  (Rozetkalar üçün qutu)</t>
  </si>
  <si>
    <t>Paylayıcı qutu, ELEKTRIK MONTAJ QUTUSU 100x100mm (Budaqlanma qutusu)</t>
  </si>
  <si>
    <t>3FAZ C TİPİ 25A AVTOMAT AÇAR,   (Avtomat açar 380V, 25A)</t>
  </si>
  <si>
    <t>1FAZ C TİPİ 40A AVTOMAT AÇAR,   (Avtomat açar 220V, 40A)</t>
  </si>
  <si>
    <t>Elektrik açarı  (Paket açarı 380V, 6A)</t>
  </si>
  <si>
    <t>Naqil üçün Qırçınlı PLASTİK yanmaz Boru (d= 25mm) 50m (PVC boru D25)</t>
  </si>
  <si>
    <t>Quraşdırılmış konstruksiyalar üzrə viniplast boru, döşəmənin əsası üzrə, diametri, mm, qədər: 25</t>
  </si>
  <si>
    <t>Yüksək elastikliyə, geniş diapazonlu təzyiqə malik,  standartlara cavab verən polietilen su və qaz borusu: diametri 32 mm, divarının qalınlığı 3 mm,  (PVC boru D32)</t>
  </si>
  <si>
    <t>Yüksək elastikliyə, geniş diapazonlu təzyiqə malik,  standartlara cavab verən polietilen su və qaz borusu: diametri 50 mm, divarının qalınlığı 3 mm, (PVC boru D50)</t>
  </si>
  <si>
    <t>Quraşdırılmış konstruksiyalar üzrə viniplast boru, döşəmənin əsası üzrə, diametri, mm, qədər: 50</t>
  </si>
  <si>
    <t>Metal boru 25mmx2mm</t>
  </si>
  <si>
    <t>Quraşdırılmış konstruksiyalar üzrə polad boru, hazır şırımlarda, döşəmənin əsası üzrə, diametri, mm, qədər:25</t>
  </si>
  <si>
    <t>0,6/1,0 kV-luq güc kabeli 3х2,5</t>
  </si>
  <si>
    <t>0,6/1,0 kV-luq güc kabeli 3х4</t>
  </si>
  <si>
    <t>0,6/1,0 kV-luq güc kabeli 3х10</t>
  </si>
  <si>
    <t>0,6/1,0 kV-luq güc kabeli 4х4</t>
  </si>
  <si>
    <t>1,0 kV-luq güc kabeli 3х2,5</t>
  </si>
  <si>
    <t>1,0 kV-luq güc kabeli 5х4</t>
  </si>
  <si>
    <t>1,0 kV-luq güc kabeli 5х6</t>
  </si>
  <si>
    <t>1,0 kV-luq güc kabeli 5х10</t>
  </si>
  <si>
    <t>1,0 kV-luq güc kabeli 5х16</t>
  </si>
  <si>
    <t>1,0 kV-luq güc kabeli 3х50+2х25</t>
  </si>
  <si>
    <t>Ümumi hörmədə birinci birdamarlı və ya çoxdamarlı naqillərin çəkilmiş borulara dartılması, ümumi en kəsiyi, mm², qədər: 35</t>
  </si>
  <si>
    <t>0,6/1,0 kV-luq güc kabeli  3х95+2х50</t>
  </si>
  <si>
    <t>Qoruyucu örtükdə naqil və ya iki-beş damarlı kabel: divarların və örtüklərin hazır kanallarında</t>
  </si>
  <si>
    <t>Dairəvi polad, 16mm</t>
  </si>
  <si>
    <t>Dairəvi poladdan şaquli yerlə birləşdirici, diametri, mm:16</t>
  </si>
  <si>
    <t>Polad zolaq 25x4mm</t>
  </si>
  <si>
    <t>Döşəmənin birləşdirici qatında gizli ötürücü: zolaq şəkilli poladdan, en kəsiyi 100 mm²</t>
  </si>
  <si>
    <t>Polad zolaq 40x4mm</t>
  </si>
  <si>
    <t>Üfüqi yerlə birləşdirici:zolaq şəkilli poladdan, en kəsiyi 160 mm²</t>
  </si>
  <si>
    <t>2.23</t>
  </si>
  <si>
    <t>2.23  4 çıxışlı Yanğın Deposu binası (Elektrik işıqlanması)</t>
  </si>
  <si>
    <t>LED PANEL ASILQANLI 600X600mm (LED lampalı çıraq 220V, 36 Vt, , 600x600mm)</t>
  </si>
  <si>
    <t>LED PANEL 600X600mm (LED lampalı çıraq 220V, 22 Vt, , 300x300mm)</t>
  </si>
  <si>
    <t>LED lampalı çıraq 220V, 18 Vt, , 300x300mm</t>
  </si>
  <si>
    <t>Led tipli çıraq. (LED lampalı çıraq 220V, 40 Vt, , 200x600mm)</t>
  </si>
  <si>
    <t>Lampa Led, diod tipli, ANBAR İŞIQLANDIRCI 150W  (LED lampalı çıraq 220V, 15 Vt, , 300x300mm)</t>
  </si>
  <si>
    <t>Led tipli çıraq   19Vt (LED lampalı çıraq 220V, 150 Vt, )</t>
  </si>
  <si>
    <t>LED lampalı çıraq 220V, 10 Vt lampa ilə dəst</t>
  </si>
  <si>
    <t>Lüminesent və ya civə lampalı çılçıraqlar (LED lampalı çıraq 220V, 20 Vt)</t>
  </si>
  <si>
    <t>LED lampalı çıraq 220V, 20 Vt lampa ilə dəst</t>
  </si>
  <si>
    <t>LED, 1.7W 150 , Ø 50 MM (LED lampalı çıraq 220V, 24 Vt)</t>
  </si>
  <si>
    <t>Led tipli akkumlyatorlu çıraq 12Vt (LED lampalı çıraq 220V, 150 Vt, Qəza akkumulyatorlu)</t>
  </si>
  <si>
    <t>3VT- luq Led tipli çıraq (LED lampalı çıraq 220V, 20 Vt, Qəza akkumulyatorlu)</t>
  </si>
  <si>
    <t>Led tipli çıraq. (LED lampalı çıraq 220V, 20 Vt, Qəza akkumulyatorlu)</t>
  </si>
  <si>
    <t>Özül detallarda quraşdırılan asma tavan çırağı, çıraqdakı lampaların sayı, qədər: 2</t>
  </si>
  <si>
    <t>Lüminesent və ya civə lampalı çılçıraqlar (LED lampalı spot 220V, 10Vt)</t>
  </si>
  <si>
    <t>Asma tavanlarda çıraqlar</t>
  </si>
  <si>
    <t>Asma çıraqlar, (Közərmə lampalı çıraq 15Vt)</t>
  </si>
  <si>
    <t>Yerli işıqlandırma çırağı</t>
  </si>
  <si>
    <t>Sadə işıqsız " EXİT " tablosu (Çıxış göstəricisi) Ölçüsü 50x50</t>
  </si>
  <si>
    <t>Divar işıq işarələri</t>
  </si>
  <si>
    <t>Borusayaq kolbalı közərmə lampası, 25Vt (220V, 25Vt)</t>
  </si>
  <si>
    <t>Borusayaq kolbalı közərmə lampası, 25Vt (24V, 25Vt)</t>
  </si>
  <si>
    <t>Borusayaq kolbalı közərmə lampası 15Vt (220V, 15Vt)</t>
  </si>
  <si>
    <t>Alçaldıcı transformator 220/12 V</t>
  </si>
  <si>
    <t>Gücü aşağı salan transformatorlu qutu</t>
  </si>
  <si>
    <t>Elektrik açarları, (Bir qütblü bir səmtli gizli quröu üçün açar 220V, 6A)</t>
  </si>
  <si>
    <t>Elektrik açarı: gizli üsulla elektrik şəbəkəsinin çəkilməsi zamanı, birdilli, batıqlı tipli</t>
  </si>
  <si>
    <t>Elektrik açarları, (Bir qütblü iki səmtli gizli quröu üçün açar 220V, 6A)</t>
  </si>
  <si>
    <t>Elektrik açarları, Modul tipli (İki tərəfdən idarə olunan açar 220V, 6A)</t>
  </si>
  <si>
    <t>Elektrik açarı: gizli üsulla elektrik şəbəkəsinin çəkilməsi zamanı, ikidilli, batıqlı tipli</t>
  </si>
  <si>
    <t>Elektrik açarları + Rozetka qapaqlı (Bir qütblü bir səmtli mühafizəli açar 220V, 6A )</t>
  </si>
  <si>
    <t>Elektrik açarı: yarımgermetik və germetik</t>
  </si>
  <si>
    <t>Elektrik QUTUSU,  (Açarlar üçün qutu)</t>
  </si>
  <si>
    <t>Naqil üçün Qırçınlı PLASTİK yanmaz Boru (   d= 25mm) t-50m</t>
  </si>
  <si>
    <t>0,6/1,0 kV-luq güc kabeli 4х2,5</t>
  </si>
  <si>
    <t>0,6/1,0 kV-luq güc kabeli 5х2,5</t>
  </si>
  <si>
    <t>Ümumi hörmədə birinci birdamarlı və ya çoxdamarlı naqillərin çəkilmiş borulara dartılması, ümumi en kəsiyi, mm², qədər: 16</t>
  </si>
  <si>
    <t>2.24</t>
  </si>
  <si>
    <t>2.24  4 çıxışlı Yanğın Deposu binası (Yanğın siqnalizasiyası)</t>
  </si>
  <si>
    <t>Mərkəzi yanğın paneli,  ( 32 zona)</t>
  </si>
  <si>
    <t>PS nəzarət-qəbul, işəsalma cihazları. Konsentrator:20 şualı baza bloku</t>
  </si>
  <si>
    <t>Ünvanlı mərkəzi yanğın cihazı 2 şualı  (Təkrar yanğın cihazı)</t>
  </si>
  <si>
    <t>PS nəzarət-qəbul, işəsalma cihazları. Konsentrator:10 şualı baza bloku</t>
  </si>
  <si>
    <t>Yanğın siqnalizasiya sistemi üçün,tüstü xəbərverici (Tüstü xəbərverici )</t>
  </si>
  <si>
    <t>Yanğın siqnalizasiya sistemi üçün, işıq-səsxəbərvericisini (İşıq-səs veren yanğın xəbərvericisi )</t>
  </si>
  <si>
    <t>Avtomatik PS bildiriciləri: partlayışdan mühafizəli istilik, tüstü, işıq</t>
  </si>
  <si>
    <t>Yanğın siqnalizasiya sistemi üçün,əl ilə işləyən xəbərverici (Əl ilə xəbərverici )</t>
  </si>
  <si>
    <t>Avtomatik bildiricilər: şüşədə quraşdırılan zərbə- kontaktlı, kontaktsız elektromaqnit və ya pyezoelektrik</t>
  </si>
  <si>
    <t>Telefon, LAN, koaksial kabel 2x2x0,8 (Kabel 2x2x0.8)</t>
  </si>
  <si>
    <t>Yanğın siqnalizasiya sistemi üçün, akkumlyator  (Akkumlyator batareyası 12v7.8A)</t>
  </si>
  <si>
    <t>Ultrasəs qurğuları: qidalandırma və nəzarət bloku</t>
  </si>
  <si>
    <t>Yanğın siqnalizasiya sistemi üçün,baza(Baza)</t>
  </si>
  <si>
    <t>Naqil en kəsiyi 2,5mm² (Naqil 3x2,5mm² )</t>
  </si>
  <si>
    <t>Naqil üçün Qırçınlı PLASTİK Yanmaz Boru (   d= 20mm) t-50m (Viniplast boru D20mm)</t>
  </si>
  <si>
    <t>Qarışıq tüstü və karbonmonooksit detektoru optik/termal sensoru özündə birləşdirən CO detektoru - fərqli irəli/geri, işıq səpmə texnologiyasından istifadə edir. Aşkarlana bilən qaz - Dəm; Aşkarlama metodu: Sabit Temperatur, Fotoelektrik, Proqramlaşdırıla bilən, Artış dərəcəsi; Termal Reytinq: Proqramlaşdırıla bilən. Çəki: 0.30 lb; Ölçülər: 2.00 x 4.00 x 4.00 düym;</t>
  </si>
  <si>
    <t>Stasionar metal detektorları, tağşəkilli tipli</t>
  </si>
  <si>
    <t>2.25</t>
  </si>
  <si>
    <t>2.25  4 çıxışlı Yanğın Deposu binası (Videomüşahidə sistemi)</t>
  </si>
  <si>
    <t>Videoregistratorr (İP Videoqeydiyyat cihazı 32 kanallı)</t>
  </si>
  <si>
    <t>Videonəzarət qurğusu</t>
  </si>
  <si>
    <t>Videomüşahidə sistemi üçün xarici İP 2MP kamera  (Gece/gündüz rəngli videokamera (xarici))</t>
  </si>
  <si>
    <t>Videomüşahidə sistemi üçün daxili ip 2MP kamera  (Gece/gündüz rəngli videokamera (daxili))</t>
  </si>
  <si>
    <t>Videomüşahidə kameraları: kronşteynlərdə</t>
  </si>
  <si>
    <t>Videomüşahidə kameraları: fiksajlanmış</t>
  </si>
  <si>
    <t>Switch 24 portlu</t>
  </si>
  <si>
    <t>Üç proqramla yayım üçün mühafizə filterləri</t>
  </si>
  <si>
    <t>HDMİ kabel,4K ultra HD 60Hz tezlikli,Ölçüsü:15,2 m</t>
  </si>
  <si>
    <t>Alümin kabel ucluqları (Birləşmələr)</t>
  </si>
  <si>
    <t>Naqil üçün Qırçınlı PLASTİK Yanmaz Boru (   d= 20mm) t-50m (Kabel borusu qofra D20mm)</t>
  </si>
  <si>
    <t>Monitor 43  (Monitor 43 diaqonal)</t>
  </si>
  <si>
    <t>Videomaqnitafon</t>
  </si>
  <si>
    <t>Videonəzarət kamerası üçün kronşteyn  (Kronşteyn L=0.5m)</t>
  </si>
  <si>
    <t>Divar üzərində «PEREXOD» kronşteyni</t>
  </si>
  <si>
    <t>Şəbəkə kabeli 4x2x24 CAT6  (Kabel Cat 6 4x2x23 )</t>
  </si>
  <si>
    <t>Videoqeydiyyat cihazı üçün disk HDD 4Tb</t>
  </si>
  <si>
    <t>2.26</t>
  </si>
  <si>
    <t>2.26  4 çıxışlı Yanğın Deposu binası.Rabitə şəbəkəsi (Anons sistemi)</t>
  </si>
  <si>
    <t>İdarəetmə gücləndiricisi 180 vt (360vt)  (İdarəetmə gücləndiricisi (360W) MP3 PLAYERLƏ</t>
  </si>
  <si>
    <t>Əsas gücləndirici  (Gücləndirici (360W)</t>
  </si>
  <si>
    <t>Akkumulyator 12V/7A (Akkumulyator 12V/50A)</t>
  </si>
  <si>
    <t>Səsucaldan 3v-6v Tavan tipli Tezlik müdaxiləsi (-10dB) olçüləri 104x78mm (Səsucaldan 3w. )</t>
  </si>
  <si>
    <t>Fövqaladə hallarda anons sistemi üçün gücü 6VT olan səsucaldanlar(Səsucaldan 6w. )</t>
  </si>
  <si>
    <t>Səsucaldan yaxud səs «kolonkası»: dirəkdə yaxud damda, gücü 10 Vt-a qədər (Quraşdırma)</t>
  </si>
  <si>
    <t>Fövqaladə hallarda anons sistemi üçün mikrofon (Mikrofon)</t>
  </si>
  <si>
    <t>Masaüstü səsucaldan</t>
  </si>
  <si>
    <t>Mikrofon üçün genişləndirici</t>
  </si>
  <si>
    <t>Yanğın xəbərveci sistemlərində istifadə olunan mikrofon. Bütün  cihazlar tərəfindən dəstəklənir,Voltaj 2-10V,Həssaslıq 42dB  (Mikrofon (yanğın zamanı avtomatik xəbərdarlıq))</t>
  </si>
  <si>
    <t>Səsucaldan yaxud səs «kolonkası»: dirəkdə yaxud damda, gücü 10 Vt-a qədər (Mikrofon (yanğın zamanı avtomatik xəbərdarlıq) quraşdırma)</t>
  </si>
  <si>
    <t>300/500V 2x1,5 telefon, LAN, koaksial kabel (Kabel 2x1.5)</t>
  </si>
  <si>
    <t>Telefon, LAN, koaksial kabel U/UTP Cat 6 4х2х0,57</t>
  </si>
  <si>
    <t>Mikrofon kabeli  (4x0.35)</t>
  </si>
  <si>
    <t>Qəza qida mənbəyi (Qəza qida mənbəyi</t>
  </si>
  <si>
    <t>2.27</t>
  </si>
  <si>
    <t>2.27  4 çıxışlı Yanğın Deposu binası.Rabitə şəbəkəsi (Telefon və kompyuter şəbəkələri)</t>
  </si>
  <si>
    <t>Modem</t>
  </si>
  <si>
    <t>İP servis üçün qermetik divar tipli metal şkaf, 19 W=600mm D=400mm  600X400X915  (Telekommunikasiya şkafı 19")</t>
  </si>
  <si>
    <t>Lövhə və pultlar, kütləsi: 100 kq–a qədər</t>
  </si>
  <si>
    <t>Switch 24 port</t>
  </si>
  <si>
    <t>İP servis otağında metal şkaf üçün rəflər, 19"  482x400x270 (Telekommunikasiya paneli 19")</t>
  </si>
  <si>
    <t>İP servis otağında Fiber Optik kabellər üçün paylayıcı qutular, 19" 24 PORT Fiber Optical Box 482x280x44</t>
  </si>
  <si>
    <t>Çıxarılan və qabağa çıxan bloklar (modullar, yuvacıqlar, TEZ), kütləsi: 5 kq–a qədər</t>
  </si>
  <si>
    <t>Rozetka + Telefon yuvalı</t>
  </si>
  <si>
    <t>Mikrofon rozetkası</t>
  </si>
  <si>
    <t>Rozetka+Elektrik açarları, (Kompyuter rozetkası)</t>
  </si>
  <si>
    <t>Fiber optik sonlanma paneli 24 port (Optik panel)</t>
  </si>
  <si>
    <t>Kabel orqanayzer 19"</t>
  </si>
  <si>
    <t>İP servis otağında metal şkaf üçün fanlar, 2fans, on/off 490x135x45  (Ventilyator blok )</t>
  </si>
  <si>
    <t>Ventilyator</t>
  </si>
  <si>
    <t>Optik kabel  1x8 fiber optik</t>
  </si>
  <si>
    <t>Telefon, LAN, koaksial kabel Cat 6-PVC 4x2x0,57</t>
  </si>
  <si>
    <t>Mini ATS (6 şəhər 16 daxili portlu)</t>
  </si>
  <si>
    <t>Telefon qurğusu (konsentrator)</t>
  </si>
  <si>
    <t>Xətlərin sazlanması: ATS-lə birləşdirilmə</t>
  </si>
  <si>
    <t>2.28</t>
  </si>
  <si>
    <t>2.28  4 çıxışlı Yanğın Deposu binası.Rabitə şəbəkəsi (Daxili televiziya sistemi)</t>
  </si>
  <si>
    <t>Wi-Fi Modem</t>
  </si>
  <si>
    <t>Antena</t>
  </si>
  <si>
    <t>Antena-fider traktı. Antenaların yustirlənməsi, gücləndirmə: 40 dB-ə qədər</t>
  </si>
  <si>
    <t>Gücü 1 Vt olan, efirdən qəbul edilməklə avtomatik xidmət etməyən televiziya retranslyatorları</t>
  </si>
  <si>
    <t>Antenna dayağı (Televiziya dayağı hündürlüyü -5m)</t>
  </si>
  <si>
    <t>Əsas gücləndirici  (Abunəçi gücləndirici)</t>
  </si>
  <si>
    <t>Multi switch 2x5 2 giriş 5 çıxışlı multisviç</t>
  </si>
  <si>
    <t>Üç proqramla yayım üçün mühafizə filterləri (FNQ)</t>
  </si>
  <si>
    <t>Telefon, LAN, koaksial kabel RG 6/U-6 (Televiziya kabeli)</t>
  </si>
  <si>
    <t>Telefon, LAN, koaksial kabel  (Televiziya kabeli magistral)</t>
  </si>
  <si>
    <t>Xətti gücləndirici L diapazonlu (Televiziya magistral xətti gücləndirici)</t>
  </si>
  <si>
    <t>Rozetka + TV yuvalı, (Televiziya rozetkası)</t>
  </si>
  <si>
    <t>Katanka məftil, 8mm (Polad zolaq D-8mm)</t>
  </si>
  <si>
    <t>Dairəvi polad, 12mm</t>
  </si>
  <si>
    <t>Üfüqi yerlə birləşdirici:dairəvi poladdan, diametri 12 mm</t>
  </si>
  <si>
    <t>2.29</t>
  </si>
  <si>
    <t>2.29  4 çıxışlı Yanğın Deposu binası.Rabitə şəbəkəsi (Səsləndirmə zal üçün)</t>
  </si>
  <si>
    <t>Səsgücləndirici E=200 Vt E=200 W  (Səsgücləndiricilər 2x600W)</t>
  </si>
  <si>
    <t>Sinxron tərcümə qulaqcıqları (CD/MP3 Pleer)</t>
  </si>
  <si>
    <t>Stereo maqnitafon</t>
  </si>
  <si>
    <t>Server şkaf, olçüləri 600x600 mm (Video wall üçün) (akt zalı 600x800)</t>
  </si>
  <si>
    <t>Kommutasiya şkafı</t>
  </si>
  <si>
    <t>Səsucaldan 30Vt (Kalonka divar tipli 30W)</t>
  </si>
  <si>
    <t>Mikrofon kabeli (Mikrofon kabeli akt zalı 2x0.22)</t>
  </si>
  <si>
    <t>300/500V 2x2,5 telefon, LAN, koaksial kabel (Kabel 2x2.5 akt zalı kalonkalar üçün)</t>
  </si>
  <si>
    <t>Elan mikrofonu  (Zal mikrafonu)</t>
  </si>
  <si>
    <t>Gücləndirici bloku (360W) (350W) (16 kanallı)</t>
  </si>
  <si>
    <t>Naqil üçün Qırçınlı PLASTİK yanmaz Boru (   d= 25mm) 50m (Kabel borusu D25mm)</t>
  </si>
  <si>
    <t>2.30</t>
  </si>
  <si>
    <t>2.30  4 çıxışlı Yanğın Deposu binası.Texnoloji avadanlıqlar (TX)</t>
  </si>
  <si>
    <t>p/m</t>
  </si>
  <si>
    <t>Sərin içkilər üçün soyuducu, ölçüləri 600x600x1800</t>
  </si>
  <si>
    <t>Elektrik sterilizator 250x125x60 (Bıçaqların steriliza qabı)</t>
  </si>
  <si>
    <t>Su distilyatoru  avtomatik</t>
  </si>
  <si>
    <t>(Havaçəkən aspirator) divar tip filtrsiz, ölçüləri 1000*800*500</t>
  </si>
  <si>
    <t>Paslanmayan stellaj, ölçüləri 1200x550x1600</t>
  </si>
  <si>
    <t>Elektrik sobası 4 gözlü 60sm</t>
  </si>
  <si>
    <t>Stellaj dörd rəfli, ölçüləri 900*450*1800    (Təmiz qablar üçün)</t>
  </si>
  <si>
    <t>1 masa və 4 oturacaqdan ibarət mətbəx masası</t>
  </si>
  <si>
    <t>Çarpayı 200x95sm, başlıq və yanlar döşəmə, somyalı</t>
  </si>
  <si>
    <t>Stul (yumşaq) 400x400x800</t>
  </si>
  <si>
    <t>Yumşaq divan (3 yerli) (210x80x73) sm; (Süni dəri,  25 kg/m3 Xrom ayaq h= 5 sm)</t>
  </si>
  <si>
    <t>Hərəkətli iş masası (alt rəfli), ölçüləri 1200*600*850</t>
  </si>
  <si>
    <t>Stul (yumşaq) 400x400x800 (Dirsəkli stul)</t>
  </si>
  <si>
    <t>Kürsü təkərli 830x790x1000</t>
  </si>
  <si>
    <t>Sənəd və kitab dolabı 80x210x55sm</t>
  </si>
  <si>
    <t>1-tumbalı iş masası (1200x700x750)mm; (Material: Laminat 18 mm, PVC təmas hissələrində 1 mm, qalan hissələrdə 0,4 mm Dəstək: xrom, 9,6 sm , ayparavari, orta hissəsi incə Ray teleskopik,vakkum Daban: domino)</t>
  </si>
  <si>
    <t>Kreslo, ofis üçün, rəhbər üçün, multi mexanizmli, başlıqlı, 4 pilləli, qazla qalxıb-enən, təkərli, parçadan</t>
  </si>
  <si>
    <t>Skameyka 100x40x45sm, dəmir, taxta, boyalı</t>
  </si>
  <si>
    <t>İş masası (alt rəfli tək çəkməcəli), ölçüləri 2000*600*850  (İstehsalat masası)</t>
  </si>
  <si>
    <t>Eni 80 sm,uzunluğu(dərinlik) 60sm,hündürlüyü 75 sm olan,laminasya olunmuş DSP dən ibarət yazı masası (Tədris üçün masa)</t>
  </si>
  <si>
    <t>İş stolu, üçün arakəsmə (160x1,8x35) sm; (Laminat 18 mm, PVC 1 mm İki masa arasına vida ilə bağlanacaq) (köməkçi masa)</t>
  </si>
  <si>
    <t>Masa 75x150x65sm, dəmir ayaqlı, laminat, pərdəlikli  (Stol)</t>
  </si>
  <si>
    <t>Yumşaq divan (2 yerli) (150x80x73) sm; (Süni dəri, 25 kg/m3 Xrom ayaq h= 5 sm)(Divan)</t>
  </si>
  <si>
    <t>Iş stolu 90x75x60</t>
  </si>
  <si>
    <t>Yazı taxtası (600x900 mm)</t>
  </si>
  <si>
    <t>Loker dolabı 184x40x45sm, laminat (Divar şkafı)</t>
  </si>
  <si>
    <t>İş masası (alt rəfli tək çəkməcəli), ölçüləri 1600*700*850 (İstehsalat masası)</t>
  </si>
  <si>
    <t>Asılqan 5 qarmaqlı (500x100) ; (Laminat 18 mm PVC 0,4 mm Asılqan qarmaq, Plastik, 5 ədəd)</t>
  </si>
  <si>
    <t>Printer A4, Printer</t>
  </si>
  <si>
    <t>Maksimal yükləmə həddi 11 kq olan paltar yuyan maşın.</t>
  </si>
  <si>
    <t>Paslanmaz sifonlu yer trapı, ölçüləri (300x200x180) (Drenaj toru trap sifonlu)</t>
  </si>
  <si>
    <t>İki çanaqlı yuma vannası (50*50*30), ölçüləri 1200*700*850</t>
  </si>
  <si>
    <t>Elektron ağırlıq tərəziləri üçün, çəki indiqatoru</t>
  </si>
  <si>
    <t>Dolab dezinfeksiya vasitələri üçün 450x350x900</t>
  </si>
  <si>
    <t>Səyyar qutu çirkli ağlar üçün 700x700x721</t>
  </si>
  <si>
    <t>3.1</t>
  </si>
  <si>
    <t>3.1  Nəzarətçi otağı (Torpaq işləri)</t>
  </si>
  <si>
    <t>Çalovun tutumu 0,5 (0,5-0,63)m3 olan “əks çalov”lu ekskavatorlarla qruntun xəndəklərdən kənara atılaraq qazılması, qruntun qrupu: 2</t>
  </si>
  <si>
    <t>Dərinliyi 2 m-ə qədər olan yamaclı xəndəklərdə qruntun bərkitmələr olmadan əl ilə qazılması, qruntun qrupu: 2</t>
  </si>
  <si>
    <t>Qruntu 5 m-ə qədər məsafəyə yerinin dəyişdirilməsi ilə çalaların və xəndəklərin buldozerlərlə doldurulması, buldozerin gücü: 59 (80) kVt (a.g.), 2-ci qrup qrunt</t>
  </si>
  <si>
    <t>3.2</t>
  </si>
  <si>
    <t>3.2  Nəzarətçi otağı (Bünövrə)</t>
  </si>
  <si>
    <t>A-1 sinifli armatur (düyün ilə birlikdə)</t>
  </si>
  <si>
    <t>A-3 sinifli armatur (düyün ilə birlikdə)</t>
  </si>
  <si>
    <t>390x190x188 mm ölçülərində mişarlanmış əhəng daşından bina və qurğuların bütöv divarlarının hörgüsü: 39 sm qalınlığında</t>
  </si>
  <si>
    <t>Döşənək qatlarının düzəldilməsi: betonlu (Beton döşəmə)</t>
  </si>
  <si>
    <t>3.3</t>
  </si>
  <si>
    <t>3.3  Nəzarətçi otağı (D/b konstruksiyalar)</t>
  </si>
  <si>
    <t>Taxta qəlibdə dəmir-beton sütunların qurulması, hündürlüyü: 4 m-ə qədər, perimetri 2 m-ə qədər (b20)</t>
  </si>
  <si>
    <t>Tirsiz örtüklərin qurulması, qalınlığı: 200 mm-ə qədər, dayaq meydançasından 6 m-ə qədər hündürlükdə (Mtv1,b20)</t>
  </si>
  <si>
    <t>Tirsiz örtüklərin qurulması, qalınlığı: 200 mm-ə qədər, dayaq meydançasından 6 m-ə qədər hündürlükdə (çətir,b20)</t>
  </si>
  <si>
    <t>Kəmərlərin qurulması: qəlibdə (b20)</t>
  </si>
  <si>
    <t>Atmaların qurulması (b20)</t>
  </si>
  <si>
    <t>3.4</t>
  </si>
  <si>
    <t>3.4  Nəzarətçi otağı (Divar və arakəsmələr)</t>
  </si>
  <si>
    <t>3.6</t>
  </si>
  <si>
    <t>3.6  Nəzarətçi otağı (Qapı və pəncərələr)</t>
  </si>
  <si>
    <t>Qapı-pəncərə üstü atma</t>
  </si>
  <si>
    <t>3.7</t>
  </si>
  <si>
    <t>3.7  Nəzarətçi otağı (Döşəmə-Tip 1)</t>
  </si>
  <si>
    <t>Laqaların qoyulması: kərpic altlıqlar üzrə</t>
  </si>
  <si>
    <t>Fermalar üzərində döşənəklərin qurulması: işlək, qalınlığı 25 mm, seyrəkləşdirilmiş</t>
  </si>
  <si>
    <t>Örtüklərin düzəldilməsi: açar üsulu ilə laminasiya olunmuş taxtalardan</t>
  </si>
  <si>
    <t>3.8</t>
  </si>
  <si>
    <t>3.8  Nəzarətçi otağı (Döşəmə-Tip 2)</t>
  </si>
  <si>
    <t>Birləşdirici qatın düzəldilməsi: sement, qalınlığı 15 mm</t>
  </si>
  <si>
    <t>3.9</t>
  </si>
  <si>
    <t>3.9  Nəzarətçi otağı (Daxili bəzək işləri)</t>
  </si>
  <si>
    <t>3.10</t>
  </si>
  <si>
    <t>3.10  Nəzarətçi otağı (Xarici bəzək işləri)</t>
  </si>
  <si>
    <t>Səthləri hazırlamaqla fasadların tərkiblərlə taxtabəndlərdən rənglənməsi: perxlorvinilli</t>
  </si>
  <si>
    <t>3.11</t>
  </si>
  <si>
    <t>3.11  Nəzarətçi otağı (Elektrik işıqlanması)</t>
  </si>
  <si>
    <t>Daxili elektrik təchizatı üçün paylayıcı lövhə (Metal şkaf ölçüsü (300x300x125)mm)</t>
  </si>
  <si>
    <t>1FAZ C TİPİ 16A AVTOMAT AÇAR</t>
  </si>
  <si>
    <t>1FAZ C TİPİ 10A AVTOMAT AÇAR</t>
  </si>
  <si>
    <t>Paket çevirgəc (380V, 20A)</t>
  </si>
  <si>
    <t>LED PANEL 600X600mm 48W (LED lampalı çıraq 220V, 15Vt)</t>
  </si>
  <si>
    <t>Lüminesent və ya civə lampalı çılçıraqlar (LED lampalı çıraq 220V, 12Vt)</t>
  </si>
  <si>
    <t>Akkumulyator fənər 12V, 10vt</t>
  </si>
  <si>
    <t>Elektrik açarları,  (Bir qütblü bir səmtli açar, gizli qurğu üçün 6A, 220V)</t>
  </si>
  <si>
    <t>Elektrik açarları + Rozetka qapaqlı, (Bir qütblü bir səmtli açar (mühafizəli) açıq qurğu üçün 220V , 6A , )</t>
  </si>
  <si>
    <t>Ştepsel rozetkası-yerlə birləşdirmə, (Ştepsel rozetkası-yerlə birləşdiricisi olan 220V, 10A)</t>
  </si>
  <si>
    <t>Elektrik QUTUSU,  (Açar və rozetkalar üçün qutu)</t>
  </si>
  <si>
    <t>Naqil üçün Qırçınlı PLASTİK yanmaz Boru (   d= 25mm) t-50m (PVC boru D25 )</t>
  </si>
  <si>
    <t>3.12</t>
  </si>
  <si>
    <t>3.12  Nəzarətçi otağı.Videomüşahidə və Rabitə şəbəkəsi (Videomüşahidə)</t>
  </si>
  <si>
    <t>Videomüşahidə sistemi üçün daxili ip 2MP kamera  (Gece/gündüz rəngli videokamera)</t>
  </si>
  <si>
    <t>HDMİ kabel,4K ultra HD 60Hz tezlikli,Ölçüsü:15,2 m (HDMİ kabel 15 metrlik)</t>
  </si>
  <si>
    <t>Naqil üçün Qırçınlı PLASTİK Yanmaz Boru (   d= 20mm) t-50m</t>
  </si>
  <si>
    <t>Videonəzarət kamerası üçün kronşteyn</t>
  </si>
  <si>
    <t>Divar üzərində «PEREXOD» kronşteyni (quraşdırma)</t>
  </si>
  <si>
    <t>Şəbəkə kabeli 4x2x24 CAT6</t>
  </si>
  <si>
    <t>3.13</t>
  </si>
  <si>
    <t>3.13  Nəzarətçi otağı.Videomüşahidə və Rabitə şəbəkəsi (Videomüşahidə sistemi)</t>
  </si>
  <si>
    <t>Telefon aparatı</t>
  </si>
  <si>
    <t>SB sistemli yaxud ATS telefon aparatı: stolüstü</t>
  </si>
  <si>
    <t>Polivinilxlorid izolyasiyalı diametri 0,5mm olan birməftilli mis damarlı qoşa paylayıcı telefon naqilləri (Telefon naqili 1x2)</t>
  </si>
  <si>
    <t>Telefon, LAN, koaksial kabel 10x2x0,5</t>
  </si>
  <si>
    <t>Paylayıcı telefon qutusu, tutumu 10x2</t>
  </si>
  <si>
    <t>Divarda şaxəli qutular</t>
  </si>
  <si>
    <t>4.1</t>
  </si>
  <si>
    <t>4.1  Qüllə (Torpaq işləri)</t>
  </si>
  <si>
    <t>Çalovunun tutumu 0,5 (0,5-0,63) m3 olan «əks çalovlu» və ya «draqlayn» tipli ekskavatorlarla qruntun kənara atılaraq qazılması, qruntun qrupu: 2</t>
  </si>
  <si>
    <t>4.2</t>
  </si>
  <si>
    <t>4.2  Qüllə (Bünövrə)</t>
  </si>
  <si>
    <t>Beton hazırlıq qatının düzəldilməsi. (b7.5)</t>
  </si>
  <si>
    <t>Dəmir-beton bünövrə tavalarının qurulması: yastı (b25)</t>
  </si>
  <si>
    <t>A-1 sinifli armatur (Düyünlərlə birlikdə)</t>
  </si>
  <si>
    <t>A-3 sinifli armatur (Düyünlərlə birlikdə)</t>
  </si>
  <si>
    <t>Beton və daş səthlərin sement-əhəng və ya sement məhlulu ilə suvanması: divarların, sadə (Torpaqla təmasda olan daş hissənin )</t>
  </si>
  <si>
    <t>4.3</t>
  </si>
  <si>
    <t>4.3  Qüllə (D/b kostruksiyalar)</t>
  </si>
  <si>
    <t>Taxta qəlibdə dəmir-beton sütunların qurulması, hündürlüyü: 4 m-ə qədər, perimetri 2 m-ə qədər (b25)</t>
  </si>
  <si>
    <t>Örtüklər üçün tirlərin, dayaq meydançasından 6 m-ə qədər hündürlükdə olan kranaltı və bağlayıcı tirlərin qurulması, tirlərin hündürlüyü: 500 mm-ə qədər (b25)</t>
  </si>
  <si>
    <t>Örtüklər üçün tirlərin, dayaq meydançasından 6 m-ə qədər hündürlükdə olan kranaltı və bağlayıcı tirlərin qurulması, tirlərin hündürlüyü: 500 mm-ə qədər (b25, T-1 , T-1a tirlər)</t>
  </si>
  <si>
    <t>Tirsiz örtüklərin qurulması, qalınlığı: 200 mm-ə qədər, dayaq meydançasından 6 m-ə qədər hündürlükdə (b25)</t>
  </si>
  <si>
    <t>Qabırğalı örtüklərin qurulması, dayaq meydançasından hündürlüyü: 6 m-ə qədər (b25)</t>
  </si>
  <si>
    <t>Kəmərlərin qurulması: qəlibdə (b25)</t>
  </si>
  <si>
    <t>Atmaların qurulması (b25)</t>
  </si>
  <si>
    <t>Dəmir-beton dayaqlar üzərində, 25 m-ə qədər hündürlükdə olan telferlər üçün, əyrixətli asma yolların və monorelslərin quraşdırılması, tirlərin nömrəsi: 24 M (15.2 səv-də)</t>
  </si>
  <si>
    <t>«M» tipli ikitavrlı prokatdan asma kranlar üçün yollar, hissələri düzxətlidir</t>
  </si>
  <si>
    <t>Kəmərlərin qurulması: qəlibdə (b25, 14.55səv-də,parapetdə K1 )</t>
  </si>
  <si>
    <t>390x190x188 mm ölçülərində mişarlanmış əhəng daşından yaşayış və ictimai binaların xarici divarlarının hörgüsü: 19 sm qalınlığında</t>
  </si>
  <si>
    <t>Kəmərlərin qurulması: qəlibdə (b25, 16.2səv-də)</t>
  </si>
  <si>
    <t>4.4</t>
  </si>
  <si>
    <t>4.4  Qüllə (Divar və arakəsmələr)</t>
  </si>
  <si>
    <t>Daxili kərpic divar hörgüsü: mərtəbənin hündürlüyü 4 m-ə qədər olduqda</t>
  </si>
  <si>
    <t>Yaşayış və ictimai binalarda PVX profildən pəncərə bloklarının qoyulması: dönən (açılan, dönən-açılan), boşluğun sahəsi 2 m²-dən artıq, üç laylı, o cümlədən açılmıyan şüşə layları (Metal plastik vitrajların quraşdırılması ilə birlikdə)</t>
  </si>
  <si>
    <t>Mozaik örtüklərin düzəldilməsi:  (əlavə 30mm)</t>
  </si>
  <si>
    <t>Birləşdirici qatın düzəldilməsi: sement, qalınlığı 20 mm (TİP2-118.76m²)</t>
  </si>
  <si>
    <t>Sement məhlulunda tavalardan örtüklərin düzəldilməsi: keramik,döşəmələr üçün bir rəngli boya ilə</t>
  </si>
  <si>
    <t>Mozaik örtüklərin düzəldilməsi: terraso, qalınlığı 20 mm, şəkilsiz (Tip3-9.0m²)</t>
  </si>
  <si>
    <t>4.8</t>
  </si>
  <si>
    <t>4.8  Qüllə (Bəzək işləri)</t>
  </si>
  <si>
    <t>Divarların üzlənməsi</t>
  </si>
  <si>
    <t>Rənglənən və astarlanan döşəmələrin lakla örtülməsi: 2 dəfə</t>
  </si>
  <si>
    <t>Hündürlüyü 16 m-ə qədər olan xarici inventar taxtabəndlərin qurulması və sökülməsi: üzləmə hörgüsü üçün, borulu</t>
  </si>
  <si>
    <t>Quraşdırma: İstilik izolyasiya örtüklü panel və qapılar, pilləkənlər, meydançalar, məhəccərlər</t>
  </si>
  <si>
    <t>4.10</t>
  </si>
  <si>
    <t>4.10  Qüllə.Su kəməri və kanalizasiya (K3 itehsalat kanalizasiyası)</t>
  </si>
  <si>
    <t>4.11</t>
  </si>
  <si>
    <t>4.11  Qüllə (Elektrik işqılanması)</t>
  </si>
  <si>
    <t>Daxili elektrik təchizatı üçün paylayıcı lövhə (Metal şkaf ölçüsü (600x400x250)mm İL)</t>
  </si>
  <si>
    <t>Led panel 60x60 70watt daxil üçün Led (LED lampalı çıraq 220V, 20Vt, )</t>
  </si>
  <si>
    <t>İkiqütblü rubilnik 25A (Kəsən açar 380V, 25A)</t>
  </si>
  <si>
    <t>Elektrik açarları + Rozetka qapaqlı, (Bir qütblü bir səmtli mühafizəli açar 220V, 6A )</t>
  </si>
  <si>
    <t>Paylayıcı qutu</t>
  </si>
  <si>
    <t>Naqil üçün Qırçınlı PLASTİK yanmaz Boru (   d= 25mm) t-50m (PVC-25 HF)</t>
  </si>
  <si>
    <t>0,6/1,0 kV-luq güc kabeli  4x2,5</t>
  </si>
  <si>
    <t>Nəzarət kabeli 4x2,5 (elastik kabel en kəsiyi 4x2.5mm²)</t>
  </si>
  <si>
    <t>4.12</t>
  </si>
  <si>
    <t>4.12  Qüllə (Yanğın siqnalizasiyası)</t>
  </si>
  <si>
    <t>İdarəetmə pultu</t>
  </si>
  <si>
    <t>Avtomatik OS bildiriciləri: şüşədə quraşdırılan zərbə- kontaktlı, kontaktsız elektromaqnit və ya pyezoelektrik</t>
  </si>
  <si>
    <t>Yanğın siqnalizasiya sistemi üçün, akkumlyator  (Akkumulyator batareyası)</t>
  </si>
  <si>
    <t>Yanğın siqnalizasiya sistemi üçün,baza  (Baza)</t>
  </si>
  <si>
    <t>Naqil PV1 en kəsiyi 2,5mm² (Naqil PV1 3x2,5mm² )</t>
  </si>
  <si>
    <t>Naqil üçün Qırçınlı PLASTİK yanmaz Boru (   d= 25mm) t-50m (Boru PVX D25mm)</t>
  </si>
  <si>
    <t>4.13</t>
  </si>
  <si>
    <t>4.13  Qüllə (Texnoloji avadanlıqlar)</t>
  </si>
  <si>
    <t>Bucurqad (lebyotka) Q=0,25t 20m</t>
  </si>
  <si>
    <t>5.1</t>
  </si>
  <si>
    <t>5.1  (0,4 kv-luq şəbəkə)</t>
  </si>
  <si>
    <t>Yüksək elastikliyə, geniş diapazonlu təzyiqə malik,  standartlara cavab verən polietilen su və qaz borusu: diametri 110 mm, divarının qalınlığı 2,7 mm, PN 4   (PVC boru D100mm)</t>
  </si>
  <si>
    <t>Bir kabelin qorunması üçün büzmələnmiş PVX borularının torpağın altından çəkilməsi, diametri: 110 mm</t>
  </si>
  <si>
    <t>Yüksək elastikliyə, geniş diapazonlu təzyiqə malik,  standartlara cavab verən polietilen su və qaz borusu: diametri 50 mm, divarının qalınlığı 3 mm, PN 10   (PVC boru D50mm)</t>
  </si>
  <si>
    <t>Bir kabelin qorunması üçün büzmələnmiş PVX borularının torpağın altından çəkilməsi, diametri: 50 mm</t>
  </si>
  <si>
    <t>0,6/1,0 kV-luq güc kabeli  3х95+1х50</t>
  </si>
  <si>
    <t>0,6/1,0 kV-luq güc kabeli  4х16</t>
  </si>
  <si>
    <t>0,6/1,0 kV-luq güc kabeli  4x4</t>
  </si>
  <si>
    <t>0,6/1,0 kV-luq güc kabeli  4x6</t>
  </si>
  <si>
    <t>0,6/1,0 kV-luq güc kabeli  3x4</t>
  </si>
  <si>
    <t>Çəkilmiş boru, blok və qutularda 35 kV-a qədər kabel, 1 m kabelin kütləsi, kq, qədər:1</t>
  </si>
  <si>
    <t>Xəndəkdə bir kabel olduğu zaman altlıqların qurulması</t>
  </si>
  <si>
    <t>Hazır xəndəklərdə 35kV-a qədər örtüksüz kabel 1 m-in kütləsi, kq, qədər: 1</t>
  </si>
  <si>
    <t>Kabel ucluğu 50mm (Kabel ucluğu)</t>
  </si>
  <si>
    <t>Kabel ucluğu 95mm (Kabel ucluğu)</t>
  </si>
  <si>
    <t>Plastmas və rezin izolyasiyalı 1 kV-a qədər gərginlikli 3-5 damarlı kabel üçün sonluqların quru bağlanılması, bir damarın en kəsiyi, mm² , qədər:120</t>
  </si>
  <si>
    <t>Eni 2 m-ə qədər, dərinliyi 2 m-ə qədər olan xəndəklərdə qruntun bərkitmələr tətbiq etməklə əl ilə qazılması, qruntun qrupu: 2</t>
  </si>
  <si>
    <t>Qruntun 10 m-ə qədər məsafəyə daşınmaqla buldozerlərlə qazılması, buldozerin gücü: 59 (80) kVt (a.g.), 2-ci qrup qrunt</t>
  </si>
  <si>
    <t>İkiqütblü rubilnik 25A (Kəsən açar 380V, 20A)</t>
  </si>
  <si>
    <t>6.1</t>
  </si>
  <si>
    <t>6.1  (Dizel generatoru)</t>
  </si>
  <si>
    <t>40 kVt Dizel generatorları (Generator tipi 50kVA, 40kVt 380V, 50H (P=1180kq) avtomatik idarəetmə paneli ilə komplekt )</t>
  </si>
  <si>
    <t>Açıq meydançada maşınların və mexanizmlərin quraşdırılması, maşınların və mexanizmlərin kütləsi: 1,5 t</t>
  </si>
  <si>
    <t>Polad borular, 102/5mm</t>
  </si>
  <si>
    <t>Dəmir-beton bünövrə tavalarının qurulması: yastı</t>
  </si>
  <si>
    <t>7.1</t>
  </si>
  <si>
    <t>7.1  (Sahədaxili yanğın siqnalizasiya xətti)</t>
  </si>
  <si>
    <t>Trassanın hərəkətli hissəsində yığılmış eyni tipli yığma dəmir-beton quyuların qurulması: (Telekomunikasiya quyu )</t>
  </si>
  <si>
    <t>Dəmir-beton kabel kanalizasiya quyusu yığılma (keçid-3ədəd, döngəli 1 ədəd)</t>
  </si>
  <si>
    <t>Telefon kanalizasiyasında kabel quyuları üçün yüngül tipli lyuk</t>
  </si>
  <si>
    <t>Telefon, LAN, koaksial kabel  Cat 6-PVC 4x2x0,57</t>
  </si>
  <si>
    <t>Yüksək elastikliyə, geniş diapazonlu təzyiqə malik,  standartlara cavab verən polietilen su və qaz borusu: diametri 63 mm, divarının qalınlığı 4,7 mm, PN 12,5   (Polietilen boru D63mm)</t>
  </si>
  <si>
    <t>Bir kabelin qorunması üçün büzmələnmiş PVX borularının torpağın altından çəkilməsi, diametri: 63 mm</t>
  </si>
  <si>
    <t>Çalovunun tutumu 0,5 (0,5-0,63) m3 olan ekskavatorlarla qruntun özüboşaldan avtomobillərə yüklənməklə qazılması, qruntun qrupu: 2</t>
  </si>
  <si>
    <t>8.1</t>
  </si>
  <si>
    <t>8.1  (Sahədaxili videomüşahidə)</t>
  </si>
  <si>
    <t>Server şkafolçüləri 1000x800 mm,çəkisi 75 kq</t>
  </si>
  <si>
    <t>Videomüşahidə sistemi üçün xarici İP 2MP kamera</t>
  </si>
  <si>
    <t>Rəqəmsal media konvertor, 16-V2</t>
  </si>
  <si>
    <t>Optik kabel 6x8FO 12kN</t>
  </si>
  <si>
    <t>Telefon, LAN, koaksial kabel  Cat 6-PVC 4x2x0,57 (Kabel HD-SDI)</t>
  </si>
  <si>
    <t>Adaptor desktop, 12V5A,60W,4P DVR</t>
  </si>
  <si>
    <t>Fiber optik sonlanma paneli panel 24 port (Optik panel 8 port)</t>
  </si>
  <si>
    <t>Qida bloku +3fazlı (63x125,2x113,5)mm,  (Elektrik qida bloku )</t>
  </si>
  <si>
    <t>Gücləndirici qurğulu dispetçer yaxud direktor rabitə kommutatorları, nömrə tutumu 5</t>
  </si>
  <si>
    <t>Videomüşahidə sistemi üçün videoqeydiyyat cihazı (Qeydiyyat qurğusu)</t>
  </si>
  <si>
    <t>POE Switch 16-Port (Yaddaş qurğusu 18 Switch)</t>
  </si>
  <si>
    <t>Videomüşahidə sistemi üçün videoqeydiyyat cihazı (Videoreqistrator (Videoserver))</t>
  </si>
  <si>
    <t>Monitor</t>
  </si>
  <si>
    <t>Videomaqnitafon (monitorun quraşdırılması )</t>
  </si>
  <si>
    <t>Faxverkin quraşdırılması (Metal dayaq (D127x4mm) h=7m)</t>
  </si>
  <si>
    <t>Bünövrə-dirəklərin qurulması: beton (Dayaq özülü üçün beton B15)</t>
  </si>
  <si>
    <t>9.1</t>
  </si>
  <si>
    <t>9.1  İstilik məntəqəsi (Torpaq işləri)</t>
  </si>
  <si>
    <t>Çalovunun tutumu 0,5 (0,5-0,63) m3 olan ekskavatorlarla qruntun özüboşaldan avtomobillərə yüklənməklə qazılması, qruntun qrupu: 2 (artıq torpaq)</t>
  </si>
  <si>
    <t>9.2</t>
  </si>
  <si>
    <t>9.2  İstilik məntəqəsi (Bünövrə)</t>
  </si>
  <si>
    <t>Dəmir-beton bünövrə tavalarının qurulması: yastı (b20)</t>
  </si>
  <si>
    <t>Beton və daş səthlərin sement-əhəng və ya sement məhlulu ilə suvanması: divarların, sadə (Torpaqla təmasda olan daş hissənin)</t>
  </si>
  <si>
    <t>Divar və bünövrələrin hidroizolyasiyası: yandan, kərpic, beton və but hörgüsünün düzləndirilmiş səthi üzrə yapışdırıcılı 2 qat</t>
  </si>
  <si>
    <t>Bünövrə altı əsasların qurulması:qırmadaşlı (monalit döşəmə)</t>
  </si>
  <si>
    <t>Betondan yastı bünövrə tavalarının qurulması (b20, Beton döşəmə)</t>
  </si>
  <si>
    <t>Ümumi təyinatlı dəmir-beton bünövrələrin qurulması, həcmi: 5 m3-a qədər (b12.5)</t>
  </si>
  <si>
    <t>9.3</t>
  </si>
  <si>
    <t>9.3  İstilik məntəqəsi (D/b konstruksiyalar)</t>
  </si>
  <si>
    <t>9.4</t>
  </si>
  <si>
    <t>9.4  İstilik məntəqəsi (Divar və arakəsmələr)</t>
  </si>
  <si>
    <t>Yaşayış və ictimai binalarda PVX profildən pəncərə bloklarının qoyulması: açılmıyan, boşluğun sahəsi 2 m²-ə qədər</t>
  </si>
  <si>
    <t>9.7</t>
  </si>
  <si>
    <t>9.7  İstilik məntəqəsi (Döşəmələr)</t>
  </si>
  <si>
    <t>Birləşdirici qatın düzəldilməsi: (əlavə 10mm)</t>
  </si>
  <si>
    <t>Birləşdirici qatın düzəldilməsi: sement, qalınlığı 20 mm (Artırma-3.9m²)</t>
  </si>
  <si>
    <t>Sement məhlulunda tavalardan örtüklərin düzəldilməsi: keramik,döşəmələr üçün bir rəngli boya ilə (sürüşməyən)</t>
  </si>
  <si>
    <t>9.8</t>
  </si>
  <si>
    <t>9.8  İstilik məntəqəsi (Bəzək işləri)</t>
  </si>
  <si>
    <t>9.9</t>
  </si>
  <si>
    <t>9.9  İstilik məntəqəsi.Daxili su kəməri və kanalizasiya (S1-soyuq su şəbəkəsi)</t>
  </si>
  <si>
    <t>Polad borulardan olan boru kəmərlərinə ventillərin, siyirtmələrin, sürgülərin, əks klapanların, keçid kranlarının qoyulması, boruların diametri: 50 mm-ə qədər (D50mm siyirtmənin quraşdırılması)</t>
  </si>
  <si>
    <t>Paraşoklu yanğın söndürən aparat 6kq (Paraşoklu yanğın söndürən (səyyar tipli) V=50L)</t>
  </si>
  <si>
    <t>9.10</t>
  </si>
  <si>
    <t>9.10  İstilik məntəqəsi.Daxili su kəməri və kanalizasiya (İS3-İsti su şəbəkəsi)</t>
  </si>
  <si>
    <t>Elektrik qaynaqlı polad borulardan istilik və su təchizatı boru kəmərlərinin çəkilməsi, diametri: 40 mm-ə qədər (D38x2.5mm)</t>
  </si>
  <si>
    <t>Diametri 15 mm olan 1,6 MPa (16 kqq/sm²) təzyiqli su üçün ı, muftalı keçid ventilləri</t>
  </si>
  <si>
    <t>9.11</t>
  </si>
  <si>
    <t>9.11  İstilik məntəqəsi.Daxili su kəməri və kanalizasiya (K3-istehsalat kanalizasiyası)</t>
  </si>
  <si>
    <t>Santexnika (yoxlama) lyuklarının qoyulması: özü kəsən şuruplarla bərkidilməsi (Yoxlayıcı D110mm )</t>
  </si>
  <si>
    <t>Əlüzyuyanların quraşdırılması: isti və soyuq su çəkilməklə (Əlüzyuyan qarışdırıcı və sifonla)</t>
  </si>
  <si>
    <t>Keramik çanaq,   (sifonlu, su qarışdırıcılı)</t>
  </si>
  <si>
    <t>9.12</t>
  </si>
  <si>
    <t>9.12  İstilik məntəqəsi (Avadanlıq və boru kəməri)</t>
  </si>
  <si>
    <t>Birseksiyalı sürətli su qızdırıcılarının qoyulması, bir seksiyanın qızdırma səthi: 4 m²-ə qədər (Divar tipli qaz işləyən Yoğuşmalı qazanın (86000kkal/saat))</t>
  </si>
  <si>
    <t>Divar tipli yoğuşmalı su qızdırıcı qazan  86000kkal/saat (Q=107kvt (92020kkal/s))</t>
  </si>
  <si>
    <t>Elektrik mühərrikli mərkəzdənqaçma nasoslarının qoyulması, aqreqatın kütləsi: 0,1 tona qədər (İsti su təchizatının şəbəkə nasosları N=3.0kvt 1işlək 1ehtiyat)</t>
  </si>
  <si>
    <t>Dövriyyə nasosu 65/160</t>
  </si>
  <si>
    <t>Elektrik mühərrikli mərkəzdənqaçma nasoslarının qoyulması, aqreqatın kütləsi: 0,1 tona qədər (İsti su nasosu N=0.75kvt və N=0.25kvt)</t>
  </si>
  <si>
    <t>Sirkuliyasiya nasosu  H:20M Q:6m3/s kvt : 0,75</t>
  </si>
  <si>
    <t>Tutumlu su qızdırıcılarının qoyulması, tutumu: 1 m3-ə qədər (Həcimli su qızdırıcının quraşdırılması)</t>
  </si>
  <si>
    <t>Sürətli su qızdırıcı Boyler V=500l m=181kq "</t>
  </si>
  <si>
    <t>İonitlərin xarici regenerasiyası ilə qarışdırıcı süzgəc, süzücü yükləmə hündürlüyü 1 m, diametri, mm: 2000 (Su yumşaldıcının quraşdırılması)</t>
  </si>
  <si>
    <t>Axın sürətinin bərpası ilə avtomatik su sərtliyinin aradan qaldırılması üçün Su yumşaltma cihazı,Məhsuldarlıq: 1,5 m3/saata qədər,</t>
  </si>
  <si>
    <t>İonitlərin xarici regenerasiyası ilə qarışdırıcı süzgəc, süzücü yükləmə hündürlüyü 1 m, diametri, mm: 2000 (Mexaniki filtirin quraşdırılması)</t>
  </si>
  <si>
    <t>Suyumşaldıcı qurğu Q=1m3/saat (Mexaniki təmizləmə süzgəci)</t>
  </si>
  <si>
    <t>Düzbucaqlı və dairəvi genişlənmə baklarının qoyulması, tutumu: 0,3 m³-ə qədər</t>
  </si>
  <si>
    <t>Genişlənmə çənləri, dairəvi, tutumu 0,3 m3-ə qədər</t>
  </si>
  <si>
    <t>Süzgəclərin qoyulması, diametri: 100 mm (Pislik tutucu)</t>
  </si>
  <si>
    <t>Çirk və hava ayırıcı 10 bar, 100</t>
  </si>
  <si>
    <t>Şamandra (suyun səviyyəsinə nəzarət) (Dəngə qabı)</t>
  </si>
  <si>
    <t>Havaaparıcıların qoyulması (Avtomatik hava xaric edici kran)</t>
  </si>
  <si>
    <t>Diametri 25 mm olan 1,6 MPa (16 kqq/sm²) təzyiqli su üçün ı, muftalı keçid ventilləri</t>
  </si>
  <si>
    <t>Diametri 32 mm olan 1,6 MPa (16 kqq/sm²) təzyiqli su üçün ı, muftalı keçid ventilləri</t>
  </si>
  <si>
    <t>Diametri 40 mm olan 1,6 MPa (16 kqq/sm²) təzyiqli su üçün ı, muftalı keçid ventilləri</t>
  </si>
  <si>
    <t>Ventil 60mm (D70mm)</t>
  </si>
  <si>
    <t>Polad borulardan olan boru kəmərlərinə ventillərin, siyirtmələrin, sürgülərin, əks klapanların, keçid kranlarının qoyulması, boruların diametri: 100 mm-ə qədər (siyirtmənin quraşdırılması)</t>
  </si>
  <si>
    <t>Siyirtmələr, 100mm</t>
  </si>
  <si>
    <t>Polad borulardan olan boru kəmərlərinə ventillərin, siyirtmələrin, sürgülərin, əks klapanların, keçid kranlarının qoyulması, boruların diametri: 50 mm-ə qədər (Əks klapanların quraşdırılması)</t>
  </si>
  <si>
    <t>Əks klapan, bağlantı-flanşlı, temp-100°C, təzyiq-16bar, DN 25</t>
  </si>
  <si>
    <t>Əks klapan, bağlantı-flanşlı, temp-100°C, təzyiq-16bar, DN 32</t>
  </si>
  <si>
    <t>Əks klapan, bağlantı-flanşlı, temp-100°C, təzyiq-16bar, DN 40</t>
  </si>
  <si>
    <t>Süzgəclərin qoyulması, diametri: 32 mm</t>
  </si>
  <si>
    <t>Süzgəclərin qoyulması, diametri: 40 mm</t>
  </si>
  <si>
    <t>Süzgəclərin qoyulması, diametri: 100 mm</t>
  </si>
  <si>
    <t>Yivli, kürəvi kranlar (Kilidli kran D40mm)</t>
  </si>
  <si>
    <t>Qoruyucu klapanların quraşdırılması: 50 mm-ə qədər</t>
  </si>
  <si>
    <t>Qoruyucu klapan D=40mm 16bar (D20mm)</t>
  </si>
  <si>
    <t>Manometrlərin qoyulması: üç gedişli kranlı və boru-sifonlu</t>
  </si>
  <si>
    <t>Manometr gliserin dolğulu (0-16 Bar 63 mm)</t>
  </si>
  <si>
    <t>П şəkilli kompensatorların qoyulması, boruların diametri: 50 mm (kompensatorların quraşdırılması)</t>
  </si>
  <si>
    <t>Kompensator (borular üçün silfon tipli D=32mm</t>
  </si>
  <si>
    <t>Kompensator (borular üçün silfon tipli) D=40mm</t>
  </si>
  <si>
    <t>9.13</t>
  </si>
  <si>
    <t>9.13  (Borular)</t>
  </si>
  <si>
    <t>Sinklənməmiş polad su-qaz borularından istilik boru kəmərlərinin çəkilməsi, diametri: 15 mm</t>
  </si>
  <si>
    <t>Polad boru d15x2,8mm</t>
  </si>
  <si>
    <t>Sinklənməmiş polad su-qaz borularından istilik boru kəmərlərinin çəkilməsi, diametri: 20 mm</t>
  </si>
  <si>
    <t>Borular, 20/2,5mm</t>
  </si>
  <si>
    <t>Sinklənməmiş polad su-qaz borularından istilik boru kəmərlərinin çəkilməsi, diametri: 25 mm</t>
  </si>
  <si>
    <t>Polad borular, 25mm</t>
  </si>
  <si>
    <t>Sinklənməmiş polad su-qaz borularından istilik boru kəmərlərinin çəkilməsi, diametri: 32 mm</t>
  </si>
  <si>
    <t>Su-qaz boru kəmərləri, 32/3,2mm</t>
  </si>
  <si>
    <t>Sinklənməmiş polad su-qaz borularından istilik boru kəmərlərinin çəkilməsi, diametri: 40 mm</t>
  </si>
  <si>
    <t>Su-qaz boru kəmərləri, 40/3,5mm</t>
  </si>
  <si>
    <t>Sinklənməmiş polad su-qaz borularından istilik boru kəmərlərinin çəkilməsi, diametri: 50 mm</t>
  </si>
  <si>
    <t>Su-qaz boru kəmərləri, 50/3,5mm</t>
  </si>
  <si>
    <t>Elektrik qaynaqlı polad borulardan istilik və su təchizatı boru kəmərlərinin çəkilməsi, diametri: 80 mm (və D76x2.8mm)</t>
  </si>
  <si>
    <t>Polad boru diametri 76mm.  B 20</t>
  </si>
  <si>
    <t>Elektrik qaynaqlı polad borulardan istilik və su təchizatı boru kəmərlərinin çəkilməsi, diametri: 100 mm</t>
  </si>
  <si>
    <t>Polad boru diametri 108mm.  B 20</t>
  </si>
  <si>
    <t>Polad borulardan buxar su paylayıcı daraqların qoyulması, korpusunun xarici diametri: 108 mm (-ə qədər)</t>
  </si>
  <si>
    <t>Kollektor Ø 57х3 L=0,7 m</t>
  </si>
  <si>
    <t>Kollektor metal boru 76mmx3,5mm-L2,2metr (D89x2.8 L=1.0m)</t>
  </si>
  <si>
    <t>Keçid 45x2,5-32x2mm</t>
  </si>
  <si>
    <t>Metal Keçid Ø 65 → Ø 100</t>
  </si>
  <si>
    <t>Metal dirsək 90° 108x5 mm</t>
  </si>
  <si>
    <t>Metal dirsək 90° d76x4 mm</t>
  </si>
  <si>
    <t>Tikişsiz polad borulardan istilik və qaz təchizatı boru kəmərlərinin çəkilməsi, diametri: 150 mm (Qaz yollarının boruları)</t>
  </si>
  <si>
    <t>Xarici diametri 159mm, divarının qalınlığı 6,0 mm olan, qaynar deformasiya olunmuş, faskası çıxarılmış, tikişsiz,  polad borular</t>
  </si>
  <si>
    <t>Polad jalüz qəfəslərin qoyulması: tənzimləyici 200x400 mm ölçülü</t>
  </si>
  <si>
    <t>Metal səthlərin yağlı boya ilə rənglənməsi: polad tirlərin, diametri 50 mm və ondan artıq boruların, rənglənmənin sayı 2 dəfə</t>
  </si>
  <si>
    <t>Metal səthlərin bir dəfə astarlanması</t>
  </si>
  <si>
    <t>9.14</t>
  </si>
  <si>
    <t>9.14  İstilik məntəqəsi (Elektrik işıqlanması)</t>
  </si>
  <si>
    <t>Çıraqlar (Közərmə lampalı çıraq 220V, 100Vt)</t>
  </si>
  <si>
    <t>LED  1200 MM (LED lampalı çıraq 220V, 10 Vt lampa ilə dəst )</t>
  </si>
  <si>
    <t>Közərmə lampası 100Vt</t>
  </si>
  <si>
    <t>LED lampası 54Vt, 220V</t>
  </si>
  <si>
    <t>Közərmə lampalı işiqlandırıcı (12metr ) (Səyyar LED lampalı çıraq 54Vt)</t>
  </si>
  <si>
    <t>Elektrik açarları + Rozetka qapaqlı (Bir qütblü bir səmtli açar, gizli qurğu üçün mühafizəli 220V, 6A )</t>
  </si>
  <si>
    <t>Elektrik açarları + Rozetka qapaqlı (Bir qütblü iki səmtli açar, gizli qurğu üçün mühafizəli 220V, 6A )</t>
  </si>
  <si>
    <t>Çıraq kronşteyni</t>
  </si>
  <si>
    <t>Naqil üçün Qırçınlı PLASTİK yanmaz Boru (   d= 25mm) t-50m (PVC boru D25mm)</t>
  </si>
  <si>
    <t>Daxili elektrik təchizatı üçün paylayıcı lövhə (Yanmaya və partlayışa davamlı şkaf ölçüsü (600x500x125)mm)</t>
  </si>
  <si>
    <t>3FAZ C TİPİ 16A AVTOMAT AÇAR, (3FAZ C TİPİ 10A AVTOMAT AÇAR)</t>
  </si>
  <si>
    <t>Paket çevirgəci 380V, 20A</t>
  </si>
  <si>
    <t>Maqnit işəsalıcı  6A (Maqnit işə salıcı rele ilə 380V)</t>
  </si>
  <si>
    <t>Maqnit işəsalıcı 9A (Maqnit işə salıcı rele ilə 380V)</t>
  </si>
  <si>
    <t>Düyməli post "Start-Stop"  (İdarəetmə düyməsi)</t>
  </si>
  <si>
    <t>Naqil üçün Qırçınlı PLASTİK yanmaz Boru (   d= 25mm) t-50m (PVC boru D25)</t>
  </si>
  <si>
    <t>1,0 kV-luq güc kabeli 4х2,5</t>
  </si>
  <si>
    <t>Dairəvi polad, 16mm (Polad dairə, diametri 16mm, L=3m, P=7,8kq)</t>
  </si>
  <si>
    <t>9.15</t>
  </si>
  <si>
    <t>9.15  İstilik məntəqəsi (Yanğın siqnalizasiyası)</t>
  </si>
  <si>
    <t>Yanğın paneli  (Pult  04 zona)</t>
  </si>
  <si>
    <t>PS cihazı: 4 şualı</t>
  </si>
  <si>
    <t>Yanğın siqnalizasiya sistemi üçün, işıq-səsxəbərvericisi (İşıq səs verən yanğın xəbərvericisi</t>
  </si>
  <si>
    <t>Avtomatik PS bildiriciləri: partlayışdan mühafizəli istilik, tüstü, işıq (Quraşdırılması)</t>
  </si>
  <si>
    <t>Avtomatik OS bildiriciləri: şüşədə quraşdırılan zərbə- kontaktlı, kontaktsız elektromaqnit və ya pyezoelektrik (Quraşdırılması)</t>
  </si>
  <si>
    <t>Yanğın siqnalizasiya sistemi üçün, akkumlyator  (Akkumulyator batareyası 12v7.8A)</t>
  </si>
  <si>
    <t>Yanğın siqnalizasiya sistemi üçün,baza</t>
  </si>
  <si>
    <t>Naqil PV1 en kəsiyi 2,5mm² (Naqil tutumu 3x2.5 PV)</t>
  </si>
  <si>
    <t>Yüksək elastikliyə, geniş diapazonlu təzyiqə malik,  standartlara cavab verən polietilen su və qaz borusu: diametri 50 mm, divarının qalınlığı 3 mm, , PN 10   (Viniplast boru D50mm)</t>
  </si>
  <si>
    <t>Naqil üçün Qırçınlı PLASTİK Yanmaz Boru (   d= 20mm) t-50m (PVX boru D20mm)</t>
  </si>
  <si>
    <t>9.16</t>
  </si>
  <si>
    <t>9.16  İstilik məntəqəsi (Qaz təchizatı)</t>
  </si>
  <si>
    <t>Polad borulardan olan boru kəmərlərinə ventillərin, siyirtmələrin, sürgülərin, əks klapanların, keçid kranlarının qoyulması, boruların diametri: 100 mm-ə qədər (Siyirtmənin quraşdırılması)</t>
  </si>
  <si>
    <t>Çuqun siyirtmələr 100mm</t>
  </si>
  <si>
    <t>Qoruyucu klapan D=40mm 16bar</t>
  </si>
  <si>
    <t>Polad borulardan olan boru kəmərlərinə ventillərin, siyirtmələrin, sürgülərin, əks klapanların, keçid kranlarının qoyulması, boruların diametri: 50 mm-ə qədər (qaz kranlarının quraşdırılması)</t>
  </si>
  <si>
    <t>Muftalı, latun dartıcı qaz kranları diametri 20 mm</t>
  </si>
  <si>
    <t>Muftalı, çuqun dartıcı qaz kranları diametri 32 mm (D40mm)</t>
  </si>
  <si>
    <t>Qaz kranı, diametri 15 mm, içi şarlı, əl dəstəkli (Kran D20mm)</t>
  </si>
  <si>
    <t>Mexaniki qarışıqlardan qazı təmizləmək üçün filtrlərin quraşdırılması diametri: 100 mm-ə qədər</t>
  </si>
  <si>
    <t>Qaz təzyiq tənzimləyicilərin quraşdırılması, diametri: 50 mm-ə qədər (Tənzimləyici və sabitləyici)</t>
  </si>
  <si>
    <t>Tənzimləyici sabitləşdirici</t>
  </si>
  <si>
    <t>Elektrik qaynaqlı polad borulardan istilik və su təchizatı boru kəmərlərinin çəkilməsi, diametri: 125 mm (D127x4mm gilz üçün)</t>
  </si>
  <si>
    <t>Polad boru diametri 133mm.  B 20</t>
  </si>
  <si>
    <t>Elektrik qaynaqlı polad borulardan istilik və su təchizatı boru kəmərlərinin çəkilməsi, diametri: 40 mm-ə qədər (D45x3.2mm gilz üçün)</t>
  </si>
  <si>
    <t>Polad boru.  B20 (D45x3.2mm)</t>
  </si>
  <si>
    <t>Elektrik qaynaqlı polad borulardan istilik və su təchizatı boru kəmərlərinin çəkilməsi, diametri: 50 mm (-ə qədər)</t>
  </si>
  <si>
    <t>Polad boru, diametri 25x2,5 (d38x2.8mm)</t>
  </si>
  <si>
    <t>Qaz-su xətləri üçün şərti keçid diametri 20 mm, divarının qalınlığı 2,5 mm olan yüngül, yivli, qaynaq edilmiş polad borular (sinklənməmiş)</t>
  </si>
  <si>
    <t>Boru kəmərləri üçün bərkidicilər: kronşteynlər, plankalar, xamtlar (kronşteyn və asma)</t>
  </si>
  <si>
    <t>Astarlanmış metal səthlərin rənglənməsi</t>
  </si>
  <si>
    <t>9.17</t>
  </si>
  <si>
    <t>9.17  İstilik məntəqəsi (Qazanxananın avtomatikası)</t>
  </si>
  <si>
    <t>NÖC üçün polad lövhələrin quraşdırılması ölçüsü: 700 x 600 mm (Nəzarət paneli quraşdırılması )</t>
  </si>
  <si>
    <t>Nəzarət paneli,</t>
  </si>
  <si>
    <t>Motor idarəetmə paneli 0,4 kV 50A (Nasosların uzaqdan idarə olunması-açıb qapatma)  (600x500x200 mm) (Nasosların idarə paneli)</t>
  </si>
  <si>
    <t>Lövhə və pultlar, kütləsi: 50 kq–a qədər (Nasosların idarə paneli)</t>
  </si>
  <si>
    <t>Nəzarət kabeli  4x2,5</t>
  </si>
  <si>
    <t>Qoruyucu örtükdə naqil və ya iki-beş damarlı kabel divarların və örtüklərin hazır kanallarında (Kabelin divarda quraşdırılması)</t>
  </si>
  <si>
    <t>Polad boru, diametri 25x2,5</t>
  </si>
  <si>
    <t>9.18</t>
  </si>
  <si>
    <t>9.18  İstilik məntəqəsi (Qazın avtomatikası)</t>
  </si>
  <si>
    <t>Qaz detektoru (Qaz detektoru )</t>
  </si>
  <si>
    <t>Üç girişli ventil, 220 V ,16 ATM,1 m-lik kabelli,yarım zqonlu,çöl diş yivli,ölçüləri 3/4" (servomotorlu) (Avtomatik ventil)</t>
  </si>
  <si>
    <t>300/500V  2x2,5 telefon, LAN, koaksial kabel (Siqnal kabeli)</t>
  </si>
  <si>
    <t>Qoruyucu örtükdə naqil və ya iki-beş damarlı kabel divarların və örtüklərin hazır kanallarında</t>
  </si>
  <si>
    <t>Rele modulu</t>
  </si>
  <si>
    <t>Pult və panellərdə əlavə quraşdırılma :rele (Rele)</t>
  </si>
  <si>
    <t>Metal konstruksiyalar</t>
  </si>
  <si>
    <t>9.19</t>
  </si>
  <si>
    <t>9.19  İstilik şəbəkəsi (İstilik şəbəkəsinin boruları)</t>
  </si>
  <si>
    <t>Boru kəmərlərinin şərti təzyiq 1,6 MPa, temperatur 150° C olduqda keçilməz kanallarda çəkilməsi, boruların diametri: 50 mm (-ə qədər (drenaj üçün))</t>
  </si>
  <si>
    <t>km</t>
  </si>
  <si>
    <t>Penopoliuretan (PPU) izolyasiyalı boru kəmərlərinin birləşmə yerlərini penopoliuretanla izolyasiya etməklə, şərti təzyiq 1,6 MPa, temperatur 150 ° C olduqda kanalsız çəkilməsi, boruların diametri: 50 mm</t>
  </si>
  <si>
    <t>Geotermal polad boru, polietilen boru örtüklü (90 mm), poliuretan izolyasiyalı, daxili diametri 25 mm (İzolyasiyalı Boru 25/75)</t>
  </si>
  <si>
    <t>Penopoliuretan (PPU) izolyasiyalı boru kəmərlərinin birləşmə yerlərini penopoliuretanla izolyasiya etməklə, şərti təzyiq 1,6 MPa, temperatur 150 ° C olduqda kanalsız çəkilməsi, boruların diametri: 80 mm</t>
  </si>
  <si>
    <t>Geotermal polad boru, polietilen boru örtüklü (140 mm), poliuretan izolyasiyalı, daxili diametri 65 mm (İzolyasiyalı Boru 76/140)</t>
  </si>
  <si>
    <t>Geotermal polad boru, polietilen boru örtüklü (90 mm), poliuretan izolyasiyalı, daxili diametri 25 mm (Birləşmə parçaları L=0.5m 7əd)</t>
  </si>
  <si>
    <t>Geotermal polad boru, polietilen boru örtüklü (140 mm), poliuretan izolyasiyalı, daxili diametri 65 mm (D70mm Birləşmə parçaları L=0.5m 7əd)</t>
  </si>
  <si>
    <t>İsti su və buxar üçün siyirtmələrin və polad klapanların qoyulması, boruların diametri: 50 mm (polad bağlayıcıların quraşdırılması)</t>
  </si>
  <si>
    <t>Ventil, 25mm</t>
  </si>
  <si>
    <t>Flansların polad boru kəmərlərinə qaynaq edilməsi, diametri: 50 mm (-ə qədər)</t>
  </si>
  <si>
    <t>Poladdan, boru kəmərləri üçün, birləşmə çıxışlı flanslar, şərti təzyiqi Pş 1,0 Mpa (10 kqq/sm²), şərti keçid diametri 40 mm ( D25mm)</t>
  </si>
  <si>
    <t>Boru kəmərlərin altında əsasın düzəldilməsi: qumdan</t>
  </si>
  <si>
    <t>Çalovun tutumu 0,65(0,5-1) m3 olan “əks çalov”lu ekskavatorlarla qruntun xəndəklərdən kənara atılaraq qazılması, qruntun qrupu:2 (çənin üstünün torpaqla örtülür)</t>
  </si>
  <si>
    <t>Divar və bünövrələrin hidroizolyasiyası: üfüqi, 2 qat yapışdırıcılı</t>
  </si>
  <si>
    <t>Divarların və yastı diblərin quraşdırılması, qalınlığı: 150 mm-dən artıq düzbucaqlı qurğuları (b25)</t>
  </si>
  <si>
    <t>Birləşdirici qatın düzəldilməsi: sement, qalınlığı 20 mm (maillik üzrə)</t>
  </si>
  <si>
    <t>Sement örtüklərin möhkəmləndirilməsi</t>
  </si>
  <si>
    <t>Örtü və örtüklərin, penoplastdan olan məmulatlarla tam quru izolyasiya edilməsi (Qoruyucu qat-qal.20mm)</t>
  </si>
  <si>
    <t>Lyukun qurulması</t>
  </si>
  <si>
    <t>Sement-qum düzləndirici qatın hazırlanması: (5mm əlavə)</t>
  </si>
  <si>
    <t>Sement-qum düzləndirici qatın hazırlanması: (15mm əlavə)</t>
  </si>
  <si>
    <t>Tutumun suburaxma davamlılığına sınağı</t>
  </si>
  <si>
    <t>10.2</t>
  </si>
  <si>
    <t>10.2  V=81 m3-luq yanğın əleyhinə 1-ci su anbarı (Borular)</t>
  </si>
  <si>
    <t>Elektrik qaynaqlı polad borulardan istilik və su təchizatı boru kəmərlərinin çəkilməsi, diametri: 125 mm (Doldurma borusu. Elektrik qaynaqlı polad boru D114x3.5mm)</t>
  </si>
  <si>
    <t>Diametri 114x4.5mm polad boru (D114x3.5mm)</t>
  </si>
  <si>
    <t>Polad Əymə 108X5 (D114)</t>
  </si>
  <si>
    <t>11.2</t>
  </si>
  <si>
    <t>11.2  V=81 m3-luq yanğın əleyhinə 2-ci su anbarı (Borular)</t>
  </si>
  <si>
    <t>Metal səthlərin bir dəfə astarlanması astarı ilə</t>
  </si>
  <si>
    <t>12.2</t>
  </si>
  <si>
    <t>12.2  V=27 m3-luq 1-ci içməli su anbarı (Borular)</t>
  </si>
  <si>
    <t>Elektrik qaynaqlı polad borulardan istilik və su təchizatı boru kəmərlərinin çəkilməsi, diametri: 65 mm (Doldurma borusu. Elektrik qaynaqlı polad boru D57x3.5mm)</t>
  </si>
  <si>
    <t>Polad Əymə 57X4</t>
  </si>
  <si>
    <t>Üzgəc klapanlar (D50mm)</t>
  </si>
  <si>
    <t>Elektrik qaynaqlı polad borulardan istilik və su təchizatı boru kəmərlərinin çəkilməsi, diametri: 100 mm (Paylayıcı boru. Elektrik qaynaqlı polad boru D108x3.0mm)</t>
  </si>
  <si>
    <t>Xarici diametri 108 mm, divarının qalınlığı 3,0 mm olan  poladdan diametri 20 –dən 377 mm–dək, faskası çıxarılmış, düztikişli elektrik qaynaqlı polad borular</t>
  </si>
  <si>
    <t>Boşaldıcı qıfların qoyulması, diametri: 150 mm (D108x190)</t>
  </si>
  <si>
    <t>Polad Əymə 108X5</t>
  </si>
  <si>
    <t>Elektrik qaynaqlı polad borulardan istilik və su təchizatı boru kəmərlərinin çəkilməsi, diametri: 200 mm (Boşalma borusu. Elektrik qaynaqlı polad boru D219x4.0mm)</t>
  </si>
  <si>
    <t>Düztikişli elektrik qaynaqlı, diametri 20-dən 377mm qədər, xarici diametri 219mm, divarın qalınlığı 4,5mm olan polad borular</t>
  </si>
  <si>
    <t>İstilik sistemi, su kəməri və isti su təchizatı boru kəmərlərinin hidravlik sınağı, boruların diametri: 200 mm-ə qədər</t>
  </si>
  <si>
    <t>Elektrik qaynaqlı polad borulardan istilik və su təchizatı boru kəmərlərinin çəkilməsi, diametri: 100 mm (Daşma borusu. Elektrik qaynaqlı polad boru D108x3.0mm)</t>
  </si>
  <si>
    <t>Fasonlu hissələr (Bucaq L=500. Metal xətt L=500)</t>
  </si>
  <si>
    <t>13.2</t>
  </si>
  <si>
    <t>13.2  V=27 m3-luq 2-ci içməli su anbarı (Borular)</t>
  </si>
  <si>
    <t>14.1</t>
  </si>
  <si>
    <t>14.1  Su nasos stansiyası (Torpaq işləri)</t>
  </si>
  <si>
    <t>Qoyma detalların qurulması, çəkisi: 4 kq-a qədər (ÇUXUR Qoyma detal QD)</t>
  </si>
  <si>
    <t>14.3</t>
  </si>
  <si>
    <t>14.3  Su nasos stansiyası (D/b konstruksiyalar)</t>
  </si>
  <si>
    <t>Kəmərlərin qurulması: qəlibdə (b15)</t>
  </si>
  <si>
    <t>Tirsiz örtüklərin qurulması, qalınlığı: 200 mm-ə qədər, dayaq meydançasından 6 m-ə qədər hündürlükdə (b20)</t>
  </si>
  <si>
    <t>14.4</t>
  </si>
  <si>
    <t>14.4  Su nasos stansiyası (Divar və arakəsmələr)</t>
  </si>
  <si>
    <t>Metal qapılara qapı bağlayıcılarının qoyulması</t>
  </si>
  <si>
    <t>Yaşayış və ictimai binalarda PVX profildən pəncərə bloklarının qoyulması: dönən (açılan, dönən-açılan), boşluğun sahəsi 2 m²-ə qədər, bir laylı</t>
  </si>
  <si>
    <t>14.7</t>
  </si>
  <si>
    <t>14.7  Su nasos stansiyası (Döşəmələr)</t>
  </si>
  <si>
    <t>Birləşdirici qatın düzəldilməsi: sement, qalınlığı 20 mm (TİP1-16m²)</t>
  </si>
  <si>
    <t>14.8</t>
  </si>
  <si>
    <t>14.8  Su nasos stansiyası (Bəzək işləri)</t>
  </si>
  <si>
    <t>Qapı və pəncərələrin mail səthlərinin daş və beton üzrə suvanması: yastı (daxili-2.91m² və xarici -1.45m² yamaclar)</t>
  </si>
  <si>
    <t>Polivinilasetatlı suemulsiya tərkiblərlə yaxşılaşdırılmış rəngləmə: suvaq üzrə divarları (Daxili yamacla birlikdə)</t>
  </si>
  <si>
    <t>Səthləri hazırlamaqla fasadların tərkiblərlə taxtabəndlərdən rənglənməsi: perxlorvinilli (xarici yamacla birlikdə)</t>
  </si>
  <si>
    <t>14.9</t>
  </si>
  <si>
    <t>14.9  Su nasos stansiyası (Müxtəlif işlər)</t>
  </si>
  <si>
    <t>Çəpərləmə ilə düzxətli və əyrixətli yanğın pilləkənlərinin quraşdırılması (Məhəccərlə birlikdə)</t>
  </si>
  <si>
    <t>Kəmərlərin qurulması: qəlibdə (b12.5,Metal hissənin divara bərkidilməsi)</t>
  </si>
  <si>
    <t>Səthin tozdan təmizlənməsi</t>
  </si>
  <si>
    <t>Astarlanmış metal səthlərin rənglənməsi emalı ilə</t>
  </si>
  <si>
    <t>Ümumi təyinatlı beton bünövrələrin qurulması, həcmi: 5 m3-a qədər (avadanlıq altı)</t>
  </si>
  <si>
    <t>14.10</t>
  </si>
  <si>
    <t>14.10  Su nasos stansiyası (Avadanlıq boruları)</t>
  </si>
  <si>
    <t>Yanğınsöndürmə su nasosu  Q=18,0 m3/ / saaat H=32 m, N=3 kVt 1 ədəd işçi və 1 ədəd ehtiyyat. Avtomatika dolabı ilə birlikdə. ( Q=m3/h 18 \ H=m 32 \ N=kW 3 ) + 500 LT  PN10 (İçməli və yanğın əleyhinə su nasosları elektrik pano ilə Q=10m3/saat. H=25m. N=1.5kw (2 işlək, 1 ehtiyyat ))</t>
  </si>
  <si>
    <t>Dalğıc tipli drenaj su nasosu: Q=2.5 l/san= 9 m³/saat, H=3-5 m, N=1.0 kVt (Dalğıc nasos Q=8.0m3/saat H=10.0m N=0.55kw)</t>
  </si>
  <si>
    <t>Qısaqapanma rotorlu dəyişən cərəyanla işləyən yığılmış halda daxil olan lövhəli podşipnikli eletrik maşının sınağa, sazlama və buraxılışa təhvil verilməsi, elektrik şəbəkəsinə birləşdirilməsinə hazırlanması, kütləsi, t, qədər:0,15 (Elektrik mühərrikinin elektrik şəbəkəsinə birləşdirilməsi)</t>
  </si>
  <si>
    <t>Düzbucaqlı və dairəvi genişlənmə baklarının qoyulması, tutumu: 0,1 m3-ə qədər (Genləndirici çən V=100L)</t>
  </si>
  <si>
    <t>Genişlənmə çənləri, dairəvi, tutumu 0,1 m3-ə qədər</t>
  </si>
  <si>
    <t>Elektrik qaynaqlı polad borulardan istilik və su təchizatı boru kəmərlərinin çəkilməsi, diametri: 100 mm (D108x3.0mm)</t>
  </si>
  <si>
    <t>Elektrik qaynaqlı polad borulardan istilik və su təchizatı boru kəmərlərinin çəkilməsi, diametri: 80 mm (D76x3.5mm)</t>
  </si>
  <si>
    <t>Elektriklə qaynaq edilmiş borular, 40/2,5mm  (D38x2.5mm)</t>
  </si>
  <si>
    <t>Polad borulardan olan boru kəmərlərinə ventillərin, siyirtmələrin, sürgülərin, əks klapanların, keçid kranlarının qoyulması, boruların diametri: 100 mm-ə qədər (Siyirtmə D100mm quraşdırma)</t>
  </si>
  <si>
    <t>Polad siyirtmələr, 130mm (D100mm)</t>
  </si>
  <si>
    <t>Polad borulardan olan boru kəmərlərinə ventillərin, siyirtmələrin, sürgülərin, əks klapanların, keçid kranlarının qoyulması, boruların diametri: 100 mm-ə qədər (Siyirtmə D65mm quraşdırma)</t>
  </si>
  <si>
    <t>Siyirtmə diametri 76mm* (D65mm)</t>
  </si>
  <si>
    <t>Poladdan qaynaq olunmuş yastı polad flanslar; təzyiqi 0,6 MPa (6 kqq/sm²), diametri 100 mm</t>
  </si>
  <si>
    <t>Poladdan qaynaq olunmuş yastı polad flanslar; təzyiqi 0,6 MPa (6 kqq/sm²), 50 mm diametrli (D65mm)</t>
  </si>
  <si>
    <t>Əks klapan D=50mm 16kq/sm² (D65mm)</t>
  </si>
  <si>
    <t>Təzyiqi 1,6 MPa olan nasoslara vibroizolyasiya taxmalarının qoyulması, diametri: 100 mm (Elastik geydirmə D100mm)</t>
  </si>
  <si>
    <t>Təzyiqi 1,6 MPa olan nasoslara vibroizolyasiya taxmalarının qoyulması, diametri: 65 mm (Elastik geydirmə D65mm)</t>
  </si>
  <si>
    <t>Su təmizləmək üçün süzgəclər (D100mm)</t>
  </si>
  <si>
    <t>Konsentrik polad keçidlər (Ekssentrik keçid D100/D60)</t>
  </si>
  <si>
    <t>14.11</t>
  </si>
  <si>
    <t>14.11  Su nasos stansiyası (Elektrik işıqlanması)</t>
  </si>
  <si>
    <t>Çıraqlar, (Közərmə lampalı çıraq 220V, 100Vt)</t>
  </si>
  <si>
    <t>Közərmə lampalı işiqlandırıcı (12metr )</t>
  </si>
  <si>
    <t>şəffaf kolbada qazla doldurulmuş közərmə lampaları (Közərmə lampası 60Vt)</t>
  </si>
  <si>
    <t>Paylayıcı qutu, ELEKTRIK MONTAJ QUTUSU 100x100mm  (Budaqlanma qutusu)</t>
  </si>
  <si>
    <t>1,0 kV-luq güc kabeli 3х1,5</t>
  </si>
  <si>
    <t>14.12</t>
  </si>
  <si>
    <t>14.12  Su nasos stansiyası (Elektrik güc avadanlığı)</t>
  </si>
  <si>
    <t>Daxili elektrik təchizatı üçün paylayıcı lövhə (Yanmaya və partlayışa davamlı şkaf ölçüsü (300x300x125)mm</t>
  </si>
  <si>
    <t>3FAZ C TİPİ 16A AVTOMAT AÇAR,   (3FAZ C TİPİ 10A AVTOMAT AÇAR,  )</t>
  </si>
  <si>
    <t>Ehtiyatın avtomatik qoşulması 20A-ə qədər</t>
  </si>
  <si>
    <t>Divar və ya sütunda konstruksiya üzərində quraşdırılan bir-, iki-, üçpolyuslu avtomat, cərəyan, A, qədər:25 (Ehtiyatın avtomatik qoşulması EAQ-in quraşdırılması )</t>
  </si>
  <si>
    <t>Maqnit işəsalıcı 6A (Maqnit işə salıcısı rele ilə 380V , Mİ-İn=3.5A)</t>
  </si>
  <si>
    <t>Düyməli post</t>
  </si>
  <si>
    <t>Ştepsel rozetkası-yerlə birləşdirmə,  1 - Lİ DƏRİN RAZETKA (İki qütblü açıq qurğu ştepsel rozetkası 10A , 380V yerləbirləşdiricisi olan )</t>
  </si>
  <si>
    <t>15.1</t>
  </si>
  <si>
    <t>15.1  Avtoyuma (Torpaq işləri)</t>
  </si>
  <si>
    <t>15.2</t>
  </si>
  <si>
    <t>15.2  Avtoyuma (Müxtəlif işlər)</t>
  </si>
  <si>
    <t>Dəmir-beton bünövrə tavalarının qurulması: yastı (b20,Döşəmə tavası)</t>
  </si>
  <si>
    <t>390x190x188 mm ölçülərində mişarlanmış əhəng daşlarından sütunların hörgüsü: 99x99 sm qalınlığında (Tumbalar)</t>
  </si>
  <si>
    <t>Beton hazırlıq qatının qurulması (Çuxur, B10)</t>
  </si>
  <si>
    <t>Boşluğun metal şəbəkələrinin quraşdırılması</t>
  </si>
  <si>
    <t>15.3</t>
  </si>
  <si>
    <t>15.3  Avtoyuma.Daxili su kəməri və kanalizasiya (SO- ümumi təyinatlı su şəbəkəsi)</t>
  </si>
  <si>
    <t>Polipropilen borulardan daxili su təchizatı və istilik sistemlərinin boru kəmərlərinin çəkilməsi: 32mm (Yüksək təzyiqə davamlı polietilen boru D25(32x2.0))</t>
  </si>
  <si>
    <t>Yüksək elastikliyə, geniş diapazonlu təzyiqə malik,  standartlara cavab verən polietilen su və qaz borusu: diametri 32 mm, divarının qalınlığı 2 mm, , PN 10</t>
  </si>
  <si>
    <t>15.4</t>
  </si>
  <si>
    <t>15.4  Avtoyuma.Daxili su kəməri və kanalizasiya (K3-istehsalat kanalizasiyası)</t>
  </si>
  <si>
    <t>Polipropilen borulardan daxili kanalizasiya boru kəmərlərin çəkilməsi, diametri: 110mm (Polivinilxlorid kanalizasiya borusu D200mm)</t>
  </si>
  <si>
    <t>Yüksək elastikliyə və mexaniki zərbələrə davamlı, xarici qatındakı büzmələr sayəsində ağır tonlu yük avtomobillərinə qarşı dözümlülük xüsusiyyətinə malik  bir tərəfi muftalı yüksək sıxlıqlı qofralı polietilen kanalizasiya borusu: DN 200, , SN8</t>
  </si>
  <si>
    <t>Polipropilen borulardan daxili kanalizasiya boru kəmərlərin çəkilməsi, diametri: 110mm (Polivinilxlorid kanalizasiya borusu D160mm)</t>
  </si>
  <si>
    <t>Yüksək elastikliyə və mexaniki zərbələrə davamlı, xarici qatındakı büzmələr sayəsində ağır tonlu yük avtomobillərinə qarşı dözümlülük xüsusiyyətinə malik  bir tərəfi muftalı yüksək sıxlıqlı qofralı polietilen kanalizasiya borusu: DN 150, , SN8</t>
  </si>
  <si>
    <t>Trapların quraşdırılması diametri: 100 mm (D150mm)</t>
  </si>
  <si>
    <t>15.5</t>
  </si>
  <si>
    <t>15.5  Avtoyuma (Texnoloji avadanlıqlar)</t>
  </si>
  <si>
    <t>Yüksək təziqli yuma apparatı,su həcmi 760litr/saat ,təziqi 175 bar,Dəstə şlanq və tapança daxildir</t>
  </si>
  <si>
    <t>Beton hazırlıq qatının düzəldilməsi.</t>
  </si>
  <si>
    <t>A-1 sinifli armatur (Düyun ilə birlikdə)</t>
  </si>
  <si>
    <t>A-3 sinifli armatur (Düyün ilə birlikdə)</t>
  </si>
  <si>
    <t>Beton və daş səthlərin sement-əhəng və ya sement məhlulu ilə suvanması: divarların, sadə (torpaqla təmasda olan daş hissənin suvanması)</t>
  </si>
  <si>
    <t>Döşənək qatlarının düzəldilməsi: betonlu (b10)</t>
  </si>
  <si>
    <t>Örtüklərin düzəldilməsi: sement, qalınlığı 20 mm</t>
  </si>
  <si>
    <t>Tavanların qurulması: məsaməli plitələrdən, sinklənmiş profildən karkas üzrə</t>
  </si>
  <si>
    <t>Beton və daş səthlərin sement-əhəng və ya sement məhlulu ilə suvanması: divarların, sadə (kafel altı)</t>
  </si>
  <si>
    <t>Divar, dirək, pilyastr və mail səthlərin sement məhlulu əsasında (karniz, plintus və künc tavacıqlarından başqa) tualet qarnituru tavacıqları qoyulmadan, hamar üzlənməsi: kərpic və beton üzrə</t>
  </si>
  <si>
    <t>16.2</t>
  </si>
  <si>
    <t>16.2  2 yerlik ayaqyolu. Daxili su kəməri və kanalizasiya (SO-Ümumi təyinatlı su şəbəkəsi)</t>
  </si>
  <si>
    <t>Polipropilen borulardan daxili su təchizatı və istilik sistemlərinin boru kəmərlərinin çəkilməsi: 32mm (Yüksək təzyiqə davamlı polietilen boru (PN10) D25(32x2.0))</t>
  </si>
  <si>
    <t>Polipropilen borulardan daxili su təchizatı və istilik sistemlərinin boru kəmərlərinin çəkilməsi: 20mm (Yüksək təzyiqə davamlı polietilen boru (PN10) D15(20x2.0))</t>
  </si>
  <si>
    <t>Yüksək elastikliyə, geniş diapazonlu təzyiqə malik,  standartlara cavab verən polietilen su və qaz borusu: diametri 20 mm, divarının qalınlığı 2 mm, , PN 16</t>
  </si>
  <si>
    <t>16.3</t>
  </si>
  <si>
    <t>16.3  2 yerlik ayaqyolu. Daxili su kəməri və kanalizasiya (K3-İstehsalat kanalizasiyası)</t>
  </si>
  <si>
    <t>Daxili kanalizasiya üçün  olan polietilen borulardan boru kəmərləri, diametri 100 mm</t>
  </si>
  <si>
    <t>Santexnika (yoxlama) lyuklarının qoyulması: özü kəsən şuruplarla bərkidilməsi (Yoxlayıcı D100)</t>
  </si>
  <si>
    <t>Çanaqların quraşdırılması (döşəmə unitazları): baçokla yüksək yerlərdə (Klozet kasa. yuyucu bak və sifonla quraşdırma)</t>
  </si>
  <si>
    <t>Unitaz azyat</t>
  </si>
  <si>
    <t>Çanaq üçün sifon boru (Klozet üçün)</t>
  </si>
  <si>
    <t>16.4</t>
  </si>
  <si>
    <t>16.4  2 yerliq ayaqyolu (Ventilyasiya)</t>
  </si>
  <si>
    <t>Polad jalüz qəfəslərin qoyulması: tərpənməz, birseksiyalı, 150x490 mm ölçülü (Şəbəkə 150x200)</t>
  </si>
  <si>
    <t>Tənzimlənməyən qəfəslər (şəbəkələr), 200x200 mm ölçülü</t>
  </si>
  <si>
    <t>16.5</t>
  </si>
  <si>
    <t>16.5  2 yerliq ayaqyolu (Elektrik işıqlanması)</t>
  </si>
  <si>
    <t>AVTOMAT AÇAR (Avtomat açar 220V , 16A)</t>
  </si>
  <si>
    <t>Çıraqlar, NBO06x100/P2 (Közərmə lampalı çıraq 220V , 1x60Vt)</t>
  </si>
  <si>
    <t>Közərmə lampası 60Vt</t>
  </si>
  <si>
    <t>Elektrik açarları + Rozetka qapaqlı, (Bir qütblü bir səmtli açar ,açıq qurğu üçün (mühafizəli) 220V 10A ,  )</t>
  </si>
  <si>
    <t>Elektrik açarları + Rozetka qapaqlı, (İki qütblü iki səmtli açar, açıq qurğu üçün (mühafizəli) 220V , 10A)</t>
  </si>
  <si>
    <t>0,6/1,0kV-luq nəzarət kabeli  3x2,5</t>
  </si>
  <si>
    <t>17.1</t>
  </si>
  <si>
    <t>17.1  Ümumisahə materialları. (S0-Ümumi təyinatlı su şəbəkəsi)</t>
  </si>
  <si>
    <t>Çalovun tutumu 0,5 (0,5-0,63) m3 olan ekskavatorlarla qruntun kənara atılaraq qazılması, qruntun qrupu: 2</t>
  </si>
  <si>
    <t>Polad su boru kəmərlərinin, hidravlik sınaqdan çıxarmaqla çəkilməsi, boruların diametri: 200 mm (D219x4.0)</t>
  </si>
  <si>
    <t>Polad su boru kəmərlərinin, hidravlik sınaqdan çıxarmaqla çəkilməsi, boruların diametri: 100 mm (D108x3.0)</t>
  </si>
  <si>
    <t>Polietilen borulardan boru kəmərlərinin çəkilməsi, diametri: 63 mm (Yüksək təzyiqə davamlı polietilen su borusu D75x4.5mm)</t>
  </si>
  <si>
    <t>Yüksək elastikliyə, geniş diapazonlu təzyiqə malik,  standartlara cavab verən polietilen su və qaz borusu: diametri 75 mm, divarının qalınlığı 4,5 mm, , PN 10</t>
  </si>
  <si>
    <t>Polietilen borulardan boru kəmərlərinin çəkilməsi, diametri: 63 mm (Yüksək təzyiqə davamlı polietilen su borusu D63x3.8mm)</t>
  </si>
  <si>
    <t>Yüksək elastikliyə, geniş diapazonlu təzyiqə malik,  standartlara cavab verən polietilen su və qaz borusu: diametri 63 mm, divarının qalınlığı 3,8 mm, , PN 10</t>
  </si>
  <si>
    <t>Polietilen borulardan boru kəmərlərinin çəkilməsi, diametri: 50 mm (Yüksək təzyiqə davamlı polietilen su borusu D32x2.0mm)</t>
  </si>
  <si>
    <t>Boru kəmərlərinin dezinfeksiya olunmaqla yuyulması, boruların diametri: 50-65 mm</t>
  </si>
  <si>
    <t>Çuqun siyirtmələrin və ya əks klapanların qoyulması, diametri: 200 mm (D200mm siyirtmə quraşdırılması)</t>
  </si>
  <si>
    <t>Çuqun siyirtmələr 150mm (D200mm)</t>
  </si>
  <si>
    <t>Çuqun siyirtmələrin və ya əks klapanların qoyulması, diametri: 80 mm (D65mm siyirtmə quraşdırılması)</t>
  </si>
  <si>
    <t>Çuqun siyirtmələr, 64mm</t>
  </si>
  <si>
    <t>Poladdan qaynaq olunmuş yastı polad flanslar; təzyiqi 0,6 MPa (6 kqq/sm²), diametri 200 mm</t>
  </si>
  <si>
    <t>Suvarma kranının qoyulması, diametri: 25 mm</t>
  </si>
  <si>
    <t>Rezin şlanq (rukav), 25mm</t>
  </si>
  <si>
    <t>Yığma dəmir-betondan dairəvi quyuların qurulması, qruntlar: quru</t>
  </si>
  <si>
    <t>Yığma beton konstruksiyalar</t>
  </si>
  <si>
    <t>Çuqun lyuklar(diametri 70 sm)</t>
  </si>
  <si>
    <t>17.2</t>
  </si>
  <si>
    <t>17.2  Ümumisahə materialları. (K1-məişət kanalizasiyası)</t>
  </si>
  <si>
    <t>Polietilen borulardan boru kəmərlərinin çəkilməsi, diametri: 160 mm (Polietilen -polipropilen kanalizasiya borusu (korrige) D150mm)</t>
  </si>
  <si>
    <t>Yüksək elastikliyə və mexaniki zərbələrə davamlı, xarici qatındakı büzmələr sayəsində ağır tonlu yük avtomobillərinə qarşı dözümlülük xüsusiyyətinə malik bir tərəfi muftalı yüksək sıxlıqlı qofralı polietilen kanalizasiya borusu: DN 150, (D150mm)</t>
  </si>
  <si>
    <t>Dairəvi yığma dəmir-beton kanalizasiya quyularının qurulması, diametri: 1,5 m quru qruntlarda</t>
  </si>
  <si>
    <t>Dairəvi yığma dəmir-beton kanalizasiya quyularının qurulması, diametri: 1 m quru qruntlarda</t>
  </si>
  <si>
    <t>Polietilen yağ tutucu qurğu (Benzin -yağ tutan)</t>
  </si>
  <si>
    <t>18.1</t>
  </si>
  <si>
    <t>18.1  (Şaquli planlaşdırma)</t>
  </si>
  <si>
    <t>Qruntun hər növbəti 10 m əlavə etmək</t>
  </si>
  <si>
    <t>Çalovunun tutumu 0,5 (0,5-0,63) m3 olan ekskavatorlarla qruntun özüboşaldan avtomobillərə yüklənməklə qazılması, qruntun qrupu: 2 (Çatışmayan qrunt)</t>
  </si>
  <si>
    <t>əlavə 5 m</t>
  </si>
  <si>
    <t>8 t-luq yumruqcuqlu qoşqulu vərdənə ilə bir iz üzrə birinci gedişdə qruntun sıxlaşdırılması, qatın qalınlığı: 20 sm</t>
  </si>
  <si>
    <t>Bir iz üzrə hər növbəti gediş zamanı(əlavə 6 gediş)</t>
  </si>
  <si>
    <t>Çalovunun tutumu 0,5 (0,5-0,63) m3 olan ekskavatorlarla qruntun özüboşaldan avtomobillərə yüklənməklə qazılması, qruntun qrupu: 1 (Münbit torpaq qatının gətirilməsi)</t>
  </si>
  <si>
    <t>19.1</t>
  </si>
  <si>
    <t>19.1  Yollar. (Sahədaxili asfaltbeton yollar 383,7 m²)</t>
  </si>
  <si>
    <t>Əsasların döşənək və hamarlayıcı qatlarının qurulması: qum-çınqıl qatışığından, iri qumdan (250 mm)</t>
  </si>
  <si>
    <t>Çınqıl</t>
  </si>
  <si>
    <t>70-120 mm fraksiyalı qırmadaşdan qalınlığı 12 sm olan əsasların qurulması: birqat</t>
  </si>
  <si>
    <t>Qatın qalınlığı hər 1 sm dəyişdikdə (əlavə 3 sm)</t>
  </si>
  <si>
    <t>Sıx iri-dənəvər AB tipli qaynar asfalt-beton qatışığından qalınlığı 4 sm olan örtüyün qurulması, daş materiallarının sıxlığı: 2,5-2,9 t/m3</t>
  </si>
  <si>
    <t>Örtüyün qalınlığı 0,5 sm dəyişdikdə (əlavə 3 sm)</t>
  </si>
  <si>
    <t>Sıx xırda-dənəvər ABV tipli qaynar asfalt-beton qatışığından qalınlığı 4 sm olan örtüyün qurulması, daş materiallarının sıxlığı: 2,5-2,9 t/m3</t>
  </si>
  <si>
    <t>Örtüyün qalınlığı 0,5 sm dəyişdikdə (əlavə 1 sm)</t>
  </si>
  <si>
    <t>Beton bort daşlarının quraşdırılması: sement-beton örtüklərdə</t>
  </si>
  <si>
    <t>20.1</t>
  </si>
  <si>
    <t>20.1  Yollar (Ərazidən kənar asfaltbeton yollar 216 m²)</t>
  </si>
  <si>
    <t>21.1</t>
  </si>
  <si>
    <t>21.1  Yollar (Dəmirbeton yollar 1021 m²)</t>
  </si>
  <si>
    <t>Döşənək qatlarının düzəldilməsi: betonlu</t>
  </si>
  <si>
    <t>22.1</t>
  </si>
  <si>
    <t>22.1  Səki (meydançalar) 1437,8 m²)</t>
  </si>
  <si>
    <t>Əsasların döşənək və hamarlayıcı qatlarının qurulması: qum-çınqıl qatışığından, iri qumdan (100 mm)</t>
  </si>
  <si>
    <t>Tökmə xırda dənəvər asfalt-beton qatışığından cığır və səkilərin qalınlığı 3 sm olan birqat asfalt-beton örtüklərinin qurulması</t>
  </si>
  <si>
    <t>Örtüyün qalınlığının 0,5 sm dəyişməsi zamanı (əlavə 1 sm)</t>
  </si>
  <si>
    <t>23.1</t>
  </si>
  <si>
    <t>23.1  (Yaşıllaşdırma)</t>
  </si>
  <si>
    <t>Sahənin planlaşdırılması:mexaniki üsulla</t>
  </si>
  <si>
    <t>Sahənin bölünməsi</t>
  </si>
  <si>
    <t>Bitki torpağını əlavə etməklə, ölçüləri 1,0x1,0x0,6 m olan kvadrat topa torpaqla ağac və kollar üçün standart əkin yerlərinin əl ilə hazırlanması: 75 %-ə qədər</t>
  </si>
  <si>
    <t>1,0x1,0x0,6 m ölçülərdə topa torpaqla ağac və kolların əkilməsi</t>
  </si>
  <si>
    <t>Bitki torpağını əlavə etməklə, ölçüləri 0,5x0,5x0,4 m olan kvadrat topa torpaqla ağac və kollar üçün standart əkin yerlərinin əl ilə hazırlanması: 75 %-ə qədər</t>
  </si>
  <si>
    <t>0,5x0,5x0,4 m ölçülərdə topa torpaqla ağac və kolların əkilməsi</t>
  </si>
  <si>
    <t>Qalınlığı 15 sm olan bitki torpağını verməklə, parterşəkilli və adi qazonları düzəltmək üçün torpağın hazırlanması: mexaniki üsulla</t>
  </si>
  <si>
    <t>Parterşəkilli, mavritanşəkilli və adi qazonların əl ilə əkilməsi</t>
  </si>
  <si>
    <t>24.1</t>
  </si>
  <si>
    <t>24.1  (Qum meydançası)</t>
  </si>
  <si>
    <t>Bir lay fanerdan döşəmələrin əsasının qurulması: sahəsi 20m² qədər (faner 18 mm)</t>
  </si>
  <si>
    <t>Bakelitlənmiş faner, qalınlığı 14 - 18 mm</t>
  </si>
  <si>
    <t>Döşənək qatlarının düzəldilməsi: qumlu</t>
  </si>
  <si>
    <t>25.1</t>
  </si>
  <si>
    <t>25.1  (İstinad divarı və daş hasar (Torpaq işləri)</t>
  </si>
  <si>
    <t>Beton hazırlıq qatının qurulması (b7.5)</t>
  </si>
  <si>
    <t>Lentvari bünövrələrin qurulması: dəmir-beton, yuxarı tərəfinin eni 1000 mm-ə qədər olduqda (b25)</t>
  </si>
  <si>
    <t>25.2</t>
  </si>
  <si>
    <t>25.2  İstinad divarı və daş hasar ("B"-"C" nöktələr arası daş hasar)</t>
  </si>
  <si>
    <t>Lentvari bünövrələrin qurulması:dəmir-beton, yuxarı tərəfinin eni 1000 mm-ə qədər olduqda ( b25, Daş və beton dirək üçün)</t>
  </si>
  <si>
    <t>390x190x188 mm ölçülərində mişarlanmış əhəng daşından bina və qurğuların bütöv divarlarının hörgüsü: 59 sm qalınlığında (kəsiklər)</t>
  </si>
  <si>
    <t>Taxta qəlibdə dəmir-beton sütunların qurulması, hündürlüyü: 4 m-ə qədər, perimetri 2 m-ə qədər (b25, dirək)</t>
  </si>
  <si>
    <t>Sement-əhəng məhlulu ilə daş üzrə yaxşılaşdırılmış suvama: divarları (Hasarın)</t>
  </si>
  <si>
    <t>Səthləri hazırlamaqla fasadların tərkiblərlə taxtabəndlərdən rənglənməsi: polivinilasetatlı (hasarın)</t>
  </si>
  <si>
    <t>25.3</t>
  </si>
  <si>
    <t>25.3  İstinad divarı və daş hasar ("F"-"G" nöktələr arası daş hasar)</t>
  </si>
  <si>
    <t>Lentvari bünövrələrin qurulması:dəmir-beton, yuxarı tərəfinin eni 1000 mm-ə qədər olduqda ( b25)</t>
  </si>
  <si>
    <t>390x190x188 mm ölçülərində mişarlanmış əhəng daşından bina və qurğuların bütöv divarlarının hörgüsü: 39 sm qalınlığında (kəsiklər)</t>
  </si>
  <si>
    <t>25.4</t>
  </si>
  <si>
    <t>25.4  İstinad divarı və daş hasar ("G"-"A" nöktələr arası daş hasar)</t>
  </si>
  <si>
    <t>25.5</t>
  </si>
  <si>
    <t>25.5  İstinad divarı və daş hasar (Müxtəlif işlər)</t>
  </si>
  <si>
    <t>Gedişin yoxlanması üçün avtomotik yol şlaqbaumun quraşdırılması, eni 8 m-ə qədər</t>
  </si>
  <si>
    <t>Şlaqbaum - Açılış vaxtı 6, Qolun uzunluğu, 6 metr, Mühafizə sinfi IP44, Mühərrik növü, V 24/220, Ölçülər (UxGxH) 1080х360х380 мм, İşləmə temperaturu diapazonu -20…+50</t>
  </si>
  <si>
    <t>26.1</t>
  </si>
  <si>
    <t>26.1  Söhbətgah (Torpaq işləri)</t>
  </si>
  <si>
    <t>26.2</t>
  </si>
  <si>
    <t>26.2  Söhbətgah (Bünövrələr)</t>
  </si>
  <si>
    <t>Asfaltbeton örtüklərin düzəldilməsi: tökmə, qalınlığı 25 mm</t>
  </si>
  <si>
    <t>Asfaltbeton örtüklərin düzəldilməsi: (əlavə 35mm)</t>
  </si>
  <si>
    <t>Lentvari bünövrələrin qurulması: dəmir-beton, yuxarı tərəfinin eni 1000 mm-ə qədər olduqda (b15)</t>
  </si>
  <si>
    <t>Qoyma detalların qurulması, çəkisi: 4 kq-a qədər</t>
  </si>
  <si>
    <t>Sütunların altı üçün ümumi təyinatlı beton bünövrələrin qurulması, həcmi: 3 m3-a qədər (b7.5, beton tumba)</t>
  </si>
  <si>
    <t>Qruntun sıxlaşdırılması: qırmadaş ilə</t>
  </si>
  <si>
    <t>Dəmir-beton bünövrə tavalarının qurulması: yastı (b15, monolit döşəmə)</t>
  </si>
  <si>
    <t>26.3</t>
  </si>
  <si>
    <t>26.3  Söhbətgah (Karkas)</t>
  </si>
  <si>
    <t>Müxtəlif təyinatlı çoxmərtəbəli binaların sütunlarının quraşdırılması, binaların hündürlüyü: 25 m-ə qədər</t>
  </si>
  <si>
    <t>Fermaların addımı 12 m-ə qədər olduqda, baş tirlərin quraşdırılması, binanın hündürlüyü: 25 m-ə qədər (Metal tirlərin quraşdırılması)</t>
  </si>
  <si>
    <t>Pilləkən boşluqlarının məhəccəri, pilləkən marşları, yanğın pilləkənləri</t>
  </si>
  <si>
    <t>Metal səthlərin yağlı boya ilə rənglənməsi: qəfəslərin, layların, diametri 50 mm və ondan az olan boruların, rənglənmənin sayı 2 dəfə</t>
  </si>
  <si>
    <t>Quraşdırma: zolaqlşəkilli və nazikvərəqli poladdan nov, qəfəslər, cəftələr (Metal otracaq altının quraşdırılması)</t>
  </si>
  <si>
    <t>Anker boltlarının qoyulması: hazır yuvacıqlara qoyulmaqla və bərkidilməklə, uzunluğu 1 m-ə qədər</t>
  </si>
  <si>
    <t>Tavanların qurulması: məsaməli plitələrdən, sinklənmiş profildən karkas üzrə (Lambrin asma tavanın quraşdırılması)</t>
  </si>
  <si>
    <t>26.5</t>
  </si>
  <si>
    <t>26.5  Söhbətgah (Oturacaqlar)</t>
  </si>
  <si>
    <t>Karkas elementlərinin qoyulması: tirlərdən</t>
  </si>
  <si>
    <t>26.6</t>
  </si>
  <si>
    <t>26.6  Söhbətgah (Döşəmələr)</t>
  </si>
  <si>
    <t>Səki plitələrdən örtüklərin qurulması, 1m²-ə qoyulan plitələrin sayı: 55 ədəd</t>
  </si>
  <si>
    <t>27.1</t>
  </si>
  <si>
    <t>27.1  Xarici işıqlanma)</t>
  </si>
  <si>
    <t>Faxverkin quraşdırılması (Xarici işıqlanma üçün bir lampalı park dirəyi H=6m (P=72 kq) (8 ədəd))</t>
  </si>
  <si>
    <t>Bünövrə-dirəklərin qurulması: beton</t>
  </si>
  <si>
    <t>Çıraq LED, (Xarici işıqlanma üçün  LED çıraq )</t>
  </si>
  <si>
    <t>Binadan kənarda quraşdırılan lampalarla çıraq: civəli</t>
  </si>
  <si>
    <t>Lampa Led, Silindr tipli, (LED lampa 110Vt, 5000K)</t>
  </si>
  <si>
    <t>Qoruyucu 220V 4A (Qoruyucu 220V , 6A)</t>
  </si>
  <si>
    <t>Birləşdirici sıxaclar</t>
  </si>
  <si>
    <t>Quraşdırma kabelləri 3x2,5</t>
  </si>
  <si>
    <t>Ümumi hörmədə birdamarlı və ya çoxdamarlı birinci naqil, ümumi en kəsiyi, mm², qədər: 2,5</t>
  </si>
  <si>
    <t>Yüksək elastikliyə, geniş diapazonlu təzyiqə malik,  standartlara cavab verən polietilen su və qaz borusu: diametri 110 mm, divarının qalınlığı 3,4 mm, , (PVC boru D100mm)</t>
  </si>
  <si>
    <t>0,6/1,0 kV-luq güc kabeli  5x4</t>
  </si>
  <si>
    <t>FF</t>
  </si>
  <si>
    <t>Müvəqqəti bina və qurğular 1,8% (mütləq nəzərə alınmalıdır)</t>
  </si>
  <si>
    <t>Nəzərdə tutulmayan xərclər 2% (mütləq nəzərə alınmalıdır)</t>
  </si>
  <si>
    <t>Cəmi:</t>
  </si>
  <si>
    <t>ƏDV18%:</t>
  </si>
  <si>
    <t>Yekun:</t>
  </si>
  <si>
    <t>Employer / Sifarişçi</t>
  </si>
  <si>
    <t>Contractor / Podratçı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</si>
</sst>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#,##0.00000"/>
    <numFmt numFmtId="165" formatCode="0.00000"/>
    <numFmt numFmtId="166" formatCode="_-&quot;AZN&quot;* #,##0.00_-;\-&quot;AZN&quot;* #,##0.00_-;_-&quot;AZN&quot;* &quot;-&quot;??_-;_-@_-"/>
    <numFmt numFmtId="167" formatCode="0.0"/>
    <numFmt numFmtId="168" formatCode="_-* #,##0.0\ _м_а_н_._-;\-* #,##0.0\ _м_а_н_._-;_-* &quot;-&quot;?\ _м_а_н_._-;_-@_-"/>
    <numFmt numFmtId="169" formatCode="_-* #,##0.00\ _м_а_н_._-;\-* #,##0.00\ _м_а_н_._-;_-* &quot;-&quot;??\ _м_а_н_._-;_-@_-"/>
    <numFmt numFmtId="170" formatCode="_-* #,##0.00_-;\-* #,##0.00_-;_-* &quot;-&quot;??_-;_-@_-"/>
  </numFmts>
  <fonts count="2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162"/>
      <scheme val="minor"/>
    </font>
    <font>
      <sz val="11"/>
      <color indexed="8"/>
      <name val="Tahoma"/>
      <family val="2"/>
      <charset val="204"/>
    </font>
    <font>
      <b/>
      <sz val="14"/>
      <color indexed="8"/>
      <name val="Tahoma"/>
      <family val="2"/>
    </font>
    <font>
      <sz val="12"/>
      <color indexed="8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0"/>
      <name val="Arial Tur"/>
      <charset val="162"/>
    </font>
    <font>
      <sz val="11"/>
      <name val="Calibri"/>
      <family val="2"/>
      <charset val="204"/>
    </font>
    <font>
      <b/>
      <sz val="12"/>
      <color indexed="8"/>
      <name val="Times New Roman"/>
      <family val="1"/>
      <charset val="204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  <charset val="204"/>
    </font>
    <font>
      <b/>
      <sz val="10"/>
      <name val="Times New Roman"/>
      <family val="1"/>
    </font>
    <font>
      <b/>
      <sz val="14"/>
      <name val="Times New Roman"/>
      <family val="1"/>
      <charset val="204"/>
    </font>
    <font>
      <u/>
      <sz val="11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u/>
      <sz val="11"/>
      <name val="Times New Roman"/>
      <family val="1"/>
      <charset val="204"/>
    </font>
    <font>
      <sz val="14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sz val="10"/>
      <name val="Arial"/>
      <family val="2"/>
      <charset val="162"/>
    </font>
    <font>
      <sz val="14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70" fontId="9" fillId="0" borderId="0"/>
    <xf numFmtId="0" fontId="1" fillId="0" borderId="0"/>
    <xf numFmtId="43" fontId="5" fillId="0" borderId="0"/>
    <xf numFmtId="9" fontId="5" fillId="0" borderId="0"/>
    <xf numFmtId="0" fontId="8" fillId="0" borderId="0"/>
    <xf numFmtId="0" fontId="11" fillId="0" borderId="0"/>
  </cellStyleXfs>
  <cellXfs count="81">
    <xf numFmtId="0" fontId="0" fillId="0" borderId="0" xfId="0"/>
    <xf numFmtId="0" fontId="2" fillId="0" borderId="0" xfId="2" applyFont="1"/>
    <xf numFmtId="0" fontId="3" fillId="0" borderId="0" xfId="2" applyFont="1"/>
    <xf numFmtId="43" fontId="6" fillId="0" borderId="0" xfId="3" applyFont="1"/>
    <xf numFmtId="0" fontId="4" fillId="0" borderId="0" xfId="2" applyFont="1"/>
    <xf numFmtId="164" fontId="4" fillId="0" borderId="0" xfId="2" applyNumberFormat="1" applyFont="1"/>
    <xf numFmtId="165" fontId="4" fillId="0" borderId="0" xfId="2" applyNumberFormat="1" applyFont="1"/>
    <xf numFmtId="0" fontId="4" fillId="0" borderId="0" xfId="2" applyFont="1" applyAlignment="1">
      <alignment horizontal="right"/>
    </xf>
    <xf numFmtId="10" fontId="4" fillId="0" borderId="0" xfId="2" applyNumberFormat="1" applyFont="1"/>
    <xf numFmtId="43" fontId="4" fillId="0" borderId="0" xfId="3" applyFont="1"/>
    <xf numFmtId="10" fontId="4" fillId="0" borderId="0" xfId="4" applyNumberFormat="1" applyFont="1"/>
    <xf numFmtId="4" fontId="4" fillId="0" borderId="0" xfId="3" applyNumberFormat="1" applyFont="1" applyAlignment="1">
      <alignment horizontal="right"/>
    </xf>
    <xf numFmtId="4" fontId="7" fillId="0" borderId="0" xfId="3" applyNumberFormat="1" applyFont="1" applyAlignment="1">
      <alignment horizontal="right" vertical="center"/>
    </xf>
    <xf numFmtId="1" fontId="7" fillId="0" borderId="0" xfId="5" applyNumberFormat="1" applyFont="1" applyAlignment="1">
      <alignment horizontal="left" vertical="center"/>
    </xf>
    <xf numFmtId="166" fontId="10" fillId="2" borderId="0" xfId="1" applyNumberFormat="1" applyFont="1" applyFill="1"/>
    <xf numFmtId="0" fontId="12" fillId="0" borderId="0" xfId="6" applyFont="1" applyAlignment="1">
      <alignment horizontal="center" vertical="center"/>
    </xf>
    <xf numFmtId="49" fontId="13" fillId="0" borderId="0" xfId="6" applyNumberFormat="1" applyFont="1" applyAlignment="1">
      <alignment vertical="center" wrapText="1"/>
    </xf>
    <xf numFmtId="49" fontId="13" fillId="0" borderId="0" xfId="6" applyNumberFormat="1" applyFont="1" applyAlignment="1">
      <alignment horizontal="center" vertical="center" wrapText="1"/>
    </xf>
    <xf numFmtId="2" fontId="13" fillId="0" borderId="0" xfId="6" applyNumberFormat="1" applyFont="1" applyAlignment="1">
      <alignment horizontal="right" vertical="center"/>
    </xf>
    <xf numFmtId="10" fontId="13" fillId="0" borderId="0" xfId="4" applyNumberFormat="1" applyFont="1" applyAlignment="1">
      <alignment horizontal="center"/>
    </xf>
    <xf numFmtId="43" fontId="13" fillId="0" borderId="0" xfId="3" applyFont="1" applyAlignment="1">
      <alignment horizontal="center"/>
    </xf>
    <xf numFmtId="10" fontId="13" fillId="0" borderId="0" xfId="6" applyNumberFormat="1" applyFont="1" applyAlignment="1">
      <alignment horizontal="center"/>
    </xf>
    <xf numFmtId="0" fontId="15" fillId="0" borderId="0" xfId="6" applyFont="1"/>
    <xf numFmtId="164" fontId="15" fillId="0" borderId="0" xfId="6" applyNumberFormat="1" applyFont="1"/>
    <xf numFmtId="165" fontId="15" fillId="0" borderId="0" xfId="6" applyNumberFormat="1" applyFont="1"/>
    <xf numFmtId="0" fontId="17" fillId="0" borderId="0" xfId="6" applyFont="1"/>
    <xf numFmtId="164" fontId="17" fillId="0" borderId="0" xfId="6" applyNumberFormat="1" applyFont="1"/>
    <xf numFmtId="165" fontId="17" fillId="0" borderId="0" xfId="6" applyNumberFormat="1" applyFont="1"/>
    <xf numFmtId="10" fontId="14" fillId="4" borderId="2" xfId="4" applyNumberFormat="1" applyFont="1" applyFill="1" applyBorder="1" applyAlignment="1">
      <alignment horizontal="right" vertical="center" wrapText="1"/>
    </xf>
    <xf numFmtId="43" fontId="14" fillId="4" borderId="2" xfId="3" applyFont="1" applyFill="1" applyBorder="1" applyAlignment="1">
      <alignment horizontal="right" vertical="center" wrapText="1"/>
    </xf>
    <xf numFmtId="4" fontId="14" fillId="4" borderId="2" xfId="3" applyNumberFormat="1" applyFont="1" applyFill="1" applyBorder="1" applyAlignment="1">
      <alignment horizontal="right" vertical="center" wrapText="1"/>
    </xf>
    <xf numFmtId="167" fontId="18" fillId="5" borderId="2" xfId="6" applyNumberFormat="1" applyFont="1" applyFill="1" applyBorder="1" applyAlignment="1">
      <alignment horizontal="center" vertical="center"/>
    </xf>
    <xf numFmtId="0" fontId="18" fillId="5" borderId="0" xfId="6" applyFont="1" applyFill="1"/>
    <xf numFmtId="167" fontId="12" fillId="5" borderId="2" xfId="6" applyNumberFormat="1" applyFont="1" applyFill="1" applyBorder="1" applyAlignment="1">
      <alignment horizontal="center" vertical="center"/>
    </xf>
    <xf numFmtId="0" fontId="19" fillId="6" borderId="2" xfId="6" quotePrefix="1" applyFont="1" applyFill="1" applyBorder="1" applyAlignment="1">
      <alignment horizontal="left" vertical="top" wrapText="1"/>
    </xf>
    <xf numFmtId="0" fontId="20" fillId="6" borderId="2" xfId="6" applyFont="1" applyFill="1" applyBorder="1" applyAlignment="1">
      <alignment horizontal="center" vertical="center" wrapText="1"/>
    </xf>
    <xf numFmtId="4" fontId="20" fillId="6" borderId="2" xfId="6" applyNumberFormat="1" applyFont="1" applyFill="1" applyBorder="1" applyAlignment="1">
      <alignment horizontal="right" vertical="center"/>
    </xf>
    <xf numFmtId="10" fontId="20" fillId="6" borderId="2" xfId="4" applyNumberFormat="1" applyFont="1" applyFill="1" applyBorder="1" applyAlignment="1">
      <alignment horizontal="center" vertical="center"/>
    </xf>
    <xf numFmtId="43" fontId="20" fillId="6" borderId="2" xfId="3" applyFont="1" applyFill="1" applyBorder="1" applyAlignment="1">
      <alignment horizontal="center" vertical="center"/>
    </xf>
    <xf numFmtId="0" fontId="21" fillId="6" borderId="0" xfId="6" applyFont="1" applyFill="1"/>
    <xf numFmtId="0" fontId="22" fillId="2" borderId="2" xfId="6" quotePrefix="1" applyFont="1" applyFill="1" applyBorder="1" applyAlignment="1">
      <alignment horizontal="left" vertical="top" wrapText="1"/>
    </xf>
    <xf numFmtId="0" fontId="16" fillId="2" borderId="2" xfId="6" applyFont="1" applyFill="1" applyBorder="1" applyAlignment="1">
      <alignment horizontal="center" vertical="center" wrapText="1"/>
    </xf>
    <xf numFmtId="4" fontId="16" fillId="2" borderId="2" xfId="6" applyNumberFormat="1" applyFont="1" applyFill="1" applyBorder="1" applyAlignment="1">
      <alignment horizontal="right" vertical="center"/>
    </xf>
    <xf numFmtId="10" fontId="20" fillId="2" borderId="2" xfId="4" applyNumberFormat="1" applyFont="1" applyFill="1" applyBorder="1" applyAlignment="1">
      <alignment horizontal="center" vertical="center"/>
    </xf>
    <xf numFmtId="43" fontId="20" fillId="2" borderId="2" xfId="3" applyFont="1" applyFill="1" applyBorder="1" applyAlignment="1">
      <alignment horizontal="center" vertical="center"/>
    </xf>
    <xf numFmtId="0" fontId="18" fillId="6" borderId="0" xfId="6" applyFont="1" applyFill="1"/>
    <xf numFmtId="0" fontId="23" fillId="6" borderId="0" xfId="6" applyFont="1" applyFill="1"/>
    <xf numFmtId="2" fontId="18" fillId="5" borderId="2" xfId="6" applyNumberFormat="1" applyFont="1" applyFill="1" applyBorder="1" applyAlignment="1">
      <alignment horizontal="center" vertical="center"/>
    </xf>
    <xf numFmtId="0" fontId="18" fillId="6" borderId="0" xfId="6" applyFont="1" applyFill="1" applyAlignment="1">
      <alignment vertical="center"/>
    </xf>
    <xf numFmtId="0" fontId="21" fillId="6" borderId="0" xfId="6" applyFont="1" applyFill="1" applyAlignment="1">
      <alignment vertical="center"/>
    </xf>
    <xf numFmtId="0" fontId="22" fillId="6" borderId="2" xfId="6" quotePrefix="1" applyFont="1" applyFill="1" applyBorder="1" applyAlignment="1">
      <alignment horizontal="left" vertical="top" wrapText="1"/>
    </xf>
    <xf numFmtId="0" fontId="16" fillId="6" borderId="2" xfId="6" applyFont="1" applyFill="1" applyBorder="1" applyAlignment="1">
      <alignment horizontal="center" vertical="center" wrapText="1"/>
    </xf>
    <xf numFmtId="4" fontId="16" fillId="6" borderId="2" xfId="6" applyNumberFormat="1" applyFont="1" applyFill="1" applyBorder="1" applyAlignment="1">
      <alignment horizontal="right" vertical="center"/>
    </xf>
    <xf numFmtId="0" fontId="22" fillId="7" borderId="2" xfId="6" quotePrefix="1" applyFont="1" applyFill="1" applyBorder="1" applyAlignment="1">
      <alignment horizontal="left" vertical="top" wrapText="1"/>
    </xf>
    <xf numFmtId="0" fontId="16" fillId="7" borderId="2" xfId="6" applyFont="1" applyFill="1" applyBorder="1" applyAlignment="1">
      <alignment horizontal="center" vertical="center" wrapText="1"/>
    </xf>
    <xf numFmtId="4" fontId="16" fillId="7" borderId="2" xfId="6" applyNumberFormat="1" applyFont="1" applyFill="1" applyBorder="1" applyAlignment="1">
      <alignment horizontal="right" vertical="center"/>
    </xf>
    <xf numFmtId="10" fontId="16" fillId="7" borderId="2" xfId="4" applyNumberFormat="1" applyFont="1" applyFill="1" applyBorder="1" applyAlignment="1">
      <alignment horizontal="center" vertical="center"/>
    </xf>
    <xf numFmtId="0" fontId="24" fillId="6" borderId="0" xfId="6" applyFont="1" applyFill="1"/>
    <xf numFmtId="0" fontId="25" fillId="6" borderId="0" xfId="6" applyFont="1" applyFill="1" applyAlignment="1">
      <alignment horizontal="center" vertical="center"/>
    </xf>
    <xf numFmtId="49" fontId="14" fillId="6" borderId="0" xfId="6" applyNumberFormat="1" applyFont="1" applyFill="1" applyAlignment="1">
      <alignment horizontal="center" vertical="center" wrapText="1"/>
    </xf>
    <xf numFmtId="2" fontId="13" fillId="6" borderId="0" xfId="6" applyNumberFormat="1" applyFont="1" applyFill="1" applyAlignment="1">
      <alignment horizontal="right" vertical="center"/>
    </xf>
    <xf numFmtId="0" fontId="27" fillId="0" borderId="0" xfId="6" applyFont="1"/>
    <xf numFmtId="4" fontId="13" fillId="0" borderId="0" xfId="3" applyNumberFormat="1" applyFont="1" applyAlignment="1">
      <alignment horizontal="right"/>
    </xf>
    <xf numFmtId="0" fontId="14" fillId="6" borderId="0" xfId="6" applyFont="1" applyFill="1" applyAlignment="1">
      <alignment horizontal="center" vertical="center"/>
    </xf>
    <xf numFmtId="0" fontId="4" fillId="0" borderId="0" xfId="2" applyFont="1" applyAlignment="1">
      <alignment horizontal="center"/>
    </xf>
    <xf numFmtId="0" fontId="4" fillId="0" borderId="0" xfId="2" applyFont="1"/>
    <xf numFmtId="0" fontId="14" fillId="3" borderId="2" xfId="6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6" fillId="3" borderId="2" xfId="6" applyFont="1" applyFill="1" applyBorder="1" applyAlignment="1">
      <alignment horizontal="center" vertical="center" wrapText="1"/>
    </xf>
    <xf numFmtId="0" fontId="14" fillId="0" borderId="1" xfId="6" applyFont="1" applyBorder="1" applyAlignment="1">
      <alignment horizontal="center" wrapText="1"/>
    </xf>
    <xf numFmtId="0" fontId="0" fillId="0" borderId="1" xfId="0" applyBorder="1"/>
    <xf numFmtId="168" fontId="14" fillId="3" borderId="2" xfId="6" applyNumberFormat="1" applyFont="1" applyFill="1" applyBorder="1" applyAlignment="1">
      <alignment horizontal="right" vertical="center" wrapText="1"/>
    </xf>
    <xf numFmtId="0" fontId="14" fillId="4" borderId="2" xfId="6" applyFont="1" applyFill="1" applyBorder="1" applyAlignment="1">
      <alignment horizontal="center" vertical="center" wrapText="1"/>
    </xf>
    <xf numFmtId="0" fontId="0" fillId="0" borderId="6" xfId="0" applyBorder="1"/>
    <xf numFmtId="169" fontId="14" fillId="3" borderId="2" xfId="6" applyNumberFormat="1" applyFont="1" applyFill="1" applyBorder="1" applyAlignment="1">
      <alignment horizontal="right" vertical="center" wrapText="1"/>
    </xf>
    <xf numFmtId="2" fontId="14" fillId="3" borderId="2" xfId="6" applyNumberFormat="1" applyFont="1" applyFill="1" applyBorder="1" applyAlignment="1">
      <alignment horizontal="right" vertical="center" wrapText="1"/>
    </xf>
    <xf numFmtId="43" fontId="6" fillId="0" borderId="0" xfId="3" applyFont="1" applyAlignment="1">
      <alignment horizontal="center" vertical="center"/>
    </xf>
    <xf numFmtId="49" fontId="14" fillId="3" borderId="2" xfId="6" applyNumberFormat="1" applyFont="1" applyFill="1" applyBorder="1" applyAlignment="1">
      <alignment horizontal="center" vertical="center" wrapText="1"/>
    </xf>
    <xf numFmtId="14" fontId="7" fillId="0" borderId="0" xfId="5" applyNumberFormat="1" applyFont="1" applyAlignment="1">
      <alignment horizontal="left" vertical="center"/>
    </xf>
    <xf numFmtId="0" fontId="0" fillId="0" borderId="5" xfId="0" applyBorder="1"/>
  </cellXfs>
  <cellStyles count="7">
    <cellStyle name="Comma" xfId="1" builtinId="3"/>
    <cellStyle name="Comma 2" xfId="3" xr:uid="{00000000-0005-0000-0000-000003000000}"/>
    <cellStyle name="Normal" xfId="0" builtinId="0"/>
    <cellStyle name="Normal 2 4" xfId="6" xr:uid="{00000000-0005-0000-0000-000006000000}"/>
    <cellStyle name="Normal 4" xfId="2" xr:uid="{00000000-0005-0000-0000-000002000000}"/>
    <cellStyle name="Normal 59" xfId="5" xr:uid="{00000000-0005-0000-0000-000005000000}"/>
    <cellStyle name="Percent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  <pageSetUpPr fitToPage="1"/>
  </sheetPr>
  <dimension ref="A1:BC2377"/>
  <sheetViews>
    <sheetView tabSelected="1" view="pageBreakPreview" zoomScale="70" zoomScaleNormal="70" zoomScaleSheetLayoutView="70" workbookViewId="0">
      <pane ySplit="9" topLeftCell="A217" activePane="bottomLeft" state="frozen"/>
      <selection pane="bottomLeft" activeCell="D231" sqref="D231"/>
    </sheetView>
  </sheetViews>
  <sheetFormatPr defaultColWidth="8.88671875" defaultRowHeight="15.6" outlineLevelRow="1" x14ac:dyDescent="0.3"/>
  <cols>
    <col min="1" max="1" width="13" style="15" customWidth="1"/>
    <col min="2" max="2" width="60.77734375" style="16" customWidth="1"/>
    <col min="3" max="3" width="25.5546875" style="17" customWidth="1"/>
    <col min="4" max="4" width="15.5546875" style="18" customWidth="1"/>
    <col min="5" max="5" width="13.44140625" style="18" customWidth="1"/>
    <col min="6" max="6" width="17.6640625" style="18" customWidth="1"/>
    <col min="7" max="7" width="15.88671875" style="19" customWidth="1"/>
    <col min="8" max="8" width="18" style="20" customWidth="1"/>
    <col min="9" max="9" width="14.5546875" style="19" customWidth="1"/>
    <col min="10" max="10" width="17.6640625" style="62" customWidth="1"/>
    <col min="11" max="11" width="14.5546875" style="21" customWidth="1"/>
    <col min="12" max="12" width="16.109375" style="20" customWidth="1"/>
    <col min="13" max="49" width="8.88671875" style="22" customWidth="1"/>
    <col min="50" max="50" width="11.33203125" style="22" customWidth="1"/>
    <col min="51" max="51" width="18.44140625" style="22" customWidth="1"/>
    <col min="52" max="52" width="18.44140625" style="23" customWidth="1"/>
    <col min="53" max="54" width="8.88671875" style="22" customWidth="1"/>
    <col min="55" max="55" width="8.88671875" style="24" customWidth="1"/>
    <col min="56" max="56" width="8.88671875" style="22" customWidth="1"/>
    <col min="57" max="16384" width="8.88671875" style="22"/>
  </cols>
  <sheetData>
    <row r="1" spans="1:55" s="4" customFormat="1" ht="27.75" customHeight="1" x14ac:dyDescent="0.3">
      <c r="A1" s="1"/>
      <c r="B1" s="2" t="s">
        <v>0</v>
      </c>
      <c r="C1" s="64"/>
      <c r="D1" s="65"/>
      <c r="E1" s="65"/>
      <c r="F1" s="65"/>
      <c r="G1" s="65"/>
      <c r="H1" s="65"/>
      <c r="I1" s="65"/>
      <c r="J1" s="65"/>
      <c r="K1" s="65"/>
      <c r="L1" s="3"/>
      <c r="AZ1" s="5"/>
      <c r="BC1" s="6"/>
    </row>
    <row r="2" spans="1:55" s="4" customFormat="1" ht="27.75" customHeight="1" x14ac:dyDescent="0.3">
      <c r="A2" s="1"/>
      <c r="B2" s="2" t="s">
        <v>1</v>
      </c>
      <c r="D2" s="7"/>
      <c r="E2" s="7"/>
      <c r="F2" s="7"/>
      <c r="G2" s="8"/>
      <c r="H2" s="9"/>
      <c r="I2" s="10"/>
      <c r="J2" s="11"/>
      <c r="K2" s="8"/>
      <c r="L2" s="77" t="s">
        <v>2</v>
      </c>
      <c r="AZ2" s="5"/>
      <c r="BC2" s="6"/>
    </row>
    <row r="3" spans="1:55" s="4" customFormat="1" ht="27.75" customHeight="1" x14ac:dyDescent="0.3">
      <c r="A3" s="1"/>
      <c r="B3" s="2" t="s">
        <v>3</v>
      </c>
      <c r="D3" s="7"/>
      <c r="E3" s="7"/>
      <c r="F3" s="7"/>
      <c r="G3" s="8"/>
      <c r="H3" s="9"/>
      <c r="I3" s="10"/>
      <c r="J3" s="11"/>
      <c r="K3" s="8"/>
      <c r="L3" s="65"/>
      <c r="AZ3" s="5"/>
      <c r="BC3" s="6"/>
    </row>
    <row r="4" spans="1:55" s="4" customFormat="1" ht="27.75" customHeight="1" x14ac:dyDescent="0.3">
      <c r="A4" s="1"/>
      <c r="B4" s="2" t="s">
        <v>4</v>
      </c>
      <c r="D4" s="7"/>
      <c r="E4" s="7"/>
      <c r="F4" s="7"/>
      <c r="G4" s="8"/>
      <c r="H4" s="9"/>
      <c r="I4" s="10"/>
      <c r="J4" s="12" t="s">
        <v>5</v>
      </c>
      <c r="K4" s="13"/>
      <c r="L4" s="65"/>
      <c r="AZ4" s="5"/>
      <c r="BC4" s="6"/>
    </row>
    <row r="5" spans="1:55" s="4" customFormat="1" ht="27.75" customHeight="1" x14ac:dyDescent="0.3">
      <c r="A5" s="1"/>
      <c r="B5" s="2" t="s">
        <v>6</v>
      </c>
      <c r="C5" s="14">
        <f>F2375</f>
        <v>3811193.3565495126</v>
      </c>
      <c r="D5" s="7"/>
      <c r="E5" s="7"/>
      <c r="F5" s="7"/>
      <c r="G5" s="8"/>
      <c r="H5" s="9"/>
      <c r="I5" s="10"/>
      <c r="J5" s="12" t="s">
        <v>7</v>
      </c>
      <c r="K5" s="79"/>
      <c r="L5" s="65"/>
      <c r="AZ5" s="5"/>
      <c r="BC5" s="6"/>
    </row>
    <row r="6" spans="1:55" ht="19.5" customHeight="1" x14ac:dyDescent="0.3">
      <c r="I6" s="70"/>
      <c r="J6" s="71"/>
    </row>
    <row r="7" spans="1:55" s="25" customFormat="1" ht="31.5" customHeight="1" x14ac:dyDescent="0.3">
      <c r="A7" s="69" t="s">
        <v>8</v>
      </c>
      <c r="B7" s="78" t="s">
        <v>9</v>
      </c>
      <c r="C7" s="66" t="s">
        <v>10</v>
      </c>
      <c r="D7" s="76" t="s">
        <v>11</v>
      </c>
      <c r="E7" s="72" t="s">
        <v>12</v>
      </c>
      <c r="F7" s="75" t="s">
        <v>13</v>
      </c>
      <c r="G7" s="73" t="s">
        <v>14</v>
      </c>
      <c r="H7" s="80"/>
      <c r="I7" s="80"/>
      <c r="J7" s="80"/>
      <c r="K7" s="80"/>
      <c r="L7" s="74"/>
      <c r="AZ7" s="26"/>
      <c r="BC7" s="27"/>
    </row>
    <row r="8" spans="1:55" s="25" customFormat="1" ht="56.25" customHeight="1" x14ac:dyDescent="0.3">
      <c r="A8" s="67"/>
      <c r="B8" s="67"/>
      <c r="C8" s="67"/>
      <c r="D8" s="67"/>
      <c r="E8" s="67"/>
      <c r="F8" s="67"/>
      <c r="G8" s="73" t="s">
        <v>15</v>
      </c>
      <c r="H8" s="74"/>
      <c r="I8" s="73" t="s">
        <v>16</v>
      </c>
      <c r="J8" s="74"/>
      <c r="K8" s="73" t="s">
        <v>17</v>
      </c>
      <c r="L8" s="74"/>
      <c r="AZ8" s="26"/>
      <c r="BC8" s="27"/>
    </row>
    <row r="9" spans="1:55" s="25" customFormat="1" ht="72.75" customHeight="1" x14ac:dyDescent="0.25">
      <c r="A9" s="68"/>
      <c r="B9" s="68"/>
      <c r="C9" s="68"/>
      <c r="D9" s="68"/>
      <c r="E9" s="68"/>
      <c r="F9" s="68"/>
      <c r="G9" s="28" t="s">
        <v>18</v>
      </c>
      <c r="H9" s="29" t="s">
        <v>19</v>
      </c>
      <c r="I9" s="28" t="s">
        <v>20</v>
      </c>
      <c r="J9" s="30" t="s">
        <v>21</v>
      </c>
      <c r="K9" s="30" t="s">
        <v>22</v>
      </c>
      <c r="L9" s="29" t="s">
        <v>23</v>
      </c>
      <c r="AZ9" s="26"/>
      <c r="BC9" s="27"/>
    </row>
    <row r="10" spans="1:55" s="32" customFormat="1" ht="15.45" customHeight="1" x14ac:dyDescent="0.3">
      <c r="A10" s="31"/>
      <c r="B10" s="40" t="s">
        <v>24</v>
      </c>
      <c r="C10" s="41">
        <v>0</v>
      </c>
      <c r="D10" s="42"/>
      <c r="E10" s="42"/>
      <c r="F10" s="42"/>
      <c r="G10" s="43"/>
      <c r="H10" s="44"/>
      <c r="I10" s="43"/>
      <c r="J10" s="44"/>
      <c r="K10" s="43"/>
      <c r="L10" s="44">
        <v>0</v>
      </c>
    </row>
    <row r="11" spans="1:55" s="39" customFormat="1" ht="15.45" customHeight="1" outlineLevel="1" x14ac:dyDescent="0.25">
      <c r="A11" s="31" t="s">
        <v>25</v>
      </c>
      <c r="B11" s="40" t="s">
        <v>26</v>
      </c>
      <c r="C11" s="41">
        <v>0</v>
      </c>
      <c r="D11" s="42"/>
      <c r="E11" s="42"/>
      <c r="F11" s="42"/>
      <c r="G11" s="43"/>
      <c r="H11" s="44"/>
      <c r="I11" s="43"/>
      <c r="J11" s="44"/>
      <c r="K11" s="43"/>
      <c r="L11" s="44">
        <v>0</v>
      </c>
    </row>
    <row r="12" spans="1:55" s="39" customFormat="1" ht="43.5" customHeight="1" outlineLevel="1" x14ac:dyDescent="0.25">
      <c r="A12" s="33">
        <v>13</v>
      </c>
      <c r="B12" s="34" t="s">
        <v>27</v>
      </c>
      <c r="C12" s="35" t="s">
        <v>28</v>
      </c>
      <c r="D12" s="36">
        <v>110</v>
      </c>
      <c r="E12" s="36">
        <v>59.996000000000002</v>
      </c>
      <c r="F12" s="36">
        <f>+E12*D12</f>
        <v>6599.56</v>
      </c>
      <c r="G12" s="37">
        <f>I12+K12</f>
        <v>0</v>
      </c>
      <c r="H12" s="38">
        <f>J12+L12</f>
        <v>0</v>
      </c>
      <c r="I12" s="37">
        <f>J12/F12</f>
        <v>0</v>
      </c>
      <c r="J12" s="38">
        <v>0</v>
      </c>
      <c r="K12" s="37">
        <f>L12/F12</f>
        <v>0</v>
      </c>
      <c r="L12" s="38">
        <v>0</v>
      </c>
    </row>
    <row r="13" spans="1:55" s="39" customFormat="1" ht="28.95" customHeight="1" outlineLevel="1" x14ac:dyDescent="0.25">
      <c r="A13" s="33">
        <v>21</v>
      </c>
      <c r="B13" s="34" t="s">
        <v>29</v>
      </c>
      <c r="C13" s="35" t="s">
        <v>30</v>
      </c>
      <c r="D13" s="36">
        <v>0.249</v>
      </c>
      <c r="E13" s="36">
        <v>3306</v>
      </c>
      <c r="F13" s="36">
        <f>+E13*D13</f>
        <v>823.19399999999996</v>
      </c>
      <c r="G13" s="37">
        <f>I13+K13</f>
        <v>0</v>
      </c>
      <c r="H13" s="38">
        <f>J13+L13</f>
        <v>0</v>
      </c>
      <c r="I13" s="37">
        <f>J13/F13</f>
        <v>0</v>
      </c>
      <c r="J13" s="38">
        <v>0</v>
      </c>
      <c r="K13" s="37">
        <f>L13/F13</f>
        <v>0</v>
      </c>
      <c r="L13" s="38">
        <v>0</v>
      </c>
    </row>
    <row r="14" spans="1:55" s="39" customFormat="1" ht="15.45" customHeight="1" outlineLevel="1" x14ac:dyDescent="0.25">
      <c r="A14" s="31" t="s">
        <v>31</v>
      </c>
      <c r="B14" s="40" t="s">
        <v>32</v>
      </c>
      <c r="C14" s="41">
        <v>0</v>
      </c>
      <c r="D14" s="42"/>
      <c r="E14" s="42"/>
      <c r="F14" s="42"/>
      <c r="G14" s="43"/>
      <c r="H14" s="44"/>
      <c r="I14" s="43"/>
      <c r="J14" s="44"/>
      <c r="K14" s="43"/>
      <c r="L14" s="44">
        <v>0</v>
      </c>
    </row>
    <row r="15" spans="1:55" s="45" customFormat="1" ht="15.45" customHeight="1" x14ac:dyDescent="0.3">
      <c r="A15" s="33">
        <v>2</v>
      </c>
      <c r="B15" s="34" t="s">
        <v>33</v>
      </c>
      <c r="C15" s="35" t="s">
        <v>28</v>
      </c>
      <c r="D15" s="36">
        <v>1344</v>
      </c>
      <c r="E15" s="36">
        <v>2.65</v>
      </c>
      <c r="F15" s="36">
        <f>+E15*D15</f>
        <v>3561.6</v>
      </c>
      <c r="G15" s="37">
        <f>I15+K15</f>
        <v>0</v>
      </c>
      <c r="H15" s="38">
        <f>J15+L15</f>
        <v>0</v>
      </c>
      <c r="I15" s="37">
        <f>J15/F15</f>
        <v>0</v>
      </c>
      <c r="J15" s="38">
        <v>0</v>
      </c>
      <c r="K15" s="37">
        <f>L15/F15</f>
        <v>0</v>
      </c>
      <c r="L15" s="38">
        <v>0</v>
      </c>
    </row>
    <row r="16" spans="1:55" s="39" customFormat="1" ht="28.95" customHeight="1" outlineLevel="1" x14ac:dyDescent="0.25">
      <c r="A16" s="33">
        <v>11</v>
      </c>
      <c r="B16" s="34" t="s">
        <v>34</v>
      </c>
      <c r="C16" s="35" t="s">
        <v>28</v>
      </c>
      <c r="D16" s="36">
        <v>43.8</v>
      </c>
      <c r="E16" s="36">
        <v>39.170284000000009</v>
      </c>
      <c r="F16" s="36">
        <f>+E16*D16</f>
        <v>1715.6584392000002</v>
      </c>
      <c r="G16" s="37">
        <f>I16+K16</f>
        <v>0</v>
      </c>
      <c r="H16" s="38">
        <f>J16+L16</f>
        <v>0</v>
      </c>
      <c r="I16" s="37">
        <f>J16/F16</f>
        <v>0</v>
      </c>
      <c r="J16" s="38">
        <v>0</v>
      </c>
      <c r="K16" s="37">
        <f>L16/F16</f>
        <v>0</v>
      </c>
      <c r="L16" s="38">
        <v>0</v>
      </c>
    </row>
    <row r="17" spans="1:12" s="39" customFormat="1" ht="15.45" customHeight="1" outlineLevel="1" x14ac:dyDescent="0.25">
      <c r="A17" s="31" t="s">
        <v>35</v>
      </c>
      <c r="B17" s="40" t="s">
        <v>36</v>
      </c>
      <c r="C17" s="41">
        <v>0</v>
      </c>
      <c r="D17" s="42"/>
      <c r="E17" s="42"/>
      <c r="F17" s="42"/>
      <c r="G17" s="43"/>
      <c r="H17" s="44"/>
      <c r="I17" s="43"/>
      <c r="J17" s="44"/>
      <c r="K17" s="43"/>
      <c r="L17" s="44">
        <v>0</v>
      </c>
    </row>
    <row r="18" spans="1:12" s="39" customFormat="1" ht="28.95" customHeight="1" outlineLevel="1" x14ac:dyDescent="0.25">
      <c r="A18" s="33">
        <v>1</v>
      </c>
      <c r="B18" s="34" t="s">
        <v>37</v>
      </c>
      <c r="C18" s="35" t="s">
        <v>28</v>
      </c>
      <c r="D18" s="36">
        <v>1333.6</v>
      </c>
      <c r="E18" s="36">
        <v>2.84</v>
      </c>
      <c r="F18" s="36">
        <f>+E18*D18</f>
        <v>3787.4239999999995</v>
      </c>
      <c r="G18" s="37">
        <f>I18+K18</f>
        <v>0</v>
      </c>
      <c r="H18" s="38">
        <f>J18+L18</f>
        <v>0</v>
      </c>
      <c r="I18" s="37">
        <f>J18/F18</f>
        <v>0</v>
      </c>
      <c r="J18" s="38">
        <v>0</v>
      </c>
      <c r="K18" s="37">
        <f>L18/F18</f>
        <v>0</v>
      </c>
      <c r="L18" s="38">
        <v>0</v>
      </c>
    </row>
    <row r="19" spans="1:12" s="39" customFormat="1" ht="28.95" customHeight="1" outlineLevel="1" x14ac:dyDescent="0.25">
      <c r="A19" s="33">
        <v>7</v>
      </c>
      <c r="B19" s="34" t="s">
        <v>38</v>
      </c>
      <c r="C19" s="35" t="s">
        <v>28</v>
      </c>
      <c r="D19" s="36">
        <v>3260</v>
      </c>
      <c r="E19" s="36">
        <v>10.837234</v>
      </c>
      <c r="F19" s="36">
        <f>+E19*D19</f>
        <v>35329.382839999998</v>
      </c>
      <c r="G19" s="37">
        <f>I19+K19</f>
        <v>0</v>
      </c>
      <c r="H19" s="38">
        <f>J19+L19</f>
        <v>0</v>
      </c>
      <c r="I19" s="37">
        <f>J19/F19</f>
        <v>0</v>
      </c>
      <c r="J19" s="38">
        <v>0</v>
      </c>
      <c r="K19" s="37">
        <f>L19/F19</f>
        <v>0</v>
      </c>
      <c r="L19" s="38">
        <v>0</v>
      </c>
    </row>
    <row r="20" spans="1:12" s="39" customFormat="1" ht="28.95" customHeight="1" outlineLevel="1" x14ac:dyDescent="0.25">
      <c r="A20" s="31" t="s">
        <v>39</v>
      </c>
      <c r="B20" s="40" t="s">
        <v>40</v>
      </c>
      <c r="C20" s="41">
        <v>0</v>
      </c>
      <c r="D20" s="42"/>
      <c r="E20" s="42"/>
      <c r="F20" s="42"/>
      <c r="G20" s="43"/>
      <c r="H20" s="44"/>
      <c r="I20" s="43"/>
      <c r="J20" s="44"/>
      <c r="K20" s="43"/>
      <c r="L20" s="44">
        <v>0</v>
      </c>
    </row>
    <row r="21" spans="1:12" s="39" customFormat="1" ht="15.45" customHeight="1" outlineLevel="1" x14ac:dyDescent="0.25">
      <c r="A21" s="33">
        <v>1</v>
      </c>
      <c r="B21" s="34" t="s">
        <v>41</v>
      </c>
      <c r="C21" s="35" t="s">
        <v>42</v>
      </c>
      <c r="D21" s="36">
        <v>1.5</v>
      </c>
      <c r="E21" s="36">
        <v>36.616</v>
      </c>
      <c r="F21" s="36">
        <f t="shared" ref="F21:F29" si="0">+E21*D21</f>
        <v>54.923999999999999</v>
      </c>
      <c r="G21" s="37">
        <f t="shared" ref="G21:G29" si="1">I21+K21</f>
        <v>0</v>
      </c>
      <c r="H21" s="38">
        <f t="shared" ref="H21:H29" si="2">J21+L21</f>
        <v>0</v>
      </c>
      <c r="I21" s="37">
        <f t="shared" ref="I21:I29" si="3">J21/F21</f>
        <v>0</v>
      </c>
      <c r="J21" s="38">
        <v>0</v>
      </c>
      <c r="K21" s="37">
        <f t="shared" ref="K21:K29" si="4">L21/F21</f>
        <v>0</v>
      </c>
      <c r="L21" s="38">
        <v>0</v>
      </c>
    </row>
    <row r="22" spans="1:12" s="39" customFormat="1" ht="15.45" customHeight="1" outlineLevel="1" x14ac:dyDescent="0.25">
      <c r="A22" s="33">
        <v>2</v>
      </c>
      <c r="B22" s="34" t="s">
        <v>43</v>
      </c>
      <c r="C22" s="35" t="s">
        <v>42</v>
      </c>
      <c r="D22" s="36">
        <v>1.5</v>
      </c>
      <c r="E22" s="36">
        <v>124.1</v>
      </c>
      <c r="F22" s="36">
        <f t="shared" si="0"/>
        <v>186.14999999999998</v>
      </c>
      <c r="G22" s="37">
        <f t="shared" si="1"/>
        <v>0</v>
      </c>
      <c r="H22" s="38">
        <f t="shared" si="2"/>
        <v>0</v>
      </c>
      <c r="I22" s="37">
        <f t="shared" si="3"/>
        <v>0</v>
      </c>
      <c r="J22" s="38">
        <v>0</v>
      </c>
      <c r="K22" s="37">
        <f t="shared" si="4"/>
        <v>0</v>
      </c>
      <c r="L22" s="38">
        <v>0</v>
      </c>
    </row>
    <row r="23" spans="1:12" s="45" customFormat="1" ht="15.45" customHeight="1" x14ac:dyDescent="0.3">
      <c r="A23" s="33">
        <v>3</v>
      </c>
      <c r="B23" s="34" t="s">
        <v>44</v>
      </c>
      <c r="C23" s="35" t="s">
        <v>42</v>
      </c>
      <c r="D23" s="36">
        <v>3.16</v>
      </c>
      <c r="E23" s="36">
        <v>362.2</v>
      </c>
      <c r="F23" s="36">
        <f t="shared" si="0"/>
        <v>1144.5519999999999</v>
      </c>
      <c r="G23" s="37">
        <f t="shared" si="1"/>
        <v>0</v>
      </c>
      <c r="H23" s="38">
        <f t="shared" si="2"/>
        <v>0</v>
      </c>
      <c r="I23" s="37">
        <f t="shared" si="3"/>
        <v>0</v>
      </c>
      <c r="J23" s="38">
        <v>0</v>
      </c>
      <c r="K23" s="37">
        <f t="shared" si="4"/>
        <v>0</v>
      </c>
      <c r="L23" s="38">
        <v>0</v>
      </c>
    </row>
    <row r="24" spans="1:12" s="39" customFormat="1" ht="15.45" customHeight="1" outlineLevel="1" x14ac:dyDescent="0.25">
      <c r="A24" s="33">
        <v>4</v>
      </c>
      <c r="B24" s="34" t="s">
        <v>45</v>
      </c>
      <c r="C24" s="35" t="s">
        <v>30</v>
      </c>
      <c r="D24" s="36">
        <v>0.06</v>
      </c>
      <c r="E24" s="36">
        <v>1325.1</v>
      </c>
      <c r="F24" s="36">
        <f t="shared" si="0"/>
        <v>79.505999999999986</v>
      </c>
      <c r="G24" s="37">
        <f t="shared" si="1"/>
        <v>0</v>
      </c>
      <c r="H24" s="38">
        <f t="shared" si="2"/>
        <v>0</v>
      </c>
      <c r="I24" s="37">
        <f t="shared" si="3"/>
        <v>0</v>
      </c>
      <c r="J24" s="38">
        <v>0</v>
      </c>
      <c r="K24" s="37">
        <f t="shared" si="4"/>
        <v>0</v>
      </c>
      <c r="L24" s="38">
        <v>0</v>
      </c>
    </row>
    <row r="25" spans="1:12" s="39" customFormat="1" ht="15.45" customHeight="1" outlineLevel="1" x14ac:dyDescent="0.25">
      <c r="A25" s="33">
        <v>5</v>
      </c>
      <c r="B25" s="34" t="s">
        <v>46</v>
      </c>
      <c r="C25" s="35" t="s">
        <v>30</v>
      </c>
      <c r="D25" s="36">
        <v>0.14199999999999999</v>
      </c>
      <c r="E25" s="36">
        <v>1200.0999999999999</v>
      </c>
      <c r="F25" s="36">
        <f t="shared" si="0"/>
        <v>170.41419999999997</v>
      </c>
      <c r="G25" s="37">
        <f t="shared" si="1"/>
        <v>0</v>
      </c>
      <c r="H25" s="38">
        <f t="shared" si="2"/>
        <v>0</v>
      </c>
      <c r="I25" s="37">
        <f t="shared" si="3"/>
        <v>0</v>
      </c>
      <c r="J25" s="38">
        <v>0</v>
      </c>
      <c r="K25" s="37">
        <f t="shared" si="4"/>
        <v>0</v>
      </c>
      <c r="L25" s="38">
        <v>0</v>
      </c>
    </row>
    <row r="26" spans="1:12" s="39" customFormat="1" ht="15.45" customHeight="1" outlineLevel="1" x14ac:dyDescent="0.25">
      <c r="A26" s="33">
        <v>6</v>
      </c>
      <c r="B26" s="34" t="s">
        <v>47</v>
      </c>
      <c r="C26" s="35" t="s">
        <v>28</v>
      </c>
      <c r="D26" s="36">
        <v>18.5</v>
      </c>
      <c r="E26" s="36">
        <v>5.4732580000000004</v>
      </c>
      <c r="F26" s="36">
        <f t="shared" si="0"/>
        <v>101.255273</v>
      </c>
      <c r="G26" s="37">
        <f t="shared" si="1"/>
        <v>0</v>
      </c>
      <c r="H26" s="38">
        <f t="shared" si="2"/>
        <v>0</v>
      </c>
      <c r="I26" s="37">
        <f t="shared" si="3"/>
        <v>0</v>
      </c>
      <c r="J26" s="38">
        <v>0</v>
      </c>
      <c r="K26" s="37">
        <f t="shared" si="4"/>
        <v>0</v>
      </c>
      <c r="L26" s="38">
        <v>0</v>
      </c>
    </row>
    <row r="27" spans="1:12" s="39" customFormat="1" ht="28.95" customHeight="1" outlineLevel="1" x14ac:dyDescent="0.25">
      <c r="A27" s="33">
        <v>7</v>
      </c>
      <c r="B27" s="34" t="s">
        <v>48</v>
      </c>
      <c r="C27" s="35" t="s">
        <v>28</v>
      </c>
      <c r="D27" s="36">
        <v>18.5</v>
      </c>
      <c r="E27" s="36">
        <v>30.7</v>
      </c>
      <c r="F27" s="36">
        <f t="shared" si="0"/>
        <v>567.94999999999993</v>
      </c>
      <c r="G27" s="37">
        <f t="shared" si="1"/>
        <v>0</v>
      </c>
      <c r="H27" s="38">
        <f t="shared" si="2"/>
        <v>0</v>
      </c>
      <c r="I27" s="37">
        <f t="shared" si="3"/>
        <v>0</v>
      </c>
      <c r="J27" s="38">
        <v>0</v>
      </c>
      <c r="K27" s="37">
        <f t="shared" si="4"/>
        <v>0</v>
      </c>
      <c r="L27" s="38">
        <v>0</v>
      </c>
    </row>
    <row r="28" spans="1:12" s="39" customFormat="1" ht="15.45" customHeight="1" outlineLevel="1" x14ac:dyDescent="0.25">
      <c r="A28" s="33">
        <v>8</v>
      </c>
      <c r="B28" s="34" t="s">
        <v>49</v>
      </c>
      <c r="C28" s="35" t="s">
        <v>50</v>
      </c>
      <c r="D28" s="36">
        <v>13.2</v>
      </c>
      <c r="E28" s="36">
        <v>40.9</v>
      </c>
      <c r="F28" s="36">
        <f t="shared" si="0"/>
        <v>539.88</v>
      </c>
      <c r="G28" s="37">
        <f t="shared" si="1"/>
        <v>0</v>
      </c>
      <c r="H28" s="38">
        <f t="shared" si="2"/>
        <v>0</v>
      </c>
      <c r="I28" s="37">
        <f t="shared" si="3"/>
        <v>0</v>
      </c>
      <c r="J28" s="38">
        <v>0</v>
      </c>
      <c r="K28" s="37">
        <f t="shared" si="4"/>
        <v>0</v>
      </c>
      <c r="L28" s="38">
        <v>0</v>
      </c>
    </row>
    <row r="29" spans="1:12" s="39" customFormat="1" ht="28.95" customHeight="1" outlineLevel="1" x14ac:dyDescent="0.25">
      <c r="A29" s="33">
        <v>9</v>
      </c>
      <c r="B29" s="34" t="s">
        <v>51</v>
      </c>
      <c r="C29" s="35" t="s">
        <v>30</v>
      </c>
      <c r="D29" s="36">
        <v>8.7999999999999995E-2</v>
      </c>
      <c r="E29" s="36">
        <v>1887.2</v>
      </c>
      <c r="F29" s="36">
        <f t="shared" si="0"/>
        <v>166.0736</v>
      </c>
      <c r="G29" s="37">
        <f t="shared" si="1"/>
        <v>0</v>
      </c>
      <c r="H29" s="38">
        <f t="shared" si="2"/>
        <v>0</v>
      </c>
      <c r="I29" s="37">
        <f t="shared" si="3"/>
        <v>0</v>
      </c>
      <c r="J29" s="38">
        <v>0</v>
      </c>
      <c r="K29" s="37">
        <f t="shared" si="4"/>
        <v>0</v>
      </c>
      <c r="L29" s="38">
        <v>0</v>
      </c>
    </row>
    <row r="30" spans="1:12" s="39" customFormat="1" ht="15.45" customHeight="1" outlineLevel="1" x14ac:dyDescent="0.25">
      <c r="A30" s="31" t="s">
        <v>52</v>
      </c>
      <c r="B30" s="40" t="s">
        <v>53</v>
      </c>
      <c r="C30" s="41">
        <v>0</v>
      </c>
      <c r="D30" s="42"/>
      <c r="E30" s="42"/>
      <c r="F30" s="42"/>
      <c r="G30" s="43"/>
      <c r="H30" s="44"/>
      <c r="I30" s="43"/>
      <c r="J30" s="44"/>
      <c r="K30" s="43"/>
      <c r="L30" s="44">
        <v>0</v>
      </c>
    </row>
    <row r="31" spans="1:12" s="39" customFormat="1" ht="28.95" customHeight="1" outlineLevel="1" x14ac:dyDescent="0.25">
      <c r="A31" s="33">
        <v>27</v>
      </c>
      <c r="B31" s="34" t="s">
        <v>54</v>
      </c>
      <c r="C31" s="35" t="s">
        <v>55</v>
      </c>
      <c r="D31" s="36">
        <v>1</v>
      </c>
      <c r="E31" s="36">
        <v>29.4862</v>
      </c>
      <c r="F31" s="36">
        <f>+E31*D31</f>
        <v>29.4862</v>
      </c>
      <c r="G31" s="37">
        <f>I31+K31</f>
        <v>0</v>
      </c>
      <c r="H31" s="38">
        <f>J31+L31</f>
        <v>0</v>
      </c>
      <c r="I31" s="37">
        <f>J31/F31</f>
        <v>0</v>
      </c>
      <c r="J31" s="38">
        <v>0</v>
      </c>
      <c r="K31" s="37">
        <f>L31/F31</f>
        <v>0</v>
      </c>
      <c r="L31" s="38">
        <v>0</v>
      </c>
    </row>
    <row r="32" spans="1:12" s="39" customFormat="1" ht="15.45" customHeight="1" outlineLevel="1" x14ac:dyDescent="0.25">
      <c r="A32" s="31" t="s">
        <v>56</v>
      </c>
      <c r="B32" s="40" t="s">
        <v>57</v>
      </c>
      <c r="C32" s="41">
        <v>0</v>
      </c>
      <c r="D32" s="42"/>
      <c r="E32" s="42"/>
      <c r="F32" s="42"/>
      <c r="G32" s="43"/>
      <c r="H32" s="44"/>
      <c r="I32" s="43"/>
      <c r="J32" s="44"/>
      <c r="K32" s="43"/>
      <c r="L32" s="44">
        <v>0</v>
      </c>
    </row>
    <row r="33" spans="1:12" s="39" customFormat="1" ht="28.95" customHeight="1" outlineLevel="1" x14ac:dyDescent="0.25">
      <c r="A33" s="33">
        <v>27</v>
      </c>
      <c r="B33" s="34" t="s">
        <v>54</v>
      </c>
      <c r="C33" s="35" t="s">
        <v>55</v>
      </c>
      <c r="D33" s="36">
        <v>1</v>
      </c>
      <c r="E33" s="36">
        <v>29.4862</v>
      </c>
      <c r="F33" s="36">
        <f>+E33*D33</f>
        <v>29.4862</v>
      </c>
      <c r="G33" s="37">
        <f>I33+K33</f>
        <v>0</v>
      </c>
      <c r="H33" s="38">
        <f>J33+L33</f>
        <v>0</v>
      </c>
      <c r="I33" s="37">
        <f>J33/F33</f>
        <v>0</v>
      </c>
      <c r="J33" s="38">
        <v>0</v>
      </c>
      <c r="K33" s="37">
        <f>L33/F33</f>
        <v>0</v>
      </c>
      <c r="L33" s="38">
        <v>0</v>
      </c>
    </row>
    <row r="34" spans="1:12" s="39" customFormat="1" ht="15.45" customHeight="1" outlineLevel="1" x14ac:dyDescent="0.25">
      <c r="A34" s="31" t="s">
        <v>58</v>
      </c>
      <c r="B34" s="40" t="s">
        <v>59</v>
      </c>
      <c r="C34" s="41">
        <v>0</v>
      </c>
      <c r="D34" s="42"/>
      <c r="E34" s="42"/>
      <c r="F34" s="42"/>
      <c r="G34" s="43"/>
      <c r="H34" s="44"/>
      <c r="I34" s="43"/>
      <c r="J34" s="44"/>
      <c r="K34" s="43"/>
      <c r="L34" s="44">
        <v>0</v>
      </c>
    </row>
    <row r="35" spans="1:12" s="39" customFormat="1" ht="28.95" customHeight="1" outlineLevel="1" x14ac:dyDescent="0.25">
      <c r="A35" s="33">
        <v>25</v>
      </c>
      <c r="B35" s="34" t="s">
        <v>54</v>
      </c>
      <c r="C35" s="35" t="s">
        <v>55</v>
      </c>
      <c r="D35" s="36">
        <v>3</v>
      </c>
      <c r="E35" s="36">
        <v>29.4862</v>
      </c>
      <c r="F35" s="36">
        <f>+E35*D35</f>
        <v>88.458600000000004</v>
      </c>
      <c r="G35" s="37">
        <f>I35+K35</f>
        <v>0</v>
      </c>
      <c r="H35" s="38">
        <f>J35+L35</f>
        <v>0</v>
      </c>
      <c r="I35" s="37">
        <f>J35/F35</f>
        <v>0</v>
      </c>
      <c r="J35" s="38">
        <v>0</v>
      </c>
      <c r="K35" s="37">
        <f>L35/F35</f>
        <v>0</v>
      </c>
      <c r="L35" s="38">
        <v>0</v>
      </c>
    </row>
    <row r="36" spans="1:12" s="39" customFormat="1" ht="28.95" customHeight="1" outlineLevel="1" x14ac:dyDescent="0.25">
      <c r="A36" s="33">
        <v>26</v>
      </c>
      <c r="B36" s="34" t="s">
        <v>60</v>
      </c>
      <c r="C36" s="35" t="s">
        <v>55</v>
      </c>
      <c r="D36" s="36">
        <v>1</v>
      </c>
      <c r="E36" s="36">
        <v>53.231800000000007</v>
      </c>
      <c r="F36" s="36">
        <f>+E36*D36</f>
        <v>53.231800000000007</v>
      </c>
      <c r="G36" s="37">
        <f>I36+K36</f>
        <v>0</v>
      </c>
      <c r="H36" s="38">
        <f>J36+L36</f>
        <v>0</v>
      </c>
      <c r="I36" s="37">
        <f>J36/F36</f>
        <v>0</v>
      </c>
      <c r="J36" s="38">
        <v>0</v>
      </c>
      <c r="K36" s="37">
        <f>L36/F36</f>
        <v>0</v>
      </c>
      <c r="L36" s="38">
        <v>0</v>
      </c>
    </row>
    <row r="37" spans="1:12" s="39" customFormat="1" ht="15.45" customHeight="1" outlineLevel="1" x14ac:dyDescent="0.25">
      <c r="A37" s="31" t="s">
        <v>61</v>
      </c>
      <c r="B37" s="40" t="s">
        <v>62</v>
      </c>
      <c r="C37" s="41">
        <v>0</v>
      </c>
      <c r="D37" s="42"/>
      <c r="E37" s="42"/>
      <c r="F37" s="42"/>
      <c r="G37" s="43"/>
      <c r="H37" s="44"/>
      <c r="I37" s="43"/>
      <c r="J37" s="44"/>
      <c r="K37" s="43"/>
      <c r="L37" s="44">
        <v>0</v>
      </c>
    </row>
    <row r="38" spans="1:12" s="39" customFormat="1" ht="28.95" customHeight="1" outlineLevel="1" x14ac:dyDescent="0.25">
      <c r="A38" s="33">
        <v>25</v>
      </c>
      <c r="B38" s="34" t="s">
        <v>54</v>
      </c>
      <c r="C38" s="35" t="s">
        <v>55</v>
      </c>
      <c r="D38" s="36">
        <v>3</v>
      </c>
      <c r="E38" s="36">
        <v>29.4862</v>
      </c>
      <c r="F38" s="36">
        <f>+E38*D38</f>
        <v>88.458600000000004</v>
      </c>
      <c r="G38" s="37">
        <f>I38+K38</f>
        <v>0</v>
      </c>
      <c r="H38" s="38">
        <f>J38+L38</f>
        <v>0</v>
      </c>
      <c r="I38" s="37">
        <f>J38/F38</f>
        <v>0</v>
      </c>
      <c r="J38" s="38">
        <v>0</v>
      </c>
      <c r="K38" s="37">
        <f>L38/F38</f>
        <v>0</v>
      </c>
      <c r="L38" s="38">
        <v>0</v>
      </c>
    </row>
    <row r="39" spans="1:12" s="39" customFormat="1" ht="28.95" customHeight="1" outlineLevel="1" x14ac:dyDescent="0.25">
      <c r="A39" s="33">
        <v>26</v>
      </c>
      <c r="B39" s="34" t="s">
        <v>60</v>
      </c>
      <c r="C39" s="35" t="s">
        <v>55</v>
      </c>
      <c r="D39" s="36">
        <v>1</v>
      </c>
      <c r="E39" s="36">
        <v>53.231800000000007</v>
      </c>
      <c r="F39" s="36">
        <f>+E39*D39</f>
        <v>53.231800000000007</v>
      </c>
      <c r="G39" s="37">
        <f>I39+K39</f>
        <v>0</v>
      </c>
      <c r="H39" s="38">
        <f>J39+L39</f>
        <v>0</v>
      </c>
      <c r="I39" s="37">
        <f>J39/F39</f>
        <v>0</v>
      </c>
      <c r="J39" s="38">
        <v>0</v>
      </c>
      <c r="K39" s="37">
        <f>L39/F39</f>
        <v>0</v>
      </c>
      <c r="L39" s="38">
        <v>0</v>
      </c>
    </row>
    <row r="40" spans="1:12" s="39" customFormat="1" ht="15.45" customHeight="1" outlineLevel="1" x14ac:dyDescent="0.25">
      <c r="A40" s="31" t="s">
        <v>63</v>
      </c>
      <c r="B40" s="40" t="s">
        <v>64</v>
      </c>
      <c r="C40" s="41">
        <v>0</v>
      </c>
      <c r="D40" s="42"/>
      <c r="E40" s="42"/>
      <c r="F40" s="42"/>
      <c r="G40" s="43"/>
      <c r="H40" s="44"/>
      <c r="I40" s="43"/>
      <c r="J40" s="44"/>
      <c r="K40" s="43"/>
      <c r="L40" s="44">
        <v>0</v>
      </c>
    </row>
    <row r="41" spans="1:12" s="39" customFormat="1" ht="28.95" customHeight="1" outlineLevel="1" x14ac:dyDescent="0.25">
      <c r="A41" s="33">
        <v>6</v>
      </c>
      <c r="B41" s="34" t="s">
        <v>65</v>
      </c>
      <c r="C41" s="35" t="s">
        <v>66</v>
      </c>
      <c r="D41" s="36">
        <v>13.12</v>
      </c>
      <c r="E41" s="36">
        <v>129.6808</v>
      </c>
      <c r="F41" s="36">
        <f>+E41*D41</f>
        <v>1701.412096</v>
      </c>
      <c r="G41" s="37">
        <f t="shared" ref="G41:H43" si="5">I41+K41</f>
        <v>0</v>
      </c>
      <c r="H41" s="38">
        <f t="shared" si="5"/>
        <v>0</v>
      </c>
      <c r="I41" s="37">
        <f>J41/F41</f>
        <v>0</v>
      </c>
      <c r="J41" s="38">
        <v>0</v>
      </c>
      <c r="K41" s="37">
        <f>L41/F41</f>
        <v>0</v>
      </c>
      <c r="L41" s="38">
        <v>0</v>
      </c>
    </row>
    <row r="42" spans="1:12" s="39" customFormat="1" ht="43.5" customHeight="1" outlineLevel="1" x14ac:dyDescent="0.25">
      <c r="A42" s="33">
        <v>11</v>
      </c>
      <c r="B42" s="34" t="s">
        <v>67</v>
      </c>
      <c r="C42" s="35" t="s">
        <v>55</v>
      </c>
      <c r="D42" s="36">
        <v>2</v>
      </c>
      <c r="E42" s="36">
        <v>30.322600000000001</v>
      </c>
      <c r="F42" s="36">
        <f>+E42*D42</f>
        <v>60.645200000000003</v>
      </c>
      <c r="G42" s="37">
        <f t="shared" si="5"/>
        <v>0</v>
      </c>
      <c r="H42" s="38">
        <f t="shared" si="5"/>
        <v>0</v>
      </c>
      <c r="I42" s="37">
        <f>J42/F42</f>
        <v>0</v>
      </c>
      <c r="J42" s="38">
        <v>0</v>
      </c>
      <c r="K42" s="37">
        <f>L42/F42</f>
        <v>0</v>
      </c>
      <c r="L42" s="38">
        <v>0</v>
      </c>
    </row>
    <row r="43" spans="1:12" s="39" customFormat="1" ht="43.5" customHeight="1" outlineLevel="1" x14ac:dyDescent="0.25">
      <c r="A43" s="33">
        <v>12</v>
      </c>
      <c r="B43" s="34" t="s">
        <v>68</v>
      </c>
      <c r="C43" s="35" t="s">
        <v>55</v>
      </c>
      <c r="D43" s="36">
        <v>3</v>
      </c>
      <c r="E43" s="36">
        <v>30.322600000000001</v>
      </c>
      <c r="F43" s="36">
        <f>+E43*D43</f>
        <v>90.967800000000011</v>
      </c>
      <c r="G43" s="37">
        <f t="shared" si="5"/>
        <v>0</v>
      </c>
      <c r="H43" s="38">
        <f t="shared" si="5"/>
        <v>0</v>
      </c>
      <c r="I43" s="37">
        <f>J43/F43</f>
        <v>0</v>
      </c>
      <c r="J43" s="38">
        <v>0</v>
      </c>
      <c r="K43" s="37">
        <f>L43/F43</f>
        <v>0</v>
      </c>
      <c r="L43" s="38">
        <v>0</v>
      </c>
    </row>
    <row r="44" spans="1:12" s="39" customFormat="1" ht="15.45" customHeight="1" outlineLevel="1" x14ac:dyDescent="0.25">
      <c r="A44" s="31" t="s">
        <v>69</v>
      </c>
      <c r="B44" s="40" t="s">
        <v>70</v>
      </c>
      <c r="C44" s="41">
        <v>0</v>
      </c>
      <c r="D44" s="42"/>
      <c r="E44" s="42"/>
      <c r="F44" s="42"/>
      <c r="G44" s="43"/>
      <c r="H44" s="44"/>
      <c r="I44" s="43"/>
      <c r="J44" s="44"/>
      <c r="K44" s="43"/>
      <c r="L44" s="44">
        <v>0</v>
      </c>
    </row>
    <row r="45" spans="1:12" s="45" customFormat="1" ht="28.95" customHeight="1" x14ac:dyDescent="0.3">
      <c r="A45" s="33">
        <v>5</v>
      </c>
      <c r="B45" s="34" t="s">
        <v>71</v>
      </c>
      <c r="C45" s="35" t="s">
        <v>66</v>
      </c>
      <c r="D45" s="36">
        <v>15.71</v>
      </c>
      <c r="E45" s="36">
        <v>203.66139999999999</v>
      </c>
      <c r="F45" s="36">
        <f>+E45*D45</f>
        <v>3199.5205940000001</v>
      </c>
      <c r="G45" s="37">
        <f>I45+K45</f>
        <v>0</v>
      </c>
      <c r="H45" s="38">
        <f>J45+L45</f>
        <v>0</v>
      </c>
      <c r="I45" s="37">
        <f>J45/F45</f>
        <v>0</v>
      </c>
      <c r="J45" s="38">
        <v>0</v>
      </c>
      <c r="K45" s="37">
        <f>L45/F45</f>
        <v>0</v>
      </c>
      <c r="L45" s="38">
        <v>0</v>
      </c>
    </row>
    <row r="46" spans="1:12" s="39" customFormat="1" ht="15.45" customHeight="1" outlineLevel="1" x14ac:dyDescent="0.25">
      <c r="A46" s="31" t="s">
        <v>72</v>
      </c>
      <c r="B46" s="40" t="s">
        <v>73</v>
      </c>
      <c r="C46" s="41">
        <v>0</v>
      </c>
      <c r="D46" s="42"/>
      <c r="E46" s="42"/>
      <c r="F46" s="42"/>
      <c r="G46" s="43"/>
      <c r="H46" s="44"/>
      <c r="I46" s="43"/>
      <c r="J46" s="44"/>
      <c r="K46" s="43"/>
      <c r="L46" s="44">
        <v>0</v>
      </c>
    </row>
    <row r="47" spans="1:12" s="39" customFormat="1" ht="28.95" customHeight="1" outlineLevel="1" x14ac:dyDescent="0.25">
      <c r="A47" s="33">
        <v>5</v>
      </c>
      <c r="B47" s="34" t="s">
        <v>71</v>
      </c>
      <c r="C47" s="35" t="s">
        <v>66</v>
      </c>
      <c r="D47" s="36">
        <v>67.5</v>
      </c>
      <c r="E47" s="36">
        <v>203.66139999999999</v>
      </c>
      <c r="F47" s="36">
        <f>+E47*D47</f>
        <v>13747.144499999999</v>
      </c>
      <c r="G47" s="37">
        <f>I47+K47</f>
        <v>0</v>
      </c>
      <c r="H47" s="38">
        <f>J47+L47</f>
        <v>0</v>
      </c>
      <c r="I47" s="37">
        <f>J47/F47</f>
        <v>0</v>
      </c>
      <c r="J47" s="38">
        <v>0</v>
      </c>
      <c r="K47" s="37">
        <f>L47/F47</f>
        <v>0</v>
      </c>
      <c r="L47" s="38">
        <v>0</v>
      </c>
    </row>
    <row r="48" spans="1:12" s="39" customFormat="1" ht="15.45" customHeight="1" outlineLevel="1" x14ac:dyDescent="0.25">
      <c r="A48" s="31" t="s">
        <v>74</v>
      </c>
      <c r="B48" s="40" t="s">
        <v>75</v>
      </c>
      <c r="C48" s="41">
        <v>0</v>
      </c>
      <c r="D48" s="42"/>
      <c r="E48" s="42"/>
      <c r="F48" s="42"/>
      <c r="G48" s="43"/>
      <c r="H48" s="44"/>
      <c r="I48" s="43"/>
      <c r="J48" s="44"/>
      <c r="K48" s="43"/>
      <c r="L48" s="44">
        <v>0</v>
      </c>
    </row>
    <row r="49" spans="1:12" s="39" customFormat="1" ht="28.95" customHeight="1" outlineLevel="1" x14ac:dyDescent="0.25">
      <c r="A49" s="33">
        <v>5</v>
      </c>
      <c r="B49" s="34" t="s">
        <v>71</v>
      </c>
      <c r="C49" s="35" t="s">
        <v>66</v>
      </c>
      <c r="D49" s="36">
        <v>30.38</v>
      </c>
      <c r="E49" s="36">
        <v>203.66139999999999</v>
      </c>
      <c r="F49" s="36">
        <f>+E49*D49</f>
        <v>6187.2333319999998</v>
      </c>
      <c r="G49" s="37">
        <f>I49+K49</f>
        <v>0</v>
      </c>
      <c r="H49" s="38">
        <f>J49+L49</f>
        <v>0</v>
      </c>
      <c r="I49" s="37">
        <f>J49/F49</f>
        <v>0</v>
      </c>
      <c r="J49" s="38">
        <v>0</v>
      </c>
      <c r="K49" s="37">
        <f>L49/F49</f>
        <v>0</v>
      </c>
      <c r="L49" s="38">
        <v>0</v>
      </c>
    </row>
    <row r="50" spans="1:12" s="39" customFormat="1" ht="15.45" customHeight="1" outlineLevel="1" x14ac:dyDescent="0.25">
      <c r="A50" s="31" t="s">
        <v>76</v>
      </c>
      <c r="B50" s="40" t="s">
        <v>77</v>
      </c>
      <c r="C50" s="41">
        <v>0</v>
      </c>
      <c r="D50" s="42"/>
      <c r="E50" s="42"/>
      <c r="F50" s="42"/>
      <c r="G50" s="43"/>
      <c r="H50" s="44"/>
      <c r="I50" s="43"/>
      <c r="J50" s="44"/>
      <c r="K50" s="43"/>
      <c r="L50" s="44">
        <v>0</v>
      </c>
    </row>
    <row r="51" spans="1:12" s="39" customFormat="1" ht="28.95" customHeight="1" outlineLevel="1" x14ac:dyDescent="0.25">
      <c r="A51" s="33">
        <v>5</v>
      </c>
      <c r="B51" s="34" t="s">
        <v>71</v>
      </c>
      <c r="C51" s="35" t="s">
        <v>66</v>
      </c>
      <c r="D51" s="36">
        <v>28.17</v>
      </c>
      <c r="E51" s="36">
        <v>203.66139999999999</v>
      </c>
      <c r="F51" s="36">
        <f>+E51*D51</f>
        <v>5737.1416380000001</v>
      </c>
      <c r="G51" s="37">
        <f>I51+K51</f>
        <v>0</v>
      </c>
      <c r="H51" s="38">
        <f>J51+L51</f>
        <v>0</v>
      </c>
      <c r="I51" s="37">
        <f>J51/F51</f>
        <v>0</v>
      </c>
      <c r="J51" s="38">
        <v>0</v>
      </c>
      <c r="K51" s="37">
        <f>L51/F51</f>
        <v>0</v>
      </c>
      <c r="L51" s="38">
        <v>0</v>
      </c>
    </row>
    <row r="52" spans="1:12" s="39" customFormat="1" ht="15.45" customHeight="1" outlineLevel="1" x14ac:dyDescent="0.25">
      <c r="A52" s="31" t="s">
        <v>78</v>
      </c>
      <c r="B52" s="40" t="s">
        <v>79</v>
      </c>
      <c r="C52" s="41">
        <v>0</v>
      </c>
      <c r="D52" s="42"/>
      <c r="E52" s="42"/>
      <c r="F52" s="42"/>
      <c r="G52" s="43"/>
      <c r="H52" s="44"/>
      <c r="I52" s="43"/>
      <c r="J52" s="44"/>
      <c r="K52" s="43"/>
      <c r="L52" s="44">
        <v>0</v>
      </c>
    </row>
    <row r="53" spans="1:12" s="39" customFormat="1" ht="28.95" customHeight="1" outlineLevel="1" x14ac:dyDescent="0.25">
      <c r="A53" s="33">
        <v>5</v>
      </c>
      <c r="B53" s="34" t="s">
        <v>71</v>
      </c>
      <c r="C53" s="35" t="s">
        <v>66</v>
      </c>
      <c r="D53" s="36">
        <v>31.32</v>
      </c>
      <c r="E53" s="36">
        <v>203.66139999999999</v>
      </c>
      <c r="F53" s="36">
        <f>+E53*D53</f>
        <v>6378.6750480000001</v>
      </c>
      <c r="G53" s="37">
        <f>I53+K53</f>
        <v>0</v>
      </c>
      <c r="H53" s="38">
        <f>J53+L53</f>
        <v>0</v>
      </c>
      <c r="I53" s="37">
        <f>J53/F53</f>
        <v>0</v>
      </c>
      <c r="J53" s="38">
        <v>0</v>
      </c>
      <c r="K53" s="37">
        <f>L53/F53</f>
        <v>0</v>
      </c>
      <c r="L53" s="38">
        <v>0</v>
      </c>
    </row>
    <row r="54" spans="1:12" s="39" customFormat="1" ht="15.45" customHeight="1" outlineLevel="1" x14ac:dyDescent="0.25">
      <c r="A54" s="31" t="s">
        <v>80</v>
      </c>
      <c r="B54" s="40" t="s">
        <v>81</v>
      </c>
      <c r="C54" s="41">
        <v>0</v>
      </c>
      <c r="D54" s="42"/>
      <c r="E54" s="42"/>
      <c r="F54" s="42"/>
      <c r="G54" s="43"/>
      <c r="H54" s="44"/>
      <c r="I54" s="43"/>
      <c r="J54" s="44"/>
      <c r="K54" s="43"/>
      <c r="L54" s="44">
        <v>0</v>
      </c>
    </row>
    <row r="55" spans="1:12" s="39" customFormat="1" ht="28.95" customHeight="1" outlineLevel="1" x14ac:dyDescent="0.25">
      <c r="A55" s="33">
        <v>5</v>
      </c>
      <c r="B55" s="34" t="s">
        <v>71</v>
      </c>
      <c r="C55" s="35" t="s">
        <v>66</v>
      </c>
      <c r="D55" s="36">
        <v>49.68</v>
      </c>
      <c r="E55" s="36">
        <v>203.66139999999999</v>
      </c>
      <c r="F55" s="36">
        <f>+E55*D55</f>
        <v>10117.898352</v>
      </c>
      <c r="G55" s="37">
        <f>I55+K55</f>
        <v>0</v>
      </c>
      <c r="H55" s="38">
        <f>J55+L55</f>
        <v>0</v>
      </c>
      <c r="I55" s="37">
        <f>J55/F55</f>
        <v>0</v>
      </c>
      <c r="J55" s="38">
        <v>0</v>
      </c>
      <c r="K55" s="37">
        <f>L55/F55</f>
        <v>0</v>
      </c>
      <c r="L55" s="38">
        <v>0</v>
      </c>
    </row>
    <row r="56" spans="1:12" s="39" customFormat="1" ht="15.45" customHeight="1" outlineLevel="1" x14ac:dyDescent="0.25">
      <c r="A56" s="31" t="s">
        <v>82</v>
      </c>
      <c r="B56" s="40" t="s">
        <v>83</v>
      </c>
      <c r="C56" s="41">
        <v>0</v>
      </c>
      <c r="D56" s="42"/>
      <c r="E56" s="42"/>
      <c r="F56" s="42"/>
      <c r="G56" s="43"/>
      <c r="H56" s="44"/>
      <c r="I56" s="43"/>
      <c r="J56" s="44"/>
      <c r="K56" s="43"/>
      <c r="L56" s="44">
        <v>0</v>
      </c>
    </row>
    <row r="57" spans="1:12" s="39" customFormat="1" ht="28.95" customHeight="1" outlineLevel="1" x14ac:dyDescent="0.25">
      <c r="A57" s="33">
        <v>5</v>
      </c>
      <c r="B57" s="34" t="s">
        <v>71</v>
      </c>
      <c r="C57" s="35" t="s">
        <v>66</v>
      </c>
      <c r="D57" s="36">
        <v>74.55</v>
      </c>
      <c r="E57" s="36">
        <v>203.66139999999999</v>
      </c>
      <c r="F57" s="36">
        <f>+E57*D57</f>
        <v>15182.957369999998</v>
      </c>
      <c r="G57" s="37">
        <f>I57+K57</f>
        <v>0</v>
      </c>
      <c r="H57" s="38">
        <f>J57+L57</f>
        <v>0</v>
      </c>
      <c r="I57" s="37">
        <f>J57/F57</f>
        <v>0</v>
      </c>
      <c r="J57" s="38">
        <v>0</v>
      </c>
      <c r="K57" s="37">
        <f>L57/F57</f>
        <v>0</v>
      </c>
      <c r="L57" s="38">
        <v>0</v>
      </c>
    </row>
    <row r="58" spans="1:12" s="39" customFormat="1" ht="15.45" customHeight="1" outlineLevel="1" x14ac:dyDescent="0.25">
      <c r="A58" s="31" t="s">
        <v>84</v>
      </c>
      <c r="B58" s="40" t="s">
        <v>85</v>
      </c>
      <c r="C58" s="41">
        <v>0</v>
      </c>
      <c r="D58" s="42"/>
      <c r="E58" s="42"/>
      <c r="F58" s="42"/>
      <c r="G58" s="43"/>
      <c r="H58" s="44"/>
      <c r="I58" s="43"/>
      <c r="J58" s="44"/>
      <c r="K58" s="43"/>
      <c r="L58" s="44">
        <v>0</v>
      </c>
    </row>
    <row r="59" spans="1:12" s="39" customFormat="1" ht="28.95" customHeight="1" outlineLevel="1" x14ac:dyDescent="0.25">
      <c r="A59" s="33">
        <v>5</v>
      </c>
      <c r="B59" s="34" t="s">
        <v>71</v>
      </c>
      <c r="C59" s="35" t="s">
        <v>66</v>
      </c>
      <c r="D59" s="36">
        <v>189</v>
      </c>
      <c r="E59" s="36">
        <v>203.66139999999999</v>
      </c>
      <c r="F59" s="36">
        <f>+E59*D59</f>
        <v>38492.0046</v>
      </c>
      <c r="G59" s="37">
        <f>I59+K59</f>
        <v>0</v>
      </c>
      <c r="H59" s="38">
        <f>J59+L59</f>
        <v>0</v>
      </c>
      <c r="I59" s="37">
        <f>J59/F59</f>
        <v>0</v>
      </c>
      <c r="J59" s="38">
        <v>0</v>
      </c>
      <c r="K59" s="37">
        <f>L59/F59</f>
        <v>0</v>
      </c>
      <c r="L59" s="38">
        <v>0</v>
      </c>
    </row>
    <row r="60" spans="1:12" s="39" customFormat="1" ht="15.45" customHeight="1" outlineLevel="1" x14ac:dyDescent="0.25">
      <c r="A60" s="31" t="s">
        <v>86</v>
      </c>
      <c r="B60" s="40" t="s">
        <v>87</v>
      </c>
      <c r="C60" s="41">
        <v>0</v>
      </c>
      <c r="D60" s="42"/>
      <c r="E60" s="42"/>
      <c r="F60" s="42"/>
      <c r="G60" s="43"/>
      <c r="H60" s="44"/>
      <c r="I60" s="43"/>
      <c r="J60" s="44"/>
      <c r="K60" s="43"/>
      <c r="L60" s="44">
        <v>0</v>
      </c>
    </row>
    <row r="61" spans="1:12" s="39" customFormat="1" ht="28.95" customHeight="1" outlineLevel="1" x14ac:dyDescent="0.25">
      <c r="A61" s="33">
        <v>5</v>
      </c>
      <c r="B61" s="34" t="s">
        <v>71</v>
      </c>
      <c r="C61" s="35" t="s">
        <v>66</v>
      </c>
      <c r="D61" s="36">
        <v>63</v>
      </c>
      <c r="E61" s="36">
        <v>203.66139999999999</v>
      </c>
      <c r="F61" s="36">
        <f>+E61*D61</f>
        <v>12830.668199999998</v>
      </c>
      <c r="G61" s="37">
        <f>I61+K61</f>
        <v>0</v>
      </c>
      <c r="H61" s="38">
        <f>J61+L61</f>
        <v>0</v>
      </c>
      <c r="I61" s="37">
        <f>J61/F61</f>
        <v>0</v>
      </c>
      <c r="J61" s="38">
        <v>0</v>
      </c>
      <c r="K61" s="37">
        <f>L61/F61</f>
        <v>0</v>
      </c>
      <c r="L61" s="38">
        <v>0</v>
      </c>
    </row>
    <row r="62" spans="1:12" s="39" customFormat="1" ht="15.45" customHeight="1" outlineLevel="1" x14ac:dyDescent="0.25">
      <c r="A62" s="31" t="s">
        <v>88</v>
      </c>
      <c r="B62" s="40" t="s">
        <v>89</v>
      </c>
      <c r="C62" s="41">
        <v>0</v>
      </c>
      <c r="D62" s="42"/>
      <c r="E62" s="42"/>
      <c r="F62" s="42"/>
      <c r="G62" s="43"/>
      <c r="H62" s="44"/>
      <c r="I62" s="43"/>
      <c r="J62" s="44"/>
      <c r="K62" s="43"/>
      <c r="L62" s="44">
        <v>0</v>
      </c>
    </row>
    <row r="63" spans="1:12" s="39" customFormat="1" ht="28.95" customHeight="1" outlineLevel="1" x14ac:dyDescent="0.25">
      <c r="A63" s="33">
        <v>5</v>
      </c>
      <c r="B63" s="34" t="s">
        <v>71</v>
      </c>
      <c r="C63" s="35" t="s">
        <v>66</v>
      </c>
      <c r="D63" s="36">
        <v>63</v>
      </c>
      <c r="E63" s="36">
        <v>203.66139999999999</v>
      </c>
      <c r="F63" s="36">
        <f>+E63*D63</f>
        <v>12830.668199999998</v>
      </c>
      <c r="G63" s="37">
        <f>I63+K63</f>
        <v>0</v>
      </c>
      <c r="H63" s="38">
        <f>J63+L63</f>
        <v>0</v>
      </c>
      <c r="I63" s="37">
        <f>J63/F63</f>
        <v>0</v>
      </c>
      <c r="J63" s="38">
        <v>0</v>
      </c>
      <c r="K63" s="37">
        <f>L63/F63</f>
        <v>0</v>
      </c>
      <c r="L63" s="38">
        <v>0</v>
      </c>
    </row>
    <row r="64" spans="1:12" s="39" customFormat="1" ht="15.45" customHeight="1" outlineLevel="1" x14ac:dyDescent="0.25">
      <c r="A64" s="31" t="s">
        <v>90</v>
      </c>
      <c r="B64" s="40" t="s">
        <v>91</v>
      </c>
      <c r="C64" s="41">
        <v>0</v>
      </c>
      <c r="D64" s="42"/>
      <c r="E64" s="42"/>
      <c r="F64" s="42"/>
      <c r="G64" s="43"/>
      <c r="H64" s="44"/>
      <c r="I64" s="43"/>
      <c r="J64" s="44"/>
      <c r="K64" s="43"/>
      <c r="L64" s="44">
        <v>0</v>
      </c>
    </row>
    <row r="65" spans="1:12" s="39" customFormat="1" ht="28.95" customHeight="1" outlineLevel="1" x14ac:dyDescent="0.25">
      <c r="A65" s="33">
        <v>5</v>
      </c>
      <c r="B65" s="34" t="s">
        <v>71</v>
      </c>
      <c r="C65" s="35" t="s">
        <v>66</v>
      </c>
      <c r="D65" s="36">
        <v>44.52</v>
      </c>
      <c r="E65" s="36">
        <v>203.66139999999999</v>
      </c>
      <c r="F65" s="36">
        <f>+E65*D65</f>
        <v>9067.0055279999997</v>
      </c>
      <c r="G65" s="37">
        <f>I65+K65</f>
        <v>0</v>
      </c>
      <c r="H65" s="38">
        <f>J65+L65</f>
        <v>0</v>
      </c>
      <c r="I65" s="37">
        <f>J65/F65</f>
        <v>0</v>
      </c>
      <c r="J65" s="38">
        <v>0</v>
      </c>
      <c r="K65" s="37">
        <f>L65/F65</f>
        <v>0</v>
      </c>
      <c r="L65" s="38">
        <v>0</v>
      </c>
    </row>
    <row r="66" spans="1:12" s="39" customFormat="1" ht="15.45" customHeight="1" outlineLevel="1" x14ac:dyDescent="0.25">
      <c r="A66" s="31" t="s">
        <v>92</v>
      </c>
      <c r="B66" s="40" t="s">
        <v>93</v>
      </c>
      <c r="C66" s="41">
        <v>0</v>
      </c>
      <c r="D66" s="42"/>
      <c r="E66" s="42"/>
      <c r="F66" s="42"/>
      <c r="G66" s="43"/>
      <c r="H66" s="44"/>
      <c r="I66" s="43"/>
      <c r="J66" s="44"/>
      <c r="K66" s="43"/>
      <c r="L66" s="44">
        <v>0</v>
      </c>
    </row>
    <row r="67" spans="1:12" s="39" customFormat="1" ht="28.95" customHeight="1" outlineLevel="1" x14ac:dyDescent="0.25">
      <c r="A67" s="33">
        <v>5</v>
      </c>
      <c r="B67" s="34" t="s">
        <v>71</v>
      </c>
      <c r="C67" s="35" t="s">
        <v>66</v>
      </c>
      <c r="D67" s="36">
        <v>59.4</v>
      </c>
      <c r="E67" s="36">
        <v>203.66139999999999</v>
      </c>
      <c r="F67" s="36">
        <f>+E67*D67</f>
        <v>12097.487159999999</v>
      </c>
      <c r="G67" s="37">
        <f>I67+K67</f>
        <v>0</v>
      </c>
      <c r="H67" s="38">
        <f>J67+L67</f>
        <v>0</v>
      </c>
      <c r="I67" s="37">
        <f>J67/F67</f>
        <v>0</v>
      </c>
      <c r="J67" s="38">
        <v>0</v>
      </c>
      <c r="K67" s="37">
        <f>L67/F67</f>
        <v>0</v>
      </c>
      <c r="L67" s="38">
        <v>0</v>
      </c>
    </row>
    <row r="68" spans="1:12" s="39" customFormat="1" ht="15.45" customHeight="1" outlineLevel="1" x14ac:dyDescent="0.25">
      <c r="A68" s="31" t="s">
        <v>94</v>
      </c>
      <c r="B68" s="40" t="s">
        <v>95</v>
      </c>
      <c r="C68" s="41">
        <v>0</v>
      </c>
      <c r="D68" s="42"/>
      <c r="E68" s="42"/>
      <c r="F68" s="42"/>
      <c r="G68" s="43"/>
      <c r="H68" s="44"/>
      <c r="I68" s="43"/>
      <c r="J68" s="44"/>
      <c r="K68" s="43"/>
      <c r="L68" s="44">
        <v>0</v>
      </c>
    </row>
    <row r="69" spans="1:12" s="39" customFormat="1" ht="28.95" customHeight="1" outlineLevel="1" x14ac:dyDescent="0.25">
      <c r="A69" s="33">
        <v>5</v>
      </c>
      <c r="B69" s="34" t="s">
        <v>71</v>
      </c>
      <c r="C69" s="35" t="s">
        <v>66</v>
      </c>
      <c r="D69" s="36">
        <v>25.23</v>
      </c>
      <c r="E69" s="36">
        <v>203.66139999999999</v>
      </c>
      <c r="F69" s="36">
        <f>+E69*D69</f>
        <v>5138.3771219999999</v>
      </c>
      <c r="G69" s="37">
        <f>I69+K69</f>
        <v>0</v>
      </c>
      <c r="H69" s="38">
        <f>J69+L69</f>
        <v>0</v>
      </c>
      <c r="I69" s="37">
        <f>J69/F69</f>
        <v>0</v>
      </c>
      <c r="J69" s="38">
        <v>0</v>
      </c>
      <c r="K69" s="37">
        <f>L69/F69</f>
        <v>0</v>
      </c>
      <c r="L69" s="38">
        <v>0</v>
      </c>
    </row>
    <row r="70" spans="1:12" s="39" customFormat="1" ht="15.45" customHeight="1" outlineLevel="1" x14ac:dyDescent="0.25">
      <c r="A70" s="31"/>
      <c r="B70" s="40" t="s">
        <v>96</v>
      </c>
      <c r="C70" s="41">
        <v>0</v>
      </c>
      <c r="D70" s="42"/>
      <c r="E70" s="42"/>
      <c r="F70" s="42"/>
      <c r="G70" s="43"/>
      <c r="H70" s="44"/>
      <c r="I70" s="43"/>
      <c r="J70" s="44"/>
      <c r="K70" s="43"/>
      <c r="L70" s="44">
        <v>0</v>
      </c>
    </row>
    <row r="71" spans="1:12" s="39" customFormat="1" ht="15.45" customHeight="1" outlineLevel="1" x14ac:dyDescent="0.25">
      <c r="A71" s="31" t="s">
        <v>31</v>
      </c>
      <c r="B71" s="40" t="s">
        <v>32</v>
      </c>
      <c r="C71" s="41">
        <v>0</v>
      </c>
      <c r="D71" s="42"/>
      <c r="E71" s="42"/>
      <c r="F71" s="42"/>
      <c r="G71" s="43"/>
      <c r="H71" s="44"/>
      <c r="I71" s="43"/>
      <c r="J71" s="44"/>
      <c r="K71" s="43"/>
      <c r="L71" s="44">
        <v>0</v>
      </c>
    </row>
    <row r="72" spans="1:12" s="45" customFormat="1" ht="15.45" customHeight="1" x14ac:dyDescent="0.3">
      <c r="A72" s="33">
        <v>13</v>
      </c>
      <c r="B72" s="34" t="s">
        <v>97</v>
      </c>
      <c r="C72" s="35" t="s">
        <v>28</v>
      </c>
      <c r="D72" s="36">
        <v>665.3</v>
      </c>
      <c r="E72" s="36">
        <v>7.2399999999999993</v>
      </c>
      <c r="F72" s="36">
        <f t="shared" ref="F72:F78" si="6">+E72*D72</f>
        <v>4816.771999999999</v>
      </c>
      <c r="G72" s="37">
        <f t="shared" ref="G72:H78" si="7">I72+K72</f>
        <v>0</v>
      </c>
      <c r="H72" s="38">
        <f t="shared" si="7"/>
        <v>0</v>
      </c>
      <c r="I72" s="37">
        <f t="shared" ref="I72:I78" si="8">J72/F72</f>
        <v>0</v>
      </c>
      <c r="J72" s="38">
        <v>0</v>
      </c>
      <c r="K72" s="37">
        <f t="shared" ref="K72:K78" si="9">L72/F72</f>
        <v>0</v>
      </c>
      <c r="L72" s="38">
        <v>0</v>
      </c>
    </row>
    <row r="73" spans="1:12" s="39" customFormat="1" ht="28.95" customHeight="1" outlineLevel="1" x14ac:dyDescent="0.25">
      <c r="A73" s="33">
        <v>21</v>
      </c>
      <c r="B73" s="34" t="s">
        <v>98</v>
      </c>
      <c r="C73" s="35" t="s">
        <v>28</v>
      </c>
      <c r="D73" s="36">
        <v>130</v>
      </c>
      <c r="E73" s="36">
        <v>7.24</v>
      </c>
      <c r="F73" s="36">
        <f t="shared" si="6"/>
        <v>941.2</v>
      </c>
      <c r="G73" s="37">
        <f t="shared" si="7"/>
        <v>0</v>
      </c>
      <c r="H73" s="38">
        <f t="shared" si="7"/>
        <v>0</v>
      </c>
      <c r="I73" s="37">
        <f t="shared" si="8"/>
        <v>0</v>
      </c>
      <c r="J73" s="38">
        <v>0</v>
      </c>
      <c r="K73" s="37">
        <f t="shared" si="9"/>
        <v>0</v>
      </c>
      <c r="L73" s="38">
        <v>0</v>
      </c>
    </row>
    <row r="74" spans="1:12" s="39" customFormat="1" ht="28.95" customHeight="1" outlineLevel="1" x14ac:dyDescent="0.25">
      <c r="A74" s="33">
        <v>28</v>
      </c>
      <c r="B74" s="34" t="s">
        <v>99</v>
      </c>
      <c r="C74" s="35" t="s">
        <v>28</v>
      </c>
      <c r="D74" s="36">
        <v>230.6</v>
      </c>
      <c r="E74" s="36">
        <v>27.759951999999998</v>
      </c>
      <c r="F74" s="36">
        <f t="shared" si="6"/>
        <v>6401.4449311999997</v>
      </c>
      <c r="G74" s="37">
        <f t="shared" si="7"/>
        <v>0</v>
      </c>
      <c r="H74" s="38">
        <f t="shared" si="7"/>
        <v>0</v>
      </c>
      <c r="I74" s="37">
        <f t="shared" si="8"/>
        <v>0</v>
      </c>
      <c r="J74" s="38">
        <v>0</v>
      </c>
      <c r="K74" s="37">
        <f t="shared" si="9"/>
        <v>0</v>
      </c>
      <c r="L74" s="38">
        <v>0</v>
      </c>
    </row>
    <row r="75" spans="1:12" s="39" customFormat="1" ht="28.95" customHeight="1" outlineLevel="1" x14ac:dyDescent="0.25">
      <c r="A75" s="33">
        <v>35</v>
      </c>
      <c r="B75" s="34" t="s">
        <v>100</v>
      </c>
      <c r="C75" s="35" t="s">
        <v>28</v>
      </c>
      <c r="D75" s="36">
        <v>104.6</v>
      </c>
      <c r="E75" s="36">
        <v>58.240000000000009</v>
      </c>
      <c r="F75" s="36">
        <f t="shared" si="6"/>
        <v>6091.9040000000005</v>
      </c>
      <c r="G75" s="37">
        <f t="shared" si="7"/>
        <v>0</v>
      </c>
      <c r="H75" s="38">
        <f t="shared" si="7"/>
        <v>0</v>
      </c>
      <c r="I75" s="37">
        <f t="shared" si="8"/>
        <v>0</v>
      </c>
      <c r="J75" s="38">
        <v>0</v>
      </c>
      <c r="K75" s="37">
        <f t="shared" si="9"/>
        <v>0</v>
      </c>
      <c r="L75" s="38">
        <v>0</v>
      </c>
    </row>
    <row r="76" spans="1:12" s="39" customFormat="1" ht="28.95" customHeight="1" outlineLevel="1" x14ac:dyDescent="0.25">
      <c r="A76" s="33">
        <v>45</v>
      </c>
      <c r="B76" s="34" t="s">
        <v>101</v>
      </c>
      <c r="C76" s="35" t="s">
        <v>28</v>
      </c>
      <c r="D76" s="36">
        <v>188.2</v>
      </c>
      <c r="E76" s="36">
        <v>39.170284000000009</v>
      </c>
      <c r="F76" s="36">
        <f t="shared" si="6"/>
        <v>7371.8474488000011</v>
      </c>
      <c r="G76" s="37">
        <f t="shared" si="7"/>
        <v>0</v>
      </c>
      <c r="H76" s="38">
        <f t="shared" si="7"/>
        <v>0</v>
      </c>
      <c r="I76" s="37">
        <f t="shared" si="8"/>
        <v>0</v>
      </c>
      <c r="J76" s="38">
        <v>0</v>
      </c>
      <c r="K76" s="37">
        <f t="shared" si="9"/>
        <v>0</v>
      </c>
      <c r="L76" s="38">
        <v>0</v>
      </c>
    </row>
    <row r="77" spans="1:12" s="39" customFormat="1" ht="28.95" customHeight="1" outlineLevel="1" x14ac:dyDescent="0.25">
      <c r="A77" s="33">
        <v>48</v>
      </c>
      <c r="B77" s="34" t="s">
        <v>102</v>
      </c>
      <c r="C77" s="35" t="s">
        <v>28</v>
      </c>
      <c r="D77" s="36">
        <v>39</v>
      </c>
      <c r="E77" s="36">
        <v>120.11309799999999</v>
      </c>
      <c r="F77" s="36">
        <f t="shared" si="6"/>
        <v>4684.4108219999998</v>
      </c>
      <c r="G77" s="37">
        <f t="shared" si="7"/>
        <v>0</v>
      </c>
      <c r="H77" s="38">
        <f t="shared" si="7"/>
        <v>0</v>
      </c>
      <c r="I77" s="37">
        <f t="shared" si="8"/>
        <v>0</v>
      </c>
      <c r="J77" s="38">
        <v>0</v>
      </c>
      <c r="K77" s="37">
        <f t="shared" si="9"/>
        <v>0</v>
      </c>
      <c r="L77" s="38">
        <v>0</v>
      </c>
    </row>
    <row r="78" spans="1:12" s="39" customFormat="1" ht="28.95" customHeight="1" outlineLevel="1" x14ac:dyDescent="0.25">
      <c r="A78" s="33">
        <v>55</v>
      </c>
      <c r="B78" s="34" t="s">
        <v>101</v>
      </c>
      <c r="C78" s="35" t="s">
        <v>28</v>
      </c>
      <c r="D78" s="36">
        <v>14</v>
      </c>
      <c r="E78" s="36">
        <v>39.170284000000009</v>
      </c>
      <c r="F78" s="36">
        <f t="shared" si="6"/>
        <v>548.38397600000008</v>
      </c>
      <c r="G78" s="37">
        <f t="shared" si="7"/>
        <v>0</v>
      </c>
      <c r="H78" s="38">
        <f t="shared" si="7"/>
        <v>0</v>
      </c>
      <c r="I78" s="37">
        <f t="shared" si="8"/>
        <v>0</v>
      </c>
      <c r="J78" s="38">
        <v>0</v>
      </c>
      <c r="K78" s="37">
        <f t="shared" si="9"/>
        <v>0</v>
      </c>
      <c r="L78" s="38">
        <v>0</v>
      </c>
    </row>
    <row r="79" spans="1:12" s="39" customFormat="1" ht="15.45" customHeight="1" outlineLevel="1" x14ac:dyDescent="0.25">
      <c r="A79" s="31" t="s">
        <v>103</v>
      </c>
      <c r="B79" s="40" t="s">
        <v>104</v>
      </c>
      <c r="C79" s="41">
        <v>0</v>
      </c>
      <c r="D79" s="42"/>
      <c r="E79" s="42"/>
      <c r="F79" s="42"/>
      <c r="G79" s="43"/>
      <c r="H79" s="44"/>
      <c r="I79" s="43"/>
      <c r="J79" s="44"/>
      <c r="K79" s="43"/>
      <c r="L79" s="44">
        <v>0</v>
      </c>
    </row>
    <row r="80" spans="1:12" s="45" customFormat="1" ht="28.95" customHeight="1" x14ac:dyDescent="0.3">
      <c r="A80" s="33">
        <v>1</v>
      </c>
      <c r="B80" s="34" t="s">
        <v>105</v>
      </c>
      <c r="C80" s="35" t="s">
        <v>106</v>
      </c>
      <c r="D80" s="36">
        <v>29.71</v>
      </c>
      <c r="E80" s="36">
        <v>25.6</v>
      </c>
      <c r="F80" s="36">
        <f>+E80*D80</f>
        <v>760.57600000000002</v>
      </c>
      <c r="G80" s="37">
        <f>I80+K80</f>
        <v>0</v>
      </c>
      <c r="H80" s="38">
        <f>J80+L80</f>
        <v>0</v>
      </c>
      <c r="I80" s="37">
        <f>J80/F80</f>
        <v>0</v>
      </c>
      <c r="J80" s="38">
        <v>0</v>
      </c>
      <c r="K80" s="37">
        <f>L80/F80</f>
        <v>0</v>
      </c>
      <c r="L80" s="38">
        <v>0</v>
      </c>
    </row>
    <row r="81" spans="1:12" s="39" customFormat="1" ht="15.45" customHeight="1" outlineLevel="1" x14ac:dyDescent="0.25">
      <c r="A81" s="31"/>
      <c r="B81" s="40" t="s">
        <v>107</v>
      </c>
      <c r="C81" s="41">
        <v>0</v>
      </c>
      <c r="D81" s="42"/>
      <c r="E81" s="42"/>
      <c r="F81" s="42"/>
      <c r="G81" s="43"/>
      <c r="H81" s="44"/>
      <c r="I81" s="43"/>
      <c r="J81" s="44"/>
      <c r="K81" s="43"/>
      <c r="L81" s="44">
        <v>0</v>
      </c>
    </row>
    <row r="82" spans="1:12" s="39" customFormat="1" ht="15.45" customHeight="1" outlineLevel="1" x14ac:dyDescent="0.25">
      <c r="A82" s="31" t="s">
        <v>31</v>
      </c>
      <c r="B82" s="40" t="s">
        <v>32</v>
      </c>
      <c r="C82" s="41">
        <v>0</v>
      </c>
      <c r="D82" s="42"/>
      <c r="E82" s="42"/>
      <c r="F82" s="42"/>
      <c r="G82" s="43"/>
      <c r="H82" s="44"/>
      <c r="I82" s="43"/>
      <c r="J82" s="44"/>
      <c r="K82" s="43"/>
      <c r="L82" s="44">
        <v>0</v>
      </c>
    </row>
    <row r="83" spans="1:12" s="39" customFormat="1" ht="28.95" customHeight="1" outlineLevel="1" x14ac:dyDescent="0.25">
      <c r="A83" s="33">
        <v>61</v>
      </c>
      <c r="B83" s="34" t="s">
        <v>108</v>
      </c>
      <c r="C83" s="35" t="s">
        <v>28</v>
      </c>
      <c r="D83" s="36">
        <v>538.4</v>
      </c>
      <c r="E83" s="36">
        <v>27.759951999999998</v>
      </c>
      <c r="F83" s="36">
        <f>+E83*D83</f>
        <v>14945.958156799999</v>
      </c>
      <c r="G83" s="37">
        <f t="shared" ref="G83:H86" si="10">I83+K83</f>
        <v>0</v>
      </c>
      <c r="H83" s="38">
        <f t="shared" si="10"/>
        <v>0</v>
      </c>
      <c r="I83" s="37">
        <f>J83/F83</f>
        <v>0</v>
      </c>
      <c r="J83" s="38">
        <v>0</v>
      </c>
      <c r="K83" s="37">
        <f>L83/F83</f>
        <v>0</v>
      </c>
      <c r="L83" s="38">
        <v>0</v>
      </c>
    </row>
    <row r="84" spans="1:12" s="39" customFormat="1" ht="28.95" customHeight="1" outlineLevel="1" x14ac:dyDescent="0.25">
      <c r="A84" s="33">
        <v>71</v>
      </c>
      <c r="B84" s="34" t="s">
        <v>109</v>
      </c>
      <c r="C84" s="35" t="s">
        <v>28</v>
      </c>
      <c r="D84" s="36">
        <v>39</v>
      </c>
      <c r="E84" s="36">
        <v>39.170284000000009</v>
      </c>
      <c r="F84" s="36">
        <f>+E84*D84</f>
        <v>1527.6410760000003</v>
      </c>
      <c r="G84" s="37">
        <f t="shared" si="10"/>
        <v>0</v>
      </c>
      <c r="H84" s="38">
        <f t="shared" si="10"/>
        <v>0</v>
      </c>
      <c r="I84" s="37">
        <f>J84/F84</f>
        <v>0</v>
      </c>
      <c r="J84" s="38">
        <v>0</v>
      </c>
      <c r="K84" s="37">
        <f>L84/F84</f>
        <v>0</v>
      </c>
      <c r="L84" s="38">
        <v>0</v>
      </c>
    </row>
    <row r="85" spans="1:12" s="39" customFormat="1" ht="28.95" customHeight="1" outlineLevel="1" x14ac:dyDescent="0.25">
      <c r="A85" s="33">
        <v>77</v>
      </c>
      <c r="B85" s="34" t="s">
        <v>109</v>
      </c>
      <c r="C85" s="35" t="s">
        <v>28</v>
      </c>
      <c r="D85" s="36">
        <v>160</v>
      </c>
      <c r="E85" s="36">
        <v>39.170284000000009</v>
      </c>
      <c r="F85" s="36">
        <f>+E85*D85</f>
        <v>6267.2454400000015</v>
      </c>
      <c r="G85" s="37">
        <f t="shared" si="10"/>
        <v>0</v>
      </c>
      <c r="H85" s="38">
        <f t="shared" si="10"/>
        <v>0</v>
      </c>
      <c r="I85" s="37">
        <f>J85/F85</f>
        <v>0</v>
      </c>
      <c r="J85" s="38">
        <v>0</v>
      </c>
      <c r="K85" s="37">
        <f>L85/F85</f>
        <v>0</v>
      </c>
      <c r="L85" s="38">
        <v>0</v>
      </c>
    </row>
    <row r="86" spans="1:12" s="39" customFormat="1" ht="28.95" customHeight="1" outlineLevel="1" x14ac:dyDescent="0.25">
      <c r="A86" s="33">
        <v>80</v>
      </c>
      <c r="B86" s="34" t="s">
        <v>110</v>
      </c>
      <c r="C86" s="35" t="s">
        <v>28</v>
      </c>
      <c r="D86" s="36">
        <v>35.4</v>
      </c>
      <c r="E86" s="36">
        <v>120.11309799999999</v>
      </c>
      <c r="F86" s="36">
        <f>+E86*D86</f>
        <v>4252.0036691999994</v>
      </c>
      <c r="G86" s="37">
        <f t="shared" si="10"/>
        <v>0</v>
      </c>
      <c r="H86" s="38">
        <f t="shared" si="10"/>
        <v>0</v>
      </c>
      <c r="I86" s="37">
        <f>J86/F86</f>
        <v>0</v>
      </c>
      <c r="J86" s="38">
        <v>0</v>
      </c>
      <c r="K86" s="37">
        <f>L86/F86</f>
        <v>0</v>
      </c>
      <c r="L86" s="38">
        <v>0</v>
      </c>
    </row>
    <row r="87" spans="1:12" s="39" customFormat="1" ht="28.95" customHeight="1" outlineLevel="1" x14ac:dyDescent="0.25">
      <c r="A87" s="31" t="s">
        <v>111</v>
      </c>
      <c r="B87" s="40" t="s">
        <v>112</v>
      </c>
      <c r="C87" s="41">
        <v>0</v>
      </c>
      <c r="D87" s="42"/>
      <c r="E87" s="42"/>
      <c r="F87" s="42"/>
      <c r="G87" s="43"/>
      <c r="H87" s="44"/>
      <c r="I87" s="43"/>
      <c r="J87" s="44"/>
      <c r="K87" s="43"/>
      <c r="L87" s="44">
        <v>0</v>
      </c>
    </row>
    <row r="88" spans="1:12" s="39" customFormat="1" ht="15.45" customHeight="1" outlineLevel="1" x14ac:dyDescent="0.25">
      <c r="A88" s="33">
        <v>1</v>
      </c>
      <c r="B88" s="34" t="s">
        <v>113</v>
      </c>
      <c r="C88" s="35" t="s">
        <v>55</v>
      </c>
      <c r="D88" s="36">
        <v>1</v>
      </c>
      <c r="E88" s="36">
        <v>464.70800000000003</v>
      </c>
      <c r="F88" s="36">
        <f t="shared" ref="F88:F122" si="11">+E88*D88</f>
        <v>464.70800000000003</v>
      </c>
      <c r="G88" s="37">
        <f t="shared" ref="G88:G122" si="12">I88+K88</f>
        <v>0</v>
      </c>
      <c r="H88" s="38">
        <f t="shared" ref="H88:H122" si="13">J88+L88</f>
        <v>0</v>
      </c>
      <c r="I88" s="37">
        <f t="shared" ref="I88:I122" si="14">J88/F88</f>
        <v>0</v>
      </c>
      <c r="J88" s="38">
        <v>0</v>
      </c>
      <c r="K88" s="37">
        <f t="shared" ref="K88:K122" si="15">L88/F88</f>
        <v>0</v>
      </c>
      <c r="L88" s="38">
        <v>0</v>
      </c>
    </row>
    <row r="89" spans="1:12" s="39" customFormat="1" ht="28.95" customHeight="1" outlineLevel="1" x14ac:dyDescent="0.25">
      <c r="A89" s="33">
        <v>2</v>
      </c>
      <c r="B89" s="34" t="s">
        <v>114</v>
      </c>
      <c r="C89" s="35" t="s">
        <v>115</v>
      </c>
      <c r="D89" s="36">
        <v>1</v>
      </c>
      <c r="E89" s="36">
        <v>1574.366</v>
      </c>
      <c r="F89" s="36">
        <f t="shared" si="11"/>
        <v>1574.366</v>
      </c>
      <c r="G89" s="37">
        <f t="shared" si="12"/>
        <v>0</v>
      </c>
      <c r="H89" s="38">
        <f t="shared" si="13"/>
        <v>0</v>
      </c>
      <c r="I89" s="37">
        <f t="shared" si="14"/>
        <v>0</v>
      </c>
      <c r="J89" s="38">
        <v>0</v>
      </c>
      <c r="K89" s="37">
        <f t="shared" si="15"/>
        <v>0</v>
      </c>
      <c r="L89" s="38">
        <v>0</v>
      </c>
    </row>
    <row r="90" spans="1:12" s="39" customFormat="1" ht="28.95" customHeight="1" outlineLevel="1" x14ac:dyDescent="0.25">
      <c r="A90" s="33">
        <v>3</v>
      </c>
      <c r="B90" s="34" t="s">
        <v>116</v>
      </c>
      <c r="C90" s="35" t="s">
        <v>55</v>
      </c>
      <c r="D90" s="36">
        <v>1</v>
      </c>
      <c r="E90" s="36">
        <v>567.93200000000013</v>
      </c>
      <c r="F90" s="36">
        <f t="shared" si="11"/>
        <v>567.93200000000013</v>
      </c>
      <c r="G90" s="37">
        <f t="shared" si="12"/>
        <v>0</v>
      </c>
      <c r="H90" s="38">
        <f t="shared" si="13"/>
        <v>0</v>
      </c>
      <c r="I90" s="37">
        <f t="shared" si="14"/>
        <v>0</v>
      </c>
      <c r="J90" s="38">
        <v>0</v>
      </c>
      <c r="K90" s="37">
        <f t="shared" si="15"/>
        <v>0</v>
      </c>
      <c r="L90" s="38">
        <v>0</v>
      </c>
    </row>
    <row r="91" spans="1:12" s="39" customFormat="1" ht="28.95" customHeight="1" outlineLevel="1" x14ac:dyDescent="0.25">
      <c r="A91" s="33">
        <v>4</v>
      </c>
      <c r="B91" s="34" t="s">
        <v>117</v>
      </c>
      <c r="C91" s="35" t="s">
        <v>55</v>
      </c>
      <c r="D91" s="36">
        <v>4</v>
      </c>
      <c r="E91" s="36">
        <v>335.67800000000011</v>
      </c>
      <c r="F91" s="36">
        <f t="shared" si="11"/>
        <v>1342.7120000000004</v>
      </c>
      <c r="G91" s="37">
        <f t="shared" si="12"/>
        <v>0</v>
      </c>
      <c r="H91" s="38">
        <f t="shared" si="13"/>
        <v>0</v>
      </c>
      <c r="I91" s="37">
        <f t="shared" si="14"/>
        <v>0</v>
      </c>
      <c r="J91" s="38">
        <v>0</v>
      </c>
      <c r="K91" s="37">
        <f t="shared" si="15"/>
        <v>0</v>
      </c>
      <c r="L91" s="38">
        <v>0</v>
      </c>
    </row>
    <row r="92" spans="1:12" s="39" customFormat="1" ht="28.95" customHeight="1" outlineLevel="1" x14ac:dyDescent="0.25">
      <c r="A92" s="33">
        <v>5</v>
      </c>
      <c r="B92" s="34" t="s">
        <v>118</v>
      </c>
      <c r="C92" s="35" t="s">
        <v>55</v>
      </c>
      <c r="D92" s="36">
        <v>3</v>
      </c>
      <c r="E92" s="36">
        <v>201.48679999999999</v>
      </c>
      <c r="F92" s="36">
        <f t="shared" si="11"/>
        <v>604.46039999999994</v>
      </c>
      <c r="G92" s="37">
        <f t="shared" si="12"/>
        <v>0</v>
      </c>
      <c r="H92" s="38">
        <f t="shared" si="13"/>
        <v>0</v>
      </c>
      <c r="I92" s="37">
        <f t="shared" si="14"/>
        <v>0</v>
      </c>
      <c r="J92" s="38">
        <v>0</v>
      </c>
      <c r="K92" s="37">
        <f t="shared" si="15"/>
        <v>0</v>
      </c>
      <c r="L92" s="38">
        <v>0</v>
      </c>
    </row>
    <row r="93" spans="1:12" s="39" customFormat="1" ht="15.45" customHeight="1" outlineLevel="1" x14ac:dyDescent="0.25">
      <c r="A93" s="33">
        <v>6</v>
      </c>
      <c r="B93" s="34" t="s">
        <v>119</v>
      </c>
      <c r="C93" s="35" t="s">
        <v>55</v>
      </c>
      <c r="D93" s="36">
        <v>14</v>
      </c>
      <c r="E93" s="36">
        <v>1364.8172</v>
      </c>
      <c r="F93" s="36">
        <f t="shared" si="11"/>
        <v>19107.4408</v>
      </c>
      <c r="G93" s="37">
        <f t="shared" si="12"/>
        <v>0</v>
      </c>
      <c r="H93" s="38">
        <f t="shared" si="13"/>
        <v>0</v>
      </c>
      <c r="I93" s="37">
        <f t="shared" si="14"/>
        <v>0</v>
      </c>
      <c r="J93" s="38">
        <v>0</v>
      </c>
      <c r="K93" s="37">
        <f t="shared" si="15"/>
        <v>0</v>
      </c>
      <c r="L93" s="38">
        <v>0</v>
      </c>
    </row>
    <row r="94" spans="1:12" s="39" customFormat="1" ht="15.45" customHeight="1" outlineLevel="1" x14ac:dyDescent="0.25">
      <c r="A94" s="33">
        <v>7</v>
      </c>
      <c r="B94" s="34" t="s">
        <v>120</v>
      </c>
      <c r="C94" s="35" t="s">
        <v>55</v>
      </c>
      <c r="D94" s="36">
        <v>2</v>
      </c>
      <c r="E94" s="36">
        <v>91.999999999999986</v>
      </c>
      <c r="F94" s="36">
        <f t="shared" si="11"/>
        <v>183.99999999999997</v>
      </c>
      <c r="G94" s="37">
        <f t="shared" si="12"/>
        <v>0</v>
      </c>
      <c r="H94" s="38">
        <f t="shared" si="13"/>
        <v>0</v>
      </c>
      <c r="I94" s="37">
        <f t="shared" si="14"/>
        <v>0</v>
      </c>
      <c r="J94" s="38">
        <v>0</v>
      </c>
      <c r="K94" s="37">
        <f t="shared" si="15"/>
        <v>0</v>
      </c>
      <c r="L94" s="38">
        <v>0</v>
      </c>
    </row>
    <row r="95" spans="1:12" s="39" customFormat="1" ht="15.45" customHeight="1" outlineLevel="1" x14ac:dyDescent="0.25">
      <c r="A95" s="33">
        <v>8</v>
      </c>
      <c r="B95" s="34" t="s">
        <v>121</v>
      </c>
      <c r="C95" s="35" t="s">
        <v>55</v>
      </c>
      <c r="D95" s="36">
        <v>1</v>
      </c>
      <c r="E95" s="36">
        <v>517.35020000000009</v>
      </c>
      <c r="F95" s="36">
        <f t="shared" si="11"/>
        <v>517.35020000000009</v>
      </c>
      <c r="G95" s="37">
        <f t="shared" si="12"/>
        <v>0</v>
      </c>
      <c r="H95" s="38">
        <f t="shared" si="13"/>
        <v>0</v>
      </c>
      <c r="I95" s="37">
        <f t="shared" si="14"/>
        <v>0</v>
      </c>
      <c r="J95" s="38">
        <v>0</v>
      </c>
      <c r="K95" s="37">
        <f t="shared" si="15"/>
        <v>0</v>
      </c>
      <c r="L95" s="38">
        <v>0</v>
      </c>
    </row>
    <row r="96" spans="1:12" s="39" customFormat="1" ht="28.95" customHeight="1" outlineLevel="1" x14ac:dyDescent="0.25">
      <c r="A96" s="33">
        <v>9</v>
      </c>
      <c r="B96" s="34" t="s">
        <v>122</v>
      </c>
      <c r="C96" s="35" t="s">
        <v>55</v>
      </c>
      <c r="D96" s="36">
        <v>2</v>
      </c>
      <c r="E96" s="36">
        <v>1133.6035999999999</v>
      </c>
      <c r="F96" s="36">
        <f t="shared" si="11"/>
        <v>2267.2071999999998</v>
      </c>
      <c r="G96" s="37">
        <f t="shared" si="12"/>
        <v>0</v>
      </c>
      <c r="H96" s="38">
        <f t="shared" si="13"/>
        <v>0</v>
      </c>
      <c r="I96" s="37">
        <f t="shared" si="14"/>
        <v>0</v>
      </c>
      <c r="J96" s="38">
        <v>0</v>
      </c>
      <c r="K96" s="37">
        <f t="shared" si="15"/>
        <v>0</v>
      </c>
      <c r="L96" s="38">
        <v>0</v>
      </c>
    </row>
    <row r="97" spans="1:12" s="39" customFormat="1" ht="15.45" customHeight="1" outlineLevel="1" x14ac:dyDescent="0.25">
      <c r="A97" s="33">
        <v>10</v>
      </c>
      <c r="B97" s="34" t="s">
        <v>123</v>
      </c>
      <c r="C97" s="35" t="s">
        <v>55</v>
      </c>
      <c r="D97" s="36">
        <v>6</v>
      </c>
      <c r="E97" s="36">
        <v>118.9076</v>
      </c>
      <c r="F97" s="36">
        <f t="shared" si="11"/>
        <v>713.44560000000001</v>
      </c>
      <c r="G97" s="37">
        <f t="shared" si="12"/>
        <v>0</v>
      </c>
      <c r="H97" s="38">
        <f t="shared" si="13"/>
        <v>0</v>
      </c>
      <c r="I97" s="37">
        <f t="shared" si="14"/>
        <v>0</v>
      </c>
      <c r="J97" s="38">
        <v>0</v>
      </c>
      <c r="K97" s="37">
        <f t="shared" si="15"/>
        <v>0</v>
      </c>
      <c r="L97" s="38">
        <v>0</v>
      </c>
    </row>
    <row r="98" spans="1:12" s="39" customFormat="1" ht="28.95" customHeight="1" outlineLevel="1" x14ac:dyDescent="0.25">
      <c r="A98" s="33">
        <v>11</v>
      </c>
      <c r="B98" s="34" t="s">
        <v>124</v>
      </c>
      <c r="C98" s="35" t="s">
        <v>55</v>
      </c>
      <c r="D98" s="36">
        <v>6</v>
      </c>
      <c r="E98" s="36">
        <v>198.386</v>
      </c>
      <c r="F98" s="36">
        <f t="shared" si="11"/>
        <v>1190.316</v>
      </c>
      <c r="G98" s="37">
        <f t="shared" si="12"/>
        <v>0</v>
      </c>
      <c r="H98" s="38">
        <f t="shared" si="13"/>
        <v>0</v>
      </c>
      <c r="I98" s="37">
        <f t="shared" si="14"/>
        <v>0</v>
      </c>
      <c r="J98" s="38">
        <v>0</v>
      </c>
      <c r="K98" s="37">
        <f t="shared" si="15"/>
        <v>0</v>
      </c>
      <c r="L98" s="38">
        <v>0</v>
      </c>
    </row>
    <row r="99" spans="1:12" s="39" customFormat="1" ht="28.95" customHeight="1" outlineLevel="1" x14ac:dyDescent="0.25">
      <c r="A99" s="33">
        <v>12</v>
      </c>
      <c r="B99" s="34" t="s">
        <v>125</v>
      </c>
      <c r="C99" s="35" t="s">
        <v>55</v>
      </c>
      <c r="D99" s="36">
        <v>15</v>
      </c>
      <c r="E99" s="36">
        <v>216.97040000000001</v>
      </c>
      <c r="F99" s="36">
        <f t="shared" si="11"/>
        <v>3254.556</v>
      </c>
      <c r="G99" s="37">
        <f t="shared" si="12"/>
        <v>0</v>
      </c>
      <c r="H99" s="38">
        <f t="shared" si="13"/>
        <v>0</v>
      </c>
      <c r="I99" s="37">
        <f t="shared" si="14"/>
        <v>0</v>
      </c>
      <c r="J99" s="38">
        <v>0</v>
      </c>
      <c r="K99" s="37">
        <f t="shared" si="15"/>
        <v>0</v>
      </c>
      <c r="L99" s="38">
        <v>0</v>
      </c>
    </row>
    <row r="100" spans="1:12" s="39" customFormat="1" ht="15.45" customHeight="1" outlineLevel="1" x14ac:dyDescent="0.25">
      <c r="A100" s="33">
        <v>13</v>
      </c>
      <c r="B100" s="34" t="s">
        <v>126</v>
      </c>
      <c r="C100" s="35" t="s">
        <v>55</v>
      </c>
      <c r="D100" s="36">
        <v>16</v>
      </c>
      <c r="E100" s="36">
        <v>46.1</v>
      </c>
      <c r="F100" s="36">
        <f t="shared" si="11"/>
        <v>737.6</v>
      </c>
      <c r="G100" s="37">
        <f t="shared" si="12"/>
        <v>0</v>
      </c>
      <c r="H100" s="38">
        <f t="shared" si="13"/>
        <v>0</v>
      </c>
      <c r="I100" s="37">
        <f t="shared" si="14"/>
        <v>0</v>
      </c>
      <c r="J100" s="38">
        <v>0</v>
      </c>
      <c r="K100" s="37">
        <f t="shared" si="15"/>
        <v>0</v>
      </c>
      <c r="L100" s="38">
        <v>0</v>
      </c>
    </row>
    <row r="101" spans="1:12" s="45" customFormat="1" ht="15.45" customHeight="1" x14ac:dyDescent="0.3">
      <c r="A101" s="33">
        <v>14</v>
      </c>
      <c r="B101" s="34" t="s">
        <v>127</v>
      </c>
      <c r="C101" s="35" t="s">
        <v>55</v>
      </c>
      <c r="D101" s="36">
        <v>2</v>
      </c>
      <c r="E101" s="36">
        <v>1238.8879999999999</v>
      </c>
      <c r="F101" s="36">
        <f t="shared" si="11"/>
        <v>2477.7759999999998</v>
      </c>
      <c r="G101" s="37">
        <f t="shared" si="12"/>
        <v>0</v>
      </c>
      <c r="H101" s="38">
        <f t="shared" si="13"/>
        <v>0</v>
      </c>
      <c r="I101" s="37">
        <f t="shared" si="14"/>
        <v>0</v>
      </c>
      <c r="J101" s="38">
        <v>0</v>
      </c>
      <c r="K101" s="37">
        <f t="shared" si="15"/>
        <v>0</v>
      </c>
      <c r="L101" s="38">
        <v>0</v>
      </c>
    </row>
    <row r="102" spans="1:12" s="39" customFormat="1" ht="43.5" customHeight="1" outlineLevel="1" x14ac:dyDescent="0.25">
      <c r="A102" s="33">
        <v>15</v>
      </c>
      <c r="B102" s="34" t="s">
        <v>128</v>
      </c>
      <c r="C102" s="35" t="s">
        <v>55</v>
      </c>
      <c r="D102" s="36">
        <v>4</v>
      </c>
      <c r="E102" s="36">
        <v>182.9024</v>
      </c>
      <c r="F102" s="36">
        <f t="shared" si="11"/>
        <v>731.6096</v>
      </c>
      <c r="G102" s="37">
        <f t="shared" si="12"/>
        <v>0</v>
      </c>
      <c r="H102" s="38">
        <f t="shared" si="13"/>
        <v>0</v>
      </c>
      <c r="I102" s="37">
        <f t="shared" si="14"/>
        <v>0</v>
      </c>
      <c r="J102" s="38">
        <v>0</v>
      </c>
      <c r="K102" s="37">
        <f t="shared" si="15"/>
        <v>0</v>
      </c>
      <c r="L102" s="38">
        <v>0</v>
      </c>
    </row>
    <row r="103" spans="1:12" s="39" customFormat="1" ht="15.45" customHeight="1" outlineLevel="1" x14ac:dyDescent="0.25">
      <c r="A103" s="33">
        <v>16</v>
      </c>
      <c r="B103" s="34" t="s">
        <v>129</v>
      </c>
      <c r="C103" s="35" t="s">
        <v>55</v>
      </c>
      <c r="D103" s="36">
        <v>1</v>
      </c>
      <c r="E103" s="36">
        <v>306.77120000000008</v>
      </c>
      <c r="F103" s="36">
        <f t="shared" si="11"/>
        <v>306.77120000000008</v>
      </c>
      <c r="G103" s="37">
        <f t="shared" si="12"/>
        <v>0</v>
      </c>
      <c r="H103" s="38">
        <f t="shared" si="13"/>
        <v>0</v>
      </c>
      <c r="I103" s="37">
        <f t="shared" si="14"/>
        <v>0</v>
      </c>
      <c r="J103" s="38">
        <v>0</v>
      </c>
      <c r="K103" s="37">
        <f t="shared" si="15"/>
        <v>0</v>
      </c>
      <c r="L103" s="38">
        <v>0</v>
      </c>
    </row>
    <row r="104" spans="1:12" s="39" customFormat="1" ht="15.45" customHeight="1" outlineLevel="1" x14ac:dyDescent="0.25">
      <c r="A104" s="33">
        <v>17</v>
      </c>
      <c r="B104" s="34" t="s">
        <v>130</v>
      </c>
      <c r="C104" s="35" t="s">
        <v>55</v>
      </c>
      <c r="D104" s="36">
        <v>6</v>
      </c>
      <c r="E104" s="36">
        <v>359.61739999999998</v>
      </c>
      <c r="F104" s="36">
        <f t="shared" si="11"/>
        <v>2157.7043999999996</v>
      </c>
      <c r="G104" s="37">
        <f t="shared" si="12"/>
        <v>0</v>
      </c>
      <c r="H104" s="38">
        <f t="shared" si="13"/>
        <v>0</v>
      </c>
      <c r="I104" s="37">
        <f t="shared" si="14"/>
        <v>0</v>
      </c>
      <c r="J104" s="38">
        <v>0</v>
      </c>
      <c r="K104" s="37">
        <f t="shared" si="15"/>
        <v>0</v>
      </c>
      <c r="L104" s="38">
        <v>0</v>
      </c>
    </row>
    <row r="105" spans="1:12" s="39" customFormat="1" ht="28.95" customHeight="1" outlineLevel="1" x14ac:dyDescent="0.25">
      <c r="A105" s="33">
        <v>18</v>
      </c>
      <c r="B105" s="34" t="s">
        <v>131</v>
      </c>
      <c r="C105" s="35" t="s">
        <v>55</v>
      </c>
      <c r="D105" s="36">
        <v>1</v>
      </c>
      <c r="E105" s="36">
        <v>476.06060000000002</v>
      </c>
      <c r="F105" s="36">
        <f t="shared" si="11"/>
        <v>476.06060000000002</v>
      </c>
      <c r="G105" s="37">
        <f t="shared" si="12"/>
        <v>0</v>
      </c>
      <c r="H105" s="38">
        <f t="shared" si="13"/>
        <v>0</v>
      </c>
      <c r="I105" s="37">
        <f t="shared" si="14"/>
        <v>0</v>
      </c>
      <c r="J105" s="38">
        <v>0</v>
      </c>
      <c r="K105" s="37">
        <f t="shared" si="15"/>
        <v>0</v>
      </c>
      <c r="L105" s="38">
        <v>0</v>
      </c>
    </row>
    <row r="106" spans="1:12" s="39" customFormat="1" ht="15.45" customHeight="1" outlineLevel="1" x14ac:dyDescent="0.25">
      <c r="A106" s="33">
        <v>19</v>
      </c>
      <c r="B106" s="34" t="s">
        <v>132</v>
      </c>
      <c r="C106" s="35" t="s">
        <v>55</v>
      </c>
      <c r="D106" s="36">
        <v>5</v>
      </c>
      <c r="E106" s="36">
        <v>444.88940000000008</v>
      </c>
      <c r="F106" s="36">
        <f t="shared" si="11"/>
        <v>2224.4470000000006</v>
      </c>
      <c r="G106" s="37">
        <f t="shared" si="12"/>
        <v>0</v>
      </c>
      <c r="H106" s="38">
        <f t="shared" si="13"/>
        <v>0</v>
      </c>
      <c r="I106" s="37">
        <f t="shared" si="14"/>
        <v>0</v>
      </c>
      <c r="J106" s="38">
        <v>0</v>
      </c>
      <c r="K106" s="37">
        <f t="shared" si="15"/>
        <v>0</v>
      </c>
      <c r="L106" s="38">
        <v>0</v>
      </c>
    </row>
    <row r="107" spans="1:12" s="39" customFormat="1" ht="72.599999999999994" customHeight="1" outlineLevel="1" x14ac:dyDescent="0.25">
      <c r="A107" s="33">
        <v>20</v>
      </c>
      <c r="B107" s="34" t="s">
        <v>133</v>
      </c>
      <c r="C107" s="35" t="s">
        <v>55</v>
      </c>
      <c r="D107" s="36">
        <v>14</v>
      </c>
      <c r="E107" s="36">
        <v>301.92620000000011</v>
      </c>
      <c r="F107" s="36">
        <f t="shared" si="11"/>
        <v>4226.966800000002</v>
      </c>
      <c r="G107" s="37">
        <f t="shared" si="12"/>
        <v>0</v>
      </c>
      <c r="H107" s="38">
        <f t="shared" si="13"/>
        <v>0</v>
      </c>
      <c r="I107" s="37">
        <f t="shared" si="14"/>
        <v>0</v>
      </c>
      <c r="J107" s="38">
        <v>0</v>
      </c>
      <c r="K107" s="37">
        <f t="shared" si="15"/>
        <v>0</v>
      </c>
      <c r="L107" s="38">
        <v>0</v>
      </c>
    </row>
    <row r="108" spans="1:12" s="39" customFormat="1" ht="15.45" customHeight="1" outlineLevel="1" x14ac:dyDescent="0.25">
      <c r="A108" s="33">
        <v>21</v>
      </c>
      <c r="B108" s="34" t="s">
        <v>134</v>
      </c>
      <c r="C108" s="35" t="s">
        <v>55</v>
      </c>
      <c r="D108" s="36">
        <v>12</v>
      </c>
      <c r="E108" s="36">
        <v>332.1794000000001</v>
      </c>
      <c r="F108" s="36">
        <f t="shared" si="11"/>
        <v>3986.1528000000012</v>
      </c>
      <c r="G108" s="37">
        <f t="shared" si="12"/>
        <v>0</v>
      </c>
      <c r="H108" s="38">
        <f t="shared" si="13"/>
        <v>0</v>
      </c>
      <c r="I108" s="37">
        <f t="shared" si="14"/>
        <v>0</v>
      </c>
      <c r="J108" s="38">
        <v>0</v>
      </c>
      <c r="K108" s="37">
        <f t="shared" si="15"/>
        <v>0</v>
      </c>
      <c r="L108" s="38">
        <v>0</v>
      </c>
    </row>
    <row r="109" spans="1:12" s="39" customFormat="1" ht="15.45" customHeight="1" outlineLevel="1" x14ac:dyDescent="0.25">
      <c r="A109" s="33">
        <v>22</v>
      </c>
      <c r="B109" s="34" t="s">
        <v>135</v>
      </c>
      <c r="C109" s="35" t="s">
        <v>55</v>
      </c>
      <c r="D109" s="36">
        <v>18</v>
      </c>
      <c r="E109" s="36">
        <v>247.9376</v>
      </c>
      <c r="F109" s="36">
        <f t="shared" si="11"/>
        <v>4462.8768</v>
      </c>
      <c r="G109" s="37">
        <f t="shared" si="12"/>
        <v>0</v>
      </c>
      <c r="H109" s="38">
        <f t="shared" si="13"/>
        <v>0</v>
      </c>
      <c r="I109" s="37">
        <f t="shared" si="14"/>
        <v>0</v>
      </c>
      <c r="J109" s="38">
        <v>0</v>
      </c>
      <c r="K109" s="37">
        <f t="shared" si="15"/>
        <v>0</v>
      </c>
      <c r="L109" s="38">
        <v>0</v>
      </c>
    </row>
    <row r="110" spans="1:12" s="39" customFormat="1" ht="15.45" customHeight="1" outlineLevel="1" x14ac:dyDescent="0.25">
      <c r="A110" s="33">
        <v>23</v>
      </c>
      <c r="B110" s="34" t="s">
        <v>136</v>
      </c>
      <c r="C110" s="35" t="s">
        <v>55</v>
      </c>
      <c r="D110" s="36">
        <v>8</v>
      </c>
      <c r="E110" s="36">
        <v>465.22820000000007</v>
      </c>
      <c r="F110" s="36">
        <f t="shared" si="11"/>
        <v>3721.8256000000006</v>
      </c>
      <c r="G110" s="37">
        <f t="shared" si="12"/>
        <v>0</v>
      </c>
      <c r="H110" s="38">
        <f t="shared" si="13"/>
        <v>0</v>
      </c>
      <c r="I110" s="37">
        <f t="shared" si="14"/>
        <v>0</v>
      </c>
      <c r="J110" s="38">
        <v>0</v>
      </c>
      <c r="K110" s="37">
        <f t="shared" si="15"/>
        <v>0</v>
      </c>
      <c r="L110" s="38">
        <v>0</v>
      </c>
    </row>
    <row r="111" spans="1:12" s="39" customFormat="1" ht="15.45" customHeight="1" outlineLevel="1" x14ac:dyDescent="0.25">
      <c r="A111" s="33">
        <v>24</v>
      </c>
      <c r="B111" s="34" t="s">
        <v>137</v>
      </c>
      <c r="C111" s="35" t="s">
        <v>55</v>
      </c>
      <c r="D111" s="36">
        <v>8</v>
      </c>
      <c r="E111" s="36">
        <v>35.267600000000009</v>
      </c>
      <c r="F111" s="36">
        <f t="shared" si="11"/>
        <v>282.14080000000007</v>
      </c>
      <c r="G111" s="37">
        <f t="shared" si="12"/>
        <v>0</v>
      </c>
      <c r="H111" s="38">
        <f t="shared" si="13"/>
        <v>0</v>
      </c>
      <c r="I111" s="37">
        <f t="shared" si="14"/>
        <v>0</v>
      </c>
      <c r="J111" s="38">
        <v>0</v>
      </c>
      <c r="K111" s="37">
        <f t="shared" si="15"/>
        <v>0</v>
      </c>
      <c r="L111" s="38">
        <v>0</v>
      </c>
    </row>
    <row r="112" spans="1:12" s="39" customFormat="1" ht="28.95" customHeight="1" outlineLevel="1" x14ac:dyDescent="0.25">
      <c r="A112" s="33">
        <v>25</v>
      </c>
      <c r="B112" s="34" t="s">
        <v>138</v>
      </c>
      <c r="C112" s="35" t="s">
        <v>55</v>
      </c>
      <c r="D112" s="36">
        <v>24</v>
      </c>
      <c r="E112" s="36">
        <v>182.9024</v>
      </c>
      <c r="F112" s="36">
        <f t="shared" si="11"/>
        <v>4389.6576000000005</v>
      </c>
      <c r="G112" s="37">
        <f t="shared" si="12"/>
        <v>0</v>
      </c>
      <c r="H112" s="38">
        <f t="shared" si="13"/>
        <v>0</v>
      </c>
      <c r="I112" s="37">
        <f t="shared" si="14"/>
        <v>0</v>
      </c>
      <c r="J112" s="38">
        <v>0</v>
      </c>
      <c r="K112" s="37">
        <f t="shared" si="15"/>
        <v>0</v>
      </c>
      <c r="L112" s="38">
        <v>0</v>
      </c>
    </row>
    <row r="113" spans="1:12" s="39" customFormat="1" ht="58.05" customHeight="1" outlineLevel="1" x14ac:dyDescent="0.25">
      <c r="A113" s="33">
        <v>26</v>
      </c>
      <c r="B113" s="34" t="s">
        <v>139</v>
      </c>
      <c r="C113" s="35" t="s">
        <v>55</v>
      </c>
      <c r="D113" s="36">
        <v>6</v>
      </c>
      <c r="E113" s="36">
        <v>238.44139999999999</v>
      </c>
      <c r="F113" s="36">
        <f t="shared" si="11"/>
        <v>1430.6484</v>
      </c>
      <c r="G113" s="37">
        <f t="shared" si="12"/>
        <v>0</v>
      </c>
      <c r="H113" s="38">
        <f t="shared" si="13"/>
        <v>0</v>
      </c>
      <c r="I113" s="37">
        <f t="shared" si="14"/>
        <v>0</v>
      </c>
      <c r="J113" s="38">
        <v>0</v>
      </c>
      <c r="K113" s="37">
        <f t="shared" si="15"/>
        <v>0</v>
      </c>
      <c r="L113" s="38">
        <v>0</v>
      </c>
    </row>
    <row r="114" spans="1:12" s="39" customFormat="1" ht="15.45" customHeight="1" outlineLevel="1" x14ac:dyDescent="0.25">
      <c r="A114" s="33">
        <v>27</v>
      </c>
      <c r="B114" s="34" t="s">
        <v>140</v>
      </c>
      <c r="C114" s="35" t="s">
        <v>55</v>
      </c>
      <c r="D114" s="36">
        <v>1</v>
      </c>
      <c r="E114" s="36">
        <v>1808.6804</v>
      </c>
      <c r="F114" s="36">
        <f t="shared" si="11"/>
        <v>1808.6804</v>
      </c>
      <c r="G114" s="37">
        <f t="shared" si="12"/>
        <v>0</v>
      </c>
      <c r="H114" s="38">
        <f t="shared" si="13"/>
        <v>0</v>
      </c>
      <c r="I114" s="37">
        <f t="shared" si="14"/>
        <v>0</v>
      </c>
      <c r="J114" s="38">
        <v>0</v>
      </c>
      <c r="K114" s="37">
        <f t="shared" si="15"/>
        <v>0</v>
      </c>
      <c r="L114" s="38">
        <v>0</v>
      </c>
    </row>
    <row r="115" spans="1:12" s="39" customFormat="1" ht="28.95" customHeight="1" outlineLevel="1" x14ac:dyDescent="0.25">
      <c r="A115" s="33">
        <v>28</v>
      </c>
      <c r="B115" s="34" t="s">
        <v>141</v>
      </c>
      <c r="C115" s="35" t="s">
        <v>55</v>
      </c>
      <c r="D115" s="36">
        <v>7</v>
      </c>
      <c r="E115" s="36">
        <v>277.87459999999999</v>
      </c>
      <c r="F115" s="36">
        <f t="shared" si="11"/>
        <v>1945.1221999999998</v>
      </c>
      <c r="G115" s="37">
        <f t="shared" si="12"/>
        <v>0</v>
      </c>
      <c r="H115" s="38">
        <f t="shared" si="13"/>
        <v>0</v>
      </c>
      <c r="I115" s="37">
        <f t="shared" si="14"/>
        <v>0</v>
      </c>
      <c r="J115" s="38">
        <v>0</v>
      </c>
      <c r="K115" s="37">
        <f t="shared" si="15"/>
        <v>0</v>
      </c>
      <c r="L115" s="38">
        <v>0</v>
      </c>
    </row>
    <row r="116" spans="1:12" s="39" customFormat="1" ht="15.45" customHeight="1" outlineLevel="1" x14ac:dyDescent="0.25">
      <c r="A116" s="33">
        <v>29</v>
      </c>
      <c r="B116" s="34" t="s">
        <v>142</v>
      </c>
      <c r="C116" s="35" t="s">
        <v>55</v>
      </c>
      <c r="D116" s="36">
        <v>55</v>
      </c>
      <c r="E116" s="36">
        <v>318.13400000000001</v>
      </c>
      <c r="F116" s="36">
        <f t="shared" si="11"/>
        <v>17497.370000000003</v>
      </c>
      <c r="G116" s="37">
        <f t="shared" si="12"/>
        <v>0</v>
      </c>
      <c r="H116" s="38">
        <f t="shared" si="13"/>
        <v>0</v>
      </c>
      <c r="I116" s="37">
        <f t="shared" si="14"/>
        <v>0</v>
      </c>
      <c r="J116" s="38">
        <v>0</v>
      </c>
      <c r="K116" s="37">
        <f t="shared" si="15"/>
        <v>0</v>
      </c>
      <c r="L116" s="38">
        <v>0</v>
      </c>
    </row>
    <row r="117" spans="1:12" s="45" customFormat="1" ht="15.45" customHeight="1" x14ac:dyDescent="0.3">
      <c r="A117" s="33">
        <v>30</v>
      </c>
      <c r="B117" s="34" t="s">
        <v>143</v>
      </c>
      <c r="C117" s="35" t="s">
        <v>115</v>
      </c>
      <c r="D117" s="36">
        <v>7</v>
      </c>
      <c r="E117" s="36">
        <v>31.41200000000001</v>
      </c>
      <c r="F117" s="36">
        <f t="shared" si="11"/>
        <v>219.88400000000007</v>
      </c>
      <c r="G117" s="37">
        <f t="shared" si="12"/>
        <v>0</v>
      </c>
      <c r="H117" s="38">
        <f t="shared" si="13"/>
        <v>0</v>
      </c>
      <c r="I117" s="37">
        <f t="shared" si="14"/>
        <v>0</v>
      </c>
      <c r="J117" s="38">
        <v>0</v>
      </c>
      <c r="K117" s="37">
        <f t="shared" si="15"/>
        <v>0</v>
      </c>
      <c r="L117" s="38">
        <v>0</v>
      </c>
    </row>
    <row r="118" spans="1:12" s="39" customFormat="1" ht="15.45" customHeight="1" outlineLevel="1" x14ac:dyDescent="0.25">
      <c r="A118" s="33">
        <v>31</v>
      </c>
      <c r="B118" s="34" t="s">
        <v>144</v>
      </c>
      <c r="C118" s="35" t="s">
        <v>145</v>
      </c>
      <c r="D118" s="36">
        <v>1</v>
      </c>
      <c r="E118" s="36">
        <v>247.9376</v>
      </c>
      <c r="F118" s="36">
        <f t="shared" si="11"/>
        <v>247.9376</v>
      </c>
      <c r="G118" s="37">
        <f t="shared" si="12"/>
        <v>0</v>
      </c>
      <c r="H118" s="38">
        <f t="shared" si="13"/>
        <v>0</v>
      </c>
      <c r="I118" s="37">
        <f t="shared" si="14"/>
        <v>0</v>
      </c>
      <c r="J118" s="38">
        <v>0</v>
      </c>
      <c r="K118" s="37">
        <f t="shared" si="15"/>
        <v>0</v>
      </c>
      <c r="L118" s="38">
        <v>0</v>
      </c>
    </row>
    <row r="119" spans="1:12" s="39" customFormat="1" ht="15.45" customHeight="1" outlineLevel="1" x14ac:dyDescent="0.25">
      <c r="A119" s="33">
        <v>32</v>
      </c>
      <c r="B119" s="34" t="s">
        <v>146</v>
      </c>
      <c r="C119" s="35" t="s">
        <v>55</v>
      </c>
      <c r="D119" s="36">
        <v>1</v>
      </c>
      <c r="E119" s="36">
        <v>130.2602</v>
      </c>
      <c r="F119" s="36">
        <f t="shared" si="11"/>
        <v>130.2602</v>
      </c>
      <c r="G119" s="37">
        <f t="shared" si="12"/>
        <v>0</v>
      </c>
      <c r="H119" s="38">
        <f t="shared" si="13"/>
        <v>0</v>
      </c>
      <c r="I119" s="37">
        <f t="shared" si="14"/>
        <v>0</v>
      </c>
      <c r="J119" s="38">
        <v>0</v>
      </c>
      <c r="K119" s="37">
        <f t="shared" si="15"/>
        <v>0</v>
      </c>
      <c r="L119" s="38">
        <v>0</v>
      </c>
    </row>
    <row r="120" spans="1:12" s="39" customFormat="1" ht="15.45" customHeight="1" outlineLevel="1" x14ac:dyDescent="0.25">
      <c r="A120" s="33">
        <v>33</v>
      </c>
      <c r="B120" s="34" t="s">
        <v>147</v>
      </c>
      <c r="C120" s="35" t="s">
        <v>55</v>
      </c>
      <c r="D120" s="36">
        <v>1</v>
      </c>
      <c r="E120" s="36">
        <v>195.2954</v>
      </c>
      <c r="F120" s="36">
        <f t="shared" si="11"/>
        <v>195.2954</v>
      </c>
      <c r="G120" s="37">
        <f t="shared" si="12"/>
        <v>0</v>
      </c>
      <c r="H120" s="38">
        <f t="shared" si="13"/>
        <v>0</v>
      </c>
      <c r="I120" s="37">
        <f t="shared" si="14"/>
        <v>0</v>
      </c>
      <c r="J120" s="38">
        <v>0</v>
      </c>
      <c r="K120" s="37">
        <f t="shared" si="15"/>
        <v>0</v>
      </c>
      <c r="L120" s="38">
        <v>0</v>
      </c>
    </row>
    <row r="121" spans="1:12" s="39" customFormat="1" ht="15.45" customHeight="1" outlineLevel="1" x14ac:dyDescent="0.25">
      <c r="A121" s="33">
        <v>34</v>
      </c>
      <c r="B121" s="34" t="s">
        <v>148</v>
      </c>
      <c r="C121" s="35" t="s">
        <v>55</v>
      </c>
      <c r="D121" s="36">
        <v>1</v>
      </c>
      <c r="E121" s="36">
        <v>122.6</v>
      </c>
      <c r="F121" s="36">
        <f t="shared" si="11"/>
        <v>122.6</v>
      </c>
      <c r="G121" s="37">
        <f t="shared" si="12"/>
        <v>0</v>
      </c>
      <c r="H121" s="38">
        <f t="shared" si="13"/>
        <v>0</v>
      </c>
      <c r="I121" s="37">
        <f t="shared" si="14"/>
        <v>0</v>
      </c>
      <c r="J121" s="38">
        <v>0</v>
      </c>
      <c r="K121" s="37">
        <f t="shared" si="15"/>
        <v>0</v>
      </c>
      <c r="L121" s="38">
        <v>0</v>
      </c>
    </row>
    <row r="122" spans="1:12" s="39" customFormat="1" ht="28.95" customHeight="1" outlineLevel="1" x14ac:dyDescent="0.25">
      <c r="A122" s="33">
        <v>35</v>
      </c>
      <c r="B122" s="34" t="s">
        <v>149</v>
      </c>
      <c r="C122" s="35" t="s">
        <v>55</v>
      </c>
      <c r="D122" s="36">
        <v>1</v>
      </c>
      <c r="E122" s="36">
        <v>671.15600000000006</v>
      </c>
      <c r="F122" s="36">
        <f t="shared" si="11"/>
        <v>671.15600000000006</v>
      </c>
      <c r="G122" s="37">
        <f t="shared" si="12"/>
        <v>0</v>
      </c>
      <c r="H122" s="38">
        <f t="shared" si="13"/>
        <v>0</v>
      </c>
      <c r="I122" s="37">
        <f t="shared" si="14"/>
        <v>0</v>
      </c>
      <c r="J122" s="38">
        <v>0</v>
      </c>
      <c r="K122" s="37">
        <f t="shared" si="15"/>
        <v>0</v>
      </c>
      <c r="L122" s="38">
        <v>0</v>
      </c>
    </row>
    <row r="123" spans="1:12" s="39" customFormat="1" ht="15.45" customHeight="1" outlineLevel="1" x14ac:dyDescent="0.25">
      <c r="A123" s="31"/>
      <c r="B123" s="40" t="s">
        <v>150</v>
      </c>
      <c r="C123" s="41">
        <v>0</v>
      </c>
      <c r="D123" s="42"/>
      <c r="E123" s="42"/>
      <c r="F123" s="42"/>
      <c r="G123" s="43"/>
      <c r="H123" s="44"/>
      <c r="I123" s="43"/>
      <c r="J123" s="44"/>
      <c r="K123" s="43"/>
      <c r="L123" s="44">
        <v>0</v>
      </c>
    </row>
    <row r="124" spans="1:12" s="39" customFormat="1" ht="15.45" customHeight="1" outlineLevel="1" x14ac:dyDescent="0.25">
      <c r="A124" s="31" t="s">
        <v>151</v>
      </c>
      <c r="B124" s="40" t="s">
        <v>152</v>
      </c>
      <c r="C124" s="41">
        <v>0</v>
      </c>
      <c r="D124" s="42"/>
      <c r="E124" s="42"/>
      <c r="F124" s="42"/>
      <c r="G124" s="43"/>
      <c r="H124" s="44"/>
      <c r="I124" s="43"/>
      <c r="J124" s="44"/>
      <c r="K124" s="43"/>
      <c r="L124" s="44">
        <v>0</v>
      </c>
    </row>
    <row r="125" spans="1:12" s="39" customFormat="1" ht="15.45" customHeight="1" outlineLevel="1" x14ac:dyDescent="0.25">
      <c r="A125" s="33">
        <v>1</v>
      </c>
      <c r="B125" s="34" t="s">
        <v>153</v>
      </c>
      <c r="C125" s="35" t="s">
        <v>28</v>
      </c>
      <c r="D125" s="36">
        <v>1414.2</v>
      </c>
      <c r="E125" s="36">
        <v>3.7719999999999998</v>
      </c>
      <c r="F125" s="36">
        <f t="shared" ref="F125:F144" si="16">+E125*D125</f>
        <v>5334.3624</v>
      </c>
      <c r="G125" s="37">
        <f t="shared" ref="G125:G144" si="17">I125+K125</f>
        <v>0</v>
      </c>
      <c r="H125" s="38">
        <f t="shared" ref="H125:H144" si="18">J125+L125</f>
        <v>0</v>
      </c>
      <c r="I125" s="37">
        <f t="shared" ref="I125:I144" si="19">J125/F125</f>
        <v>0</v>
      </c>
      <c r="J125" s="38">
        <v>0</v>
      </c>
      <c r="K125" s="37">
        <f t="shared" ref="K125:K144" si="20">L125/F125</f>
        <v>0</v>
      </c>
      <c r="L125" s="38">
        <v>0</v>
      </c>
    </row>
    <row r="126" spans="1:12" s="39" customFormat="1" ht="15.45" customHeight="1" outlineLevel="1" x14ac:dyDescent="0.25">
      <c r="A126" s="33">
        <v>2</v>
      </c>
      <c r="B126" s="34" t="s">
        <v>154</v>
      </c>
      <c r="C126" s="35" t="s">
        <v>28</v>
      </c>
      <c r="D126" s="36">
        <v>1414.2</v>
      </c>
      <c r="E126" s="36">
        <v>0.95300000000000007</v>
      </c>
      <c r="F126" s="36">
        <f t="shared" si="16"/>
        <v>1347.7326</v>
      </c>
      <c r="G126" s="37">
        <f t="shared" si="17"/>
        <v>0</v>
      </c>
      <c r="H126" s="38">
        <f t="shared" si="18"/>
        <v>0</v>
      </c>
      <c r="I126" s="37">
        <f t="shared" si="19"/>
        <v>0</v>
      </c>
      <c r="J126" s="38">
        <v>0</v>
      </c>
      <c r="K126" s="37">
        <f t="shared" si="20"/>
        <v>0</v>
      </c>
      <c r="L126" s="38">
        <v>0</v>
      </c>
    </row>
    <row r="127" spans="1:12" s="39" customFormat="1" ht="28.95" customHeight="1" outlineLevel="1" x14ac:dyDescent="0.25">
      <c r="A127" s="33">
        <v>3</v>
      </c>
      <c r="B127" s="34" t="s">
        <v>155</v>
      </c>
      <c r="C127" s="35" t="s">
        <v>28</v>
      </c>
      <c r="D127" s="36">
        <v>1414.2</v>
      </c>
      <c r="E127" s="36">
        <v>4.0944219999999998</v>
      </c>
      <c r="F127" s="36">
        <f t="shared" si="16"/>
        <v>5790.3315923999999</v>
      </c>
      <c r="G127" s="37">
        <f t="shared" si="17"/>
        <v>0</v>
      </c>
      <c r="H127" s="38">
        <f t="shared" si="18"/>
        <v>0</v>
      </c>
      <c r="I127" s="37">
        <f t="shared" si="19"/>
        <v>0</v>
      </c>
      <c r="J127" s="38">
        <v>0</v>
      </c>
      <c r="K127" s="37">
        <f t="shared" si="20"/>
        <v>0</v>
      </c>
      <c r="L127" s="38">
        <v>0</v>
      </c>
    </row>
    <row r="128" spans="1:12" s="39" customFormat="1" ht="15.45" customHeight="1" outlineLevel="1" x14ac:dyDescent="0.25">
      <c r="A128" s="33">
        <v>4</v>
      </c>
      <c r="B128" s="34" t="s">
        <v>156</v>
      </c>
      <c r="C128" s="35" t="s">
        <v>42</v>
      </c>
      <c r="D128" s="36">
        <v>106.1</v>
      </c>
      <c r="E128" s="36">
        <v>66.499999999999986</v>
      </c>
      <c r="F128" s="36">
        <f t="shared" si="16"/>
        <v>7055.6499999999978</v>
      </c>
      <c r="G128" s="37">
        <f t="shared" si="17"/>
        <v>0</v>
      </c>
      <c r="H128" s="38">
        <f t="shared" si="18"/>
        <v>0</v>
      </c>
      <c r="I128" s="37">
        <f t="shared" si="19"/>
        <v>0</v>
      </c>
      <c r="J128" s="38">
        <v>0</v>
      </c>
      <c r="K128" s="37">
        <f t="shared" si="20"/>
        <v>0</v>
      </c>
      <c r="L128" s="38">
        <v>0</v>
      </c>
    </row>
    <row r="129" spans="1:12" s="39" customFormat="1" ht="15.45" customHeight="1" outlineLevel="1" x14ac:dyDescent="0.25">
      <c r="A129" s="33">
        <v>5</v>
      </c>
      <c r="B129" s="34" t="s">
        <v>157</v>
      </c>
      <c r="C129" s="35" t="s">
        <v>28</v>
      </c>
      <c r="D129" s="36">
        <v>1414.2</v>
      </c>
      <c r="E129" s="36">
        <v>1.4119999999999999</v>
      </c>
      <c r="F129" s="36">
        <f t="shared" si="16"/>
        <v>1996.8504</v>
      </c>
      <c r="G129" s="37">
        <f t="shared" si="17"/>
        <v>0</v>
      </c>
      <c r="H129" s="38">
        <f t="shared" si="18"/>
        <v>0</v>
      </c>
      <c r="I129" s="37">
        <f t="shared" si="19"/>
        <v>0</v>
      </c>
      <c r="J129" s="38">
        <v>0</v>
      </c>
      <c r="K129" s="37">
        <f t="shared" si="20"/>
        <v>0</v>
      </c>
      <c r="L129" s="38">
        <v>0</v>
      </c>
    </row>
    <row r="130" spans="1:12" s="39" customFormat="1" ht="15.45" customHeight="1" outlineLevel="1" x14ac:dyDescent="0.25">
      <c r="A130" s="33">
        <v>6</v>
      </c>
      <c r="B130" s="34" t="s">
        <v>158</v>
      </c>
      <c r="C130" s="35" t="s">
        <v>28</v>
      </c>
      <c r="D130" s="36">
        <v>1414.2</v>
      </c>
      <c r="E130" s="36">
        <v>2.4643999999999999</v>
      </c>
      <c r="F130" s="36">
        <f t="shared" si="16"/>
        <v>3485.1544800000001</v>
      </c>
      <c r="G130" s="37">
        <f t="shared" si="17"/>
        <v>0</v>
      </c>
      <c r="H130" s="38">
        <f t="shared" si="18"/>
        <v>0</v>
      </c>
      <c r="I130" s="37">
        <f t="shared" si="19"/>
        <v>0</v>
      </c>
      <c r="J130" s="38">
        <v>0</v>
      </c>
      <c r="K130" s="37">
        <f t="shared" si="20"/>
        <v>0</v>
      </c>
      <c r="L130" s="38">
        <v>0</v>
      </c>
    </row>
    <row r="131" spans="1:12" s="39" customFormat="1" ht="15.45" customHeight="1" outlineLevel="1" x14ac:dyDescent="0.25">
      <c r="A131" s="33">
        <v>7</v>
      </c>
      <c r="B131" s="34" t="s">
        <v>153</v>
      </c>
      <c r="C131" s="35" t="s">
        <v>28</v>
      </c>
      <c r="D131" s="36">
        <v>1414.2</v>
      </c>
      <c r="E131" s="36">
        <v>3.7719999999999998</v>
      </c>
      <c r="F131" s="36">
        <f t="shared" si="16"/>
        <v>5334.3624</v>
      </c>
      <c r="G131" s="37">
        <f t="shared" si="17"/>
        <v>0</v>
      </c>
      <c r="H131" s="38">
        <f t="shared" si="18"/>
        <v>0</v>
      </c>
      <c r="I131" s="37">
        <f t="shared" si="19"/>
        <v>0</v>
      </c>
      <c r="J131" s="38">
        <v>0</v>
      </c>
      <c r="K131" s="37">
        <f t="shared" si="20"/>
        <v>0</v>
      </c>
      <c r="L131" s="38">
        <v>0</v>
      </c>
    </row>
    <row r="132" spans="1:12" s="39" customFormat="1" ht="15.45" customHeight="1" outlineLevel="1" x14ac:dyDescent="0.25">
      <c r="A132" s="33">
        <v>8</v>
      </c>
      <c r="B132" s="34" t="s">
        <v>159</v>
      </c>
      <c r="C132" s="35" t="s">
        <v>28</v>
      </c>
      <c r="D132" s="36">
        <v>1414.2</v>
      </c>
      <c r="E132" s="36">
        <v>0.95300000000000007</v>
      </c>
      <c r="F132" s="36">
        <f t="shared" si="16"/>
        <v>1347.7326</v>
      </c>
      <c r="G132" s="37">
        <f t="shared" si="17"/>
        <v>0</v>
      </c>
      <c r="H132" s="38">
        <f t="shared" si="18"/>
        <v>0</v>
      </c>
      <c r="I132" s="37">
        <f t="shared" si="19"/>
        <v>0</v>
      </c>
      <c r="J132" s="38">
        <v>0</v>
      </c>
      <c r="K132" s="37">
        <f t="shared" si="20"/>
        <v>0</v>
      </c>
      <c r="L132" s="38">
        <v>0</v>
      </c>
    </row>
    <row r="133" spans="1:12" s="39" customFormat="1" ht="15.45" customHeight="1" outlineLevel="1" x14ac:dyDescent="0.25">
      <c r="A133" s="33">
        <v>9</v>
      </c>
      <c r="B133" s="34" t="s">
        <v>160</v>
      </c>
      <c r="C133" s="35" t="s">
        <v>42</v>
      </c>
      <c r="D133" s="36">
        <v>50.4</v>
      </c>
      <c r="E133" s="36">
        <v>663.10000000000014</v>
      </c>
      <c r="F133" s="36">
        <f t="shared" si="16"/>
        <v>33420.240000000005</v>
      </c>
      <c r="G133" s="37">
        <f t="shared" si="17"/>
        <v>0</v>
      </c>
      <c r="H133" s="38">
        <f t="shared" si="18"/>
        <v>0</v>
      </c>
      <c r="I133" s="37">
        <f t="shared" si="19"/>
        <v>0</v>
      </c>
      <c r="J133" s="38">
        <v>0</v>
      </c>
      <c r="K133" s="37">
        <f t="shared" si="20"/>
        <v>0</v>
      </c>
      <c r="L133" s="38">
        <v>0</v>
      </c>
    </row>
    <row r="134" spans="1:12" s="39" customFormat="1" ht="28.95" customHeight="1" outlineLevel="1" x14ac:dyDescent="0.25">
      <c r="A134" s="33">
        <v>10</v>
      </c>
      <c r="B134" s="34" t="s">
        <v>161</v>
      </c>
      <c r="C134" s="35" t="s">
        <v>28</v>
      </c>
      <c r="D134" s="36">
        <v>1660</v>
      </c>
      <c r="E134" s="36">
        <v>15.4</v>
      </c>
      <c r="F134" s="36">
        <f t="shared" si="16"/>
        <v>25564</v>
      </c>
      <c r="G134" s="37">
        <f t="shared" si="17"/>
        <v>0</v>
      </c>
      <c r="H134" s="38">
        <f t="shared" si="18"/>
        <v>0</v>
      </c>
      <c r="I134" s="37">
        <f t="shared" si="19"/>
        <v>0</v>
      </c>
      <c r="J134" s="38">
        <v>0</v>
      </c>
      <c r="K134" s="37">
        <f t="shared" si="20"/>
        <v>0</v>
      </c>
      <c r="L134" s="38">
        <v>0</v>
      </c>
    </row>
    <row r="135" spans="1:12" s="39" customFormat="1" ht="15.45" customHeight="1" outlineLevel="1" x14ac:dyDescent="0.25">
      <c r="A135" s="33">
        <v>11</v>
      </c>
      <c r="B135" s="34" t="s">
        <v>162</v>
      </c>
      <c r="C135" s="35" t="s">
        <v>28</v>
      </c>
      <c r="D135" s="36">
        <v>1992</v>
      </c>
      <c r="E135" s="36">
        <v>9.9817999999999998</v>
      </c>
      <c r="F135" s="36">
        <f t="shared" si="16"/>
        <v>19883.745599999998</v>
      </c>
      <c r="G135" s="37">
        <f t="shared" si="17"/>
        <v>0</v>
      </c>
      <c r="H135" s="38">
        <f t="shared" si="18"/>
        <v>0</v>
      </c>
      <c r="I135" s="37">
        <f t="shared" si="19"/>
        <v>0</v>
      </c>
      <c r="J135" s="38">
        <v>0</v>
      </c>
      <c r="K135" s="37">
        <f t="shared" si="20"/>
        <v>0</v>
      </c>
      <c r="L135" s="38">
        <v>0</v>
      </c>
    </row>
    <row r="136" spans="1:12" s="39" customFormat="1" ht="28.95" customHeight="1" outlineLevel="1" x14ac:dyDescent="0.25">
      <c r="A136" s="33">
        <v>12</v>
      </c>
      <c r="B136" s="34" t="s">
        <v>163</v>
      </c>
      <c r="C136" s="35" t="s">
        <v>28</v>
      </c>
      <c r="D136" s="36">
        <v>230.5</v>
      </c>
      <c r="E136" s="36">
        <v>24.487995999999999</v>
      </c>
      <c r="F136" s="36">
        <f t="shared" si="16"/>
        <v>5644.4830780000002</v>
      </c>
      <c r="G136" s="37">
        <f t="shared" si="17"/>
        <v>0</v>
      </c>
      <c r="H136" s="38">
        <f t="shared" si="18"/>
        <v>0</v>
      </c>
      <c r="I136" s="37">
        <f t="shared" si="19"/>
        <v>0</v>
      </c>
      <c r="J136" s="38">
        <v>0</v>
      </c>
      <c r="K136" s="37">
        <f t="shared" si="20"/>
        <v>0</v>
      </c>
      <c r="L136" s="38">
        <v>0</v>
      </c>
    </row>
    <row r="137" spans="1:12" s="39" customFormat="1" ht="15.45" customHeight="1" outlineLevel="1" x14ac:dyDescent="0.25">
      <c r="A137" s="33">
        <v>13</v>
      </c>
      <c r="B137" s="34" t="s">
        <v>164</v>
      </c>
      <c r="C137" s="35" t="s">
        <v>50</v>
      </c>
      <c r="D137" s="36">
        <v>154.19999999999999</v>
      </c>
      <c r="E137" s="36">
        <v>14.38</v>
      </c>
      <c r="F137" s="36">
        <f t="shared" si="16"/>
        <v>2217.3959999999997</v>
      </c>
      <c r="G137" s="37">
        <f t="shared" si="17"/>
        <v>0</v>
      </c>
      <c r="H137" s="38">
        <f t="shared" si="18"/>
        <v>0</v>
      </c>
      <c r="I137" s="37">
        <f t="shared" si="19"/>
        <v>0</v>
      </c>
      <c r="J137" s="38">
        <v>0</v>
      </c>
      <c r="K137" s="37">
        <f t="shared" si="20"/>
        <v>0</v>
      </c>
      <c r="L137" s="38">
        <v>0</v>
      </c>
    </row>
    <row r="138" spans="1:12" s="39" customFormat="1" ht="28.95" customHeight="1" outlineLevel="1" x14ac:dyDescent="0.25">
      <c r="A138" s="33">
        <v>14</v>
      </c>
      <c r="B138" s="34" t="s">
        <v>165</v>
      </c>
      <c r="C138" s="35" t="s">
        <v>50</v>
      </c>
      <c r="D138" s="36">
        <v>190.5</v>
      </c>
      <c r="E138" s="36">
        <v>9.2800000000000011</v>
      </c>
      <c r="F138" s="36">
        <f t="shared" si="16"/>
        <v>1767.8400000000001</v>
      </c>
      <c r="G138" s="37">
        <f t="shared" si="17"/>
        <v>0</v>
      </c>
      <c r="H138" s="38">
        <f t="shared" si="18"/>
        <v>0</v>
      </c>
      <c r="I138" s="37">
        <f t="shared" si="19"/>
        <v>0</v>
      </c>
      <c r="J138" s="38">
        <v>0</v>
      </c>
      <c r="K138" s="37">
        <f t="shared" si="20"/>
        <v>0</v>
      </c>
      <c r="L138" s="38">
        <v>0</v>
      </c>
    </row>
    <row r="139" spans="1:12" s="39" customFormat="1" ht="43.5" customHeight="1" outlineLevel="1" x14ac:dyDescent="0.25">
      <c r="A139" s="33">
        <v>15</v>
      </c>
      <c r="B139" s="34" t="s">
        <v>166</v>
      </c>
      <c r="C139" s="35" t="s">
        <v>50</v>
      </c>
      <c r="D139" s="36">
        <v>190.5</v>
      </c>
      <c r="E139" s="36">
        <v>3.6884000000000001</v>
      </c>
      <c r="F139" s="36">
        <f t="shared" si="16"/>
        <v>702.64020000000005</v>
      </c>
      <c r="G139" s="37">
        <f t="shared" si="17"/>
        <v>0</v>
      </c>
      <c r="H139" s="38">
        <f t="shared" si="18"/>
        <v>0</v>
      </c>
      <c r="I139" s="37">
        <f t="shared" si="19"/>
        <v>0</v>
      </c>
      <c r="J139" s="38">
        <v>0</v>
      </c>
      <c r="K139" s="37">
        <f t="shared" si="20"/>
        <v>0</v>
      </c>
      <c r="L139" s="38">
        <v>0</v>
      </c>
    </row>
    <row r="140" spans="1:12" s="39" customFormat="1" ht="15.45" customHeight="1" outlineLevel="1" x14ac:dyDescent="0.25">
      <c r="A140" s="33">
        <v>16</v>
      </c>
      <c r="B140" s="34" t="s">
        <v>167</v>
      </c>
      <c r="C140" s="35" t="s">
        <v>28</v>
      </c>
      <c r="D140" s="36">
        <v>1.62</v>
      </c>
      <c r="E140" s="36">
        <v>75.519717999999997</v>
      </c>
      <c r="F140" s="36">
        <f t="shared" si="16"/>
        <v>122.34194316</v>
      </c>
      <c r="G140" s="37">
        <f t="shared" si="17"/>
        <v>0</v>
      </c>
      <c r="H140" s="38">
        <f t="shared" si="18"/>
        <v>0</v>
      </c>
      <c r="I140" s="37">
        <f t="shared" si="19"/>
        <v>0</v>
      </c>
      <c r="J140" s="38">
        <v>0</v>
      </c>
      <c r="K140" s="37">
        <f t="shared" si="20"/>
        <v>0</v>
      </c>
      <c r="L140" s="38">
        <v>0</v>
      </c>
    </row>
    <row r="141" spans="1:12" s="39" customFormat="1" ht="28.95" customHeight="1" outlineLevel="1" x14ac:dyDescent="0.25">
      <c r="A141" s="33">
        <v>17</v>
      </c>
      <c r="B141" s="34" t="s">
        <v>168</v>
      </c>
      <c r="C141" s="35" t="s">
        <v>30</v>
      </c>
      <c r="D141" s="36">
        <v>0.46300000000000002</v>
      </c>
      <c r="E141" s="36">
        <v>3264.1</v>
      </c>
      <c r="F141" s="36">
        <f t="shared" si="16"/>
        <v>1511.2782999999999</v>
      </c>
      <c r="G141" s="37">
        <f t="shared" si="17"/>
        <v>0</v>
      </c>
      <c r="H141" s="38">
        <f t="shared" si="18"/>
        <v>0</v>
      </c>
      <c r="I141" s="37">
        <f t="shared" si="19"/>
        <v>0</v>
      </c>
      <c r="J141" s="38">
        <v>0</v>
      </c>
      <c r="K141" s="37">
        <f t="shared" si="20"/>
        <v>0</v>
      </c>
      <c r="L141" s="38">
        <v>0</v>
      </c>
    </row>
    <row r="142" spans="1:12" s="39" customFormat="1" ht="15.45" customHeight="1" outlineLevel="1" x14ac:dyDescent="0.25">
      <c r="A142" s="33">
        <v>18</v>
      </c>
      <c r="B142" s="34" t="s">
        <v>169</v>
      </c>
      <c r="C142" s="35" t="s">
        <v>50</v>
      </c>
      <c r="D142" s="36">
        <v>145.69999999999999</v>
      </c>
      <c r="E142" s="36">
        <v>71.5</v>
      </c>
      <c r="F142" s="36">
        <f t="shared" si="16"/>
        <v>10417.549999999999</v>
      </c>
      <c r="G142" s="37">
        <f t="shared" si="17"/>
        <v>0</v>
      </c>
      <c r="H142" s="38">
        <f t="shared" si="18"/>
        <v>0</v>
      </c>
      <c r="I142" s="37">
        <f t="shared" si="19"/>
        <v>0</v>
      </c>
      <c r="J142" s="38">
        <v>0</v>
      </c>
      <c r="K142" s="37">
        <f t="shared" si="20"/>
        <v>0</v>
      </c>
      <c r="L142" s="38">
        <v>0</v>
      </c>
    </row>
    <row r="143" spans="1:12" s="39" customFormat="1" ht="15.45" customHeight="1" outlineLevel="1" x14ac:dyDescent="0.25">
      <c r="A143" s="33">
        <v>19</v>
      </c>
      <c r="B143" s="34" t="s">
        <v>170</v>
      </c>
      <c r="C143" s="35" t="s">
        <v>55</v>
      </c>
      <c r="D143" s="36">
        <v>9</v>
      </c>
      <c r="E143" s="36">
        <v>102.1</v>
      </c>
      <c r="F143" s="36">
        <f t="shared" si="16"/>
        <v>918.9</v>
      </c>
      <c r="G143" s="37">
        <f t="shared" si="17"/>
        <v>0</v>
      </c>
      <c r="H143" s="38">
        <f t="shared" si="18"/>
        <v>0</v>
      </c>
      <c r="I143" s="37">
        <f t="shared" si="19"/>
        <v>0</v>
      </c>
      <c r="J143" s="38">
        <v>0</v>
      </c>
      <c r="K143" s="37">
        <f t="shared" si="20"/>
        <v>0</v>
      </c>
      <c r="L143" s="38">
        <v>0</v>
      </c>
    </row>
    <row r="144" spans="1:12" s="39" customFormat="1" ht="15.45" customHeight="1" outlineLevel="1" x14ac:dyDescent="0.25">
      <c r="A144" s="33">
        <v>20</v>
      </c>
      <c r="B144" s="34" t="s">
        <v>171</v>
      </c>
      <c r="C144" s="35" t="s">
        <v>28</v>
      </c>
      <c r="D144" s="36">
        <v>8</v>
      </c>
      <c r="E144" s="36">
        <v>4.6900000000000004</v>
      </c>
      <c r="F144" s="36">
        <f t="shared" si="16"/>
        <v>37.520000000000003</v>
      </c>
      <c r="G144" s="37">
        <f t="shared" si="17"/>
        <v>0</v>
      </c>
      <c r="H144" s="38">
        <f t="shared" si="18"/>
        <v>0</v>
      </c>
      <c r="I144" s="37">
        <f t="shared" si="19"/>
        <v>0</v>
      </c>
      <c r="J144" s="38">
        <v>0</v>
      </c>
      <c r="K144" s="37">
        <f t="shared" si="20"/>
        <v>0</v>
      </c>
      <c r="L144" s="38">
        <v>0</v>
      </c>
    </row>
    <row r="145" spans="1:12" s="39" customFormat="1" ht="28.95" customHeight="1" outlineLevel="1" x14ac:dyDescent="0.25">
      <c r="A145" s="31" t="s">
        <v>172</v>
      </c>
      <c r="B145" s="40" t="s">
        <v>173</v>
      </c>
      <c r="C145" s="41">
        <v>0</v>
      </c>
      <c r="D145" s="42"/>
      <c r="E145" s="42"/>
      <c r="F145" s="42"/>
      <c r="G145" s="43"/>
      <c r="H145" s="44"/>
      <c r="I145" s="43"/>
      <c r="J145" s="44"/>
      <c r="K145" s="43"/>
      <c r="L145" s="44">
        <v>0</v>
      </c>
    </row>
    <row r="146" spans="1:12" s="39" customFormat="1" ht="28.95" customHeight="1" outlineLevel="1" x14ac:dyDescent="0.25">
      <c r="A146" s="33">
        <v>32</v>
      </c>
      <c r="B146" s="34" t="s">
        <v>174</v>
      </c>
      <c r="C146" s="35" t="s">
        <v>28</v>
      </c>
      <c r="D146" s="36">
        <v>9</v>
      </c>
      <c r="E146" s="36">
        <v>35.402200000000001</v>
      </c>
      <c r="F146" s="36">
        <f>+E146*D146</f>
        <v>318.6198</v>
      </c>
      <c r="G146" s="37">
        <f>I146+K146</f>
        <v>0</v>
      </c>
      <c r="H146" s="38">
        <f>J146+L146</f>
        <v>0</v>
      </c>
      <c r="I146" s="37">
        <f>J146/F146</f>
        <v>0</v>
      </c>
      <c r="J146" s="38">
        <v>0</v>
      </c>
      <c r="K146" s="37">
        <f>L146/F146</f>
        <v>0</v>
      </c>
      <c r="L146" s="38">
        <v>0</v>
      </c>
    </row>
    <row r="147" spans="1:12" s="39" customFormat="1" ht="15.45" customHeight="1" outlineLevel="1" x14ac:dyDescent="0.25">
      <c r="A147" s="31" t="s">
        <v>175</v>
      </c>
      <c r="B147" s="40" t="s">
        <v>176</v>
      </c>
      <c r="C147" s="41">
        <v>0</v>
      </c>
      <c r="D147" s="42"/>
      <c r="E147" s="42"/>
      <c r="F147" s="42"/>
      <c r="G147" s="43"/>
      <c r="H147" s="44"/>
      <c r="I147" s="43"/>
      <c r="J147" s="44"/>
      <c r="K147" s="43"/>
      <c r="L147" s="44">
        <v>0</v>
      </c>
    </row>
    <row r="148" spans="1:12" s="39" customFormat="1" ht="15.45" customHeight="1" outlineLevel="1" x14ac:dyDescent="0.25">
      <c r="A148" s="33">
        <v>1</v>
      </c>
      <c r="B148" s="34" t="s">
        <v>177</v>
      </c>
      <c r="C148" s="35" t="s">
        <v>106</v>
      </c>
      <c r="D148" s="36">
        <v>2.56</v>
      </c>
      <c r="E148" s="36">
        <v>3.3435999999999999</v>
      </c>
      <c r="F148" s="36">
        <f t="shared" ref="F148:F156" si="21">+E148*D148</f>
        <v>8.5596160000000001</v>
      </c>
      <c r="G148" s="37">
        <f t="shared" ref="G148:G156" si="22">I148+K148</f>
        <v>0</v>
      </c>
      <c r="H148" s="38">
        <f t="shared" ref="H148:H156" si="23">J148+L148</f>
        <v>0</v>
      </c>
      <c r="I148" s="37">
        <f t="shared" ref="I148:I156" si="24">J148/F148</f>
        <v>0</v>
      </c>
      <c r="J148" s="38">
        <v>0</v>
      </c>
      <c r="K148" s="37">
        <f t="shared" ref="K148:K156" si="25">L148/F148</f>
        <v>0</v>
      </c>
      <c r="L148" s="38">
        <v>0</v>
      </c>
    </row>
    <row r="149" spans="1:12" s="39" customFormat="1" ht="15.45" customHeight="1" outlineLevel="1" x14ac:dyDescent="0.25">
      <c r="A149" s="33">
        <v>2</v>
      </c>
      <c r="B149" s="34" t="s">
        <v>178</v>
      </c>
      <c r="C149" s="35" t="s">
        <v>66</v>
      </c>
      <c r="D149" s="36">
        <v>0.154</v>
      </c>
      <c r="E149" s="36">
        <v>114.1564</v>
      </c>
      <c r="F149" s="36">
        <f t="shared" si="21"/>
        <v>17.5800856</v>
      </c>
      <c r="G149" s="37">
        <f t="shared" si="22"/>
        <v>0</v>
      </c>
      <c r="H149" s="38">
        <f t="shared" si="23"/>
        <v>0</v>
      </c>
      <c r="I149" s="37">
        <f t="shared" si="24"/>
        <v>0</v>
      </c>
      <c r="J149" s="38">
        <v>0</v>
      </c>
      <c r="K149" s="37">
        <f t="shared" si="25"/>
        <v>0</v>
      </c>
      <c r="L149" s="38">
        <v>0</v>
      </c>
    </row>
    <row r="150" spans="1:12" s="39" customFormat="1" ht="15.45" customHeight="1" outlineLevel="1" x14ac:dyDescent="0.25">
      <c r="A150" s="33">
        <v>3</v>
      </c>
      <c r="B150" s="34" t="s">
        <v>153</v>
      </c>
      <c r="C150" s="35" t="s">
        <v>106</v>
      </c>
      <c r="D150" s="36">
        <v>2.56</v>
      </c>
      <c r="E150" s="36">
        <v>3.7719999999999998</v>
      </c>
      <c r="F150" s="36">
        <f t="shared" si="21"/>
        <v>9.6563199999999991</v>
      </c>
      <c r="G150" s="37">
        <f t="shared" si="22"/>
        <v>0</v>
      </c>
      <c r="H150" s="38">
        <f t="shared" si="23"/>
        <v>0</v>
      </c>
      <c r="I150" s="37">
        <f t="shared" si="24"/>
        <v>0</v>
      </c>
      <c r="J150" s="38">
        <v>0</v>
      </c>
      <c r="K150" s="37">
        <f t="shared" si="25"/>
        <v>0</v>
      </c>
      <c r="L150" s="38">
        <v>0</v>
      </c>
    </row>
    <row r="151" spans="1:12" s="39" customFormat="1" ht="28.95" customHeight="1" outlineLevel="1" x14ac:dyDescent="0.25">
      <c r="A151" s="33">
        <v>4</v>
      </c>
      <c r="B151" s="34" t="s">
        <v>179</v>
      </c>
      <c r="C151" s="35" t="s">
        <v>106</v>
      </c>
      <c r="D151" s="36">
        <v>2.56</v>
      </c>
      <c r="E151" s="36">
        <v>0.95300000000000007</v>
      </c>
      <c r="F151" s="36">
        <f t="shared" si="21"/>
        <v>2.4396800000000001</v>
      </c>
      <c r="G151" s="37">
        <f t="shared" si="22"/>
        <v>0</v>
      </c>
      <c r="H151" s="38">
        <f t="shared" si="23"/>
        <v>0</v>
      </c>
      <c r="I151" s="37">
        <f t="shared" si="24"/>
        <v>0</v>
      </c>
      <c r="J151" s="38">
        <v>0</v>
      </c>
      <c r="K151" s="37">
        <f t="shared" si="25"/>
        <v>0</v>
      </c>
      <c r="L151" s="38">
        <v>0</v>
      </c>
    </row>
    <row r="152" spans="1:12" s="39" customFormat="1" ht="15.45" customHeight="1" outlineLevel="1" x14ac:dyDescent="0.25">
      <c r="A152" s="33">
        <v>5</v>
      </c>
      <c r="B152" s="34" t="s">
        <v>160</v>
      </c>
      <c r="C152" s="35" t="s">
        <v>66</v>
      </c>
      <c r="D152" s="36">
        <v>0.23</v>
      </c>
      <c r="E152" s="36">
        <v>803.44180000000006</v>
      </c>
      <c r="F152" s="36">
        <f t="shared" si="21"/>
        <v>184.79161400000001</v>
      </c>
      <c r="G152" s="37">
        <f t="shared" si="22"/>
        <v>0</v>
      </c>
      <c r="H152" s="38">
        <f t="shared" si="23"/>
        <v>0</v>
      </c>
      <c r="I152" s="37">
        <f t="shared" si="24"/>
        <v>0</v>
      </c>
      <c r="J152" s="38">
        <v>0</v>
      </c>
      <c r="K152" s="37">
        <f t="shared" si="25"/>
        <v>0</v>
      </c>
      <c r="L152" s="38">
        <v>0</v>
      </c>
    </row>
    <row r="153" spans="1:12" s="39" customFormat="1" ht="28.95" customHeight="1" outlineLevel="1" x14ac:dyDescent="0.25">
      <c r="A153" s="33">
        <v>6</v>
      </c>
      <c r="B153" s="34" t="s">
        <v>180</v>
      </c>
      <c r="C153" s="35" t="s">
        <v>106</v>
      </c>
      <c r="D153" s="36">
        <v>9.6</v>
      </c>
      <c r="E153" s="36">
        <v>19.7758</v>
      </c>
      <c r="F153" s="36">
        <f t="shared" si="21"/>
        <v>189.84768</v>
      </c>
      <c r="G153" s="37">
        <f t="shared" si="22"/>
        <v>0</v>
      </c>
      <c r="H153" s="38">
        <f t="shared" si="23"/>
        <v>0</v>
      </c>
      <c r="I153" s="37">
        <f t="shared" si="24"/>
        <v>0</v>
      </c>
      <c r="J153" s="38">
        <v>0</v>
      </c>
      <c r="K153" s="37">
        <f t="shared" si="25"/>
        <v>0</v>
      </c>
      <c r="L153" s="38">
        <v>0</v>
      </c>
    </row>
    <row r="154" spans="1:12" s="39" customFormat="1" ht="15.45" customHeight="1" outlineLevel="1" x14ac:dyDescent="0.25">
      <c r="A154" s="33">
        <v>7</v>
      </c>
      <c r="B154" s="34" t="s">
        <v>164</v>
      </c>
      <c r="C154" s="35" t="s">
        <v>50</v>
      </c>
      <c r="D154" s="36">
        <v>12.8</v>
      </c>
      <c r="E154" s="36">
        <v>14.3188</v>
      </c>
      <c r="F154" s="36">
        <f t="shared" si="21"/>
        <v>183.28064000000001</v>
      </c>
      <c r="G154" s="37">
        <f t="shared" si="22"/>
        <v>0</v>
      </c>
      <c r="H154" s="38">
        <f t="shared" si="23"/>
        <v>0</v>
      </c>
      <c r="I154" s="37">
        <f t="shared" si="24"/>
        <v>0</v>
      </c>
      <c r="J154" s="38">
        <v>0</v>
      </c>
      <c r="K154" s="37">
        <f t="shared" si="25"/>
        <v>0</v>
      </c>
      <c r="L154" s="38">
        <v>0</v>
      </c>
    </row>
    <row r="155" spans="1:12" s="39" customFormat="1" ht="28.95" customHeight="1" outlineLevel="1" x14ac:dyDescent="0.25">
      <c r="A155" s="33">
        <v>8</v>
      </c>
      <c r="B155" s="34" t="s">
        <v>181</v>
      </c>
      <c r="C155" s="35" t="s">
        <v>50</v>
      </c>
      <c r="D155" s="36">
        <v>6.6</v>
      </c>
      <c r="E155" s="36">
        <v>9.0555999999999983</v>
      </c>
      <c r="F155" s="36">
        <f t="shared" si="21"/>
        <v>59.766959999999983</v>
      </c>
      <c r="G155" s="37">
        <f t="shared" si="22"/>
        <v>0</v>
      </c>
      <c r="H155" s="38">
        <f t="shared" si="23"/>
        <v>0</v>
      </c>
      <c r="I155" s="37">
        <f t="shared" si="24"/>
        <v>0</v>
      </c>
      <c r="J155" s="38">
        <v>0</v>
      </c>
      <c r="K155" s="37">
        <f t="shared" si="25"/>
        <v>0</v>
      </c>
      <c r="L155" s="38">
        <v>0</v>
      </c>
    </row>
    <row r="156" spans="1:12" s="39" customFormat="1" ht="43.5" customHeight="1" outlineLevel="1" x14ac:dyDescent="0.25">
      <c r="A156" s="33">
        <v>9</v>
      </c>
      <c r="B156" s="34" t="s">
        <v>166</v>
      </c>
      <c r="C156" s="35" t="s">
        <v>50</v>
      </c>
      <c r="D156" s="36">
        <v>6.6</v>
      </c>
      <c r="E156" s="36">
        <v>3.6884000000000001</v>
      </c>
      <c r="F156" s="36">
        <f t="shared" si="21"/>
        <v>24.343440000000001</v>
      </c>
      <c r="G156" s="37">
        <f t="shared" si="22"/>
        <v>0</v>
      </c>
      <c r="H156" s="38">
        <f t="shared" si="23"/>
        <v>0</v>
      </c>
      <c r="I156" s="37">
        <f t="shared" si="24"/>
        <v>0</v>
      </c>
      <c r="J156" s="38">
        <v>0</v>
      </c>
      <c r="K156" s="37">
        <f t="shared" si="25"/>
        <v>0</v>
      </c>
      <c r="L156" s="38">
        <v>0</v>
      </c>
    </row>
    <row r="157" spans="1:12" s="39" customFormat="1" ht="15.45" customHeight="1" outlineLevel="1" x14ac:dyDescent="0.25">
      <c r="A157" s="31" t="s">
        <v>182</v>
      </c>
      <c r="B157" s="40" t="s">
        <v>183</v>
      </c>
      <c r="C157" s="41">
        <v>0</v>
      </c>
      <c r="D157" s="42"/>
      <c r="E157" s="42"/>
      <c r="F157" s="42"/>
      <c r="G157" s="43"/>
      <c r="H157" s="44"/>
      <c r="I157" s="43"/>
      <c r="J157" s="44"/>
      <c r="K157" s="43"/>
      <c r="L157" s="44">
        <v>0</v>
      </c>
    </row>
    <row r="158" spans="1:12" s="39" customFormat="1" ht="28.95" customHeight="1" outlineLevel="1" x14ac:dyDescent="0.25">
      <c r="A158" s="33">
        <v>1</v>
      </c>
      <c r="B158" s="34" t="s">
        <v>184</v>
      </c>
      <c r="C158" s="35" t="s">
        <v>106</v>
      </c>
      <c r="D158" s="36">
        <v>32</v>
      </c>
      <c r="E158" s="36">
        <v>3.6903999999999999</v>
      </c>
      <c r="F158" s="36">
        <f t="shared" ref="F158:F179" si="26">+E158*D158</f>
        <v>118.0928</v>
      </c>
      <c r="G158" s="37">
        <f t="shared" ref="G158:G179" si="27">I158+K158</f>
        <v>0</v>
      </c>
      <c r="H158" s="38">
        <f t="shared" ref="H158:H179" si="28">J158+L158</f>
        <v>0</v>
      </c>
      <c r="I158" s="37">
        <f t="shared" ref="I158:I179" si="29">J158/F158</f>
        <v>0</v>
      </c>
      <c r="J158" s="38">
        <v>0</v>
      </c>
      <c r="K158" s="37">
        <f t="shared" ref="K158:K179" si="30">L158/F158</f>
        <v>0</v>
      </c>
      <c r="L158" s="38">
        <v>0</v>
      </c>
    </row>
    <row r="159" spans="1:12" s="39" customFormat="1" ht="15.45" customHeight="1" outlineLevel="1" x14ac:dyDescent="0.25">
      <c r="A159" s="33">
        <v>2</v>
      </c>
      <c r="B159" s="34" t="s">
        <v>185</v>
      </c>
      <c r="C159" s="35" t="s">
        <v>106</v>
      </c>
      <c r="D159" s="36">
        <v>32</v>
      </c>
      <c r="E159" s="36">
        <v>0.9</v>
      </c>
      <c r="F159" s="36">
        <f t="shared" si="26"/>
        <v>28.8</v>
      </c>
      <c r="G159" s="37">
        <f t="shared" si="27"/>
        <v>0</v>
      </c>
      <c r="H159" s="38">
        <f t="shared" si="28"/>
        <v>0</v>
      </c>
      <c r="I159" s="37">
        <f t="shared" si="29"/>
        <v>0</v>
      </c>
      <c r="J159" s="38">
        <v>0</v>
      </c>
      <c r="K159" s="37">
        <f t="shared" si="30"/>
        <v>0</v>
      </c>
      <c r="L159" s="38">
        <v>0</v>
      </c>
    </row>
    <row r="160" spans="1:12" s="39" customFormat="1" ht="15.45" customHeight="1" outlineLevel="1" x14ac:dyDescent="0.25">
      <c r="A160" s="33">
        <v>3</v>
      </c>
      <c r="B160" s="34" t="s">
        <v>186</v>
      </c>
      <c r="C160" s="35" t="s">
        <v>66</v>
      </c>
      <c r="D160" s="36">
        <v>2.56</v>
      </c>
      <c r="E160" s="36">
        <v>114.1564</v>
      </c>
      <c r="F160" s="36">
        <f t="shared" si="26"/>
        <v>292.24038400000001</v>
      </c>
      <c r="G160" s="37">
        <f t="shared" si="27"/>
        <v>0</v>
      </c>
      <c r="H160" s="38">
        <f t="shared" si="28"/>
        <v>0</v>
      </c>
      <c r="I160" s="37">
        <f t="shared" si="29"/>
        <v>0</v>
      </c>
      <c r="J160" s="38">
        <v>0</v>
      </c>
      <c r="K160" s="37">
        <f t="shared" si="30"/>
        <v>0</v>
      </c>
      <c r="L160" s="38">
        <v>0</v>
      </c>
    </row>
    <row r="161" spans="1:12" s="39" customFormat="1" ht="15.45" customHeight="1" outlineLevel="1" x14ac:dyDescent="0.25">
      <c r="A161" s="33">
        <v>4</v>
      </c>
      <c r="B161" s="34" t="s">
        <v>157</v>
      </c>
      <c r="C161" s="35" t="s">
        <v>106</v>
      </c>
      <c r="D161" s="36">
        <v>32</v>
      </c>
      <c r="E161" s="36">
        <v>1.4119999999999999</v>
      </c>
      <c r="F161" s="36">
        <f t="shared" si="26"/>
        <v>45.183999999999997</v>
      </c>
      <c r="G161" s="37">
        <f t="shared" si="27"/>
        <v>0</v>
      </c>
      <c r="H161" s="38">
        <f t="shared" si="28"/>
        <v>0</v>
      </c>
      <c r="I161" s="37">
        <f t="shared" si="29"/>
        <v>0</v>
      </c>
      <c r="J161" s="38">
        <v>0</v>
      </c>
      <c r="K161" s="37">
        <f t="shared" si="30"/>
        <v>0</v>
      </c>
      <c r="L161" s="38">
        <v>0</v>
      </c>
    </row>
    <row r="162" spans="1:12" s="39" customFormat="1" ht="15.45" customHeight="1" outlineLevel="1" x14ac:dyDescent="0.25">
      <c r="A162" s="33">
        <v>5</v>
      </c>
      <c r="B162" s="34" t="s">
        <v>153</v>
      </c>
      <c r="C162" s="35" t="s">
        <v>106</v>
      </c>
      <c r="D162" s="36">
        <v>32</v>
      </c>
      <c r="E162" s="36">
        <v>3.7719999999999998</v>
      </c>
      <c r="F162" s="36">
        <f t="shared" si="26"/>
        <v>120.70399999999999</v>
      </c>
      <c r="G162" s="37">
        <f t="shared" si="27"/>
        <v>0</v>
      </c>
      <c r="H162" s="38">
        <f t="shared" si="28"/>
        <v>0</v>
      </c>
      <c r="I162" s="37">
        <f t="shared" si="29"/>
        <v>0</v>
      </c>
      <c r="J162" s="38">
        <v>0</v>
      </c>
      <c r="K162" s="37">
        <f t="shared" si="30"/>
        <v>0</v>
      </c>
      <c r="L162" s="38">
        <v>0</v>
      </c>
    </row>
    <row r="163" spans="1:12" s="39" customFormat="1" ht="15.45" customHeight="1" outlineLevel="1" x14ac:dyDescent="0.25">
      <c r="A163" s="33">
        <v>6</v>
      </c>
      <c r="B163" s="34" t="s">
        <v>187</v>
      </c>
      <c r="C163" s="35" t="s">
        <v>106</v>
      </c>
      <c r="D163" s="36">
        <v>32</v>
      </c>
      <c r="E163" s="36">
        <v>0.95300000000000007</v>
      </c>
      <c r="F163" s="36">
        <f t="shared" si="26"/>
        <v>30.496000000000002</v>
      </c>
      <c r="G163" s="37">
        <f t="shared" si="27"/>
        <v>0</v>
      </c>
      <c r="H163" s="38">
        <f t="shared" si="28"/>
        <v>0</v>
      </c>
      <c r="I163" s="37">
        <f t="shared" si="29"/>
        <v>0</v>
      </c>
      <c r="J163" s="38">
        <v>0</v>
      </c>
      <c r="K163" s="37">
        <f t="shared" si="30"/>
        <v>0</v>
      </c>
      <c r="L163" s="38">
        <v>0</v>
      </c>
    </row>
    <row r="164" spans="1:12" s="39" customFormat="1" ht="28.95" customHeight="1" outlineLevel="1" x14ac:dyDescent="0.25">
      <c r="A164" s="33">
        <v>7</v>
      </c>
      <c r="B164" s="34" t="s">
        <v>180</v>
      </c>
      <c r="C164" s="35" t="s">
        <v>106</v>
      </c>
      <c r="D164" s="36">
        <v>70.400000000000006</v>
      </c>
      <c r="E164" s="36">
        <v>19.7758</v>
      </c>
      <c r="F164" s="36">
        <f t="shared" si="26"/>
        <v>1392.2163200000002</v>
      </c>
      <c r="G164" s="37">
        <f t="shared" si="27"/>
        <v>0</v>
      </c>
      <c r="H164" s="38">
        <f t="shared" si="28"/>
        <v>0</v>
      </c>
      <c r="I164" s="37">
        <f t="shared" si="29"/>
        <v>0</v>
      </c>
      <c r="J164" s="38">
        <v>0</v>
      </c>
      <c r="K164" s="37">
        <f t="shared" si="30"/>
        <v>0</v>
      </c>
      <c r="L164" s="38">
        <v>0</v>
      </c>
    </row>
    <row r="165" spans="1:12" s="39" customFormat="1" ht="15.45" customHeight="1" outlineLevel="1" x14ac:dyDescent="0.25">
      <c r="A165" s="33">
        <v>8</v>
      </c>
      <c r="B165" s="34" t="s">
        <v>160</v>
      </c>
      <c r="C165" s="35" t="s">
        <v>66</v>
      </c>
      <c r="D165" s="36">
        <v>2.4700000000000002</v>
      </c>
      <c r="E165" s="36">
        <v>803.44180000000006</v>
      </c>
      <c r="F165" s="36">
        <f t="shared" si="26"/>
        <v>1984.5012460000003</v>
      </c>
      <c r="G165" s="37">
        <f t="shared" si="27"/>
        <v>0</v>
      </c>
      <c r="H165" s="38">
        <f t="shared" si="28"/>
        <v>0</v>
      </c>
      <c r="I165" s="37">
        <f t="shared" si="29"/>
        <v>0</v>
      </c>
      <c r="J165" s="38">
        <v>0</v>
      </c>
      <c r="K165" s="37">
        <f t="shared" si="30"/>
        <v>0</v>
      </c>
      <c r="L165" s="38">
        <v>0</v>
      </c>
    </row>
    <row r="166" spans="1:12" s="39" customFormat="1" ht="15.45" customHeight="1" outlineLevel="1" x14ac:dyDescent="0.25">
      <c r="A166" s="33">
        <v>9</v>
      </c>
      <c r="B166" s="34" t="s">
        <v>170</v>
      </c>
      <c r="C166" s="35" t="s">
        <v>55</v>
      </c>
      <c r="D166" s="36">
        <v>2</v>
      </c>
      <c r="E166" s="36">
        <v>102.1</v>
      </c>
      <c r="F166" s="36">
        <f t="shared" si="26"/>
        <v>204.2</v>
      </c>
      <c r="G166" s="37">
        <f t="shared" si="27"/>
        <v>0</v>
      </c>
      <c r="H166" s="38">
        <f t="shared" si="28"/>
        <v>0</v>
      </c>
      <c r="I166" s="37">
        <f t="shared" si="29"/>
        <v>0</v>
      </c>
      <c r="J166" s="38">
        <v>0</v>
      </c>
      <c r="K166" s="37">
        <f t="shared" si="30"/>
        <v>0</v>
      </c>
      <c r="L166" s="38">
        <v>0</v>
      </c>
    </row>
    <row r="167" spans="1:12" s="39" customFormat="1" ht="15.45" customHeight="1" outlineLevel="1" x14ac:dyDescent="0.25">
      <c r="A167" s="33">
        <v>10</v>
      </c>
      <c r="B167" s="34" t="s">
        <v>188</v>
      </c>
      <c r="C167" s="35" t="s">
        <v>50</v>
      </c>
      <c r="D167" s="36">
        <v>16.3</v>
      </c>
      <c r="E167" s="36">
        <v>9.0555999999999983</v>
      </c>
      <c r="F167" s="36">
        <f t="shared" si="26"/>
        <v>147.60627999999997</v>
      </c>
      <c r="G167" s="37">
        <f t="shared" si="27"/>
        <v>0</v>
      </c>
      <c r="H167" s="38">
        <f t="shared" si="28"/>
        <v>0</v>
      </c>
      <c r="I167" s="37">
        <f t="shared" si="29"/>
        <v>0</v>
      </c>
      <c r="J167" s="38">
        <v>0</v>
      </c>
      <c r="K167" s="37">
        <f t="shared" si="30"/>
        <v>0</v>
      </c>
      <c r="L167" s="38">
        <v>0</v>
      </c>
    </row>
    <row r="168" spans="1:12" s="39" customFormat="1" ht="43.5" customHeight="1" outlineLevel="1" x14ac:dyDescent="0.25">
      <c r="A168" s="33">
        <v>11</v>
      </c>
      <c r="B168" s="34" t="s">
        <v>166</v>
      </c>
      <c r="C168" s="35" t="s">
        <v>50</v>
      </c>
      <c r="D168" s="36">
        <v>16.3</v>
      </c>
      <c r="E168" s="36">
        <v>3.6884000000000001</v>
      </c>
      <c r="F168" s="36">
        <f t="shared" si="26"/>
        <v>60.120920000000005</v>
      </c>
      <c r="G168" s="37">
        <f t="shared" si="27"/>
        <v>0</v>
      </c>
      <c r="H168" s="38">
        <f t="shared" si="28"/>
        <v>0</v>
      </c>
      <c r="I168" s="37">
        <f t="shared" si="29"/>
        <v>0</v>
      </c>
      <c r="J168" s="38">
        <v>0</v>
      </c>
      <c r="K168" s="37">
        <f t="shared" si="30"/>
        <v>0</v>
      </c>
      <c r="L168" s="38">
        <v>0</v>
      </c>
    </row>
    <row r="169" spans="1:12" s="39" customFormat="1" ht="15.45" customHeight="1" outlineLevel="1" x14ac:dyDescent="0.25">
      <c r="A169" s="33">
        <v>12</v>
      </c>
      <c r="B169" s="34" t="s">
        <v>189</v>
      </c>
      <c r="C169" s="35" t="s">
        <v>55</v>
      </c>
      <c r="D169" s="36">
        <v>2</v>
      </c>
      <c r="E169" s="36">
        <v>3.382400000000001</v>
      </c>
      <c r="F169" s="36">
        <f t="shared" si="26"/>
        <v>6.7648000000000019</v>
      </c>
      <c r="G169" s="37">
        <f t="shared" si="27"/>
        <v>0</v>
      </c>
      <c r="H169" s="38">
        <f t="shared" si="28"/>
        <v>0</v>
      </c>
      <c r="I169" s="37">
        <f t="shared" si="29"/>
        <v>0</v>
      </c>
      <c r="J169" s="38">
        <v>0</v>
      </c>
      <c r="K169" s="37">
        <f t="shared" si="30"/>
        <v>0</v>
      </c>
      <c r="L169" s="38">
        <v>0</v>
      </c>
    </row>
    <row r="170" spans="1:12" s="39" customFormat="1" ht="15.45" customHeight="1" outlineLevel="1" x14ac:dyDescent="0.25">
      <c r="A170" s="33">
        <v>13</v>
      </c>
      <c r="B170" s="34" t="s">
        <v>167</v>
      </c>
      <c r="C170" s="35" t="s">
        <v>106</v>
      </c>
      <c r="D170" s="36">
        <v>0.64</v>
      </c>
      <c r="E170" s="36">
        <v>75.508600000000001</v>
      </c>
      <c r="F170" s="36">
        <f t="shared" si="26"/>
        <v>48.325504000000002</v>
      </c>
      <c r="G170" s="37">
        <f t="shared" si="27"/>
        <v>0</v>
      </c>
      <c r="H170" s="38">
        <f t="shared" si="28"/>
        <v>0</v>
      </c>
      <c r="I170" s="37">
        <f t="shared" si="29"/>
        <v>0</v>
      </c>
      <c r="J170" s="38">
        <v>0</v>
      </c>
      <c r="K170" s="37">
        <f t="shared" si="30"/>
        <v>0</v>
      </c>
      <c r="L170" s="38">
        <v>0</v>
      </c>
    </row>
    <row r="171" spans="1:12" s="39" customFormat="1" ht="28.95" customHeight="1" outlineLevel="1" x14ac:dyDescent="0.25">
      <c r="A171" s="33">
        <v>14</v>
      </c>
      <c r="B171" s="34" t="s">
        <v>168</v>
      </c>
      <c r="C171" s="35" t="s">
        <v>30</v>
      </c>
      <c r="D171" s="36">
        <v>4.7E-2</v>
      </c>
      <c r="E171" s="36">
        <v>3264.1</v>
      </c>
      <c r="F171" s="36">
        <f t="shared" si="26"/>
        <v>153.4127</v>
      </c>
      <c r="G171" s="37">
        <f t="shared" si="27"/>
        <v>0</v>
      </c>
      <c r="H171" s="38">
        <f t="shared" si="28"/>
        <v>0</v>
      </c>
      <c r="I171" s="37">
        <f t="shared" si="29"/>
        <v>0</v>
      </c>
      <c r="J171" s="38">
        <v>0</v>
      </c>
      <c r="K171" s="37">
        <f t="shared" si="30"/>
        <v>0</v>
      </c>
      <c r="L171" s="38">
        <v>0</v>
      </c>
    </row>
    <row r="172" spans="1:12" s="39" customFormat="1" ht="28.95" customHeight="1" outlineLevel="1" x14ac:dyDescent="0.25">
      <c r="A172" s="33">
        <v>15</v>
      </c>
      <c r="B172" s="34" t="s">
        <v>190</v>
      </c>
      <c r="C172" s="35" t="s">
        <v>106</v>
      </c>
      <c r="D172" s="36">
        <v>1.3</v>
      </c>
      <c r="E172" s="36">
        <v>2.9763999999999999</v>
      </c>
      <c r="F172" s="36">
        <f t="shared" si="26"/>
        <v>3.8693200000000001</v>
      </c>
      <c r="G172" s="37">
        <f t="shared" si="27"/>
        <v>0</v>
      </c>
      <c r="H172" s="38">
        <f t="shared" si="28"/>
        <v>0</v>
      </c>
      <c r="I172" s="37">
        <f t="shared" si="29"/>
        <v>0</v>
      </c>
      <c r="J172" s="38">
        <v>0</v>
      </c>
      <c r="K172" s="37">
        <f t="shared" si="30"/>
        <v>0</v>
      </c>
      <c r="L172" s="38">
        <v>0</v>
      </c>
    </row>
    <row r="173" spans="1:12" s="39" customFormat="1" ht="15.45" customHeight="1" outlineLevel="1" x14ac:dyDescent="0.25">
      <c r="A173" s="33">
        <v>16</v>
      </c>
      <c r="B173" s="34" t="s">
        <v>169</v>
      </c>
      <c r="C173" s="35" t="s">
        <v>50</v>
      </c>
      <c r="D173" s="36">
        <v>12.8</v>
      </c>
      <c r="E173" s="36">
        <v>71.5</v>
      </c>
      <c r="F173" s="36">
        <f t="shared" si="26"/>
        <v>915.2</v>
      </c>
      <c r="G173" s="37">
        <f t="shared" si="27"/>
        <v>0</v>
      </c>
      <c r="H173" s="38">
        <f t="shared" si="28"/>
        <v>0</v>
      </c>
      <c r="I173" s="37">
        <f t="shared" si="29"/>
        <v>0</v>
      </c>
      <c r="J173" s="38">
        <v>0</v>
      </c>
      <c r="K173" s="37">
        <f t="shared" si="30"/>
        <v>0</v>
      </c>
      <c r="L173" s="38">
        <v>0</v>
      </c>
    </row>
    <row r="174" spans="1:12" s="39" customFormat="1" ht="28.95" customHeight="1" outlineLevel="1" x14ac:dyDescent="0.25">
      <c r="A174" s="33">
        <v>17</v>
      </c>
      <c r="B174" s="34" t="s">
        <v>191</v>
      </c>
      <c r="C174" s="35" t="s">
        <v>106</v>
      </c>
      <c r="D174" s="36">
        <v>13.5</v>
      </c>
      <c r="E174" s="36">
        <v>3.6903999999999999</v>
      </c>
      <c r="F174" s="36">
        <f t="shared" si="26"/>
        <v>49.820399999999999</v>
      </c>
      <c r="G174" s="37">
        <f t="shared" si="27"/>
        <v>0</v>
      </c>
      <c r="H174" s="38">
        <f t="shared" si="28"/>
        <v>0</v>
      </c>
      <c r="I174" s="37">
        <f t="shared" si="29"/>
        <v>0</v>
      </c>
      <c r="J174" s="38">
        <v>0</v>
      </c>
      <c r="K174" s="37">
        <f t="shared" si="30"/>
        <v>0</v>
      </c>
      <c r="L174" s="38">
        <v>0</v>
      </c>
    </row>
    <row r="175" spans="1:12" s="39" customFormat="1" ht="15.45" customHeight="1" outlineLevel="1" x14ac:dyDescent="0.25">
      <c r="A175" s="33">
        <v>18</v>
      </c>
      <c r="B175" s="34" t="s">
        <v>185</v>
      </c>
      <c r="C175" s="35" t="s">
        <v>106</v>
      </c>
      <c r="D175" s="36">
        <v>13.5</v>
      </c>
      <c r="E175" s="36">
        <v>0.9</v>
      </c>
      <c r="F175" s="36">
        <f t="shared" si="26"/>
        <v>12.15</v>
      </c>
      <c r="G175" s="37">
        <f t="shared" si="27"/>
        <v>0</v>
      </c>
      <c r="H175" s="38">
        <f t="shared" si="28"/>
        <v>0</v>
      </c>
      <c r="I175" s="37">
        <f t="shared" si="29"/>
        <v>0</v>
      </c>
      <c r="J175" s="38">
        <v>0</v>
      </c>
      <c r="K175" s="37">
        <f t="shared" si="30"/>
        <v>0</v>
      </c>
      <c r="L175" s="38">
        <v>0</v>
      </c>
    </row>
    <row r="176" spans="1:12" s="39" customFormat="1" ht="15.45" customHeight="1" outlineLevel="1" x14ac:dyDescent="0.25">
      <c r="A176" s="33">
        <v>19</v>
      </c>
      <c r="B176" s="34" t="s">
        <v>186</v>
      </c>
      <c r="C176" s="35" t="s">
        <v>66</v>
      </c>
      <c r="D176" s="36">
        <v>1.08</v>
      </c>
      <c r="E176" s="36">
        <v>114.1564</v>
      </c>
      <c r="F176" s="36">
        <f t="shared" si="26"/>
        <v>123.28891200000001</v>
      </c>
      <c r="G176" s="37">
        <f t="shared" si="27"/>
        <v>0</v>
      </c>
      <c r="H176" s="38">
        <f t="shared" si="28"/>
        <v>0</v>
      </c>
      <c r="I176" s="37">
        <f t="shared" si="29"/>
        <v>0</v>
      </c>
      <c r="J176" s="38">
        <v>0</v>
      </c>
      <c r="K176" s="37">
        <f t="shared" si="30"/>
        <v>0</v>
      </c>
      <c r="L176" s="38">
        <v>0</v>
      </c>
    </row>
    <row r="177" spans="1:12" s="39" customFormat="1" ht="15.45" customHeight="1" outlineLevel="1" x14ac:dyDescent="0.25">
      <c r="A177" s="33">
        <v>20</v>
      </c>
      <c r="B177" s="34" t="s">
        <v>153</v>
      </c>
      <c r="C177" s="35" t="s">
        <v>106</v>
      </c>
      <c r="D177" s="36">
        <v>13.5</v>
      </c>
      <c r="E177" s="36">
        <v>3.7719999999999998</v>
      </c>
      <c r="F177" s="36">
        <f t="shared" si="26"/>
        <v>50.921999999999997</v>
      </c>
      <c r="G177" s="37">
        <f t="shared" si="27"/>
        <v>0</v>
      </c>
      <c r="H177" s="38">
        <f t="shared" si="28"/>
        <v>0</v>
      </c>
      <c r="I177" s="37">
        <f t="shared" si="29"/>
        <v>0</v>
      </c>
      <c r="J177" s="38">
        <v>0</v>
      </c>
      <c r="K177" s="37">
        <f t="shared" si="30"/>
        <v>0</v>
      </c>
      <c r="L177" s="38">
        <v>0</v>
      </c>
    </row>
    <row r="178" spans="1:12" s="39" customFormat="1" ht="15.45" customHeight="1" outlineLevel="1" x14ac:dyDescent="0.25">
      <c r="A178" s="33">
        <v>21</v>
      </c>
      <c r="B178" s="34" t="s">
        <v>192</v>
      </c>
      <c r="C178" s="35" t="s">
        <v>106</v>
      </c>
      <c r="D178" s="36">
        <v>13.5</v>
      </c>
      <c r="E178" s="36">
        <v>0.95300000000000007</v>
      </c>
      <c r="F178" s="36">
        <f t="shared" si="26"/>
        <v>12.865500000000001</v>
      </c>
      <c r="G178" s="37">
        <f t="shared" si="27"/>
        <v>0</v>
      </c>
      <c r="H178" s="38">
        <f t="shared" si="28"/>
        <v>0</v>
      </c>
      <c r="I178" s="37">
        <f t="shared" si="29"/>
        <v>0</v>
      </c>
      <c r="J178" s="38">
        <v>0</v>
      </c>
      <c r="K178" s="37">
        <f t="shared" si="30"/>
        <v>0</v>
      </c>
      <c r="L178" s="38">
        <v>0</v>
      </c>
    </row>
    <row r="179" spans="1:12" s="39" customFormat="1" ht="15.45" customHeight="1" outlineLevel="1" x14ac:dyDescent="0.25">
      <c r="A179" s="33">
        <v>22</v>
      </c>
      <c r="B179" s="34" t="s">
        <v>157</v>
      </c>
      <c r="C179" s="35" t="s">
        <v>106</v>
      </c>
      <c r="D179" s="36">
        <v>13.5</v>
      </c>
      <c r="E179" s="36">
        <v>1.4119999999999999</v>
      </c>
      <c r="F179" s="36">
        <f t="shared" si="26"/>
        <v>19.061999999999998</v>
      </c>
      <c r="G179" s="37">
        <f t="shared" si="27"/>
        <v>0</v>
      </c>
      <c r="H179" s="38">
        <f t="shared" si="28"/>
        <v>0</v>
      </c>
      <c r="I179" s="37">
        <f t="shared" si="29"/>
        <v>0</v>
      </c>
      <c r="J179" s="38">
        <v>0</v>
      </c>
      <c r="K179" s="37">
        <f t="shared" si="30"/>
        <v>0</v>
      </c>
      <c r="L179" s="38">
        <v>0</v>
      </c>
    </row>
    <row r="180" spans="1:12" s="39" customFormat="1" ht="15.45" customHeight="1" outlineLevel="1" x14ac:dyDescent="0.25">
      <c r="A180" s="31" t="s">
        <v>193</v>
      </c>
      <c r="B180" s="40" t="s">
        <v>194</v>
      </c>
      <c r="C180" s="41">
        <v>0</v>
      </c>
      <c r="D180" s="42"/>
      <c r="E180" s="42"/>
      <c r="F180" s="42"/>
      <c r="G180" s="43"/>
      <c r="H180" s="44"/>
      <c r="I180" s="43"/>
      <c r="J180" s="44"/>
      <c r="K180" s="43"/>
      <c r="L180" s="44">
        <v>0</v>
      </c>
    </row>
    <row r="181" spans="1:12" s="39" customFormat="1" ht="28.95" customHeight="1" outlineLevel="1" x14ac:dyDescent="0.25">
      <c r="A181" s="33">
        <v>3</v>
      </c>
      <c r="B181" s="34" t="s">
        <v>190</v>
      </c>
      <c r="C181" s="35" t="s">
        <v>106</v>
      </c>
      <c r="D181" s="36">
        <v>7.56</v>
      </c>
      <c r="E181" s="36">
        <v>2.9763999999999999</v>
      </c>
      <c r="F181" s="36">
        <f>+E181*D181</f>
        <v>22.501583999999998</v>
      </c>
      <c r="G181" s="37">
        <f>I181+K181</f>
        <v>0</v>
      </c>
      <c r="H181" s="38">
        <f>J181+L181</f>
        <v>0</v>
      </c>
      <c r="I181" s="37">
        <f>J181/F181</f>
        <v>0</v>
      </c>
      <c r="J181" s="38">
        <v>0</v>
      </c>
      <c r="K181" s="37">
        <f>L181/F181</f>
        <v>0</v>
      </c>
      <c r="L181" s="38">
        <v>0</v>
      </c>
    </row>
    <row r="182" spans="1:12" s="39" customFormat="1" ht="15.45" customHeight="1" outlineLevel="1" x14ac:dyDescent="0.25">
      <c r="A182" s="31" t="s">
        <v>195</v>
      </c>
      <c r="B182" s="40" t="s">
        <v>196</v>
      </c>
      <c r="C182" s="41">
        <v>0</v>
      </c>
      <c r="D182" s="42"/>
      <c r="E182" s="42"/>
      <c r="F182" s="42"/>
      <c r="G182" s="43"/>
      <c r="H182" s="44"/>
      <c r="I182" s="43"/>
      <c r="J182" s="44"/>
      <c r="K182" s="43"/>
      <c r="L182" s="44">
        <v>0</v>
      </c>
    </row>
    <row r="183" spans="1:12" s="39" customFormat="1" ht="28.95" customHeight="1" outlineLevel="1" x14ac:dyDescent="0.25">
      <c r="A183" s="33">
        <v>2</v>
      </c>
      <c r="B183" s="34" t="s">
        <v>190</v>
      </c>
      <c r="C183" s="35" t="s">
        <v>106</v>
      </c>
      <c r="D183" s="36">
        <v>13.4</v>
      </c>
      <c r="E183" s="36">
        <v>2.9763999999999999</v>
      </c>
      <c r="F183" s="36">
        <f>+E183*D183</f>
        <v>39.883760000000002</v>
      </c>
      <c r="G183" s="37">
        <f>I183+K183</f>
        <v>0</v>
      </c>
      <c r="H183" s="38">
        <f>J183+L183</f>
        <v>0</v>
      </c>
      <c r="I183" s="37">
        <f>J183/F183</f>
        <v>0</v>
      </c>
      <c r="J183" s="38">
        <v>0</v>
      </c>
      <c r="K183" s="37">
        <f>L183/F183</f>
        <v>0</v>
      </c>
      <c r="L183" s="38">
        <v>0</v>
      </c>
    </row>
    <row r="184" spans="1:12" s="39" customFormat="1" ht="15.45" customHeight="1" outlineLevel="1" x14ac:dyDescent="0.25">
      <c r="A184" s="31" t="s">
        <v>197</v>
      </c>
      <c r="B184" s="40" t="s">
        <v>198</v>
      </c>
      <c r="C184" s="41">
        <v>0</v>
      </c>
      <c r="D184" s="42"/>
      <c r="E184" s="42"/>
      <c r="F184" s="42"/>
      <c r="G184" s="43"/>
      <c r="H184" s="44"/>
      <c r="I184" s="43"/>
      <c r="J184" s="44"/>
      <c r="K184" s="43"/>
      <c r="L184" s="44">
        <v>0</v>
      </c>
    </row>
    <row r="185" spans="1:12" s="39" customFormat="1" ht="15.45" customHeight="1" outlineLevel="1" x14ac:dyDescent="0.25">
      <c r="A185" s="33">
        <v>1</v>
      </c>
      <c r="B185" s="34" t="s">
        <v>160</v>
      </c>
      <c r="C185" s="35" t="s">
        <v>66</v>
      </c>
      <c r="D185" s="36">
        <v>1.2589999999999999</v>
      </c>
      <c r="E185" s="36">
        <v>803.86</v>
      </c>
      <c r="F185" s="36">
        <f t="shared" ref="F185:F191" si="31">+E185*D185</f>
        <v>1012.0597399999999</v>
      </c>
      <c r="G185" s="37">
        <f t="shared" ref="G185:H191" si="32">I185+K185</f>
        <v>0</v>
      </c>
      <c r="H185" s="38">
        <f t="shared" si="32"/>
        <v>0</v>
      </c>
      <c r="I185" s="37">
        <f t="shared" ref="I185:I191" si="33">J185/F185</f>
        <v>0</v>
      </c>
      <c r="J185" s="38">
        <v>0</v>
      </c>
      <c r="K185" s="37">
        <f t="shared" ref="K185:K191" si="34">L185/F185</f>
        <v>0</v>
      </c>
      <c r="L185" s="38">
        <v>0</v>
      </c>
    </row>
    <row r="186" spans="1:12" s="39" customFormat="1" ht="28.95" customHeight="1" outlineLevel="1" x14ac:dyDescent="0.25">
      <c r="A186" s="33">
        <v>2</v>
      </c>
      <c r="B186" s="34" t="s">
        <v>180</v>
      </c>
      <c r="C186" s="35" t="s">
        <v>106</v>
      </c>
      <c r="D186" s="36">
        <v>42</v>
      </c>
      <c r="E186" s="36">
        <v>19.7758</v>
      </c>
      <c r="F186" s="36">
        <f t="shared" si="31"/>
        <v>830.58360000000005</v>
      </c>
      <c r="G186" s="37">
        <f t="shared" si="32"/>
        <v>0</v>
      </c>
      <c r="H186" s="38">
        <f t="shared" si="32"/>
        <v>0</v>
      </c>
      <c r="I186" s="37">
        <f t="shared" si="33"/>
        <v>0</v>
      </c>
      <c r="J186" s="38">
        <v>0</v>
      </c>
      <c r="K186" s="37">
        <f t="shared" si="34"/>
        <v>0</v>
      </c>
      <c r="L186" s="38">
        <v>0</v>
      </c>
    </row>
    <row r="187" spans="1:12" s="39" customFormat="1" ht="28.95" customHeight="1" outlineLevel="1" x14ac:dyDescent="0.25">
      <c r="A187" s="33">
        <v>3</v>
      </c>
      <c r="B187" s="34" t="s">
        <v>199</v>
      </c>
      <c r="C187" s="35" t="s">
        <v>106</v>
      </c>
      <c r="D187" s="36">
        <v>42</v>
      </c>
      <c r="E187" s="36">
        <v>1.7422</v>
      </c>
      <c r="F187" s="36">
        <f t="shared" si="31"/>
        <v>73.172399999999996</v>
      </c>
      <c r="G187" s="37">
        <f t="shared" si="32"/>
        <v>0</v>
      </c>
      <c r="H187" s="38">
        <f t="shared" si="32"/>
        <v>0</v>
      </c>
      <c r="I187" s="37">
        <f t="shared" si="33"/>
        <v>0</v>
      </c>
      <c r="J187" s="38">
        <v>0</v>
      </c>
      <c r="K187" s="37">
        <f t="shared" si="34"/>
        <v>0</v>
      </c>
      <c r="L187" s="38">
        <v>0</v>
      </c>
    </row>
    <row r="188" spans="1:12" s="39" customFormat="1" ht="15.45" customHeight="1" outlineLevel="1" x14ac:dyDescent="0.25">
      <c r="A188" s="33">
        <v>4</v>
      </c>
      <c r="B188" s="34" t="s">
        <v>170</v>
      </c>
      <c r="C188" s="35" t="s">
        <v>55</v>
      </c>
      <c r="D188" s="36">
        <v>2</v>
      </c>
      <c r="E188" s="36">
        <v>102.1</v>
      </c>
      <c r="F188" s="36">
        <f t="shared" si="31"/>
        <v>204.2</v>
      </c>
      <c r="G188" s="37">
        <f t="shared" si="32"/>
        <v>0</v>
      </c>
      <c r="H188" s="38">
        <f t="shared" si="32"/>
        <v>0</v>
      </c>
      <c r="I188" s="37">
        <f t="shared" si="33"/>
        <v>0</v>
      </c>
      <c r="J188" s="38">
        <v>0</v>
      </c>
      <c r="K188" s="37">
        <f t="shared" si="34"/>
        <v>0</v>
      </c>
      <c r="L188" s="38">
        <v>0</v>
      </c>
    </row>
    <row r="189" spans="1:12" s="46" customFormat="1" ht="15.45" customHeight="1" outlineLevel="1" x14ac:dyDescent="0.35">
      <c r="A189" s="33">
        <v>5</v>
      </c>
      <c r="B189" s="34" t="s">
        <v>164</v>
      </c>
      <c r="C189" s="35" t="s">
        <v>50</v>
      </c>
      <c r="D189" s="36">
        <v>24</v>
      </c>
      <c r="E189" s="36">
        <v>14.329000000000001</v>
      </c>
      <c r="F189" s="36">
        <f t="shared" si="31"/>
        <v>343.89600000000002</v>
      </c>
      <c r="G189" s="37">
        <f t="shared" si="32"/>
        <v>0</v>
      </c>
      <c r="H189" s="38">
        <f t="shared" si="32"/>
        <v>0</v>
      </c>
      <c r="I189" s="37">
        <f t="shared" si="33"/>
        <v>0</v>
      </c>
      <c r="J189" s="38">
        <v>0</v>
      </c>
      <c r="K189" s="37">
        <f t="shared" si="34"/>
        <v>0</v>
      </c>
      <c r="L189" s="38">
        <v>0</v>
      </c>
    </row>
    <row r="190" spans="1:12" s="39" customFormat="1" ht="15.45" customHeight="1" outlineLevel="1" x14ac:dyDescent="0.25">
      <c r="A190" s="33">
        <v>6</v>
      </c>
      <c r="B190" s="34" t="s">
        <v>188</v>
      </c>
      <c r="C190" s="35" t="s">
        <v>50</v>
      </c>
      <c r="D190" s="36">
        <v>7.8</v>
      </c>
      <c r="E190" s="36">
        <v>11.473000000000001</v>
      </c>
      <c r="F190" s="36">
        <f t="shared" si="31"/>
        <v>89.489400000000003</v>
      </c>
      <c r="G190" s="37">
        <f t="shared" si="32"/>
        <v>0</v>
      </c>
      <c r="H190" s="38">
        <f t="shared" si="32"/>
        <v>0</v>
      </c>
      <c r="I190" s="37">
        <f t="shared" si="33"/>
        <v>0</v>
      </c>
      <c r="J190" s="38">
        <v>0</v>
      </c>
      <c r="K190" s="37">
        <f t="shared" si="34"/>
        <v>0</v>
      </c>
      <c r="L190" s="38">
        <v>0</v>
      </c>
    </row>
    <row r="191" spans="1:12" s="39" customFormat="1" ht="15.45" customHeight="1" outlineLevel="1" x14ac:dyDescent="0.25">
      <c r="A191" s="33">
        <v>7</v>
      </c>
      <c r="B191" s="34" t="s">
        <v>200</v>
      </c>
      <c r="C191" s="35" t="s">
        <v>55</v>
      </c>
      <c r="D191" s="36">
        <v>2</v>
      </c>
      <c r="E191" s="36">
        <v>5.7303999999999986</v>
      </c>
      <c r="F191" s="36">
        <f t="shared" si="31"/>
        <v>11.460799999999997</v>
      </c>
      <c r="G191" s="37">
        <f t="shared" si="32"/>
        <v>0</v>
      </c>
      <c r="H191" s="38">
        <f t="shared" si="32"/>
        <v>0</v>
      </c>
      <c r="I191" s="37">
        <f t="shared" si="33"/>
        <v>0</v>
      </c>
      <c r="J191" s="38">
        <v>0</v>
      </c>
      <c r="K191" s="37">
        <f t="shared" si="34"/>
        <v>0</v>
      </c>
      <c r="L191" s="38">
        <v>0</v>
      </c>
    </row>
    <row r="192" spans="1:12" s="39" customFormat="1" ht="15.45" customHeight="1" outlineLevel="1" x14ac:dyDescent="0.25">
      <c r="A192" s="31" t="s">
        <v>201</v>
      </c>
      <c r="B192" s="40" t="s">
        <v>202</v>
      </c>
      <c r="C192" s="41">
        <v>0</v>
      </c>
      <c r="D192" s="42"/>
      <c r="E192" s="42"/>
      <c r="F192" s="42"/>
      <c r="G192" s="43"/>
      <c r="H192" s="44"/>
      <c r="I192" s="43"/>
      <c r="J192" s="44"/>
      <c r="K192" s="43"/>
      <c r="L192" s="44">
        <v>0</v>
      </c>
    </row>
    <row r="193" spans="1:12" s="39" customFormat="1" ht="28.95" customHeight="1" outlineLevel="1" x14ac:dyDescent="0.25">
      <c r="A193" s="33">
        <v>3</v>
      </c>
      <c r="B193" s="34" t="s">
        <v>190</v>
      </c>
      <c r="C193" s="35" t="s">
        <v>106</v>
      </c>
      <c r="D193" s="36">
        <v>4.4000000000000004</v>
      </c>
      <c r="E193" s="36">
        <v>2.9763999999999999</v>
      </c>
      <c r="F193" s="36">
        <f>+E193*D193</f>
        <v>13.096160000000001</v>
      </c>
      <c r="G193" s="37">
        <f>I193+K193</f>
        <v>0</v>
      </c>
      <c r="H193" s="38">
        <f>J193+L193</f>
        <v>0</v>
      </c>
      <c r="I193" s="37">
        <f>J193/F193</f>
        <v>0</v>
      </c>
      <c r="J193" s="38">
        <v>0</v>
      </c>
      <c r="K193" s="37">
        <f>L193/F193</f>
        <v>0</v>
      </c>
      <c r="L193" s="38">
        <v>0</v>
      </c>
    </row>
    <row r="194" spans="1:12" s="39" customFormat="1" ht="15.45" customHeight="1" outlineLevel="1" x14ac:dyDescent="0.25">
      <c r="A194" s="31" t="s">
        <v>52</v>
      </c>
      <c r="B194" s="40" t="s">
        <v>53</v>
      </c>
      <c r="C194" s="41">
        <v>0</v>
      </c>
      <c r="D194" s="42"/>
      <c r="E194" s="42"/>
      <c r="F194" s="42"/>
      <c r="G194" s="43"/>
      <c r="H194" s="44"/>
      <c r="I194" s="43"/>
      <c r="J194" s="44"/>
      <c r="K194" s="43"/>
      <c r="L194" s="44">
        <v>0</v>
      </c>
    </row>
    <row r="195" spans="1:12" s="39" customFormat="1" ht="28.95" customHeight="1" outlineLevel="1" x14ac:dyDescent="0.25">
      <c r="A195" s="33">
        <v>30</v>
      </c>
      <c r="B195" s="34" t="s">
        <v>190</v>
      </c>
      <c r="C195" s="35" t="s">
        <v>106</v>
      </c>
      <c r="D195" s="36">
        <v>1.51</v>
      </c>
      <c r="E195" s="36">
        <v>2.9254000000000011</v>
      </c>
      <c r="F195" s="36">
        <f>+E195*D195</f>
        <v>4.4173540000000013</v>
      </c>
      <c r="G195" s="37">
        <f>I195+K195</f>
        <v>0</v>
      </c>
      <c r="H195" s="38">
        <f>J195+L195</f>
        <v>0</v>
      </c>
      <c r="I195" s="37">
        <f>J195/F195</f>
        <v>0</v>
      </c>
      <c r="J195" s="38">
        <v>0</v>
      </c>
      <c r="K195" s="37">
        <f>L195/F195</f>
        <v>0</v>
      </c>
      <c r="L195" s="38">
        <v>0</v>
      </c>
    </row>
    <row r="196" spans="1:12" s="39" customFormat="1" ht="15.45" customHeight="1" outlineLevel="1" x14ac:dyDescent="0.25">
      <c r="A196" s="33">
        <v>34</v>
      </c>
      <c r="B196" s="34" t="s">
        <v>203</v>
      </c>
      <c r="C196" s="35" t="s">
        <v>106</v>
      </c>
      <c r="D196" s="36">
        <v>38.5</v>
      </c>
      <c r="E196" s="36">
        <v>6.5463999999999993</v>
      </c>
      <c r="F196" s="36">
        <f>+E196*D196</f>
        <v>252.03639999999999</v>
      </c>
      <c r="G196" s="37">
        <f>I196+K196</f>
        <v>0</v>
      </c>
      <c r="H196" s="38">
        <f>J196+L196</f>
        <v>0</v>
      </c>
      <c r="I196" s="37">
        <f>J196/F196</f>
        <v>0</v>
      </c>
      <c r="J196" s="38">
        <v>0</v>
      </c>
      <c r="K196" s="37">
        <f>L196/F196</f>
        <v>0</v>
      </c>
      <c r="L196" s="38">
        <v>0</v>
      </c>
    </row>
    <row r="197" spans="1:12" s="39" customFormat="1" ht="15.45" customHeight="1" outlineLevel="1" x14ac:dyDescent="0.25">
      <c r="A197" s="31" t="s">
        <v>56</v>
      </c>
      <c r="B197" s="40" t="s">
        <v>57</v>
      </c>
      <c r="C197" s="41">
        <v>0</v>
      </c>
      <c r="D197" s="42"/>
      <c r="E197" s="42"/>
      <c r="F197" s="42"/>
      <c r="G197" s="43"/>
      <c r="H197" s="44"/>
      <c r="I197" s="43"/>
      <c r="J197" s="44"/>
      <c r="K197" s="43"/>
      <c r="L197" s="44">
        <v>0</v>
      </c>
    </row>
    <row r="198" spans="1:12" s="45" customFormat="1" ht="28.95" customHeight="1" x14ac:dyDescent="0.3">
      <c r="A198" s="33">
        <v>30</v>
      </c>
      <c r="B198" s="34" t="s">
        <v>190</v>
      </c>
      <c r="C198" s="35" t="s">
        <v>106</v>
      </c>
      <c r="D198" s="36">
        <v>1.51</v>
      </c>
      <c r="E198" s="36">
        <v>2.9254000000000011</v>
      </c>
      <c r="F198" s="36">
        <f>+E198*D198</f>
        <v>4.4173540000000013</v>
      </c>
      <c r="G198" s="37">
        <f>I198+K198</f>
        <v>0</v>
      </c>
      <c r="H198" s="38">
        <f>J198+L198</f>
        <v>0</v>
      </c>
      <c r="I198" s="37">
        <f>J198/F198</f>
        <v>0</v>
      </c>
      <c r="J198" s="38">
        <v>0</v>
      </c>
      <c r="K198" s="37">
        <f>L198/F198</f>
        <v>0</v>
      </c>
      <c r="L198" s="38">
        <v>0</v>
      </c>
    </row>
    <row r="199" spans="1:12" s="39" customFormat="1" ht="15.45" customHeight="1" outlineLevel="1" x14ac:dyDescent="0.25">
      <c r="A199" s="33">
        <v>34</v>
      </c>
      <c r="B199" s="34" t="s">
        <v>203</v>
      </c>
      <c r="C199" s="35" t="s">
        <v>106</v>
      </c>
      <c r="D199" s="36">
        <v>38.5</v>
      </c>
      <c r="E199" s="36">
        <v>6.5463999999999993</v>
      </c>
      <c r="F199" s="36">
        <f>+E199*D199</f>
        <v>252.03639999999999</v>
      </c>
      <c r="G199" s="37">
        <f>I199+K199</f>
        <v>0</v>
      </c>
      <c r="H199" s="38">
        <f>J199+L199</f>
        <v>0</v>
      </c>
      <c r="I199" s="37">
        <f>J199/F199</f>
        <v>0</v>
      </c>
      <c r="J199" s="38">
        <v>0</v>
      </c>
      <c r="K199" s="37">
        <f>L199/F199</f>
        <v>0</v>
      </c>
      <c r="L199" s="38">
        <v>0</v>
      </c>
    </row>
    <row r="200" spans="1:12" s="39" customFormat="1" ht="15.45" customHeight="1" outlineLevel="1" x14ac:dyDescent="0.25">
      <c r="A200" s="31" t="s">
        <v>58</v>
      </c>
      <c r="B200" s="40" t="s">
        <v>59</v>
      </c>
      <c r="C200" s="41">
        <v>0</v>
      </c>
      <c r="D200" s="42"/>
      <c r="E200" s="42"/>
      <c r="F200" s="42"/>
      <c r="G200" s="43"/>
      <c r="H200" s="44"/>
      <c r="I200" s="43"/>
      <c r="J200" s="44"/>
      <c r="K200" s="43"/>
      <c r="L200" s="44">
        <v>0</v>
      </c>
    </row>
    <row r="201" spans="1:12" s="39" customFormat="1" ht="28.95" customHeight="1" outlineLevel="1" x14ac:dyDescent="0.25">
      <c r="A201" s="33">
        <v>29</v>
      </c>
      <c r="B201" s="34" t="s">
        <v>190</v>
      </c>
      <c r="C201" s="35" t="s">
        <v>106</v>
      </c>
      <c r="D201" s="36">
        <v>2.6</v>
      </c>
      <c r="E201" s="36">
        <v>2.9254000000000011</v>
      </c>
      <c r="F201" s="36">
        <f>+E201*D201</f>
        <v>7.6060400000000028</v>
      </c>
      <c r="G201" s="37">
        <f>I201+K201</f>
        <v>0</v>
      </c>
      <c r="H201" s="38">
        <f>J201+L201</f>
        <v>0</v>
      </c>
      <c r="I201" s="37">
        <f>J201/F201</f>
        <v>0</v>
      </c>
      <c r="J201" s="38">
        <v>0</v>
      </c>
      <c r="K201" s="37">
        <f>L201/F201</f>
        <v>0</v>
      </c>
      <c r="L201" s="38">
        <v>0</v>
      </c>
    </row>
    <row r="202" spans="1:12" s="39" customFormat="1" ht="15.45" customHeight="1" outlineLevel="1" x14ac:dyDescent="0.25">
      <c r="A202" s="33">
        <v>33</v>
      </c>
      <c r="B202" s="34" t="s">
        <v>203</v>
      </c>
      <c r="C202" s="35" t="s">
        <v>106</v>
      </c>
      <c r="D202" s="36">
        <v>12.8</v>
      </c>
      <c r="E202" s="36">
        <v>6.5463999999999993</v>
      </c>
      <c r="F202" s="36">
        <f>+E202*D202</f>
        <v>83.79392</v>
      </c>
      <c r="G202" s="37">
        <f>I202+K202</f>
        <v>0</v>
      </c>
      <c r="H202" s="38">
        <f>J202+L202</f>
        <v>0</v>
      </c>
      <c r="I202" s="37">
        <f>J202/F202</f>
        <v>0</v>
      </c>
      <c r="J202" s="38">
        <v>0</v>
      </c>
      <c r="K202" s="37">
        <f>L202/F202</f>
        <v>0</v>
      </c>
      <c r="L202" s="38">
        <v>0</v>
      </c>
    </row>
    <row r="203" spans="1:12" s="39" customFormat="1" ht="15.45" customHeight="1" outlineLevel="1" x14ac:dyDescent="0.25">
      <c r="A203" s="31" t="s">
        <v>61</v>
      </c>
      <c r="B203" s="40" t="s">
        <v>62</v>
      </c>
      <c r="C203" s="41">
        <v>0</v>
      </c>
      <c r="D203" s="42"/>
      <c r="E203" s="42"/>
      <c r="F203" s="42"/>
      <c r="G203" s="43"/>
      <c r="H203" s="44"/>
      <c r="I203" s="43"/>
      <c r="J203" s="44"/>
      <c r="K203" s="43"/>
      <c r="L203" s="44">
        <v>0</v>
      </c>
    </row>
    <row r="204" spans="1:12" s="39" customFormat="1" ht="28.95" customHeight="1" outlineLevel="1" x14ac:dyDescent="0.25">
      <c r="A204" s="33">
        <v>29</v>
      </c>
      <c r="B204" s="34" t="s">
        <v>190</v>
      </c>
      <c r="C204" s="35" t="s">
        <v>106</v>
      </c>
      <c r="D204" s="36">
        <v>2.6</v>
      </c>
      <c r="E204" s="36">
        <v>2.9254000000000011</v>
      </c>
      <c r="F204" s="36">
        <f>+E204*D204</f>
        <v>7.6060400000000028</v>
      </c>
      <c r="G204" s="37">
        <f>I204+K204</f>
        <v>0</v>
      </c>
      <c r="H204" s="38">
        <f>J204+L204</f>
        <v>0</v>
      </c>
      <c r="I204" s="37">
        <f>J204/F204</f>
        <v>0</v>
      </c>
      <c r="J204" s="38">
        <v>0</v>
      </c>
      <c r="K204" s="37">
        <f>L204/F204</f>
        <v>0</v>
      </c>
      <c r="L204" s="38">
        <v>0</v>
      </c>
    </row>
    <row r="205" spans="1:12" s="39" customFormat="1" ht="15.45" customHeight="1" outlineLevel="1" x14ac:dyDescent="0.25">
      <c r="A205" s="33">
        <v>33</v>
      </c>
      <c r="B205" s="34" t="s">
        <v>203</v>
      </c>
      <c r="C205" s="35" t="s">
        <v>106</v>
      </c>
      <c r="D205" s="36">
        <v>12.8</v>
      </c>
      <c r="E205" s="36">
        <v>6.5463999999999993</v>
      </c>
      <c r="F205" s="36">
        <f>+E205*D205</f>
        <v>83.79392</v>
      </c>
      <c r="G205" s="37">
        <f>I205+K205</f>
        <v>0</v>
      </c>
      <c r="H205" s="38">
        <f>J205+L205</f>
        <v>0</v>
      </c>
      <c r="I205" s="37">
        <f>J205/F205</f>
        <v>0</v>
      </c>
      <c r="J205" s="38">
        <v>0</v>
      </c>
      <c r="K205" s="37">
        <f>L205/F205</f>
        <v>0</v>
      </c>
      <c r="L205" s="38">
        <v>0</v>
      </c>
    </row>
    <row r="206" spans="1:12" s="39" customFormat="1" ht="15.45" customHeight="1" outlineLevel="1" x14ac:dyDescent="0.25">
      <c r="A206" s="31" t="s">
        <v>63</v>
      </c>
      <c r="B206" s="40" t="s">
        <v>64</v>
      </c>
      <c r="C206" s="41">
        <v>0</v>
      </c>
      <c r="D206" s="42"/>
      <c r="E206" s="42"/>
      <c r="F206" s="42"/>
      <c r="G206" s="43"/>
      <c r="H206" s="44"/>
      <c r="I206" s="43"/>
      <c r="J206" s="44"/>
      <c r="K206" s="43"/>
      <c r="L206" s="44">
        <v>0</v>
      </c>
    </row>
    <row r="207" spans="1:12" s="39" customFormat="1" ht="28.95" customHeight="1" outlineLevel="1" x14ac:dyDescent="0.25">
      <c r="A207" s="33">
        <v>10</v>
      </c>
      <c r="B207" s="34" t="s">
        <v>190</v>
      </c>
      <c r="C207" s="35" t="s">
        <v>106</v>
      </c>
      <c r="D207" s="36">
        <v>0.72</v>
      </c>
      <c r="E207" s="36">
        <v>2.9763999999999999</v>
      </c>
      <c r="F207" s="36">
        <f>+E207*D207</f>
        <v>2.143008</v>
      </c>
      <c r="G207" s="37">
        <f>I207+K207</f>
        <v>0</v>
      </c>
      <c r="H207" s="38">
        <f>J207+L207</f>
        <v>0</v>
      </c>
      <c r="I207" s="37">
        <f>J207/F207</f>
        <v>0</v>
      </c>
      <c r="J207" s="38">
        <v>0</v>
      </c>
      <c r="K207" s="37">
        <f>L207/F207</f>
        <v>0</v>
      </c>
      <c r="L207" s="38">
        <v>0</v>
      </c>
    </row>
    <row r="208" spans="1:12" s="39" customFormat="1" ht="15.45" customHeight="1" outlineLevel="1" x14ac:dyDescent="0.25">
      <c r="A208" s="31" t="s">
        <v>204</v>
      </c>
      <c r="B208" s="40" t="s">
        <v>205</v>
      </c>
      <c r="C208" s="41">
        <v>0</v>
      </c>
      <c r="D208" s="42"/>
      <c r="E208" s="42"/>
      <c r="F208" s="42"/>
      <c r="G208" s="43"/>
      <c r="H208" s="44"/>
      <c r="I208" s="43"/>
      <c r="J208" s="44"/>
      <c r="K208" s="43"/>
      <c r="L208" s="44">
        <v>0</v>
      </c>
    </row>
    <row r="209" spans="1:12" s="39" customFormat="1" ht="15.45" customHeight="1" outlineLevel="1" x14ac:dyDescent="0.25">
      <c r="A209" s="33">
        <v>1</v>
      </c>
      <c r="B209" s="34" t="s">
        <v>206</v>
      </c>
      <c r="C209" s="35" t="s">
        <v>106</v>
      </c>
      <c r="D209" s="36">
        <v>12.96</v>
      </c>
      <c r="E209" s="36">
        <v>5.7507999999999999</v>
      </c>
      <c r="F209" s="36">
        <f t="shared" ref="F209:F217" si="35">+E209*D209</f>
        <v>74.53036800000001</v>
      </c>
      <c r="G209" s="37">
        <f t="shared" ref="G209:G217" si="36">I209+K209</f>
        <v>0</v>
      </c>
      <c r="H209" s="38">
        <f t="shared" ref="H209:H217" si="37">J209+L209</f>
        <v>0</v>
      </c>
      <c r="I209" s="37">
        <f t="shared" ref="I209:I217" si="38">J209/F209</f>
        <v>0</v>
      </c>
      <c r="J209" s="38">
        <v>0</v>
      </c>
      <c r="K209" s="37">
        <f t="shared" ref="K209:K217" si="39">L209/F209</f>
        <v>0</v>
      </c>
      <c r="L209" s="38">
        <v>0</v>
      </c>
    </row>
    <row r="210" spans="1:12" s="39" customFormat="1" ht="15.45" customHeight="1" outlineLevel="1" x14ac:dyDescent="0.25">
      <c r="A210" s="33">
        <v>2</v>
      </c>
      <c r="B210" s="34" t="s">
        <v>207</v>
      </c>
      <c r="C210" s="35" t="s">
        <v>66</v>
      </c>
      <c r="D210" s="36">
        <v>1.296</v>
      </c>
      <c r="E210" s="36">
        <v>114.1564</v>
      </c>
      <c r="F210" s="36">
        <f t="shared" si="35"/>
        <v>147.94669440000001</v>
      </c>
      <c r="G210" s="37">
        <f t="shared" si="36"/>
        <v>0</v>
      </c>
      <c r="H210" s="38">
        <f t="shared" si="37"/>
        <v>0</v>
      </c>
      <c r="I210" s="37">
        <f t="shared" si="38"/>
        <v>0</v>
      </c>
      <c r="J210" s="38">
        <v>0</v>
      </c>
      <c r="K210" s="37">
        <f t="shared" si="39"/>
        <v>0</v>
      </c>
      <c r="L210" s="38">
        <v>0</v>
      </c>
    </row>
    <row r="211" spans="1:12" s="45" customFormat="1" ht="15.45" customHeight="1" x14ac:dyDescent="0.3">
      <c r="A211" s="33">
        <v>3</v>
      </c>
      <c r="B211" s="34" t="s">
        <v>153</v>
      </c>
      <c r="C211" s="35" t="s">
        <v>106</v>
      </c>
      <c r="D211" s="36">
        <v>12.96</v>
      </c>
      <c r="E211" s="36">
        <v>3.7719999999999998</v>
      </c>
      <c r="F211" s="36">
        <f t="shared" si="35"/>
        <v>48.885120000000001</v>
      </c>
      <c r="G211" s="37">
        <f t="shared" si="36"/>
        <v>0</v>
      </c>
      <c r="H211" s="38">
        <f t="shared" si="37"/>
        <v>0</v>
      </c>
      <c r="I211" s="37">
        <f t="shared" si="38"/>
        <v>0</v>
      </c>
      <c r="J211" s="38">
        <v>0</v>
      </c>
      <c r="K211" s="37">
        <f t="shared" si="39"/>
        <v>0</v>
      </c>
      <c r="L211" s="38">
        <v>0</v>
      </c>
    </row>
    <row r="212" spans="1:12" s="39" customFormat="1" ht="15.45" customHeight="1" outlineLevel="1" x14ac:dyDescent="0.25">
      <c r="A212" s="33">
        <v>4</v>
      </c>
      <c r="B212" s="34" t="s">
        <v>208</v>
      </c>
      <c r="C212" s="35" t="s">
        <v>106</v>
      </c>
      <c r="D212" s="36">
        <v>12.96</v>
      </c>
      <c r="E212" s="36">
        <v>0.95300000000000007</v>
      </c>
      <c r="F212" s="36">
        <f t="shared" si="35"/>
        <v>12.350880000000002</v>
      </c>
      <c r="G212" s="37">
        <f t="shared" si="36"/>
        <v>0</v>
      </c>
      <c r="H212" s="38">
        <f t="shared" si="37"/>
        <v>0</v>
      </c>
      <c r="I212" s="37">
        <f t="shared" si="38"/>
        <v>0</v>
      </c>
      <c r="J212" s="38">
        <v>0</v>
      </c>
      <c r="K212" s="37">
        <f t="shared" si="39"/>
        <v>0</v>
      </c>
      <c r="L212" s="38">
        <v>0</v>
      </c>
    </row>
    <row r="213" spans="1:12" s="39" customFormat="1" ht="15.45" customHeight="1" outlineLevel="1" x14ac:dyDescent="0.25">
      <c r="A213" s="33">
        <v>5</v>
      </c>
      <c r="B213" s="34" t="s">
        <v>160</v>
      </c>
      <c r="C213" s="35" t="s">
        <v>66</v>
      </c>
      <c r="D213" s="36">
        <v>0.33</v>
      </c>
      <c r="E213" s="36">
        <v>803.44180000000006</v>
      </c>
      <c r="F213" s="36">
        <f t="shared" si="35"/>
        <v>265.13579400000003</v>
      </c>
      <c r="G213" s="37">
        <f t="shared" si="36"/>
        <v>0</v>
      </c>
      <c r="H213" s="38">
        <f t="shared" si="37"/>
        <v>0</v>
      </c>
      <c r="I213" s="37">
        <f t="shared" si="38"/>
        <v>0</v>
      </c>
      <c r="J213" s="38">
        <v>0</v>
      </c>
      <c r="K213" s="37">
        <f t="shared" si="39"/>
        <v>0</v>
      </c>
      <c r="L213" s="38">
        <v>0</v>
      </c>
    </row>
    <row r="214" spans="1:12" s="39" customFormat="1" ht="28.95" customHeight="1" outlineLevel="1" x14ac:dyDescent="0.25">
      <c r="A214" s="33">
        <v>6</v>
      </c>
      <c r="B214" s="34" t="s">
        <v>180</v>
      </c>
      <c r="C214" s="35" t="s">
        <v>106</v>
      </c>
      <c r="D214" s="36">
        <v>27.64</v>
      </c>
      <c r="E214" s="36">
        <v>19.7758</v>
      </c>
      <c r="F214" s="36">
        <f t="shared" si="35"/>
        <v>546.60311200000001</v>
      </c>
      <c r="G214" s="37">
        <f t="shared" si="36"/>
        <v>0</v>
      </c>
      <c r="H214" s="38">
        <f t="shared" si="37"/>
        <v>0</v>
      </c>
      <c r="I214" s="37">
        <f t="shared" si="38"/>
        <v>0</v>
      </c>
      <c r="J214" s="38">
        <v>0</v>
      </c>
      <c r="K214" s="37">
        <f t="shared" si="39"/>
        <v>0</v>
      </c>
      <c r="L214" s="38">
        <v>0</v>
      </c>
    </row>
    <row r="215" spans="1:12" s="39" customFormat="1" ht="15.45" customHeight="1" outlineLevel="1" x14ac:dyDescent="0.25">
      <c r="A215" s="33">
        <v>7</v>
      </c>
      <c r="B215" s="34" t="s">
        <v>164</v>
      </c>
      <c r="C215" s="35" t="s">
        <v>50</v>
      </c>
      <c r="D215" s="36">
        <v>17.600000000000001</v>
      </c>
      <c r="E215" s="36">
        <v>14.3188</v>
      </c>
      <c r="F215" s="36">
        <f t="shared" si="35"/>
        <v>252.01088000000001</v>
      </c>
      <c r="G215" s="37">
        <f t="shared" si="36"/>
        <v>0</v>
      </c>
      <c r="H215" s="38">
        <f t="shared" si="37"/>
        <v>0</v>
      </c>
      <c r="I215" s="37">
        <f t="shared" si="38"/>
        <v>0</v>
      </c>
      <c r="J215" s="38">
        <v>0</v>
      </c>
      <c r="K215" s="37">
        <f t="shared" si="39"/>
        <v>0</v>
      </c>
      <c r="L215" s="38">
        <v>0</v>
      </c>
    </row>
    <row r="216" spans="1:12" s="39" customFormat="1" ht="15.45" customHeight="1" outlineLevel="1" x14ac:dyDescent="0.25">
      <c r="A216" s="33">
        <v>8</v>
      </c>
      <c r="B216" s="34" t="s">
        <v>188</v>
      </c>
      <c r="C216" s="35" t="s">
        <v>50</v>
      </c>
      <c r="D216" s="36">
        <v>7.6</v>
      </c>
      <c r="E216" s="36">
        <v>11.473000000000001</v>
      </c>
      <c r="F216" s="36">
        <f t="shared" si="35"/>
        <v>87.194800000000001</v>
      </c>
      <c r="G216" s="37">
        <f t="shared" si="36"/>
        <v>0</v>
      </c>
      <c r="H216" s="38">
        <f t="shared" si="37"/>
        <v>0</v>
      </c>
      <c r="I216" s="37">
        <f t="shared" si="38"/>
        <v>0</v>
      </c>
      <c r="J216" s="38">
        <v>0</v>
      </c>
      <c r="K216" s="37">
        <f t="shared" si="39"/>
        <v>0</v>
      </c>
      <c r="L216" s="38">
        <v>0</v>
      </c>
    </row>
    <row r="217" spans="1:12" s="45" customFormat="1" ht="15.45" customHeight="1" x14ac:dyDescent="0.3">
      <c r="A217" s="33">
        <v>9</v>
      </c>
      <c r="B217" s="34" t="s">
        <v>209</v>
      </c>
      <c r="C217" s="35" t="s">
        <v>55</v>
      </c>
      <c r="D217" s="36">
        <v>2</v>
      </c>
      <c r="E217" s="36">
        <v>5.7303999999999986</v>
      </c>
      <c r="F217" s="36">
        <f t="shared" si="35"/>
        <v>11.460799999999997</v>
      </c>
      <c r="G217" s="37">
        <f t="shared" si="36"/>
        <v>0</v>
      </c>
      <c r="H217" s="38">
        <f t="shared" si="37"/>
        <v>0</v>
      </c>
      <c r="I217" s="37">
        <f t="shared" si="38"/>
        <v>0</v>
      </c>
      <c r="J217" s="38">
        <v>0</v>
      </c>
      <c r="K217" s="37">
        <f t="shared" si="39"/>
        <v>0</v>
      </c>
      <c r="L217" s="38">
        <v>0</v>
      </c>
    </row>
    <row r="218" spans="1:12" s="39" customFormat="1" ht="15.45" customHeight="1" outlineLevel="1" x14ac:dyDescent="0.25">
      <c r="A218" s="31" t="s">
        <v>210</v>
      </c>
      <c r="B218" s="40" t="s">
        <v>211</v>
      </c>
      <c r="C218" s="41">
        <v>0</v>
      </c>
      <c r="D218" s="42"/>
      <c r="E218" s="42"/>
      <c r="F218" s="42"/>
      <c r="G218" s="43"/>
      <c r="H218" s="44"/>
      <c r="I218" s="43"/>
      <c r="J218" s="44"/>
      <c r="K218" s="43"/>
      <c r="L218" s="44">
        <v>0</v>
      </c>
    </row>
    <row r="219" spans="1:12" s="39" customFormat="1" ht="28.95" customHeight="1" outlineLevel="1" x14ac:dyDescent="0.25">
      <c r="A219" s="33">
        <v>3</v>
      </c>
      <c r="B219" s="34" t="s">
        <v>190</v>
      </c>
      <c r="C219" s="35" t="s">
        <v>106</v>
      </c>
      <c r="D219" s="36">
        <v>4.4000000000000004</v>
      </c>
      <c r="E219" s="36">
        <v>2.9763999999999999</v>
      </c>
      <c r="F219" s="36">
        <f>+E219*D219</f>
        <v>13.096160000000001</v>
      </c>
      <c r="G219" s="37">
        <f>I219+K219</f>
        <v>0</v>
      </c>
      <c r="H219" s="38">
        <f>J219+L219</f>
        <v>0</v>
      </c>
      <c r="I219" s="37">
        <f>J219/F219</f>
        <v>0</v>
      </c>
      <c r="J219" s="38">
        <v>0</v>
      </c>
      <c r="K219" s="37">
        <f>L219/F219</f>
        <v>0</v>
      </c>
      <c r="L219" s="38">
        <v>0</v>
      </c>
    </row>
    <row r="220" spans="1:12" s="39" customFormat="1" ht="15.45" customHeight="1" outlineLevel="1" x14ac:dyDescent="0.25">
      <c r="A220" s="31" t="s">
        <v>212</v>
      </c>
      <c r="B220" s="40" t="s">
        <v>213</v>
      </c>
      <c r="C220" s="41">
        <v>0</v>
      </c>
      <c r="D220" s="42"/>
      <c r="E220" s="42"/>
      <c r="F220" s="42"/>
      <c r="G220" s="43"/>
      <c r="H220" s="44"/>
      <c r="I220" s="43"/>
      <c r="J220" s="44"/>
      <c r="K220" s="43"/>
      <c r="L220" s="44">
        <v>0</v>
      </c>
    </row>
    <row r="221" spans="1:12" s="39" customFormat="1" ht="15.45" customHeight="1" outlineLevel="1" x14ac:dyDescent="0.25">
      <c r="A221" s="33">
        <v>24</v>
      </c>
      <c r="B221" s="34" t="s">
        <v>214</v>
      </c>
      <c r="C221" s="35" t="s">
        <v>106</v>
      </c>
      <c r="D221" s="36">
        <v>12.5</v>
      </c>
      <c r="E221" s="36">
        <v>40.247199999999999</v>
      </c>
      <c r="F221" s="36">
        <f>+E221*D221</f>
        <v>503.09</v>
      </c>
      <c r="G221" s="37">
        <f>I221+K221</f>
        <v>0</v>
      </c>
      <c r="H221" s="38">
        <f>J221+L221</f>
        <v>0</v>
      </c>
      <c r="I221" s="37">
        <f>J221/F221</f>
        <v>0</v>
      </c>
      <c r="J221" s="38">
        <v>0</v>
      </c>
      <c r="K221" s="37">
        <f>L221/F221</f>
        <v>0</v>
      </c>
      <c r="L221" s="38">
        <v>0</v>
      </c>
    </row>
    <row r="222" spans="1:12" s="39" customFormat="1" ht="15.45" customHeight="1" outlineLevel="1" x14ac:dyDescent="0.25">
      <c r="A222" s="31" t="s">
        <v>215</v>
      </c>
      <c r="B222" s="40" t="s">
        <v>216</v>
      </c>
      <c r="C222" s="41">
        <v>0</v>
      </c>
      <c r="D222" s="42"/>
      <c r="E222" s="42"/>
      <c r="F222" s="42"/>
      <c r="G222" s="43"/>
      <c r="H222" s="44"/>
      <c r="I222" s="43"/>
      <c r="J222" s="44"/>
      <c r="K222" s="43"/>
      <c r="L222" s="44">
        <v>0</v>
      </c>
    </row>
    <row r="223" spans="1:12" s="39" customFormat="1" ht="28.95" customHeight="1" outlineLevel="1" x14ac:dyDescent="0.25">
      <c r="A223" s="33">
        <v>2</v>
      </c>
      <c r="B223" s="34" t="s">
        <v>217</v>
      </c>
      <c r="C223" s="35" t="s">
        <v>106</v>
      </c>
      <c r="D223" s="36">
        <v>26.3</v>
      </c>
      <c r="E223" s="36">
        <v>18.470199999999998</v>
      </c>
      <c r="F223" s="36">
        <f>+E223*D223</f>
        <v>485.76625999999999</v>
      </c>
      <c r="G223" s="37">
        <f t="shared" ref="G223:H225" si="40">I223+K223</f>
        <v>0</v>
      </c>
      <c r="H223" s="38">
        <f t="shared" si="40"/>
        <v>0</v>
      </c>
      <c r="I223" s="37">
        <f>J223/F223</f>
        <v>0</v>
      </c>
      <c r="J223" s="38">
        <v>0</v>
      </c>
      <c r="K223" s="37">
        <f>L223/F223</f>
        <v>0</v>
      </c>
      <c r="L223" s="38">
        <v>0</v>
      </c>
    </row>
    <row r="224" spans="1:12" s="39" customFormat="1" ht="15.45" customHeight="1" outlineLevel="1" x14ac:dyDescent="0.25">
      <c r="A224" s="33">
        <v>4</v>
      </c>
      <c r="B224" s="34" t="s">
        <v>218</v>
      </c>
      <c r="C224" s="35" t="s">
        <v>145</v>
      </c>
      <c r="D224" s="36">
        <v>22</v>
      </c>
      <c r="E224" s="36">
        <v>3.168200000000001</v>
      </c>
      <c r="F224" s="36">
        <f>+E224*D224</f>
        <v>69.700400000000016</v>
      </c>
      <c r="G224" s="37">
        <f t="shared" si="40"/>
        <v>0</v>
      </c>
      <c r="H224" s="38">
        <f t="shared" si="40"/>
        <v>0</v>
      </c>
      <c r="I224" s="37">
        <f>J224/F224</f>
        <v>0</v>
      </c>
      <c r="J224" s="38">
        <v>0</v>
      </c>
      <c r="K224" s="37">
        <f>L224/F224</f>
        <v>0</v>
      </c>
      <c r="L224" s="38">
        <v>0</v>
      </c>
    </row>
    <row r="225" spans="1:12" s="39" customFormat="1" ht="15.45" customHeight="1" outlineLevel="1" x14ac:dyDescent="0.25">
      <c r="A225" s="33">
        <v>6</v>
      </c>
      <c r="B225" s="34" t="s">
        <v>219</v>
      </c>
      <c r="C225" s="35" t="s">
        <v>145</v>
      </c>
      <c r="D225" s="36">
        <v>16</v>
      </c>
      <c r="E225" s="36">
        <v>2.4847999999999999</v>
      </c>
      <c r="F225" s="36">
        <f>+E225*D225</f>
        <v>39.756799999999998</v>
      </c>
      <c r="G225" s="37">
        <f t="shared" si="40"/>
        <v>0</v>
      </c>
      <c r="H225" s="38">
        <f t="shared" si="40"/>
        <v>0</v>
      </c>
      <c r="I225" s="37">
        <f>J225/F225</f>
        <v>0</v>
      </c>
      <c r="J225" s="38">
        <v>0</v>
      </c>
      <c r="K225" s="37">
        <f>L225/F225</f>
        <v>0</v>
      </c>
      <c r="L225" s="38">
        <v>0</v>
      </c>
    </row>
    <row r="226" spans="1:12" s="39" customFormat="1" ht="15.45" customHeight="1" outlineLevel="1" x14ac:dyDescent="0.25">
      <c r="A226" s="31"/>
      <c r="B226" s="40" t="s">
        <v>220</v>
      </c>
      <c r="C226" s="41">
        <v>0</v>
      </c>
      <c r="D226" s="42"/>
      <c r="E226" s="42"/>
      <c r="F226" s="42"/>
      <c r="G226" s="43"/>
      <c r="H226" s="44"/>
      <c r="I226" s="43"/>
      <c r="J226" s="44"/>
      <c r="K226" s="43"/>
      <c r="L226" s="44">
        <v>0</v>
      </c>
    </row>
    <row r="227" spans="1:12" s="39" customFormat="1" ht="15.45" customHeight="1" outlineLevel="1" x14ac:dyDescent="0.25">
      <c r="A227" s="31" t="s">
        <v>221</v>
      </c>
      <c r="B227" s="40" t="s">
        <v>222</v>
      </c>
      <c r="C227" s="41">
        <v>0</v>
      </c>
      <c r="D227" s="42"/>
      <c r="E227" s="42"/>
      <c r="F227" s="42"/>
      <c r="G227" s="43"/>
      <c r="H227" s="44"/>
      <c r="I227" s="43"/>
      <c r="J227" s="44"/>
      <c r="K227" s="43"/>
      <c r="L227" s="44">
        <v>0</v>
      </c>
    </row>
    <row r="228" spans="1:12" s="39" customFormat="1" ht="28.95" customHeight="1" outlineLevel="1" x14ac:dyDescent="0.25">
      <c r="A228" s="33">
        <v>1</v>
      </c>
      <c r="B228" s="34" t="s">
        <v>223</v>
      </c>
      <c r="C228" s="35" t="s">
        <v>42</v>
      </c>
      <c r="D228" s="36">
        <v>7625.4</v>
      </c>
      <c r="E228" s="36">
        <v>7.5</v>
      </c>
      <c r="F228" s="36">
        <f>+E228*D228</f>
        <v>57190.5</v>
      </c>
      <c r="G228" s="37">
        <f t="shared" ref="G228:H231" si="41">I228+K228</f>
        <v>0</v>
      </c>
      <c r="H228" s="38">
        <f t="shared" si="41"/>
        <v>0</v>
      </c>
      <c r="I228" s="37">
        <f>J228/F228</f>
        <v>0</v>
      </c>
      <c r="J228" s="38">
        <v>0</v>
      </c>
      <c r="K228" s="37">
        <f>L228/F228</f>
        <v>0</v>
      </c>
      <c r="L228" s="38">
        <v>0</v>
      </c>
    </row>
    <row r="229" spans="1:12" s="39" customFormat="1" ht="28.95" customHeight="1" outlineLevel="1" x14ac:dyDescent="0.25">
      <c r="A229" s="33">
        <v>2</v>
      </c>
      <c r="B229" s="34" t="s">
        <v>224</v>
      </c>
      <c r="C229" s="35" t="s">
        <v>30</v>
      </c>
      <c r="D229" s="36">
        <v>2501</v>
      </c>
      <c r="E229" s="36">
        <v>1.63</v>
      </c>
      <c r="F229" s="36">
        <f>+E229*D229</f>
        <v>4076.6299999999997</v>
      </c>
      <c r="G229" s="37">
        <f t="shared" si="41"/>
        <v>0</v>
      </c>
      <c r="H229" s="38">
        <f t="shared" si="41"/>
        <v>0</v>
      </c>
      <c r="I229" s="37">
        <f>J229/F229</f>
        <v>0</v>
      </c>
      <c r="J229" s="38">
        <v>0</v>
      </c>
      <c r="K229" s="37">
        <f>L229/F229</f>
        <v>0</v>
      </c>
      <c r="L229" s="38">
        <v>0</v>
      </c>
    </row>
    <row r="230" spans="1:12" s="39" customFormat="1" ht="15.45" customHeight="1" outlineLevel="1" x14ac:dyDescent="0.25">
      <c r="A230" s="33">
        <v>3</v>
      </c>
      <c r="B230" s="34" t="s">
        <v>225</v>
      </c>
      <c r="C230" s="35" t="s">
        <v>30</v>
      </c>
      <c r="D230" s="36">
        <v>2501</v>
      </c>
      <c r="E230" s="36">
        <v>2.14</v>
      </c>
      <c r="F230" s="36">
        <f>+E230*D230</f>
        <v>5352.14</v>
      </c>
      <c r="G230" s="37">
        <f t="shared" si="41"/>
        <v>0</v>
      </c>
      <c r="H230" s="38">
        <f t="shared" si="41"/>
        <v>0</v>
      </c>
      <c r="I230" s="37">
        <f>J230/F230</f>
        <v>0</v>
      </c>
      <c r="J230" s="38">
        <v>0</v>
      </c>
      <c r="K230" s="37">
        <f>L230/F230</f>
        <v>0</v>
      </c>
      <c r="L230" s="38">
        <v>0</v>
      </c>
    </row>
    <row r="231" spans="1:12" s="39" customFormat="1" ht="28.95" customHeight="1" outlineLevel="1" x14ac:dyDescent="0.25">
      <c r="A231" s="33">
        <v>4</v>
      </c>
      <c r="B231" s="34" t="s">
        <v>226</v>
      </c>
      <c r="C231" s="35" t="s">
        <v>42</v>
      </c>
      <c r="D231" s="36">
        <v>1389.4</v>
      </c>
      <c r="E231" s="36">
        <v>1.31</v>
      </c>
      <c r="F231" s="36">
        <f>+E231*D231</f>
        <v>1820.1140000000003</v>
      </c>
      <c r="G231" s="37">
        <f t="shared" si="41"/>
        <v>0</v>
      </c>
      <c r="H231" s="38">
        <f t="shared" si="41"/>
        <v>0</v>
      </c>
      <c r="I231" s="37">
        <f>J231/F231</f>
        <v>0</v>
      </c>
      <c r="J231" s="38">
        <v>0</v>
      </c>
      <c r="K231" s="37">
        <f>L231/F231</f>
        <v>0</v>
      </c>
      <c r="L231" s="38">
        <v>0</v>
      </c>
    </row>
    <row r="232" spans="1:12" s="39" customFormat="1" ht="15.45" customHeight="1" outlineLevel="1" x14ac:dyDescent="0.25">
      <c r="A232" s="31" t="s">
        <v>227</v>
      </c>
      <c r="B232" s="40" t="s">
        <v>228</v>
      </c>
      <c r="C232" s="41">
        <v>0</v>
      </c>
      <c r="D232" s="42"/>
      <c r="E232" s="42"/>
      <c r="F232" s="42"/>
      <c r="G232" s="43"/>
      <c r="H232" s="44"/>
      <c r="I232" s="43"/>
      <c r="J232" s="44"/>
      <c r="K232" s="43"/>
      <c r="L232" s="44">
        <v>0</v>
      </c>
    </row>
    <row r="233" spans="1:12" s="39" customFormat="1" ht="43.5" customHeight="1" outlineLevel="1" x14ac:dyDescent="0.25">
      <c r="A233" s="33">
        <v>1</v>
      </c>
      <c r="B233" s="34" t="s">
        <v>229</v>
      </c>
      <c r="C233" s="35" t="s">
        <v>42</v>
      </c>
      <c r="D233" s="36">
        <v>4453</v>
      </c>
      <c r="E233" s="36">
        <v>2.65</v>
      </c>
      <c r="F233" s="36">
        <f t="shared" ref="F233:F239" si="42">+E233*D233</f>
        <v>11800.449999999999</v>
      </c>
      <c r="G233" s="37">
        <f t="shared" ref="G233:H239" si="43">I233+K233</f>
        <v>0</v>
      </c>
      <c r="H233" s="38">
        <f t="shared" si="43"/>
        <v>0</v>
      </c>
      <c r="I233" s="37">
        <f t="shared" ref="I233:I239" si="44">J233/F233</f>
        <v>0</v>
      </c>
      <c r="J233" s="38">
        <v>0</v>
      </c>
      <c r="K233" s="37">
        <f t="shared" ref="K233:K239" si="45">L233/F233</f>
        <v>0</v>
      </c>
      <c r="L233" s="38">
        <v>0</v>
      </c>
    </row>
    <row r="234" spans="1:12" s="39" customFormat="1" ht="15.45" customHeight="1" outlineLevel="1" x14ac:dyDescent="0.25">
      <c r="A234" s="33">
        <v>2</v>
      </c>
      <c r="B234" s="34" t="s">
        <v>225</v>
      </c>
      <c r="C234" s="35" t="s">
        <v>30</v>
      </c>
      <c r="D234" s="36">
        <v>7792.75</v>
      </c>
      <c r="E234" s="36">
        <v>2.14</v>
      </c>
      <c r="F234" s="36">
        <f t="shared" si="42"/>
        <v>16676.485000000001</v>
      </c>
      <c r="G234" s="37">
        <f t="shared" si="43"/>
        <v>0</v>
      </c>
      <c r="H234" s="38">
        <f t="shared" si="43"/>
        <v>0</v>
      </c>
      <c r="I234" s="37">
        <f t="shared" si="44"/>
        <v>0</v>
      </c>
      <c r="J234" s="38">
        <v>0</v>
      </c>
      <c r="K234" s="37">
        <f t="shared" si="45"/>
        <v>0</v>
      </c>
      <c r="L234" s="38">
        <v>0</v>
      </c>
    </row>
    <row r="235" spans="1:12" s="39" customFormat="1" ht="28.95" customHeight="1" outlineLevel="1" x14ac:dyDescent="0.25">
      <c r="A235" s="33">
        <v>3</v>
      </c>
      <c r="B235" s="34" t="s">
        <v>230</v>
      </c>
      <c r="C235" s="35" t="s">
        <v>42</v>
      </c>
      <c r="D235" s="36">
        <v>3657</v>
      </c>
      <c r="E235" s="36">
        <v>1.63</v>
      </c>
      <c r="F235" s="36">
        <f t="shared" si="42"/>
        <v>5960.91</v>
      </c>
      <c r="G235" s="37">
        <f t="shared" si="43"/>
        <v>0</v>
      </c>
      <c r="H235" s="38">
        <f t="shared" si="43"/>
        <v>0</v>
      </c>
      <c r="I235" s="37">
        <f t="shared" si="44"/>
        <v>0</v>
      </c>
      <c r="J235" s="38">
        <v>0</v>
      </c>
      <c r="K235" s="37">
        <f t="shared" si="45"/>
        <v>0</v>
      </c>
      <c r="L235" s="38">
        <v>0</v>
      </c>
    </row>
    <row r="236" spans="1:12" s="39" customFormat="1" ht="28.95" customHeight="1" outlineLevel="1" x14ac:dyDescent="0.25">
      <c r="A236" s="33">
        <v>4</v>
      </c>
      <c r="B236" s="34" t="s">
        <v>231</v>
      </c>
      <c r="C236" s="35" t="s">
        <v>42</v>
      </c>
      <c r="D236" s="36">
        <v>110</v>
      </c>
      <c r="E236" s="36">
        <v>8.9600000000000009</v>
      </c>
      <c r="F236" s="36">
        <f t="shared" si="42"/>
        <v>985.60000000000014</v>
      </c>
      <c r="G236" s="37">
        <f t="shared" si="43"/>
        <v>0</v>
      </c>
      <c r="H236" s="38">
        <f t="shared" si="43"/>
        <v>0</v>
      </c>
      <c r="I236" s="37">
        <f t="shared" si="44"/>
        <v>0</v>
      </c>
      <c r="J236" s="38">
        <v>0</v>
      </c>
      <c r="K236" s="37">
        <f t="shared" si="45"/>
        <v>0</v>
      </c>
      <c r="L236" s="38">
        <v>0</v>
      </c>
    </row>
    <row r="237" spans="1:12" s="45" customFormat="1" ht="43.5" customHeight="1" x14ac:dyDescent="0.3">
      <c r="A237" s="33">
        <v>5</v>
      </c>
      <c r="B237" s="34" t="s">
        <v>232</v>
      </c>
      <c r="C237" s="35" t="s">
        <v>42</v>
      </c>
      <c r="D237" s="36">
        <v>3579</v>
      </c>
      <c r="E237" s="36">
        <v>1.004</v>
      </c>
      <c r="F237" s="36">
        <f t="shared" si="42"/>
        <v>3593.3159999999998</v>
      </c>
      <c r="G237" s="37">
        <f t="shared" si="43"/>
        <v>0</v>
      </c>
      <c r="H237" s="38">
        <f t="shared" si="43"/>
        <v>0</v>
      </c>
      <c r="I237" s="37">
        <f t="shared" si="44"/>
        <v>0</v>
      </c>
      <c r="J237" s="38">
        <v>0</v>
      </c>
      <c r="K237" s="37">
        <f t="shared" si="45"/>
        <v>0</v>
      </c>
      <c r="L237" s="38">
        <v>0</v>
      </c>
    </row>
    <row r="238" spans="1:12" s="39" customFormat="1" ht="28.95" customHeight="1" outlineLevel="1" x14ac:dyDescent="0.25">
      <c r="A238" s="33">
        <v>6</v>
      </c>
      <c r="B238" s="34" t="s">
        <v>233</v>
      </c>
      <c r="C238" s="35" t="s">
        <v>42</v>
      </c>
      <c r="D238" s="36">
        <v>188</v>
      </c>
      <c r="E238" s="36">
        <v>8.9600000000000009</v>
      </c>
      <c r="F238" s="36">
        <f t="shared" si="42"/>
        <v>1684.4800000000002</v>
      </c>
      <c r="G238" s="37">
        <f t="shared" si="43"/>
        <v>0</v>
      </c>
      <c r="H238" s="38">
        <f t="shared" si="43"/>
        <v>0</v>
      </c>
      <c r="I238" s="37">
        <f t="shared" si="44"/>
        <v>0</v>
      </c>
      <c r="J238" s="38">
        <v>0</v>
      </c>
      <c r="K238" s="37">
        <f t="shared" si="45"/>
        <v>0</v>
      </c>
      <c r="L238" s="38">
        <v>0</v>
      </c>
    </row>
    <row r="239" spans="1:12" s="39" customFormat="1" ht="28.95" customHeight="1" outlineLevel="1" x14ac:dyDescent="0.25">
      <c r="A239" s="33">
        <v>7</v>
      </c>
      <c r="B239" s="34" t="s">
        <v>234</v>
      </c>
      <c r="C239" s="35" t="s">
        <v>42</v>
      </c>
      <c r="D239" s="36">
        <v>3579</v>
      </c>
      <c r="E239" s="36">
        <v>2</v>
      </c>
      <c r="F239" s="36">
        <f t="shared" si="42"/>
        <v>7158</v>
      </c>
      <c r="G239" s="37">
        <f t="shared" si="43"/>
        <v>0</v>
      </c>
      <c r="H239" s="38">
        <f t="shared" si="43"/>
        <v>0</v>
      </c>
      <c r="I239" s="37">
        <f t="shared" si="44"/>
        <v>0</v>
      </c>
      <c r="J239" s="38">
        <v>0</v>
      </c>
      <c r="K239" s="37">
        <f t="shared" si="45"/>
        <v>0</v>
      </c>
      <c r="L239" s="38">
        <v>0</v>
      </c>
    </row>
    <row r="240" spans="1:12" s="39" customFormat="1" ht="15.45" customHeight="1" outlineLevel="1" x14ac:dyDescent="0.25">
      <c r="A240" s="31" t="s">
        <v>25</v>
      </c>
      <c r="B240" s="40" t="s">
        <v>26</v>
      </c>
      <c r="C240" s="41">
        <v>0</v>
      </c>
      <c r="D240" s="42"/>
      <c r="E240" s="42"/>
      <c r="F240" s="42"/>
      <c r="G240" s="43"/>
      <c r="H240" s="44"/>
      <c r="I240" s="43"/>
      <c r="J240" s="44"/>
      <c r="K240" s="43"/>
      <c r="L240" s="44">
        <v>0</v>
      </c>
    </row>
    <row r="241" spans="1:12" s="39" customFormat="1" ht="15.45" customHeight="1" outlineLevel="1" x14ac:dyDescent="0.25">
      <c r="A241" s="33">
        <v>1</v>
      </c>
      <c r="B241" s="34" t="s">
        <v>235</v>
      </c>
      <c r="C241" s="35" t="s">
        <v>42</v>
      </c>
      <c r="D241" s="36">
        <v>544</v>
      </c>
      <c r="E241" s="36">
        <v>36.5</v>
      </c>
      <c r="F241" s="36">
        <f t="shared" ref="F241:F259" si="46">+E241*D241</f>
        <v>19856</v>
      </c>
      <c r="G241" s="37">
        <f t="shared" ref="G241:G259" si="47">I241+K241</f>
        <v>0</v>
      </c>
      <c r="H241" s="38">
        <f t="shared" ref="H241:H259" si="48">J241+L241</f>
        <v>0</v>
      </c>
      <c r="I241" s="37">
        <f t="shared" ref="I241:I259" si="49">J241/F241</f>
        <v>0</v>
      </c>
      <c r="J241" s="38">
        <v>0</v>
      </c>
      <c r="K241" s="37">
        <f t="shared" ref="K241:K259" si="50">L241/F241</f>
        <v>0</v>
      </c>
      <c r="L241" s="38">
        <v>0</v>
      </c>
    </row>
    <row r="242" spans="1:12" s="39" customFormat="1" ht="15.45" customHeight="1" outlineLevel="1" x14ac:dyDescent="0.25">
      <c r="A242" s="33">
        <v>2</v>
      </c>
      <c r="B242" s="34" t="s">
        <v>43</v>
      </c>
      <c r="C242" s="35" t="s">
        <v>42</v>
      </c>
      <c r="D242" s="36">
        <v>67.66</v>
      </c>
      <c r="E242" s="36">
        <v>124.1</v>
      </c>
      <c r="F242" s="36">
        <f t="shared" si="46"/>
        <v>8396.6059999999998</v>
      </c>
      <c r="G242" s="37">
        <f t="shared" si="47"/>
        <v>0</v>
      </c>
      <c r="H242" s="38">
        <f t="shared" si="48"/>
        <v>0</v>
      </c>
      <c r="I242" s="37">
        <f t="shared" si="49"/>
        <v>0</v>
      </c>
      <c r="J242" s="38">
        <v>0</v>
      </c>
      <c r="K242" s="37">
        <f t="shared" si="50"/>
        <v>0</v>
      </c>
      <c r="L242" s="38">
        <v>0</v>
      </c>
    </row>
    <row r="243" spans="1:12" s="39" customFormat="1" ht="28.95" customHeight="1" outlineLevel="1" x14ac:dyDescent="0.25">
      <c r="A243" s="33">
        <v>3</v>
      </c>
      <c r="B243" s="34" t="s">
        <v>236</v>
      </c>
      <c r="C243" s="35" t="s">
        <v>42</v>
      </c>
      <c r="D243" s="36">
        <v>279.74</v>
      </c>
      <c r="E243" s="36">
        <v>177.7</v>
      </c>
      <c r="F243" s="36">
        <f t="shared" si="46"/>
        <v>49709.797999999995</v>
      </c>
      <c r="G243" s="37">
        <f t="shared" si="47"/>
        <v>0</v>
      </c>
      <c r="H243" s="38">
        <f t="shared" si="48"/>
        <v>0</v>
      </c>
      <c r="I243" s="37">
        <f t="shared" si="49"/>
        <v>0</v>
      </c>
      <c r="J243" s="38">
        <v>0</v>
      </c>
      <c r="K243" s="37">
        <f t="shared" si="50"/>
        <v>0</v>
      </c>
      <c r="L243" s="38">
        <v>0</v>
      </c>
    </row>
    <row r="244" spans="1:12" s="39" customFormat="1" ht="15.45" customHeight="1" outlineLevel="1" x14ac:dyDescent="0.25">
      <c r="A244" s="33">
        <v>4</v>
      </c>
      <c r="B244" s="34" t="s">
        <v>45</v>
      </c>
      <c r="C244" s="35" t="s">
        <v>30</v>
      </c>
      <c r="D244" s="36">
        <v>4.7830000000000004</v>
      </c>
      <c r="E244" s="36">
        <v>1325.1</v>
      </c>
      <c r="F244" s="36">
        <f t="shared" si="46"/>
        <v>6337.9533000000001</v>
      </c>
      <c r="G244" s="37">
        <f t="shared" si="47"/>
        <v>0</v>
      </c>
      <c r="H244" s="38">
        <f t="shared" si="48"/>
        <v>0</v>
      </c>
      <c r="I244" s="37">
        <f t="shared" si="49"/>
        <v>0</v>
      </c>
      <c r="J244" s="38">
        <v>0</v>
      </c>
      <c r="K244" s="37">
        <f t="shared" si="50"/>
        <v>0</v>
      </c>
      <c r="L244" s="38">
        <v>0</v>
      </c>
    </row>
    <row r="245" spans="1:12" s="39" customFormat="1" ht="15.45" customHeight="1" outlineLevel="1" x14ac:dyDescent="0.25">
      <c r="A245" s="33">
        <v>5</v>
      </c>
      <c r="B245" s="34" t="s">
        <v>46</v>
      </c>
      <c r="C245" s="35" t="s">
        <v>30</v>
      </c>
      <c r="D245" s="36">
        <v>14.262</v>
      </c>
      <c r="E245" s="36">
        <v>1200.0999999999999</v>
      </c>
      <c r="F245" s="36">
        <f t="shared" si="46"/>
        <v>17115.8262</v>
      </c>
      <c r="G245" s="37">
        <f t="shared" si="47"/>
        <v>0</v>
      </c>
      <c r="H245" s="38">
        <f t="shared" si="48"/>
        <v>0</v>
      </c>
      <c r="I245" s="37">
        <f t="shared" si="49"/>
        <v>0</v>
      </c>
      <c r="J245" s="38">
        <v>0</v>
      </c>
      <c r="K245" s="37">
        <f t="shared" si="50"/>
        <v>0</v>
      </c>
      <c r="L245" s="38">
        <v>0</v>
      </c>
    </row>
    <row r="246" spans="1:12" s="39" customFormat="1" ht="28.95" customHeight="1" outlineLevel="1" x14ac:dyDescent="0.25">
      <c r="A246" s="33">
        <v>6</v>
      </c>
      <c r="B246" s="34" t="s">
        <v>237</v>
      </c>
      <c r="C246" s="35" t="s">
        <v>30</v>
      </c>
      <c r="D246" s="36">
        <v>2.9820000000000002</v>
      </c>
      <c r="E246" s="36">
        <v>447.25</v>
      </c>
      <c r="F246" s="36">
        <f t="shared" si="46"/>
        <v>1333.6995000000002</v>
      </c>
      <c r="G246" s="37">
        <f t="shared" si="47"/>
        <v>0</v>
      </c>
      <c r="H246" s="38">
        <f t="shared" si="48"/>
        <v>0</v>
      </c>
      <c r="I246" s="37">
        <f t="shared" si="49"/>
        <v>0</v>
      </c>
      <c r="J246" s="38">
        <v>0</v>
      </c>
      <c r="K246" s="37">
        <f t="shared" si="50"/>
        <v>0</v>
      </c>
      <c r="L246" s="38">
        <v>0</v>
      </c>
    </row>
    <row r="247" spans="1:12" s="45" customFormat="1" ht="15.45" customHeight="1" x14ac:dyDescent="0.3">
      <c r="A247" s="33">
        <v>7</v>
      </c>
      <c r="B247" s="34" t="s">
        <v>45</v>
      </c>
      <c r="C247" s="35" t="s">
        <v>30</v>
      </c>
      <c r="D247" s="36">
        <v>0.14199999999999999</v>
      </c>
      <c r="E247" s="36">
        <v>1325.1</v>
      </c>
      <c r="F247" s="36">
        <f t="shared" si="46"/>
        <v>188.16419999999997</v>
      </c>
      <c r="G247" s="37">
        <f t="shared" si="47"/>
        <v>0</v>
      </c>
      <c r="H247" s="38">
        <f t="shared" si="48"/>
        <v>0</v>
      </c>
      <c r="I247" s="37">
        <f t="shared" si="49"/>
        <v>0</v>
      </c>
      <c r="J247" s="38">
        <v>0</v>
      </c>
      <c r="K247" s="37">
        <f t="shared" si="50"/>
        <v>0</v>
      </c>
      <c r="L247" s="38">
        <v>0</v>
      </c>
    </row>
    <row r="248" spans="1:12" s="39" customFormat="1" ht="15.45" customHeight="1" outlineLevel="1" x14ac:dyDescent="0.25">
      <c r="A248" s="33">
        <v>8</v>
      </c>
      <c r="B248" s="34" t="s">
        <v>46</v>
      </c>
      <c r="C248" s="35" t="s">
        <v>30</v>
      </c>
      <c r="D248" s="36">
        <v>2.84</v>
      </c>
      <c r="E248" s="36">
        <v>1200.0999999999999</v>
      </c>
      <c r="F248" s="36">
        <f t="shared" si="46"/>
        <v>3408.2839999999997</v>
      </c>
      <c r="G248" s="37">
        <f t="shared" si="47"/>
        <v>0</v>
      </c>
      <c r="H248" s="38">
        <f t="shared" si="48"/>
        <v>0</v>
      </c>
      <c r="I248" s="37">
        <f t="shared" si="49"/>
        <v>0</v>
      </c>
      <c r="J248" s="38">
        <v>0</v>
      </c>
      <c r="K248" s="37">
        <f t="shared" si="50"/>
        <v>0</v>
      </c>
      <c r="L248" s="38">
        <v>0</v>
      </c>
    </row>
    <row r="249" spans="1:12" s="39" customFormat="1" ht="28.95" customHeight="1" outlineLevel="1" x14ac:dyDescent="0.25">
      <c r="A249" s="33">
        <v>9</v>
      </c>
      <c r="B249" s="34" t="s">
        <v>238</v>
      </c>
      <c r="C249" s="35" t="s">
        <v>42</v>
      </c>
      <c r="D249" s="36">
        <v>133.52000000000001</v>
      </c>
      <c r="E249" s="36">
        <v>201.24</v>
      </c>
      <c r="F249" s="36">
        <f t="shared" si="46"/>
        <v>26869.564800000004</v>
      </c>
      <c r="G249" s="37">
        <f t="shared" si="47"/>
        <v>0</v>
      </c>
      <c r="H249" s="38">
        <f t="shared" si="48"/>
        <v>0</v>
      </c>
      <c r="I249" s="37">
        <f t="shared" si="49"/>
        <v>0</v>
      </c>
      <c r="J249" s="38">
        <v>0</v>
      </c>
      <c r="K249" s="37">
        <f t="shared" si="50"/>
        <v>0</v>
      </c>
      <c r="L249" s="38">
        <v>0</v>
      </c>
    </row>
    <row r="250" spans="1:12" s="39" customFormat="1" ht="28.95" customHeight="1" outlineLevel="1" x14ac:dyDescent="0.25">
      <c r="A250" s="33">
        <v>10</v>
      </c>
      <c r="B250" s="34" t="s">
        <v>239</v>
      </c>
      <c r="C250" s="35" t="s">
        <v>42</v>
      </c>
      <c r="D250" s="36">
        <v>8.4700000000000006</v>
      </c>
      <c r="E250" s="36">
        <v>272.01</v>
      </c>
      <c r="F250" s="36">
        <f t="shared" si="46"/>
        <v>2303.9247</v>
      </c>
      <c r="G250" s="37">
        <f t="shared" si="47"/>
        <v>0</v>
      </c>
      <c r="H250" s="38">
        <f t="shared" si="48"/>
        <v>0</v>
      </c>
      <c r="I250" s="37">
        <f t="shared" si="49"/>
        <v>0</v>
      </c>
      <c r="J250" s="38">
        <v>0</v>
      </c>
      <c r="K250" s="37">
        <f t="shared" si="50"/>
        <v>0</v>
      </c>
      <c r="L250" s="38">
        <v>0</v>
      </c>
    </row>
    <row r="251" spans="1:12" s="39" customFormat="1" ht="15.45" customHeight="1" outlineLevel="1" x14ac:dyDescent="0.25">
      <c r="A251" s="33">
        <v>11</v>
      </c>
      <c r="B251" s="34" t="s">
        <v>45</v>
      </c>
      <c r="C251" s="35" t="s">
        <v>30</v>
      </c>
      <c r="D251" s="36">
        <v>0.20100000000000001</v>
      </c>
      <c r="E251" s="36">
        <v>1325.1</v>
      </c>
      <c r="F251" s="36">
        <f t="shared" si="46"/>
        <v>266.3451</v>
      </c>
      <c r="G251" s="37">
        <f t="shared" si="47"/>
        <v>0</v>
      </c>
      <c r="H251" s="38">
        <f t="shared" si="48"/>
        <v>0</v>
      </c>
      <c r="I251" s="37">
        <f t="shared" si="49"/>
        <v>0</v>
      </c>
      <c r="J251" s="38">
        <v>0</v>
      </c>
      <c r="K251" s="37">
        <f t="shared" si="50"/>
        <v>0</v>
      </c>
      <c r="L251" s="38">
        <v>0</v>
      </c>
    </row>
    <row r="252" spans="1:12" s="39" customFormat="1" ht="15.45" customHeight="1" outlineLevel="1" x14ac:dyDescent="0.25">
      <c r="A252" s="33">
        <v>12</v>
      </c>
      <c r="B252" s="34" t="s">
        <v>46</v>
      </c>
      <c r="C252" s="35" t="s">
        <v>30</v>
      </c>
      <c r="D252" s="36">
        <v>8.0440000000000005</v>
      </c>
      <c r="E252" s="36">
        <v>1200.0999999999999</v>
      </c>
      <c r="F252" s="36">
        <f t="shared" si="46"/>
        <v>9653.6044000000002</v>
      </c>
      <c r="G252" s="37">
        <f t="shared" si="47"/>
        <v>0</v>
      </c>
      <c r="H252" s="38">
        <f t="shared" si="48"/>
        <v>0</v>
      </c>
      <c r="I252" s="37">
        <f t="shared" si="49"/>
        <v>0</v>
      </c>
      <c r="J252" s="38">
        <v>0</v>
      </c>
      <c r="K252" s="37">
        <f t="shared" si="50"/>
        <v>0</v>
      </c>
      <c r="L252" s="38">
        <v>0</v>
      </c>
    </row>
    <row r="253" spans="1:12" s="39" customFormat="1" ht="28.95" customHeight="1" outlineLevel="1" x14ac:dyDescent="0.25">
      <c r="A253" s="33">
        <v>14</v>
      </c>
      <c r="B253" s="34" t="s">
        <v>240</v>
      </c>
      <c r="C253" s="35" t="s">
        <v>28</v>
      </c>
      <c r="D253" s="36">
        <v>1557</v>
      </c>
      <c r="E253" s="36">
        <v>3.67</v>
      </c>
      <c r="F253" s="36">
        <f t="shared" si="46"/>
        <v>5714.19</v>
      </c>
      <c r="G253" s="37">
        <f t="shared" si="47"/>
        <v>0</v>
      </c>
      <c r="H253" s="38">
        <f t="shared" si="48"/>
        <v>0</v>
      </c>
      <c r="I253" s="37">
        <f t="shared" si="49"/>
        <v>0</v>
      </c>
      <c r="J253" s="38">
        <v>0</v>
      </c>
      <c r="K253" s="37">
        <f t="shared" si="50"/>
        <v>0</v>
      </c>
      <c r="L253" s="38">
        <v>0</v>
      </c>
    </row>
    <row r="254" spans="1:12" s="39" customFormat="1" ht="15.45" customHeight="1" outlineLevel="1" x14ac:dyDescent="0.25">
      <c r="A254" s="33">
        <v>15</v>
      </c>
      <c r="B254" s="34" t="s">
        <v>241</v>
      </c>
      <c r="C254" s="35" t="s">
        <v>42</v>
      </c>
      <c r="D254" s="36">
        <v>102.5</v>
      </c>
      <c r="E254" s="36">
        <v>41.92</v>
      </c>
      <c r="F254" s="36">
        <f t="shared" si="46"/>
        <v>4296.8</v>
      </c>
      <c r="G254" s="37">
        <f t="shared" si="47"/>
        <v>0</v>
      </c>
      <c r="H254" s="38">
        <f t="shared" si="48"/>
        <v>0</v>
      </c>
      <c r="I254" s="37">
        <f t="shared" si="49"/>
        <v>0</v>
      </c>
      <c r="J254" s="38">
        <v>0</v>
      </c>
      <c r="K254" s="37">
        <f t="shared" si="50"/>
        <v>0</v>
      </c>
      <c r="L254" s="38">
        <v>0</v>
      </c>
    </row>
    <row r="255" spans="1:12" s="39" customFormat="1" ht="15.45" customHeight="1" outlineLevel="1" x14ac:dyDescent="0.25">
      <c r="A255" s="33">
        <v>16</v>
      </c>
      <c r="B255" s="34" t="s">
        <v>242</v>
      </c>
      <c r="C255" s="35" t="s">
        <v>42</v>
      </c>
      <c r="D255" s="36">
        <v>102.5</v>
      </c>
      <c r="E255" s="36">
        <v>163.30000000000001</v>
      </c>
      <c r="F255" s="36">
        <f t="shared" si="46"/>
        <v>16738.25</v>
      </c>
      <c r="G255" s="37">
        <f t="shared" si="47"/>
        <v>0</v>
      </c>
      <c r="H255" s="38">
        <f t="shared" si="48"/>
        <v>0</v>
      </c>
      <c r="I255" s="37">
        <f t="shared" si="49"/>
        <v>0</v>
      </c>
      <c r="J255" s="38">
        <v>0</v>
      </c>
      <c r="K255" s="37">
        <f t="shared" si="50"/>
        <v>0</v>
      </c>
      <c r="L255" s="38">
        <v>0</v>
      </c>
    </row>
    <row r="256" spans="1:12" s="39" customFormat="1" ht="15.45" customHeight="1" outlineLevel="1" x14ac:dyDescent="0.25">
      <c r="A256" s="33">
        <v>17</v>
      </c>
      <c r="B256" s="34" t="s">
        <v>43</v>
      </c>
      <c r="C256" s="35" t="s">
        <v>42</v>
      </c>
      <c r="D256" s="36">
        <v>1.39</v>
      </c>
      <c r="E256" s="36">
        <v>124.1</v>
      </c>
      <c r="F256" s="36">
        <f t="shared" si="46"/>
        <v>172.49899999999997</v>
      </c>
      <c r="G256" s="37">
        <f t="shared" si="47"/>
        <v>0</v>
      </c>
      <c r="H256" s="38">
        <f t="shared" si="48"/>
        <v>0</v>
      </c>
      <c r="I256" s="37">
        <f t="shared" si="49"/>
        <v>0</v>
      </c>
      <c r="J256" s="38">
        <v>0</v>
      </c>
      <c r="K256" s="37">
        <f t="shared" si="50"/>
        <v>0</v>
      </c>
      <c r="L256" s="38">
        <v>0</v>
      </c>
    </row>
    <row r="257" spans="1:12" s="39" customFormat="1" ht="28.95" customHeight="1" outlineLevel="1" x14ac:dyDescent="0.25">
      <c r="A257" s="33">
        <v>18</v>
      </c>
      <c r="B257" s="34" t="s">
        <v>243</v>
      </c>
      <c r="C257" s="35" t="s">
        <v>42</v>
      </c>
      <c r="D257" s="36">
        <v>8.5399999999999991</v>
      </c>
      <c r="E257" s="36">
        <v>271.39999999999998</v>
      </c>
      <c r="F257" s="36">
        <f t="shared" si="46"/>
        <v>2317.7559999999994</v>
      </c>
      <c r="G257" s="37">
        <f t="shared" si="47"/>
        <v>0</v>
      </c>
      <c r="H257" s="38">
        <f t="shared" si="48"/>
        <v>0</v>
      </c>
      <c r="I257" s="37">
        <f t="shared" si="49"/>
        <v>0</v>
      </c>
      <c r="J257" s="38">
        <v>0</v>
      </c>
      <c r="K257" s="37">
        <f t="shared" si="50"/>
        <v>0</v>
      </c>
      <c r="L257" s="38">
        <v>0</v>
      </c>
    </row>
    <row r="258" spans="1:12" s="39" customFormat="1" ht="15.45" customHeight="1" outlineLevel="1" x14ac:dyDescent="0.25">
      <c r="A258" s="33">
        <v>19</v>
      </c>
      <c r="B258" s="34" t="s">
        <v>45</v>
      </c>
      <c r="C258" s="35" t="s">
        <v>30</v>
      </c>
      <c r="D258" s="36">
        <v>1.2999999999999999E-2</v>
      </c>
      <c r="E258" s="36">
        <v>1325.1</v>
      </c>
      <c r="F258" s="36">
        <f t="shared" si="46"/>
        <v>17.226299999999998</v>
      </c>
      <c r="G258" s="37">
        <f t="shared" si="47"/>
        <v>0</v>
      </c>
      <c r="H258" s="38">
        <f t="shared" si="48"/>
        <v>0</v>
      </c>
      <c r="I258" s="37">
        <f t="shared" si="49"/>
        <v>0</v>
      </c>
      <c r="J258" s="38">
        <v>0</v>
      </c>
      <c r="K258" s="37">
        <f t="shared" si="50"/>
        <v>0</v>
      </c>
      <c r="L258" s="38">
        <v>0</v>
      </c>
    </row>
    <row r="259" spans="1:12" s="48" customFormat="1" ht="15.45" customHeight="1" x14ac:dyDescent="0.3">
      <c r="A259" s="33">
        <v>20</v>
      </c>
      <c r="B259" s="34" t="s">
        <v>46</v>
      </c>
      <c r="C259" s="35" t="s">
        <v>30</v>
      </c>
      <c r="D259" s="36">
        <v>0.61299999999999999</v>
      </c>
      <c r="E259" s="36">
        <v>1200.0999999999999</v>
      </c>
      <c r="F259" s="36">
        <f t="shared" si="46"/>
        <v>735.66129999999998</v>
      </c>
      <c r="G259" s="37">
        <f t="shared" si="47"/>
        <v>0</v>
      </c>
      <c r="H259" s="38">
        <f t="shared" si="48"/>
        <v>0</v>
      </c>
      <c r="I259" s="37">
        <f t="shared" si="49"/>
        <v>0</v>
      </c>
      <c r="J259" s="38">
        <v>0</v>
      </c>
      <c r="K259" s="37">
        <f t="shared" si="50"/>
        <v>0</v>
      </c>
      <c r="L259" s="38">
        <v>0</v>
      </c>
    </row>
    <row r="260" spans="1:12" s="39" customFormat="1" ht="15.45" customHeight="1" outlineLevel="1" x14ac:dyDescent="0.25">
      <c r="A260" s="31" t="s">
        <v>244</v>
      </c>
      <c r="B260" s="40" t="s">
        <v>245</v>
      </c>
      <c r="C260" s="41">
        <v>0</v>
      </c>
      <c r="D260" s="42"/>
      <c r="E260" s="42"/>
      <c r="F260" s="42"/>
      <c r="G260" s="43"/>
      <c r="H260" s="44"/>
      <c r="I260" s="43"/>
      <c r="J260" s="44"/>
      <c r="K260" s="43"/>
      <c r="L260" s="44">
        <v>0</v>
      </c>
    </row>
    <row r="261" spans="1:12" s="39" customFormat="1" ht="28.95" customHeight="1" outlineLevel="1" x14ac:dyDescent="0.25">
      <c r="A261" s="33">
        <v>1</v>
      </c>
      <c r="B261" s="34" t="s">
        <v>246</v>
      </c>
      <c r="C261" s="35" t="s">
        <v>42</v>
      </c>
      <c r="D261" s="36">
        <v>137.28</v>
      </c>
      <c r="E261" s="36">
        <v>231.5</v>
      </c>
      <c r="F261" s="36">
        <f t="shared" ref="F261:F286" si="51">+E261*D261</f>
        <v>31780.32</v>
      </c>
      <c r="G261" s="37">
        <f t="shared" ref="G261:G286" si="52">I261+K261</f>
        <v>0</v>
      </c>
      <c r="H261" s="38">
        <f t="shared" ref="H261:H286" si="53">J261+L261</f>
        <v>0</v>
      </c>
      <c r="I261" s="37">
        <f t="shared" ref="I261:I286" si="54">J261/F261</f>
        <v>0</v>
      </c>
      <c r="J261" s="38">
        <v>0</v>
      </c>
      <c r="K261" s="37">
        <f t="shared" ref="K261:K286" si="55">L261/F261</f>
        <v>0</v>
      </c>
      <c r="L261" s="38">
        <v>0</v>
      </c>
    </row>
    <row r="262" spans="1:12" s="39" customFormat="1" ht="15.45" customHeight="1" outlineLevel="1" x14ac:dyDescent="0.25">
      <c r="A262" s="33">
        <v>2</v>
      </c>
      <c r="B262" s="34" t="s">
        <v>45</v>
      </c>
      <c r="C262" s="35" t="s">
        <v>30</v>
      </c>
      <c r="D262" s="36">
        <v>4.0190000000000001</v>
      </c>
      <c r="E262" s="36">
        <v>1325.1</v>
      </c>
      <c r="F262" s="36">
        <f t="shared" si="51"/>
        <v>5325.5769</v>
      </c>
      <c r="G262" s="37">
        <f t="shared" si="52"/>
        <v>0</v>
      </c>
      <c r="H262" s="38">
        <f t="shared" si="53"/>
        <v>0</v>
      </c>
      <c r="I262" s="37">
        <f t="shared" si="54"/>
        <v>0</v>
      </c>
      <c r="J262" s="38">
        <v>0</v>
      </c>
      <c r="K262" s="37">
        <f t="shared" si="55"/>
        <v>0</v>
      </c>
      <c r="L262" s="38">
        <v>0</v>
      </c>
    </row>
    <row r="263" spans="1:12" s="39" customFormat="1" ht="15.45" customHeight="1" outlineLevel="1" x14ac:dyDescent="0.25">
      <c r="A263" s="33">
        <v>3</v>
      </c>
      <c r="B263" s="34" t="s">
        <v>46</v>
      </c>
      <c r="C263" s="35" t="s">
        <v>30</v>
      </c>
      <c r="D263" s="36">
        <v>13.645</v>
      </c>
      <c r="E263" s="36">
        <v>1200.0999999999999</v>
      </c>
      <c r="F263" s="36">
        <f t="shared" si="51"/>
        <v>16375.364499999998</v>
      </c>
      <c r="G263" s="37">
        <f t="shared" si="52"/>
        <v>0</v>
      </c>
      <c r="H263" s="38">
        <f t="shared" si="53"/>
        <v>0</v>
      </c>
      <c r="I263" s="37">
        <f t="shared" si="54"/>
        <v>0</v>
      </c>
      <c r="J263" s="38">
        <v>0</v>
      </c>
      <c r="K263" s="37">
        <f t="shared" si="55"/>
        <v>0</v>
      </c>
      <c r="L263" s="38">
        <v>0</v>
      </c>
    </row>
    <row r="264" spans="1:12" s="39" customFormat="1" ht="43.5" customHeight="1" outlineLevel="1" x14ac:dyDescent="0.25">
      <c r="A264" s="33">
        <v>4</v>
      </c>
      <c r="B264" s="34" t="s">
        <v>247</v>
      </c>
      <c r="C264" s="35" t="s">
        <v>42</v>
      </c>
      <c r="D264" s="36">
        <v>146.87</v>
      </c>
      <c r="E264" s="36">
        <v>301</v>
      </c>
      <c r="F264" s="36">
        <f t="shared" si="51"/>
        <v>44207.87</v>
      </c>
      <c r="G264" s="37">
        <f t="shared" si="52"/>
        <v>0</v>
      </c>
      <c r="H264" s="38">
        <f t="shared" si="53"/>
        <v>0</v>
      </c>
      <c r="I264" s="37">
        <f t="shared" si="54"/>
        <v>0</v>
      </c>
      <c r="J264" s="38">
        <v>0</v>
      </c>
      <c r="K264" s="37">
        <f t="shared" si="55"/>
        <v>0</v>
      </c>
      <c r="L264" s="38">
        <v>0</v>
      </c>
    </row>
    <row r="265" spans="1:12" s="39" customFormat="1" ht="15.45" customHeight="1" outlineLevel="1" x14ac:dyDescent="0.25">
      <c r="A265" s="33">
        <v>5</v>
      </c>
      <c r="B265" s="34" t="s">
        <v>45</v>
      </c>
      <c r="C265" s="35" t="s">
        <v>30</v>
      </c>
      <c r="D265" s="36">
        <v>10.250999999999999</v>
      </c>
      <c r="E265" s="36">
        <v>1325.1</v>
      </c>
      <c r="F265" s="36">
        <f t="shared" si="51"/>
        <v>13583.600099999998</v>
      </c>
      <c r="G265" s="37">
        <f t="shared" si="52"/>
        <v>0</v>
      </c>
      <c r="H265" s="38">
        <f t="shared" si="53"/>
        <v>0</v>
      </c>
      <c r="I265" s="37">
        <f t="shared" si="54"/>
        <v>0</v>
      </c>
      <c r="J265" s="38">
        <v>0</v>
      </c>
      <c r="K265" s="37">
        <f t="shared" si="55"/>
        <v>0</v>
      </c>
      <c r="L265" s="38">
        <v>0</v>
      </c>
    </row>
    <row r="266" spans="1:12" s="39" customFormat="1" ht="15.45" customHeight="1" outlineLevel="1" x14ac:dyDescent="0.25">
      <c r="A266" s="33">
        <v>6</v>
      </c>
      <c r="B266" s="34" t="s">
        <v>46</v>
      </c>
      <c r="C266" s="35" t="s">
        <v>30</v>
      </c>
      <c r="D266" s="36">
        <v>30.648</v>
      </c>
      <c r="E266" s="36">
        <v>1200.0999999999999</v>
      </c>
      <c r="F266" s="36">
        <f t="shared" si="51"/>
        <v>36780.664799999999</v>
      </c>
      <c r="G266" s="37">
        <f t="shared" si="52"/>
        <v>0</v>
      </c>
      <c r="H266" s="38">
        <f t="shared" si="53"/>
        <v>0</v>
      </c>
      <c r="I266" s="37">
        <f t="shared" si="54"/>
        <v>0</v>
      </c>
      <c r="J266" s="38">
        <v>0</v>
      </c>
      <c r="K266" s="37">
        <f t="shared" si="55"/>
        <v>0</v>
      </c>
      <c r="L266" s="38">
        <v>0</v>
      </c>
    </row>
    <row r="267" spans="1:12" s="39" customFormat="1" ht="15.45" customHeight="1" outlineLevel="1" x14ac:dyDescent="0.25">
      <c r="A267" s="33">
        <v>7</v>
      </c>
      <c r="B267" s="34" t="s">
        <v>248</v>
      </c>
      <c r="C267" s="35" t="s">
        <v>42</v>
      </c>
      <c r="D267" s="36">
        <v>20.55</v>
      </c>
      <c r="E267" s="36">
        <v>204.1</v>
      </c>
      <c r="F267" s="36">
        <f t="shared" si="51"/>
        <v>4194.2550000000001</v>
      </c>
      <c r="G267" s="37">
        <f t="shared" si="52"/>
        <v>0</v>
      </c>
      <c r="H267" s="38">
        <f t="shared" si="53"/>
        <v>0</v>
      </c>
      <c r="I267" s="37">
        <f t="shared" si="54"/>
        <v>0</v>
      </c>
      <c r="J267" s="38">
        <v>0</v>
      </c>
      <c r="K267" s="37">
        <f t="shared" si="55"/>
        <v>0</v>
      </c>
      <c r="L267" s="38">
        <v>0</v>
      </c>
    </row>
    <row r="268" spans="1:12" s="39" customFormat="1" ht="15.45" customHeight="1" outlineLevel="1" x14ac:dyDescent="0.25">
      <c r="A268" s="33">
        <v>8</v>
      </c>
      <c r="B268" s="34" t="s">
        <v>45</v>
      </c>
      <c r="C268" s="35" t="s">
        <v>30</v>
      </c>
      <c r="D268" s="36">
        <v>0.81200000000000006</v>
      </c>
      <c r="E268" s="36">
        <v>1325.1</v>
      </c>
      <c r="F268" s="36">
        <f t="shared" si="51"/>
        <v>1075.9811999999999</v>
      </c>
      <c r="G268" s="37">
        <f t="shared" si="52"/>
        <v>0</v>
      </c>
      <c r="H268" s="38">
        <f t="shared" si="53"/>
        <v>0</v>
      </c>
      <c r="I268" s="37">
        <f t="shared" si="54"/>
        <v>0</v>
      </c>
      <c r="J268" s="38">
        <v>0</v>
      </c>
      <c r="K268" s="37">
        <f t="shared" si="55"/>
        <v>0</v>
      </c>
      <c r="L268" s="38">
        <v>0</v>
      </c>
    </row>
    <row r="269" spans="1:12" s="39" customFormat="1" ht="15.45" customHeight="1" outlineLevel="1" x14ac:dyDescent="0.25">
      <c r="A269" s="33">
        <v>9</v>
      </c>
      <c r="B269" s="34" t="s">
        <v>46</v>
      </c>
      <c r="C269" s="35" t="s">
        <v>30</v>
      </c>
      <c r="D269" s="36">
        <v>2.1179999999999999</v>
      </c>
      <c r="E269" s="36">
        <v>1200.0999999999999</v>
      </c>
      <c r="F269" s="36">
        <f t="shared" si="51"/>
        <v>2541.8117999999995</v>
      </c>
      <c r="G269" s="37">
        <f t="shared" si="52"/>
        <v>0</v>
      </c>
      <c r="H269" s="38">
        <f t="shared" si="53"/>
        <v>0</v>
      </c>
      <c r="I269" s="37">
        <f t="shared" si="54"/>
        <v>0</v>
      </c>
      <c r="J269" s="38">
        <v>0</v>
      </c>
      <c r="K269" s="37">
        <f t="shared" si="55"/>
        <v>0</v>
      </c>
      <c r="L269" s="38">
        <v>0</v>
      </c>
    </row>
    <row r="270" spans="1:12" s="39" customFormat="1" ht="28.95" customHeight="1" outlineLevel="1" x14ac:dyDescent="0.25">
      <c r="A270" s="33">
        <v>10</v>
      </c>
      <c r="B270" s="34" t="s">
        <v>249</v>
      </c>
      <c r="C270" s="35" t="s">
        <v>42</v>
      </c>
      <c r="D270" s="36">
        <v>676.97</v>
      </c>
      <c r="E270" s="36">
        <v>235</v>
      </c>
      <c r="F270" s="36">
        <f t="shared" si="51"/>
        <v>159087.95000000001</v>
      </c>
      <c r="G270" s="37">
        <f t="shared" si="52"/>
        <v>0</v>
      </c>
      <c r="H270" s="38">
        <f t="shared" si="53"/>
        <v>0</v>
      </c>
      <c r="I270" s="37">
        <f t="shared" si="54"/>
        <v>0</v>
      </c>
      <c r="J270" s="38">
        <v>0</v>
      </c>
      <c r="K270" s="37">
        <f t="shared" si="55"/>
        <v>0</v>
      </c>
      <c r="L270" s="38">
        <v>0</v>
      </c>
    </row>
    <row r="271" spans="1:12" s="39" customFormat="1" ht="15.45" customHeight="1" outlineLevel="1" x14ac:dyDescent="0.25">
      <c r="A271" s="33">
        <v>11</v>
      </c>
      <c r="B271" s="34" t="s">
        <v>45</v>
      </c>
      <c r="C271" s="35" t="s">
        <v>30</v>
      </c>
      <c r="D271" s="36">
        <v>4.6749999999999998</v>
      </c>
      <c r="E271" s="36">
        <v>1325.1</v>
      </c>
      <c r="F271" s="36">
        <f t="shared" si="51"/>
        <v>6194.8424999999997</v>
      </c>
      <c r="G271" s="37">
        <f t="shared" si="52"/>
        <v>0</v>
      </c>
      <c r="H271" s="38">
        <f t="shared" si="53"/>
        <v>0</v>
      </c>
      <c r="I271" s="37">
        <f t="shared" si="54"/>
        <v>0</v>
      </c>
      <c r="J271" s="38">
        <v>0</v>
      </c>
      <c r="K271" s="37">
        <f t="shared" si="55"/>
        <v>0</v>
      </c>
      <c r="L271" s="38">
        <v>0</v>
      </c>
    </row>
    <row r="272" spans="1:12" s="39" customFormat="1" ht="15.45" customHeight="1" outlineLevel="1" x14ac:dyDescent="0.25">
      <c r="A272" s="33">
        <v>12</v>
      </c>
      <c r="B272" s="34" t="s">
        <v>46</v>
      </c>
      <c r="C272" s="35" t="s">
        <v>30</v>
      </c>
      <c r="D272" s="36">
        <v>69.402000000000001</v>
      </c>
      <c r="E272" s="36">
        <v>1200.0999999999999</v>
      </c>
      <c r="F272" s="36">
        <f t="shared" si="51"/>
        <v>83289.340199999991</v>
      </c>
      <c r="G272" s="37">
        <f t="shared" si="52"/>
        <v>0</v>
      </c>
      <c r="H272" s="38">
        <f t="shared" si="53"/>
        <v>0</v>
      </c>
      <c r="I272" s="37">
        <f t="shared" si="54"/>
        <v>0</v>
      </c>
      <c r="J272" s="38">
        <v>0</v>
      </c>
      <c r="K272" s="37">
        <f t="shared" si="55"/>
        <v>0</v>
      </c>
      <c r="L272" s="38">
        <v>0</v>
      </c>
    </row>
    <row r="273" spans="1:12" s="39" customFormat="1" ht="28.95" customHeight="1" outlineLevel="1" x14ac:dyDescent="0.25">
      <c r="A273" s="33">
        <v>13</v>
      </c>
      <c r="B273" s="34" t="s">
        <v>250</v>
      </c>
      <c r="C273" s="35" t="s">
        <v>42</v>
      </c>
      <c r="D273" s="36">
        <v>7.88</v>
      </c>
      <c r="E273" s="36">
        <v>285.7</v>
      </c>
      <c r="F273" s="36">
        <f t="shared" si="51"/>
        <v>2251.3159999999998</v>
      </c>
      <c r="G273" s="37">
        <f t="shared" si="52"/>
        <v>0</v>
      </c>
      <c r="H273" s="38">
        <f t="shared" si="53"/>
        <v>0</v>
      </c>
      <c r="I273" s="37">
        <f t="shared" si="54"/>
        <v>0</v>
      </c>
      <c r="J273" s="38">
        <v>0</v>
      </c>
      <c r="K273" s="37">
        <f t="shared" si="55"/>
        <v>0</v>
      </c>
      <c r="L273" s="38">
        <v>0</v>
      </c>
    </row>
    <row r="274" spans="1:12" s="39" customFormat="1" ht="15.45" customHeight="1" outlineLevel="1" x14ac:dyDescent="0.25">
      <c r="A274" s="33">
        <v>14</v>
      </c>
      <c r="B274" s="34" t="s">
        <v>45</v>
      </c>
      <c r="C274" s="35" t="s">
        <v>30</v>
      </c>
      <c r="D274" s="36">
        <v>0.183</v>
      </c>
      <c r="E274" s="36">
        <v>1325.1</v>
      </c>
      <c r="F274" s="36">
        <f t="shared" si="51"/>
        <v>242.49329999999998</v>
      </c>
      <c r="G274" s="37">
        <f t="shared" si="52"/>
        <v>0</v>
      </c>
      <c r="H274" s="38">
        <f t="shared" si="53"/>
        <v>0</v>
      </c>
      <c r="I274" s="37">
        <f t="shared" si="54"/>
        <v>0</v>
      </c>
      <c r="J274" s="38">
        <v>0</v>
      </c>
      <c r="K274" s="37">
        <f t="shared" si="55"/>
        <v>0</v>
      </c>
      <c r="L274" s="38">
        <v>0</v>
      </c>
    </row>
    <row r="275" spans="1:12" s="39" customFormat="1" ht="15.45" customHeight="1" outlineLevel="1" x14ac:dyDescent="0.25">
      <c r="A275" s="33">
        <v>15</v>
      </c>
      <c r="B275" s="34" t="s">
        <v>46</v>
      </c>
      <c r="C275" s="35" t="s">
        <v>30</v>
      </c>
      <c r="D275" s="36">
        <v>1.611</v>
      </c>
      <c r="E275" s="36">
        <v>1200.0999999999999</v>
      </c>
      <c r="F275" s="36">
        <f t="shared" si="51"/>
        <v>1933.3610999999999</v>
      </c>
      <c r="G275" s="37">
        <f t="shared" si="52"/>
        <v>0</v>
      </c>
      <c r="H275" s="38">
        <f t="shared" si="53"/>
        <v>0</v>
      </c>
      <c r="I275" s="37">
        <f t="shared" si="54"/>
        <v>0</v>
      </c>
      <c r="J275" s="38">
        <v>0</v>
      </c>
      <c r="K275" s="37">
        <f t="shared" si="55"/>
        <v>0</v>
      </c>
      <c r="L275" s="38">
        <v>0</v>
      </c>
    </row>
    <row r="276" spans="1:12" s="39" customFormat="1" ht="15.45" customHeight="1" outlineLevel="1" x14ac:dyDescent="0.25">
      <c r="A276" s="33">
        <v>16</v>
      </c>
      <c r="B276" s="34" t="s">
        <v>251</v>
      </c>
      <c r="C276" s="35" t="s">
        <v>50</v>
      </c>
      <c r="D276" s="36">
        <v>22</v>
      </c>
      <c r="E276" s="36">
        <v>40.9</v>
      </c>
      <c r="F276" s="36">
        <f t="shared" si="51"/>
        <v>899.8</v>
      </c>
      <c r="G276" s="37">
        <f t="shared" si="52"/>
        <v>0</v>
      </c>
      <c r="H276" s="38">
        <f t="shared" si="53"/>
        <v>0</v>
      </c>
      <c r="I276" s="37">
        <f t="shared" si="54"/>
        <v>0</v>
      </c>
      <c r="J276" s="38">
        <v>0</v>
      </c>
      <c r="K276" s="37">
        <f t="shared" si="55"/>
        <v>0</v>
      </c>
      <c r="L276" s="38">
        <v>0</v>
      </c>
    </row>
    <row r="277" spans="1:12" s="39" customFormat="1" ht="28.95" customHeight="1" outlineLevel="1" x14ac:dyDescent="0.25">
      <c r="A277" s="33">
        <v>17</v>
      </c>
      <c r="B277" s="34" t="s">
        <v>51</v>
      </c>
      <c r="C277" s="35" t="s">
        <v>30</v>
      </c>
      <c r="D277" s="36">
        <v>0.182</v>
      </c>
      <c r="E277" s="36">
        <v>1887.2</v>
      </c>
      <c r="F277" s="36">
        <f t="shared" si="51"/>
        <v>343.47039999999998</v>
      </c>
      <c r="G277" s="37">
        <f t="shared" si="52"/>
        <v>0</v>
      </c>
      <c r="H277" s="38">
        <f t="shared" si="53"/>
        <v>0</v>
      </c>
      <c r="I277" s="37">
        <f t="shared" si="54"/>
        <v>0</v>
      </c>
      <c r="J277" s="38">
        <v>0</v>
      </c>
      <c r="K277" s="37">
        <f t="shared" si="55"/>
        <v>0</v>
      </c>
      <c r="L277" s="38">
        <v>0</v>
      </c>
    </row>
    <row r="278" spans="1:12" s="39" customFormat="1" ht="28.95" customHeight="1" outlineLevel="1" x14ac:dyDescent="0.25">
      <c r="A278" s="33">
        <v>18</v>
      </c>
      <c r="B278" s="34" t="s">
        <v>252</v>
      </c>
      <c r="C278" s="35" t="s">
        <v>42</v>
      </c>
      <c r="D278" s="36">
        <v>1.3</v>
      </c>
      <c r="E278" s="36">
        <v>235</v>
      </c>
      <c r="F278" s="36">
        <f t="shared" si="51"/>
        <v>305.5</v>
      </c>
      <c r="G278" s="37">
        <f t="shared" si="52"/>
        <v>0</v>
      </c>
      <c r="H278" s="38">
        <f t="shared" si="53"/>
        <v>0</v>
      </c>
      <c r="I278" s="37">
        <f t="shared" si="54"/>
        <v>0</v>
      </c>
      <c r="J278" s="38">
        <v>0</v>
      </c>
      <c r="K278" s="37">
        <f t="shared" si="55"/>
        <v>0</v>
      </c>
      <c r="L278" s="38">
        <v>0</v>
      </c>
    </row>
    <row r="279" spans="1:12" s="39" customFormat="1" ht="15.45" customHeight="1" outlineLevel="1" x14ac:dyDescent="0.25">
      <c r="A279" s="33">
        <v>19</v>
      </c>
      <c r="B279" s="34" t="s">
        <v>45</v>
      </c>
      <c r="C279" s="35" t="s">
        <v>30</v>
      </c>
      <c r="D279" s="36">
        <v>3.0000000000000001E-3</v>
      </c>
      <c r="E279" s="36">
        <v>1325.1</v>
      </c>
      <c r="F279" s="36">
        <f t="shared" si="51"/>
        <v>3.9752999999999998</v>
      </c>
      <c r="G279" s="37">
        <f t="shared" si="52"/>
        <v>0</v>
      </c>
      <c r="H279" s="38">
        <f t="shared" si="53"/>
        <v>0</v>
      </c>
      <c r="I279" s="37">
        <f t="shared" si="54"/>
        <v>0</v>
      </c>
      <c r="J279" s="38">
        <v>0</v>
      </c>
      <c r="K279" s="37">
        <f t="shared" si="55"/>
        <v>0</v>
      </c>
      <c r="L279" s="38">
        <v>0</v>
      </c>
    </row>
    <row r="280" spans="1:12" s="39" customFormat="1" ht="15.45" customHeight="1" outlineLevel="1" x14ac:dyDescent="0.25">
      <c r="A280" s="33">
        <v>20</v>
      </c>
      <c r="B280" s="34" t="s">
        <v>46</v>
      </c>
      <c r="C280" s="35" t="s">
        <v>30</v>
      </c>
      <c r="D280" s="36">
        <v>0.255</v>
      </c>
      <c r="E280" s="36">
        <v>1200.0999999999999</v>
      </c>
      <c r="F280" s="36">
        <f t="shared" si="51"/>
        <v>306.02549999999997</v>
      </c>
      <c r="G280" s="37">
        <f t="shared" si="52"/>
        <v>0</v>
      </c>
      <c r="H280" s="38">
        <f t="shared" si="53"/>
        <v>0</v>
      </c>
      <c r="I280" s="37">
        <f t="shared" si="54"/>
        <v>0</v>
      </c>
      <c r="J280" s="38">
        <v>0</v>
      </c>
      <c r="K280" s="37">
        <f t="shared" si="55"/>
        <v>0</v>
      </c>
      <c r="L280" s="38">
        <v>0</v>
      </c>
    </row>
    <row r="281" spans="1:12" s="46" customFormat="1" ht="28.95" customHeight="1" outlineLevel="1" x14ac:dyDescent="0.35">
      <c r="A281" s="33">
        <v>21</v>
      </c>
      <c r="B281" s="34" t="s">
        <v>246</v>
      </c>
      <c r="C281" s="35" t="s">
        <v>42</v>
      </c>
      <c r="D281" s="36">
        <v>9.75</v>
      </c>
      <c r="E281" s="36">
        <v>226.4</v>
      </c>
      <c r="F281" s="36">
        <f t="shared" si="51"/>
        <v>2207.4</v>
      </c>
      <c r="G281" s="37">
        <f t="shared" si="52"/>
        <v>0</v>
      </c>
      <c r="H281" s="38">
        <f t="shared" si="53"/>
        <v>0</v>
      </c>
      <c r="I281" s="37">
        <f t="shared" si="54"/>
        <v>0</v>
      </c>
      <c r="J281" s="38">
        <v>0</v>
      </c>
      <c r="K281" s="37">
        <f t="shared" si="55"/>
        <v>0</v>
      </c>
      <c r="L281" s="38">
        <v>0</v>
      </c>
    </row>
    <row r="282" spans="1:12" s="39" customFormat="1" ht="15.45" customHeight="1" outlineLevel="1" x14ac:dyDescent="0.25">
      <c r="A282" s="33">
        <v>22</v>
      </c>
      <c r="B282" s="34" t="s">
        <v>45</v>
      </c>
      <c r="C282" s="35" t="s">
        <v>30</v>
      </c>
      <c r="D282" s="36">
        <v>0.30599999999999999</v>
      </c>
      <c r="E282" s="36">
        <v>1325.1</v>
      </c>
      <c r="F282" s="36">
        <f t="shared" si="51"/>
        <v>405.48059999999998</v>
      </c>
      <c r="G282" s="37">
        <f t="shared" si="52"/>
        <v>0</v>
      </c>
      <c r="H282" s="38">
        <f t="shared" si="53"/>
        <v>0</v>
      </c>
      <c r="I282" s="37">
        <f t="shared" si="54"/>
        <v>0</v>
      </c>
      <c r="J282" s="38">
        <v>0</v>
      </c>
      <c r="K282" s="37">
        <f t="shared" si="55"/>
        <v>0</v>
      </c>
      <c r="L282" s="38">
        <v>0</v>
      </c>
    </row>
    <row r="283" spans="1:12" s="39" customFormat="1" ht="15.45" customHeight="1" outlineLevel="1" x14ac:dyDescent="0.25">
      <c r="A283" s="33">
        <v>23</v>
      </c>
      <c r="B283" s="34" t="s">
        <v>46</v>
      </c>
      <c r="C283" s="35" t="s">
        <v>30</v>
      </c>
      <c r="D283" s="36">
        <v>0.66900000000000004</v>
      </c>
      <c r="E283" s="36">
        <v>1200.0999999999999</v>
      </c>
      <c r="F283" s="36">
        <f t="shared" si="51"/>
        <v>802.86689999999999</v>
      </c>
      <c r="G283" s="37">
        <f t="shared" si="52"/>
        <v>0</v>
      </c>
      <c r="H283" s="38">
        <f t="shared" si="53"/>
        <v>0</v>
      </c>
      <c r="I283" s="37">
        <f t="shared" si="54"/>
        <v>0</v>
      </c>
      <c r="J283" s="38">
        <v>0</v>
      </c>
      <c r="K283" s="37">
        <f t="shared" si="55"/>
        <v>0</v>
      </c>
      <c r="L283" s="38">
        <v>0</v>
      </c>
    </row>
    <row r="284" spans="1:12" s="39" customFormat="1" ht="15.45" customHeight="1" outlineLevel="1" x14ac:dyDescent="0.25">
      <c r="A284" s="33">
        <v>24</v>
      </c>
      <c r="B284" s="34" t="s">
        <v>248</v>
      </c>
      <c r="C284" s="35" t="s">
        <v>42</v>
      </c>
      <c r="D284" s="36">
        <v>21.93</v>
      </c>
      <c r="E284" s="36">
        <v>204.1</v>
      </c>
      <c r="F284" s="36">
        <f t="shared" si="51"/>
        <v>4475.9129999999996</v>
      </c>
      <c r="G284" s="37">
        <f t="shared" si="52"/>
        <v>0</v>
      </c>
      <c r="H284" s="38">
        <f t="shared" si="53"/>
        <v>0</v>
      </c>
      <c r="I284" s="37">
        <f t="shared" si="54"/>
        <v>0</v>
      </c>
      <c r="J284" s="38">
        <v>0</v>
      </c>
      <c r="K284" s="37">
        <f t="shared" si="55"/>
        <v>0</v>
      </c>
      <c r="L284" s="38">
        <v>0</v>
      </c>
    </row>
    <row r="285" spans="1:12" s="39" customFormat="1" ht="15.45" customHeight="1" outlineLevel="1" x14ac:dyDescent="0.25">
      <c r="A285" s="33">
        <v>25</v>
      </c>
      <c r="B285" s="34" t="s">
        <v>45</v>
      </c>
      <c r="C285" s="35" t="s">
        <v>30</v>
      </c>
      <c r="D285" s="36">
        <v>0.79800000000000004</v>
      </c>
      <c r="E285" s="36">
        <v>1325.1</v>
      </c>
      <c r="F285" s="36">
        <f t="shared" si="51"/>
        <v>1057.4297999999999</v>
      </c>
      <c r="G285" s="37">
        <f t="shared" si="52"/>
        <v>0</v>
      </c>
      <c r="H285" s="38">
        <f t="shared" si="53"/>
        <v>0</v>
      </c>
      <c r="I285" s="37">
        <f t="shared" si="54"/>
        <v>0</v>
      </c>
      <c r="J285" s="38">
        <v>0</v>
      </c>
      <c r="K285" s="37">
        <f t="shared" si="55"/>
        <v>0</v>
      </c>
      <c r="L285" s="38">
        <v>0</v>
      </c>
    </row>
    <row r="286" spans="1:12" s="39" customFormat="1" ht="15.45" customHeight="1" outlineLevel="1" x14ac:dyDescent="0.25">
      <c r="A286" s="33">
        <v>26</v>
      </c>
      <c r="B286" s="34" t="s">
        <v>46</v>
      </c>
      <c r="C286" s="35" t="s">
        <v>30</v>
      </c>
      <c r="D286" s="36">
        <v>0.74399999999999999</v>
      </c>
      <c r="E286" s="36">
        <v>1200.0999999999999</v>
      </c>
      <c r="F286" s="36">
        <f t="shared" si="51"/>
        <v>892.87439999999992</v>
      </c>
      <c r="G286" s="37">
        <f t="shared" si="52"/>
        <v>0</v>
      </c>
      <c r="H286" s="38">
        <f t="shared" si="53"/>
        <v>0</v>
      </c>
      <c r="I286" s="37">
        <f t="shared" si="54"/>
        <v>0</v>
      </c>
      <c r="J286" s="38">
        <v>0</v>
      </c>
      <c r="K286" s="37">
        <f t="shared" si="55"/>
        <v>0</v>
      </c>
      <c r="L286" s="38">
        <v>0</v>
      </c>
    </row>
    <row r="287" spans="1:12" s="39" customFormat="1" ht="15.45" customHeight="1" outlineLevel="1" x14ac:dyDescent="0.25">
      <c r="A287" s="31" t="s">
        <v>253</v>
      </c>
      <c r="B287" s="40" t="s">
        <v>254</v>
      </c>
      <c r="C287" s="41">
        <v>0</v>
      </c>
      <c r="D287" s="42"/>
      <c r="E287" s="42"/>
      <c r="F287" s="42"/>
      <c r="G287" s="43"/>
      <c r="H287" s="44"/>
      <c r="I287" s="43"/>
      <c r="J287" s="44"/>
      <c r="K287" s="43"/>
      <c r="L287" s="44">
        <v>0</v>
      </c>
    </row>
    <row r="288" spans="1:12" s="39" customFormat="1" ht="28.95" customHeight="1" outlineLevel="1" x14ac:dyDescent="0.25">
      <c r="A288" s="33">
        <v>1</v>
      </c>
      <c r="B288" s="34" t="s">
        <v>255</v>
      </c>
      <c r="C288" s="35" t="s">
        <v>28</v>
      </c>
      <c r="D288" s="36">
        <v>628.29999999999995</v>
      </c>
      <c r="E288" s="36">
        <v>41.92</v>
      </c>
      <c r="F288" s="36">
        <f t="shared" ref="F288:F294" si="56">+E288*D288</f>
        <v>26338.335999999999</v>
      </c>
      <c r="G288" s="37">
        <f t="shared" ref="G288:H294" si="57">I288+K288</f>
        <v>0</v>
      </c>
      <c r="H288" s="38">
        <f t="shared" si="57"/>
        <v>0</v>
      </c>
      <c r="I288" s="37">
        <f t="shared" ref="I288:I294" si="58">J288/F288</f>
        <v>0</v>
      </c>
      <c r="J288" s="38">
        <v>0</v>
      </c>
      <c r="K288" s="37">
        <f t="shared" ref="K288:K294" si="59">L288/F288</f>
        <v>0</v>
      </c>
      <c r="L288" s="38">
        <v>0</v>
      </c>
    </row>
    <row r="289" spans="1:12" s="39" customFormat="1" ht="43.5" customHeight="1" outlineLevel="1" x14ac:dyDescent="0.25">
      <c r="A289" s="33">
        <v>2</v>
      </c>
      <c r="B289" s="34" t="s">
        <v>256</v>
      </c>
      <c r="C289" s="35" t="s">
        <v>28</v>
      </c>
      <c r="D289" s="36">
        <v>223</v>
      </c>
      <c r="E289" s="36">
        <v>41.92</v>
      </c>
      <c r="F289" s="36">
        <f t="shared" si="56"/>
        <v>9348.16</v>
      </c>
      <c r="G289" s="37">
        <f t="shared" si="57"/>
        <v>0</v>
      </c>
      <c r="H289" s="38">
        <f t="shared" si="57"/>
        <v>0</v>
      </c>
      <c r="I289" s="37">
        <f t="shared" si="58"/>
        <v>0</v>
      </c>
      <c r="J289" s="38">
        <v>0</v>
      </c>
      <c r="K289" s="37">
        <f t="shared" si="59"/>
        <v>0</v>
      </c>
      <c r="L289" s="38">
        <v>0</v>
      </c>
    </row>
    <row r="290" spans="1:12" s="39" customFormat="1" ht="43.5" customHeight="1" outlineLevel="1" x14ac:dyDescent="0.25">
      <c r="A290" s="33">
        <v>3</v>
      </c>
      <c r="B290" s="34" t="s">
        <v>257</v>
      </c>
      <c r="C290" s="35" t="s">
        <v>28</v>
      </c>
      <c r="D290" s="36">
        <v>551</v>
      </c>
      <c r="E290" s="36">
        <v>41.92</v>
      </c>
      <c r="F290" s="36">
        <f t="shared" si="56"/>
        <v>23097.920000000002</v>
      </c>
      <c r="G290" s="37">
        <f t="shared" si="57"/>
        <v>0</v>
      </c>
      <c r="H290" s="38">
        <f t="shared" si="57"/>
        <v>0</v>
      </c>
      <c r="I290" s="37">
        <f t="shared" si="58"/>
        <v>0</v>
      </c>
      <c r="J290" s="38">
        <v>0</v>
      </c>
      <c r="K290" s="37">
        <f t="shared" si="59"/>
        <v>0</v>
      </c>
      <c r="L290" s="38">
        <v>0</v>
      </c>
    </row>
    <row r="291" spans="1:12" s="39" customFormat="1" ht="28.95" customHeight="1" outlineLevel="1" x14ac:dyDescent="0.25">
      <c r="A291" s="33">
        <v>4</v>
      </c>
      <c r="B291" s="34" t="s">
        <v>258</v>
      </c>
      <c r="C291" s="35" t="s">
        <v>42</v>
      </c>
      <c r="D291" s="36">
        <v>240.34</v>
      </c>
      <c r="E291" s="36">
        <v>183.7</v>
      </c>
      <c r="F291" s="36">
        <f t="shared" si="56"/>
        <v>44150.457999999999</v>
      </c>
      <c r="G291" s="37">
        <f t="shared" si="57"/>
        <v>0</v>
      </c>
      <c r="H291" s="38">
        <f t="shared" si="57"/>
        <v>0</v>
      </c>
      <c r="I291" s="37">
        <f t="shared" si="58"/>
        <v>0</v>
      </c>
      <c r="J291" s="38">
        <v>0</v>
      </c>
      <c r="K291" s="37">
        <f t="shared" si="59"/>
        <v>0</v>
      </c>
      <c r="L291" s="38">
        <v>0</v>
      </c>
    </row>
    <row r="292" spans="1:12" s="39" customFormat="1" ht="15.45" customHeight="1" outlineLevel="1" x14ac:dyDescent="0.25">
      <c r="A292" s="33">
        <v>5</v>
      </c>
      <c r="B292" s="34" t="s">
        <v>259</v>
      </c>
      <c r="C292" s="35" t="s">
        <v>30</v>
      </c>
      <c r="D292" s="36">
        <v>0.28199999999999997</v>
      </c>
      <c r="E292" s="36">
        <v>2150</v>
      </c>
      <c r="F292" s="36">
        <f t="shared" si="56"/>
        <v>606.29999999999995</v>
      </c>
      <c r="G292" s="37">
        <f t="shared" si="57"/>
        <v>0</v>
      </c>
      <c r="H292" s="38">
        <f t="shared" si="57"/>
        <v>0</v>
      </c>
      <c r="I292" s="37">
        <f t="shared" si="58"/>
        <v>0</v>
      </c>
      <c r="J292" s="38">
        <v>0</v>
      </c>
      <c r="K292" s="37">
        <f t="shared" si="59"/>
        <v>0</v>
      </c>
      <c r="L292" s="38">
        <v>0</v>
      </c>
    </row>
    <row r="293" spans="1:12" s="39" customFormat="1" ht="28.95" customHeight="1" outlineLevel="1" x14ac:dyDescent="0.25">
      <c r="A293" s="33">
        <v>6</v>
      </c>
      <c r="B293" s="34" t="s">
        <v>260</v>
      </c>
      <c r="C293" s="35" t="s">
        <v>28</v>
      </c>
      <c r="D293" s="36">
        <v>196.8</v>
      </c>
      <c r="E293" s="36">
        <v>28.66</v>
      </c>
      <c r="F293" s="36">
        <f t="shared" si="56"/>
        <v>5640.2880000000005</v>
      </c>
      <c r="G293" s="37">
        <f t="shared" si="57"/>
        <v>0</v>
      </c>
      <c r="H293" s="38">
        <f t="shared" si="57"/>
        <v>0</v>
      </c>
      <c r="I293" s="37">
        <f t="shared" si="58"/>
        <v>0</v>
      </c>
      <c r="J293" s="38">
        <v>0</v>
      </c>
      <c r="K293" s="37">
        <f t="shared" si="59"/>
        <v>0</v>
      </c>
      <c r="L293" s="38">
        <v>0</v>
      </c>
    </row>
    <row r="294" spans="1:12" s="39" customFormat="1" ht="15.45" customHeight="1" outlineLevel="1" x14ac:dyDescent="0.25">
      <c r="A294" s="33">
        <v>7</v>
      </c>
      <c r="B294" s="34" t="s">
        <v>261</v>
      </c>
      <c r="C294" s="35" t="s">
        <v>30</v>
      </c>
      <c r="D294" s="36">
        <v>0.32400000000000001</v>
      </c>
      <c r="E294" s="36">
        <v>2994.7689999999998</v>
      </c>
      <c r="F294" s="36">
        <f t="shared" si="56"/>
        <v>970.30515600000001</v>
      </c>
      <c r="G294" s="37">
        <f t="shared" si="57"/>
        <v>0</v>
      </c>
      <c r="H294" s="38">
        <f t="shared" si="57"/>
        <v>0</v>
      </c>
      <c r="I294" s="37">
        <f t="shared" si="58"/>
        <v>0</v>
      </c>
      <c r="J294" s="38">
        <v>0</v>
      </c>
      <c r="K294" s="37">
        <f t="shared" si="59"/>
        <v>0</v>
      </c>
      <c r="L294" s="38">
        <v>0</v>
      </c>
    </row>
    <row r="295" spans="1:12" s="39" customFormat="1" ht="15.45" customHeight="1" outlineLevel="1" x14ac:dyDescent="0.25">
      <c r="A295" s="31" t="s">
        <v>262</v>
      </c>
      <c r="B295" s="40" t="s">
        <v>263</v>
      </c>
      <c r="C295" s="41">
        <v>0</v>
      </c>
      <c r="D295" s="42"/>
      <c r="E295" s="42"/>
      <c r="F295" s="42"/>
      <c r="G295" s="43"/>
      <c r="H295" s="44"/>
      <c r="I295" s="43"/>
      <c r="J295" s="44"/>
      <c r="K295" s="43"/>
      <c r="L295" s="44">
        <v>0</v>
      </c>
    </row>
    <row r="296" spans="1:12" s="39" customFormat="1" ht="15.45" customHeight="1" outlineLevel="1" x14ac:dyDescent="0.25">
      <c r="A296" s="33">
        <v>1</v>
      </c>
      <c r="B296" s="34" t="s">
        <v>264</v>
      </c>
      <c r="C296" s="35" t="s">
        <v>28</v>
      </c>
      <c r="D296" s="36">
        <v>23.1</v>
      </c>
      <c r="E296" s="36">
        <v>178.6</v>
      </c>
      <c r="F296" s="36">
        <f t="shared" ref="F296:F310" si="60">+E296*D296</f>
        <v>4125.66</v>
      </c>
      <c r="G296" s="37">
        <f t="shared" ref="G296:G310" si="61">I296+K296</f>
        <v>0</v>
      </c>
      <c r="H296" s="38">
        <f t="shared" ref="H296:H310" si="62">J296+L296</f>
        <v>0</v>
      </c>
      <c r="I296" s="37">
        <f t="shared" ref="I296:I310" si="63">J296/F296</f>
        <v>0</v>
      </c>
      <c r="J296" s="38">
        <v>0</v>
      </c>
      <c r="K296" s="37">
        <f t="shared" ref="K296:K310" si="64">L296/F296</f>
        <v>0</v>
      </c>
      <c r="L296" s="38">
        <v>0</v>
      </c>
    </row>
    <row r="297" spans="1:12" s="39" customFormat="1" ht="28.95" customHeight="1" outlineLevel="1" x14ac:dyDescent="0.25">
      <c r="A297" s="33">
        <v>2</v>
      </c>
      <c r="B297" s="34" t="s">
        <v>265</v>
      </c>
      <c r="C297" s="35" t="s">
        <v>106</v>
      </c>
      <c r="D297" s="36">
        <v>41.79</v>
      </c>
      <c r="E297" s="36">
        <v>163.30000000000001</v>
      </c>
      <c r="F297" s="36">
        <f t="shared" si="60"/>
        <v>6824.3070000000007</v>
      </c>
      <c r="G297" s="37">
        <f t="shared" si="61"/>
        <v>0</v>
      </c>
      <c r="H297" s="38">
        <f t="shared" si="62"/>
        <v>0</v>
      </c>
      <c r="I297" s="37">
        <f t="shared" si="63"/>
        <v>0</v>
      </c>
      <c r="J297" s="38">
        <v>0</v>
      </c>
      <c r="K297" s="37">
        <f t="shared" si="64"/>
        <v>0</v>
      </c>
      <c r="L297" s="38">
        <v>0</v>
      </c>
    </row>
    <row r="298" spans="1:12" s="39" customFormat="1" ht="28.95" customHeight="1" outlineLevel="1" x14ac:dyDescent="0.25">
      <c r="A298" s="33">
        <v>3</v>
      </c>
      <c r="B298" s="34" t="s">
        <v>266</v>
      </c>
      <c r="C298" s="35" t="s">
        <v>106</v>
      </c>
      <c r="D298" s="36">
        <v>71.19</v>
      </c>
      <c r="E298" s="36">
        <v>204.1</v>
      </c>
      <c r="F298" s="36">
        <f t="shared" si="60"/>
        <v>14529.878999999999</v>
      </c>
      <c r="G298" s="37">
        <f t="shared" si="61"/>
        <v>0</v>
      </c>
      <c r="H298" s="38">
        <f t="shared" si="62"/>
        <v>0</v>
      </c>
      <c r="I298" s="37">
        <f t="shared" si="63"/>
        <v>0</v>
      </c>
      <c r="J298" s="38">
        <v>0</v>
      </c>
      <c r="K298" s="37">
        <f t="shared" si="64"/>
        <v>0</v>
      </c>
      <c r="L298" s="38">
        <v>0</v>
      </c>
    </row>
    <row r="299" spans="1:12" s="39" customFormat="1" ht="28.95" customHeight="1" outlineLevel="1" x14ac:dyDescent="0.25">
      <c r="A299" s="33">
        <v>4</v>
      </c>
      <c r="B299" s="34" t="s">
        <v>267</v>
      </c>
      <c r="C299" s="35" t="s">
        <v>106</v>
      </c>
      <c r="D299" s="36">
        <v>15.54</v>
      </c>
      <c r="E299" s="36">
        <v>204.1</v>
      </c>
      <c r="F299" s="36">
        <f t="shared" si="60"/>
        <v>3171.7139999999999</v>
      </c>
      <c r="G299" s="37">
        <f t="shared" si="61"/>
        <v>0</v>
      </c>
      <c r="H299" s="38">
        <f t="shared" si="62"/>
        <v>0</v>
      </c>
      <c r="I299" s="37">
        <f t="shared" si="63"/>
        <v>0</v>
      </c>
      <c r="J299" s="38">
        <v>0</v>
      </c>
      <c r="K299" s="37">
        <f t="shared" si="64"/>
        <v>0</v>
      </c>
      <c r="L299" s="38">
        <v>0</v>
      </c>
    </row>
    <row r="300" spans="1:12" s="39" customFormat="1" ht="28.95" customHeight="1" outlineLevel="1" x14ac:dyDescent="0.25">
      <c r="A300" s="33">
        <v>5</v>
      </c>
      <c r="B300" s="34" t="s">
        <v>268</v>
      </c>
      <c r="C300" s="35" t="s">
        <v>106</v>
      </c>
      <c r="D300" s="36">
        <v>72</v>
      </c>
      <c r="E300" s="36">
        <v>163.30000000000001</v>
      </c>
      <c r="F300" s="36">
        <f t="shared" si="60"/>
        <v>11757.6</v>
      </c>
      <c r="G300" s="37">
        <f t="shared" si="61"/>
        <v>0</v>
      </c>
      <c r="H300" s="38">
        <f t="shared" si="62"/>
        <v>0</v>
      </c>
      <c r="I300" s="37">
        <f t="shared" si="63"/>
        <v>0</v>
      </c>
      <c r="J300" s="38">
        <v>0</v>
      </c>
      <c r="K300" s="37">
        <f t="shared" si="64"/>
        <v>0</v>
      </c>
      <c r="L300" s="38">
        <v>0</v>
      </c>
    </row>
    <row r="301" spans="1:12" s="39" customFormat="1" ht="28.95" customHeight="1" outlineLevel="1" x14ac:dyDescent="0.25">
      <c r="A301" s="33">
        <v>6</v>
      </c>
      <c r="B301" s="34" t="s">
        <v>269</v>
      </c>
      <c r="C301" s="35" t="s">
        <v>30</v>
      </c>
      <c r="D301" s="36">
        <v>2.27</v>
      </c>
      <c r="E301" s="36">
        <v>11220.1</v>
      </c>
      <c r="F301" s="36">
        <f t="shared" si="60"/>
        <v>25469.627</v>
      </c>
      <c r="G301" s="37">
        <f t="shared" si="61"/>
        <v>0</v>
      </c>
      <c r="H301" s="38">
        <f t="shared" si="62"/>
        <v>0</v>
      </c>
      <c r="I301" s="37">
        <f t="shared" si="63"/>
        <v>0</v>
      </c>
      <c r="J301" s="38">
        <v>0</v>
      </c>
      <c r="K301" s="37">
        <f t="shared" si="64"/>
        <v>0</v>
      </c>
      <c r="L301" s="38">
        <v>0</v>
      </c>
    </row>
    <row r="302" spans="1:12" s="45" customFormat="1" ht="15.45" customHeight="1" x14ac:dyDescent="0.3">
      <c r="A302" s="33">
        <v>7</v>
      </c>
      <c r="B302" s="34" t="s">
        <v>270</v>
      </c>
      <c r="C302" s="35" t="s">
        <v>106</v>
      </c>
      <c r="D302" s="36">
        <v>252</v>
      </c>
      <c r="E302" s="36">
        <v>35.900000000000013</v>
      </c>
      <c r="F302" s="36">
        <f t="shared" si="60"/>
        <v>9046.8000000000029</v>
      </c>
      <c r="G302" s="37">
        <f t="shared" si="61"/>
        <v>0</v>
      </c>
      <c r="H302" s="38">
        <f t="shared" si="62"/>
        <v>0</v>
      </c>
      <c r="I302" s="37">
        <f t="shared" si="63"/>
        <v>0</v>
      </c>
      <c r="J302" s="38">
        <v>0</v>
      </c>
      <c r="K302" s="37">
        <f t="shared" si="64"/>
        <v>0</v>
      </c>
      <c r="L302" s="38">
        <v>0</v>
      </c>
    </row>
    <row r="303" spans="1:12" s="39" customFormat="1" ht="43.5" customHeight="1" outlineLevel="1" x14ac:dyDescent="0.25">
      <c r="A303" s="33">
        <v>8</v>
      </c>
      <c r="B303" s="34" t="s">
        <v>271</v>
      </c>
      <c r="C303" s="35" t="s">
        <v>106</v>
      </c>
      <c r="D303" s="36">
        <v>2.88</v>
      </c>
      <c r="E303" s="36">
        <v>193.9</v>
      </c>
      <c r="F303" s="36">
        <f t="shared" si="60"/>
        <v>558.43200000000002</v>
      </c>
      <c r="G303" s="37">
        <f t="shared" si="61"/>
        <v>0</v>
      </c>
      <c r="H303" s="38">
        <f t="shared" si="62"/>
        <v>0</v>
      </c>
      <c r="I303" s="37">
        <f t="shared" si="63"/>
        <v>0</v>
      </c>
      <c r="J303" s="38">
        <v>0</v>
      </c>
      <c r="K303" s="37">
        <f t="shared" si="64"/>
        <v>0</v>
      </c>
      <c r="L303" s="38">
        <v>0</v>
      </c>
    </row>
    <row r="304" spans="1:12" s="39" customFormat="1" ht="28.95" customHeight="1" outlineLevel="1" x14ac:dyDescent="0.25">
      <c r="A304" s="33">
        <v>9</v>
      </c>
      <c r="B304" s="34" t="s">
        <v>272</v>
      </c>
      <c r="C304" s="35" t="s">
        <v>30</v>
      </c>
      <c r="D304" s="36">
        <v>0.42899999999999999</v>
      </c>
      <c r="E304" s="36">
        <v>9486.1</v>
      </c>
      <c r="F304" s="36">
        <f t="shared" si="60"/>
        <v>4069.5369000000001</v>
      </c>
      <c r="G304" s="37">
        <f t="shared" si="61"/>
        <v>0</v>
      </c>
      <c r="H304" s="38">
        <f t="shared" si="62"/>
        <v>0</v>
      </c>
      <c r="I304" s="37">
        <f t="shared" si="63"/>
        <v>0</v>
      </c>
      <c r="J304" s="38">
        <v>0</v>
      </c>
      <c r="K304" s="37">
        <f t="shared" si="64"/>
        <v>0</v>
      </c>
      <c r="L304" s="38">
        <v>0</v>
      </c>
    </row>
    <row r="305" spans="1:12" s="39" customFormat="1" ht="15.45" customHeight="1" outlineLevel="1" x14ac:dyDescent="0.25">
      <c r="A305" s="33">
        <v>10</v>
      </c>
      <c r="B305" s="34" t="s">
        <v>270</v>
      </c>
      <c r="C305" s="35" t="s">
        <v>106</v>
      </c>
      <c r="D305" s="36">
        <v>39</v>
      </c>
      <c r="E305" s="36">
        <v>35.900000000000013</v>
      </c>
      <c r="F305" s="36">
        <f t="shared" si="60"/>
        <v>1400.1000000000006</v>
      </c>
      <c r="G305" s="37">
        <f t="shared" si="61"/>
        <v>0</v>
      </c>
      <c r="H305" s="38">
        <f t="shared" si="62"/>
        <v>0</v>
      </c>
      <c r="I305" s="37">
        <f t="shared" si="63"/>
        <v>0</v>
      </c>
      <c r="J305" s="38">
        <v>0</v>
      </c>
      <c r="K305" s="37">
        <f t="shared" si="64"/>
        <v>0</v>
      </c>
      <c r="L305" s="38">
        <v>0</v>
      </c>
    </row>
    <row r="306" spans="1:12" s="39" customFormat="1" ht="15.45" customHeight="1" outlineLevel="1" x14ac:dyDescent="0.25">
      <c r="A306" s="33">
        <v>11</v>
      </c>
      <c r="B306" s="34" t="s">
        <v>273</v>
      </c>
      <c r="C306" s="35" t="s">
        <v>106</v>
      </c>
      <c r="D306" s="36">
        <v>37.520000000000003</v>
      </c>
      <c r="E306" s="36">
        <v>102.1</v>
      </c>
      <c r="F306" s="36">
        <f t="shared" si="60"/>
        <v>3830.7919999999999</v>
      </c>
      <c r="G306" s="37">
        <f t="shared" si="61"/>
        <v>0</v>
      </c>
      <c r="H306" s="38">
        <f t="shared" si="62"/>
        <v>0</v>
      </c>
      <c r="I306" s="37">
        <f t="shared" si="63"/>
        <v>0</v>
      </c>
      <c r="J306" s="38">
        <v>0</v>
      </c>
      <c r="K306" s="37">
        <f t="shared" si="64"/>
        <v>0</v>
      </c>
      <c r="L306" s="38">
        <v>0</v>
      </c>
    </row>
    <row r="307" spans="1:12" s="39" customFormat="1" ht="15.45" customHeight="1" outlineLevel="1" x14ac:dyDescent="0.25">
      <c r="A307" s="33">
        <v>12</v>
      </c>
      <c r="B307" s="34" t="s">
        <v>274</v>
      </c>
      <c r="C307" s="35" t="s">
        <v>55</v>
      </c>
      <c r="D307" s="36">
        <v>46</v>
      </c>
      <c r="E307" s="36">
        <v>40.9</v>
      </c>
      <c r="F307" s="36">
        <f t="shared" si="60"/>
        <v>1881.3999999999999</v>
      </c>
      <c r="G307" s="37">
        <f t="shared" si="61"/>
        <v>0</v>
      </c>
      <c r="H307" s="38">
        <f t="shared" si="62"/>
        <v>0</v>
      </c>
      <c r="I307" s="37">
        <f t="shared" si="63"/>
        <v>0</v>
      </c>
      <c r="J307" s="38">
        <v>0</v>
      </c>
      <c r="K307" s="37">
        <f t="shared" si="64"/>
        <v>0</v>
      </c>
      <c r="L307" s="38">
        <v>0</v>
      </c>
    </row>
    <row r="308" spans="1:12" s="39" customFormat="1" ht="15.45" customHeight="1" outlineLevel="1" x14ac:dyDescent="0.25">
      <c r="A308" s="33">
        <v>13</v>
      </c>
      <c r="B308" s="34" t="s">
        <v>275</v>
      </c>
      <c r="C308" s="35" t="s">
        <v>66</v>
      </c>
      <c r="D308" s="36">
        <v>0.20899999999999999</v>
      </c>
      <c r="E308" s="36">
        <v>343.86274600000007</v>
      </c>
      <c r="F308" s="36">
        <f t="shared" si="60"/>
        <v>71.867313914000007</v>
      </c>
      <c r="G308" s="37">
        <f t="shared" si="61"/>
        <v>0</v>
      </c>
      <c r="H308" s="38">
        <f t="shared" si="62"/>
        <v>0</v>
      </c>
      <c r="I308" s="37">
        <f t="shared" si="63"/>
        <v>0</v>
      </c>
      <c r="J308" s="38">
        <v>0</v>
      </c>
      <c r="K308" s="37">
        <f t="shared" si="64"/>
        <v>0</v>
      </c>
      <c r="L308" s="38">
        <v>0</v>
      </c>
    </row>
    <row r="309" spans="1:12" s="39" customFormat="1" ht="15.45" customHeight="1" outlineLevel="1" x14ac:dyDescent="0.25">
      <c r="A309" s="33">
        <v>14</v>
      </c>
      <c r="B309" s="34" t="s">
        <v>45</v>
      </c>
      <c r="C309" s="35" t="s">
        <v>30</v>
      </c>
      <c r="D309" s="36">
        <v>8.9999999999999993E-3</v>
      </c>
      <c r="E309" s="36">
        <v>1325.1</v>
      </c>
      <c r="F309" s="36">
        <f t="shared" si="60"/>
        <v>11.925899999999999</v>
      </c>
      <c r="G309" s="37">
        <f t="shared" si="61"/>
        <v>0</v>
      </c>
      <c r="H309" s="38">
        <f t="shared" si="62"/>
        <v>0</v>
      </c>
      <c r="I309" s="37">
        <f t="shared" si="63"/>
        <v>0</v>
      </c>
      <c r="J309" s="38">
        <v>0</v>
      </c>
      <c r="K309" s="37">
        <f t="shared" si="64"/>
        <v>0</v>
      </c>
      <c r="L309" s="38">
        <v>0</v>
      </c>
    </row>
    <row r="310" spans="1:12" s="39" customFormat="1" ht="15.45" customHeight="1" outlineLevel="1" x14ac:dyDescent="0.25">
      <c r="A310" s="33">
        <v>15</v>
      </c>
      <c r="B310" s="34" t="s">
        <v>46</v>
      </c>
      <c r="C310" s="35" t="s">
        <v>30</v>
      </c>
      <c r="D310" s="36">
        <v>4.8000000000000001E-2</v>
      </c>
      <c r="E310" s="36">
        <v>1200.0999999999999</v>
      </c>
      <c r="F310" s="36">
        <f t="shared" si="60"/>
        <v>57.604799999999997</v>
      </c>
      <c r="G310" s="37">
        <f t="shared" si="61"/>
        <v>0</v>
      </c>
      <c r="H310" s="38">
        <f t="shared" si="62"/>
        <v>0</v>
      </c>
      <c r="I310" s="37">
        <f t="shared" si="63"/>
        <v>0</v>
      </c>
      <c r="J310" s="38">
        <v>0</v>
      </c>
      <c r="K310" s="37">
        <f t="shared" si="64"/>
        <v>0</v>
      </c>
      <c r="L310" s="38">
        <v>0</v>
      </c>
    </row>
    <row r="311" spans="1:12" s="39" customFormat="1" ht="15.45" customHeight="1" outlineLevel="1" x14ac:dyDescent="0.25">
      <c r="A311" s="31" t="s">
        <v>31</v>
      </c>
      <c r="B311" s="40" t="s">
        <v>32</v>
      </c>
      <c r="C311" s="41">
        <v>0</v>
      </c>
      <c r="D311" s="42"/>
      <c r="E311" s="42"/>
      <c r="F311" s="42"/>
      <c r="G311" s="43"/>
      <c r="H311" s="44"/>
      <c r="I311" s="43"/>
      <c r="J311" s="44"/>
      <c r="K311" s="43"/>
      <c r="L311" s="44">
        <v>0</v>
      </c>
    </row>
    <row r="312" spans="1:12" s="39" customFormat="1" ht="15.45" customHeight="1" outlineLevel="1" x14ac:dyDescent="0.25">
      <c r="A312" s="33">
        <v>1</v>
      </c>
      <c r="B312" s="34" t="s">
        <v>276</v>
      </c>
      <c r="C312" s="35" t="s">
        <v>28</v>
      </c>
      <c r="D312" s="36">
        <v>1344</v>
      </c>
      <c r="E312" s="36">
        <v>15.4</v>
      </c>
      <c r="F312" s="36">
        <f t="shared" ref="F312:F343" si="65">+E312*D312</f>
        <v>20697.600000000002</v>
      </c>
      <c r="G312" s="37">
        <f t="shared" ref="G312:G343" si="66">I312+K312</f>
        <v>0</v>
      </c>
      <c r="H312" s="38">
        <f t="shared" ref="H312:H343" si="67">J312+L312</f>
        <v>0</v>
      </c>
      <c r="I312" s="37">
        <f t="shared" ref="I312:I343" si="68">J312/F312</f>
        <v>0</v>
      </c>
      <c r="J312" s="38">
        <v>0</v>
      </c>
      <c r="K312" s="37">
        <f t="shared" ref="K312:K343" si="69">L312/F312</f>
        <v>0</v>
      </c>
      <c r="L312" s="38">
        <v>0</v>
      </c>
    </row>
    <row r="313" spans="1:12" s="39" customFormat="1" ht="15.45" customHeight="1" outlineLevel="1" x14ac:dyDescent="0.25">
      <c r="A313" s="33">
        <v>3</v>
      </c>
      <c r="B313" s="34" t="s">
        <v>277</v>
      </c>
      <c r="C313" s="35" t="s">
        <v>42</v>
      </c>
      <c r="D313" s="36">
        <v>1.5329999999999999</v>
      </c>
      <c r="E313" s="36">
        <v>125.6926</v>
      </c>
      <c r="F313" s="36">
        <f t="shared" si="65"/>
        <v>192.68675579999999</v>
      </c>
      <c r="G313" s="37">
        <f t="shared" si="66"/>
        <v>0</v>
      </c>
      <c r="H313" s="38">
        <f t="shared" si="67"/>
        <v>0</v>
      </c>
      <c r="I313" s="37">
        <f t="shared" si="68"/>
        <v>0</v>
      </c>
      <c r="J313" s="38">
        <v>0</v>
      </c>
      <c r="K313" s="37">
        <f t="shared" si="69"/>
        <v>0</v>
      </c>
      <c r="L313" s="38">
        <v>0</v>
      </c>
    </row>
    <row r="314" spans="1:12" s="39" customFormat="1" ht="28.95" customHeight="1" outlineLevel="1" x14ac:dyDescent="0.25">
      <c r="A314" s="33">
        <v>4</v>
      </c>
      <c r="B314" s="34" t="s">
        <v>237</v>
      </c>
      <c r="C314" s="35" t="s">
        <v>30</v>
      </c>
      <c r="D314" s="36">
        <v>5.8999999999999997E-2</v>
      </c>
      <c r="E314" s="36">
        <v>447.25</v>
      </c>
      <c r="F314" s="36">
        <f t="shared" si="65"/>
        <v>26.387749999999997</v>
      </c>
      <c r="G314" s="37">
        <f t="shared" si="66"/>
        <v>0</v>
      </c>
      <c r="H314" s="38">
        <f t="shared" si="67"/>
        <v>0</v>
      </c>
      <c r="I314" s="37">
        <f t="shared" si="68"/>
        <v>0</v>
      </c>
      <c r="J314" s="38">
        <v>0</v>
      </c>
      <c r="K314" s="37">
        <f t="shared" si="69"/>
        <v>0</v>
      </c>
      <c r="L314" s="38">
        <v>0</v>
      </c>
    </row>
    <row r="315" spans="1:12" s="39" customFormat="1" ht="15.45" customHeight="1" outlineLevel="1" x14ac:dyDescent="0.25">
      <c r="A315" s="33">
        <v>5</v>
      </c>
      <c r="B315" s="34" t="s">
        <v>278</v>
      </c>
      <c r="C315" s="35" t="s">
        <v>30</v>
      </c>
      <c r="D315" s="36">
        <v>5.8999999999999997E-2</v>
      </c>
      <c r="E315" s="36">
        <v>1311.1</v>
      </c>
      <c r="F315" s="36">
        <f t="shared" si="65"/>
        <v>77.354899999999986</v>
      </c>
      <c r="G315" s="37">
        <f t="shared" si="66"/>
        <v>0</v>
      </c>
      <c r="H315" s="38">
        <f t="shared" si="67"/>
        <v>0</v>
      </c>
      <c r="I315" s="37">
        <f t="shared" si="68"/>
        <v>0</v>
      </c>
      <c r="J315" s="38">
        <v>0</v>
      </c>
      <c r="K315" s="37">
        <f t="shared" si="69"/>
        <v>0</v>
      </c>
      <c r="L315" s="38">
        <v>0</v>
      </c>
    </row>
    <row r="316" spans="1:12" s="39" customFormat="1" ht="15.45" customHeight="1" outlineLevel="1" x14ac:dyDescent="0.25">
      <c r="A316" s="33">
        <v>6</v>
      </c>
      <c r="B316" s="34" t="s">
        <v>47</v>
      </c>
      <c r="C316" s="35" t="s">
        <v>28</v>
      </c>
      <c r="D316" s="36">
        <v>43.8</v>
      </c>
      <c r="E316" s="36">
        <v>5.4732580000000004</v>
      </c>
      <c r="F316" s="36">
        <f t="shared" si="65"/>
        <v>239.72870040000001</v>
      </c>
      <c r="G316" s="37">
        <f t="shared" si="66"/>
        <v>0</v>
      </c>
      <c r="H316" s="38">
        <f t="shared" si="67"/>
        <v>0</v>
      </c>
      <c r="I316" s="37">
        <f t="shared" si="68"/>
        <v>0</v>
      </c>
      <c r="J316" s="38">
        <v>0</v>
      </c>
      <c r="K316" s="37">
        <f t="shared" si="69"/>
        <v>0</v>
      </c>
      <c r="L316" s="38">
        <v>0</v>
      </c>
    </row>
    <row r="317" spans="1:12" s="39" customFormat="1" ht="15.45" customHeight="1" outlineLevel="1" x14ac:dyDescent="0.25">
      <c r="A317" s="33">
        <v>7</v>
      </c>
      <c r="B317" s="34" t="s">
        <v>279</v>
      </c>
      <c r="C317" s="35" t="s">
        <v>28</v>
      </c>
      <c r="D317" s="36">
        <v>43.8</v>
      </c>
      <c r="E317" s="36">
        <v>1.4259999999999999</v>
      </c>
      <c r="F317" s="36">
        <f t="shared" si="65"/>
        <v>62.458799999999997</v>
      </c>
      <c r="G317" s="37">
        <f t="shared" si="66"/>
        <v>0</v>
      </c>
      <c r="H317" s="38">
        <f t="shared" si="67"/>
        <v>0</v>
      </c>
      <c r="I317" s="37">
        <f t="shared" si="68"/>
        <v>0</v>
      </c>
      <c r="J317" s="38">
        <v>0</v>
      </c>
      <c r="K317" s="37">
        <f t="shared" si="69"/>
        <v>0</v>
      </c>
      <c r="L317" s="38">
        <v>0</v>
      </c>
    </row>
    <row r="318" spans="1:12" s="39" customFormat="1" ht="28.95" customHeight="1" outlineLevel="1" x14ac:dyDescent="0.25">
      <c r="A318" s="33">
        <v>8</v>
      </c>
      <c r="B318" s="34" t="s">
        <v>280</v>
      </c>
      <c r="C318" s="35" t="s">
        <v>28</v>
      </c>
      <c r="D318" s="36">
        <v>43.8</v>
      </c>
      <c r="E318" s="36">
        <v>9.2799999999999994</v>
      </c>
      <c r="F318" s="36">
        <f t="shared" si="65"/>
        <v>406.46399999999994</v>
      </c>
      <c r="G318" s="37">
        <f t="shared" si="66"/>
        <v>0</v>
      </c>
      <c r="H318" s="38">
        <f t="shared" si="67"/>
        <v>0</v>
      </c>
      <c r="I318" s="37">
        <f t="shared" si="68"/>
        <v>0</v>
      </c>
      <c r="J318" s="38">
        <v>0</v>
      </c>
      <c r="K318" s="37">
        <f t="shared" si="69"/>
        <v>0</v>
      </c>
      <c r="L318" s="38">
        <v>0</v>
      </c>
    </row>
    <row r="319" spans="1:12" s="39" customFormat="1" ht="28.95" customHeight="1" outlineLevel="1" x14ac:dyDescent="0.25">
      <c r="A319" s="33">
        <v>9</v>
      </c>
      <c r="B319" s="34" t="s">
        <v>281</v>
      </c>
      <c r="C319" s="35" t="s">
        <v>28</v>
      </c>
      <c r="D319" s="36">
        <v>43.8</v>
      </c>
      <c r="E319" s="36">
        <v>8.26</v>
      </c>
      <c r="F319" s="36">
        <f t="shared" si="65"/>
        <v>361.78799999999995</v>
      </c>
      <c r="G319" s="37">
        <f t="shared" si="66"/>
        <v>0</v>
      </c>
      <c r="H319" s="38">
        <f t="shared" si="67"/>
        <v>0</v>
      </c>
      <c r="I319" s="37">
        <f t="shared" si="68"/>
        <v>0</v>
      </c>
      <c r="J319" s="38">
        <v>0</v>
      </c>
      <c r="K319" s="37">
        <f t="shared" si="69"/>
        <v>0</v>
      </c>
      <c r="L319" s="38">
        <v>0</v>
      </c>
    </row>
    <row r="320" spans="1:12" s="39" customFormat="1" ht="15.45" customHeight="1" outlineLevel="1" x14ac:dyDescent="0.25">
      <c r="A320" s="33">
        <v>10</v>
      </c>
      <c r="B320" s="34" t="s">
        <v>47</v>
      </c>
      <c r="C320" s="35" t="s">
        <v>28</v>
      </c>
      <c r="D320" s="36">
        <v>43.8</v>
      </c>
      <c r="E320" s="36">
        <v>5.4732580000000004</v>
      </c>
      <c r="F320" s="36">
        <f t="shared" si="65"/>
        <v>239.72870040000001</v>
      </c>
      <c r="G320" s="37">
        <f t="shared" si="66"/>
        <v>0</v>
      </c>
      <c r="H320" s="38">
        <f t="shared" si="67"/>
        <v>0</v>
      </c>
      <c r="I320" s="37">
        <f t="shared" si="68"/>
        <v>0</v>
      </c>
      <c r="J320" s="38">
        <v>0</v>
      </c>
      <c r="K320" s="37">
        <f t="shared" si="69"/>
        <v>0</v>
      </c>
      <c r="L320" s="38">
        <v>0</v>
      </c>
    </row>
    <row r="321" spans="1:12" s="39" customFormat="1" ht="15.45" customHeight="1" outlineLevel="1" x14ac:dyDescent="0.25">
      <c r="A321" s="33">
        <v>12</v>
      </c>
      <c r="B321" s="34" t="s">
        <v>282</v>
      </c>
      <c r="C321" s="35" t="s">
        <v>28</v>
      </c>
      <c r="D321" s="36">
        <v>665.3</v>
      </c>
      <c r="E321" s="36">
        <v>25.6</v>
      </c>
      <c r="F321" s="36">
        <f t="shared" si="65"/>
        <v>17031.68</v>
      </c>
      <c r="G321" s="37">
        <f t="shared" si="66"/>
        <v>0</v>
      </c>
      <c r="H321" s="38">
        <f t="shared" si="67"/>
        <v>0</v>
      </c>
      <c r="I321" s="37">
        <f t="shared" si="68"/>
        <v>0</v>
      </c>
      <c r="J321" s="38">
        <v>0</v>
      </c>
      <c r="K321" s="37">
        <f t="shared" si="69"/>
        <v>0</v>
      </c>
      <c r="L321" s="38">
        <v>0</v>
      </c>
    </row>
    <row r="322" spans="1:12" s="39" customFormat="1" ht="28.95" customHeight="1" outlineLevel="1" x14ac:dyDescent="0.25">
      <c r="A322" s="33">
        <v>14</v>
      </c>
      <c r="B322" s="34" t="s">
        <v>283</v>
      </c>
      <c r="C322" s="35" t="s">
        <v>28</v>
      </c>
      <c r="D322" s="36">
        <v>130</v>
      </c>
      <c r="E322" s="36">
        <v>5.2</v>
      </c>
      <c r="F322" s="36">
        <f t="shared" si="65"/>
        <v>676</v>
      </c>
      <c r="G322" s="37">
        <f t="shared" si="66"/>
        <v>0</v>
      </c>
      <c r="H322" s="38">
        <f t="shared" si="67"/>
        <v>0</v>
      </c>
      <c r="I322" s="37">
        <f t="shared" si="68"/>
        <v>0</v>
      </c>
      <c r="J322" s="38">
        <v>0</v>
      </c>
      <c r="K322" s="37">
        <f t="shared" si="69"/>
        <v>0</v>
      </c>
      <c r="L322" s="38">
        <v>0</v>
      </c>
    </row>
    <row r="323" spans="1:12" s="39" customFormat="1" ht="28.95" customHeight="1" outlineLevel="1" x14ac:dyDescent="0.25">
      <c r="A323" s="33">
        <v>15</v>
      </c>
      <c r="B323" s="34" t="s">
        <v>284</v>
      </c>
      <c r="C323" s="35" t="s">
        <v>28</v>
      </c>
      <c r="D323" s="36">
        <v>104</v>
      </c>
      <c r="E323" s="36">
        <v>7.0899579999999993</v>
      </c>
      <c r="F323" s="36">
        <f t="shared" si="65"/>
        <v>737.3556319999999</v>
      </c>
      <c r="G323" s="37">
        <f t="shared" si="66"/>
        <v>0</v>
      </c>
      <c r="H323" s="38">
        <f t="shared" si="67"/>
        <v>0</v>
      </c>
      <c r="I323" s="37">
        <f t="shared" si="68"/>
        <v>0</v>
      </c>
      <c r="J323" s="38">
        <v>0</v>
      </c>
      <c r="K323" s="37">
        <f t="shared" si="69"/>
        <v>0</v>
      </c>
      <c r="L323" s="38">
        <v>0</v>
      </c>
    </row>
    <row r="324" spans="1:12" s="39" customFormat="1" ht="15.45" customHeight="1" outlineLevel="1" x14ac:dyDescent="0.25">
      <c r="A324" s="33">
        <v>16</v>
      </c>
      <c r="B324" s="34" t="s">
        <v>156</v>
      </c>
      <c r="C324" s="35" t="s">
        <v>42</v>
      </c>
      <c r="D324" s="36">
        <v>7.28</v>
      </c>
      <c r="E324" s="36">
        <v>66.499999999999986</v>
      </c>
      <c r="F324" s="36">
        <f t="shared" si="65"/>
        <v>484.11999999999989</v>
      </c>
      <c r="G324" s="37">
        <f t="shared" si="66"/>
        <v>0</v>
      </c>
      <c r="H324" s="38">
        <f t="shared" si="67"/>
        <v>0</v>
      </c>
      <c r="I324" s="37">
        <f t="shared" si="68"/>
        <v>0</v>
      </c>
      <c r="J324" s="38">
        <v>0</v>
      </c>
      <c r="K324" s="37">
        <f t="shared" si="69"/>
        <v>0</v>
      </c>
      <c r="L324" s="38">
        <v>0</v>
      </c>
    </row>
    <row r="325" spans="1:12" s="39" customFormat="1" ht="15.45" customHeight="1" outlineLevel="1" x14ac:dyDescent="0.25">
      <c r="A325" s="33">
        <v>17</v>
      </c>
      <c r="B325" s="34" t="s">
        <v>285</v>
      </c>
      <c r="C325" s="35" t="s">
        <v>28</v>
      </c>
      <c r="D325" s="36">
        <v>130</v>
      </c>
      <c r="E325" s="36">
        <v>9.1775920000000006</v>
      </c>
      <c r="F325" s="36">
        <f t="shared" si="65"/>
        <v>1193.0869600000001</v>
      </c>
      <c r="G325" s="37">
        <f t="shared" si="66"/>
        <v>0</v>
      </c>
      <c r="H325" s="38">
        <f t="shared" si="67"/>
        <v>0</v>
      </c>
      <c r="I325" s="37">
        <f t="shared" si="68"/>
        <v>0</v>
      </c>
      <c r="J325" s="38">
        <v>0</v>
      </c>
      <c r="K325" s="37">
        <f t="shared" si="69"/>
        <v>0</v>
      </c>
      <c r="L325" s="38">
        <v>0</v>
      </c>
    </row>
    <row r="326" spans="1:12" s="39" customFormat="1" ht="15.45" customHeight="1" outlineLevel="1" x14ac:dyDescent="0.25">
      <c r="A326" s="33">
        <v>18</v>
      </c>
      <c r="B326" s="34" t="s">
        <v>286</v>
      </c>
      <c r="C326" s="35" t="s">
        <v>28</v>
      </c>
      <c r="D326" s="36">
        <v>130</v>
      </c>
      <c r="E326" s="36">
        <v>32.915644</v>
      </c>
      <c r="F326" s="36">
        <f t="shared" si="65"/>
        <v>4279.0337200000004</v>
      </c>
      <c r="G326" s="37">
        <f t="shared" si="66"/>
        <v>0</v>
      </c>
      <c r="H326" s="38">
        <f t="shared" si="67"/>
        <v>0</v>
      </c>
      <c r="I326" s="37">
        <f t="shared" si="68"/>
        <v>0</v>
      </c>
      <c r="J326" s="38">
        <v>0</v>
      </c>
      <c r="K326" s="37">
        <f t="shared" si="69"/>
        <v>0</v>
      </c>
      <c r="L326" s="38">
        <v>0</v>
      </c>
    </row>
    <row r="327" spans="1:12" s="39" customFormat="1" ht="15.45" customHeight="1" outlineLevel="1" x14ac:dyDescent="0.25">
      <c r="A327" s="33">
        <v>19</v>
      </c>
      <c r="B327" s="34" t="s">
        <v>287</v>
      </c>
      <c r="C327" s="35" t="s">
        <v>28</v>
      </c>
      <c r="D327" s="36">
        <v>130</v>
      </c>
      <c r="E327" s="36">
        <v>4.88</v>
      </c>
      <c r="F327" s="36">
        <f t="shared" si="65"/>
        <v>634.4</v>
      </c>
      <c r="G327" s="37">
        <f t="shared" si="66"/>
        <v>0</v>
      </c>
      <c r="H327" s="38">
        <f t="shared" si="67"/>
        <v>0</v>
      </c>
      <c r="I327" s="37">
        <f t="shared" si="68"/>
        <v>0</v>
      </c>
      <c r="J327" s="38">
        <v>0</v>
      </c>
      <c r="K327" s="37">
        <f t="shared" si="69"/>
        <v>0</v>
      </c>
      <c r="L327" s="38">
        <v>0</v>
      </c>
    </row>
    <row r="328" spans="1:12" s="39" customFormat="1" ht="43.5" customHeight="1" outlineLevel="1" x14ac:dyDescent="0.25">
      <c r="A328" s="33">
        <v>20</v>
      </c>
      <c r="B328" s="34" t="s">
        <v>288</v>
      </c>
      <c r="C328" s="35" t="s">
        <v>289</v>
      </c>
      <c r="D328" s="36">
        <v>26</v>
      </c>
      <c r="E328" s="36">
        <v>6.8605999999999998</v>
      </c>
      <c r="F328" s="36">
        <f t="shared" si="65"/>
        <v>178.37559999999999</v>
      </c>
      <c r="G328" s="37">
        <f t="shared" si="66"/>
        <v>0</v>
      </c>
      <c r="H328" s="38">
        <f t="shared" si="67"/>
        <v>0</v>
      </c>
      <c r="I328" s="37">
        <f t="shared" si="68"/>
        <v>0</v>
      </c>
      <c r="J328" s="38">
        <v>0</v>
      </c>
      <c r="K328" s="37">
        <f t="shared" si="69"/>
        <v>0</v>
      </c>
      <c r="L328" s="38">
        <v>0</v>
      </c>
    </row>
    <row r="329" spans="1:12" s="45" customFormat="1" ht="28.95" customHeight="1" x14ac:dyDescent="0.3">
      <c r="A329" s="33">
        <v>22</v>
      </c>
      <c r="B329" s="34" t="s">
        <v>283</v>
      </c>
      <c r="C329" s="35" t="s">
        <v>28</v>
      </c>
      <c r="D329" s="36">
        <v>230.6</v>
      </c>
      <c r="E329" s="36">
        <v>5.2</v>
      </c>
      <c r="F329" s="36">
        <f t="shared" si="65"/>
        <v>1199.1200000000001</v>
      </c>
      <c r="G329" s="37">
        <f t="shared" si="66"/>
        <v>0</v>
      </c>
      <c r="H329" s="38">
        <f t="shared" si="67"/>
        <v>0</v>
      </c>
      <c r="I329" s="37">
        <f t="shared" si="68"/>
        <v>0</v>
      </c>
      <c r="J329" s="38">
        <v>0</v>
      </c>
      <c r="K329" s="37">
        <f t="shared" si="69"/>
        <v>0</v>
      </c>
      <c r="L329" s="38">
        <v>0</v>
      </c>
    </row>
    <row r="330" spans="1:12" s="39" customFormat="1" ht="28.95" customHeight="1" outlineLevel="1" x14ac:dyDescent="0.25">
      <c r="A330" s="33">
        <v>23</v>
      </c>
      <c r="B330" s="34" t="s">
        <v>284</v>
      </c>
      <c r="C330" s="35" t="s">
        <v>28</v>
      </c>
      <c r="D330" s="36">
        <v>184.5</v>
      </c>
      <c r="E330" s="36">
        <v>7.0899579999999993</v>
      </c>
      <c r="F330" s="36">
        <f t="shared" si="65"/>
        <v>1308.0972509999999</v>
      </c>
      <c r="G330" s="37">
        <f t="shared" si="66"/>
        <v>0</v>
      </c>
      <c r="H330" s="38">
        <f t="shared" si="67"/>
        <v>0</v>
      </c>
      <c r="I330" s="37">
        <f t="shared" si="68"/>
        <v>0</v>
      </c>
      <c r="J330" s="38">
        <v>0</v>
      </c>
      <c r="K330" s="37">
        <f t="shared" si="69"/>
        <v>0</v>
      </c>
      <c r="L330" s="38">
        <v>0</v>
      </c>
    </row>
    <row r="331" spans="1:12" s="39" customFormat="1" ht="15.45" customHeight="1" outlineLevel="1" x14ac:dyDescent="0.25">
      <c r="A331" s="33">
        <v>24</v>
      </c>
      <c r="B331" s="34" t="s">
        <v>156</v>
      </c>
      <c r="C331" s="35" t="s">
        <v>42</v>
      </c>
      <c r="D331" s="36">
        <v>12.914999999999999</v>
      </c>
      <c r="E331" s="36">
        <v>66.499999999999986</v>
      </c>
      <c r="F331" s="36">
        <f t="shared" si="65"/>
        <v>858.84749999999974</v>
      </c>
      <c r="G331" s="37">
        <f t="shared" si="66"/>
        <v>0</v>
      </c>
      <c r="H331" s="38">
        <f t="shared" si="67"/>
        <v>0</v>
      </c>
      <c r="I331" s="37">
        <f t="shared" si="68"/>
        <v>0</v>
      </c>
      <c r="J331" s="38">
        <v>0</v>
      </c>
      <c r="K331" s="37">
        <f t="shared" si="69"/>
        <v>0</v>
      </c>
      <c r="L331" s="38">
        <v>0</v>
      </c>
    </row>
    <row r="332" spans="1:12" s="39" customFormat="1" ht="15.45" customHeight="1" outlineLevel="1" x14ac:dyDescent="0.25">
      <c r="A332" s="33">
        <v>25</v>
      </c>
      <c r="B332" s="34" t="s">
        <v>285</v>
      </c>
      <c r="C332" s="35" t="s">
        <v>28</v>
      </c>
      <c r="D332" s="36">
        <v>230.6</v>
      </c>
      <c r="E332" s="36">
        <v>9.1775920000000006</v>
      </c>
      <c r="F332" s="36">
        <f t="shared" si="65"/>
        <v>2116.3527152000001</v>
      </c>
      <c r="G332" s="37">
        <f t="shared" si="66"/>
        <v>0</v>
      </c>
      <c r="H332" s="38">
        <f t="shared" si="67"/>
        <v>0</v>
      </c>
      <c r="I332" s="37">
        <f t="shared" si="68"/>
        <v>0</v>
      </c>
      <c r="J332" s="38">
        <v>0</v>
      </c>
      <c r="K332" s="37">
        <f t="shared" si="69"/>
        <v>0</v>
      </c>
      <c r="L332" s="38">
        <v>0</v>
      </c>
    </row>
    <row r="333" spans="1:12" s="39" customFormat="1" ht="28.95" customHeight="1" outlineLevel="1" x14ac:dyDescent="0.25">
      <c r="A333" s="33">
        <v>26</v>
      </c>
      <c r="B333" s="34" t="s">
        <v>290</v>
      </c>
      <c r="C333" s="35" t="s">
        <v>28</v>
      </c>
      <c r="D333" s="36">
        <v>230.6</v>
      </c>
      <c r="E333" s="36">
        <v>11.65813</v>
      </c>
      <c r="F333" s="36">
        <f t="shared" si="65"/>
        <v>2688.3647780000001</v>
      </c>
      <c r="G333" s="37">
        <f t="shared" si="66"/>
        <v>0</v>
      </c>
      <c r="H333" s="38">
        <f t="shared" si="67"/>
        <v>0</v>
      </c>
      <c r="I333" s="37">
        <f t="shared" si="68"/>
        <v>0</v>
      </c>
      <c r="J333" s="38">
        <v>0</v>
      </c>
      <c r="K333" s="37">
        <f t="shared" si="69"/>
        <v>0</v>
      </c>
      <c r="L333" s="38">
        <v>0</v>
      </c>
    </row>
    <row r="334" spans="1:12" s="39" customFormat="1" ht="15.45" customHeight="1" outlineLevel="1" x14ac:dyDescent="0.25">
      <c r="A334" s="33">
        <v>27</v>
      </c>
      <c r="B334" s="34" t="s">
        <v>291</v>
      </c>
      <c r="C334" s="35" t="s">
        <v>55</v>
      </c>
      <c r="D334" s="36">
        <v>100</v>
      </c>
      <c r="E334" s="36">
        <v>36.613999999999997</v>
      </c>
      <c r="F334" s="36">
        <f t="shared" si="65"/>
        <v>3661.3999999999996</v>
      </c>
      <c r="G334" s="37">
        <f t="shared" si="66"/>
        <v>0</v>
      </c>
      <c r="H334" s="38">
        <f t="shared" si="67"/>
        <v>0</v>
      </c>
      <c r="I334" s="37">
        <f t="shared" si="68"/>
        <v>0</v>
      </c>
      <c r="J334" s="38">
        <v>0</v>
      </c>
      <c r="K334" s="37">
        <f t="shared" si="69"/>
        <v>0</v>
      </c>
      <c r="L334" s="38">
        <v>0</v>
      </c>
    </row>
    <row r="335" spans="1:12" s="39" customFormat="1" ht="28.95" customHeight="1" outlineLevel="1" x14ac:dyDescent="0.25">
      <c r="A335" s="33">
        <v>29</v>
      </c>
      <c r="B335" s="34" t="s">
        <v>284</v>
      </c>
      <c r="C335" s="35" t="s">
        <v>28</v>
      </c>
      <c r="D335" s="36">
        <v>104.6</v>
      </c>
      <c r="E335" s="36">
        <v>7.0899579999999993</v>
      </c>
      <c r="F335" s="36">
        <f t="shared" si="65"/>
        <v>741.60960679999994</v>
      </c>
      <c r="G335" s="37">
        <f t="shared" si="66"/>
        <v>0</v>
      </c>
      <c r="H335" s="38">
        <f t="shared" si="67"/>
        <v>0</v>
      </c>
      <c r="I335" s="37">
        <f t="shared" si="68"/>
        <v>0</v>
      </c>
      <c r="J335" s="38">
        <v>0</v>
      </c>
      <c r="K335" s="37">
        <f t="shared" si="69"/>
        <v>0</v>
      </c>
      <c r="L335" s="38">
        <v>0</v>
      </c>
    </row>
    <row r="336" spans="1:12" s="39" customFormat="1" ht="15.45" customHeight="1" outlineLevel="1" x14ac:dyDescent="0.25">
      <c r="A336" s="33">
        <v>30</v>
      </c>
      <c r="B336" s="34" t="s">
        <v>156</v>
      </c>
      <c r="C336" s="35" t="s">
        <v>42</v>
      </c>
      <c r="D336" s="36">
        <v>7.3220000000000001</v>
      </c>
      <c r="E336" s="36">
        <v>66.499999999999986</v>
      </c>
      <c r="F336" s="36">
        <f t="shared" si="65"/>
        <v>486.9129999999999</v>
      </c>
      <c r="G336" s="37">
        <f t="shared" si="66"/>
        <v>0</v>
      </c>
      <c r="H336" s="38">
        <f t="shared" si="67"/>
        <v>0</v>
      </c>
      <c r="I336" s="37">
        <f t="shared" si="68"/>
        <v>0</v>
      </c>
      <c r="J336" s="38">
        <v>0</v>
      </c>
      <c r="K336" s="37">
        <f t="shared" si="69"/>
        <v>0</v>
      </c>
      <c r="L336" s="38">
        <v>0</v>
      </c>
    </row>
    <row r="337" spans="1:12" s="39" customFormat="1" ht="28.95" customHeight="1" outlineLevel="1" x14ac:dyDescent="0.25">
      <c r="A337" s="33">
        <v>31</v>
      </c>
      <c r="B337" s="34" t="s">
        <v>237</v>
      </c>
      <c r="C337" s="35" t="s">
        <v>30</v>
      </c>
      <c r="D337" s="36">
        <v>0.14099999999999999</v>
      </c>
      <c r="E337" s="36">
        <v>447.25</v>
      </c>
      <c r="F337" s="36">
        <f t="shared" si="65"/>
        <v>63.062249999999992</v>
      </c>
      <c r="G337" s="37">
        <f t="shared" si="66"/>
        <v>0</v>
      </c>
      <c r="H337" s="38">
        <f t="shared" si="67"/>
        <v>0</v>
      </c>
      <c r="I337" s="37">
        <f t="shared" si="68"/>
        <v>0</v>
      </c>
      <c r="J337" s="38">
        <v>0</v>
      </c>
      <c r="K337" s="37">
        <f t="shared" si="69"/>
        <v>0</v>
      </c>
      <c r="L337" s="38">
        <v>0</v>
      </c>
    </row>
    <row r="338" spans="1:12" s="39" customFormat="1" ht="15.45" customHeight="1" outlineLevel="1" x14ac:dyDescent="0.25">
      <c r="A338" s="33">
        <v>32</v>
      </c>
      <c r="B338" s="34" t="s">
        <v>278</v>
      </c>
      <c r="C338" s="35" t="s">
        <v>30</v>
      </c>
      <c r="D338" s="36">
        <v>0.14099999999999999</v>
      </c>
      <c r="E338" s="36">
        <v>1617</v>
      </c>
      <c r="F338" s="36">
        <f t="shared" si="65"/>
        <v>227.99699999999999</v>
      </c>
      <c r="G338" s="37">
        <f t="shared" si="66"/>
        <v>0</v>
      </c>
      <c r="H338" s="38">
        <f t="shared" si="67"/>
        <v>0</v>
      </c>
      <c r="I338" s="37">
        <f t="shared" si="68"/>
        <v>0</v>
      </c>
      <c r="J338" s="38">
        <v>0</v>
      </c>
      <c r="K338" s="37">
        <f t="shared" si="69"/>
        <v>0</v>
      </c>
      <c r="L338" s="38">
        <v>0</v>
      </c>
    </row>
    <row r="339" spans="1:12" s="39" customFormat="1" ht="15.45" customHeight="1" outlineLevel="1" x14ac:dyDescent="0.25">
      <c r="A339" s="33">
        <v>33</v>
      </c>
      <c r="B339" s="34" t="s">
        <v>47</v>
      </c>
      <c r="C339" s="35" t="s">
        <v>28</v>
      </c>
      <c r="D339" s="36">
        <v>104.6</v>
      </c>
      <c r="E339" s="36">
        <v>5.4732580000000004</v>
      </c>
      <c r="F339" s="36">
        <f t="shared" si="65"/>
        <v>572.50278679999997</v>
      </c>
      <c r="G339" s="37">
        <f t="shared" si="66"/>
        <v>0</v>
      </c>
      <c r="H339" s="38">
        <f t="shared" si="67"/>
        <v>0</v>
      </c>
      <c r="I339" s="37">
        <f t="shared" si="68"/>
        <v>0</v>
      </c>
      <c r="J339" s="38">
        <v>0</v>
      </c>
      <c r="K339" s="37">
        <f t="shared" si="69"/>
        <v>0</v>
      </c>
      <c r="L339" s="38">
        <v>0</v>
      </c>
    </row>
    <row r="340" spans="1:12" s="39" customFormat="1" ht="15.45" customHeight="1" outlineLevel="1" x14ac:dyDescent="0.25">
      <c r="A340" s="33">
        <v>34</v>
      </c>
      <c r="B340" s="34" t="s">
        <v>279</v>
      </c>
      <c r="C340" s="35" t="s">
        <v>28</v>
      </c>
      <c r="D340" s="36">
        <v>104.6</v>
      </c>
      <c r="E340" s="36">
        <v>1.4259999999999999</v>
      </c>
      <c r="F340" s="36">
        <f t="shared" si="65"/>
        <v>149.15959999999998</v>
      </c>
      <c r="G340" s="37">
        <f t="shared" si="66"/>
        <v>0</v>
      </c>
      <c r="H340" s="38">
        <f t="shared" si="67"/>
        <v>0</v>
      </c>
      <c r="I340" s="37">
        <f t="shared" si="68"/>
        <v>0</v>
      </c>
      <c r="J340" s="38">
        <v>0</v>
      </c>
      <c r="K340" s="37">
        <f t="shared" si="69"/>
        <v>0</v>
      </c>
      <c r="L340" s="38">
        <v>0</v>
      </c>
    </row>
    <row r="341" spans="1:12" s="39" customFormat="1" ht="28.95" customHeight="1" outlineLevel="1" x14ac:dyDescent="0.25">
      <c r="A341" s="33">
        <v>36</v>
      </c>
      <c r="B341" s="34" t="s">
        <v>284</v>
      </c>
      <c r="C341" s="35" t="s">
        <v>28</v>
      </c>
      <c r="D341" s="36">
        <v>188.2</v>
      </c>
      <c r="E341" s="36">
        <v>7.0899579999999993</v>
      </c>
      <c r="F341" s="36">
        <f t="shared" si="65"/>
        <v>1334.3300955999998</v>
      </c>
      <c r="G341" s="37">
        <f t="shared" si="66"/>
        <v>0</v>
      </c>
      <c r="H341" s="38">
        <f t="shared" si="67"/>
        <v>0</v>
      </c>
      <c r="I341" s="37">
        <f t="shared" si="68"/>
        <v>0</v>
      </c>
      <c r="J341" s="38">
        <v>0</v>
      </c>
      <c r="K341" s="37">
        <f t="shared" si="69"/>
        <v>0</v>
      </c>
      <c r="L341" s="38">
        <v>0</v>
      </c>
    </row>
    <row r="342" spans="1:12" s="39" customFormat="1" ht="15.45" customHeight="1" outlineLevel="1" x14ac:dyDescent="0.25">
      <c r="A342" s="33">
        <v>37</v>
      </c>
      <c r="B342" s="34" t="s">
        <v>156</v>
      </c>
      <c r="C342" s="35" t="s">
        <v>42</v>
      </c>
      <c r="D342" s="36">
        <v>13.173999999999999</v>
      </c>
      <c r="E342" s="36">
        <v>66.499999999999986</v>
      </c>
      <c r="F342" s="36">
        <f t="shared" si="65"/>
        <v>876.0709999999998</v>
      </c>
      <c r="G342" s="37">
        <f t="shared" si="66"/>
        <v>0</v>
      </c>
      <c r="H342" s="38">
        <f t="shared" si="67"/>
        <v>0</v>
      </c>
      <c r="I342" s="37">
        <f t="shared" si="68"/>
        <v>0</v>
      </c>
      <c r="J342" s="38">
        <v>0</v>
      </c>
      <c r="K342" s="37">
        <f t="shared" si="69"/>
        <v>0</v>
      </c>
      <c r="L342" s="38">
        <v>0</v>
      </c>
    </row>
    <row r="343" spans="1:12" s="39" customFormat="1" ht="28.95" customHeight="1" outlineLevel="1" x14ac:dyDescent="0.25">
      <c r="A343" s="33">
        <v>38</v>
      </c>
      <c r="B343" s="34" t="s">
        <v>237</v>
      </c>
      <c r="C343" s="35" t="s">
        <v>30</v>
      </c>
      <c r="D343" s="36">
        <v>0.254</v>
      </c>
      <c r="E343" s="36">
        <v>447.25</v>
      </c>
      <c r="F343" s="36">
        <f t="shared" si="65"/>
        <v>113.6015</v>
      </c>
      <c r="G343" s="37">
        <f t="shared" si="66"/>
        <v>0</v>
      </c>
      <c r="H343" s="38">
        <f t="shared" si="67"/>
        <v>0</v>
      </c>
      <c r="I343" s="37">
        <f t="shared" si="68"/>
        <v>0</v>
      </c>
      <c r="J343" s="38">
        <v>0</v>
      </c>
      <c r="K343" s="37">
        <f t="shared" si="69"/>
        <v>0</v>
      </c>
      <c r="L343" s="38">
        <v>0</v>
      </c>
    </row>
    <row r="344" spans="1:12" s="39" customFormat="1" ht="15.45" customHeight="1" outlineLevel="1" x14ac:dyDescent="0.25">
      <c r="A344" s="33">
        <v>39</v>
      </c>
      <c r="B344" s="34" t="s">
        <v>292</v>
      </c>
      <c r="C344" s="35" t="s">
        <v>30</v>
      </c>
      <c r="D344" s="36">
        <v>0.254</v>
      </c>
      <c r="E344" s="36">
        <v>1389.134</v>
      </c>
      <c r="F344" s="36">
        <f t="shared" ref="F344:F375" si="70">+E344*D344</f>
        <v>352.840036</v>
      </c>
      <c r="G344" s="37">
        <f t="shared" ref="G344:G378" si="71">I344+K344</f>
        <v>0</v>
      </c>
      <c r="H344" s="38">
        <f t="shared" ref="H344:H378" si="72">J344+L344</f>
        <v>0</v>
      </c>
      <c r="I344" s="37">
        <f t="shared" ref="I344:I375" si="73">J344/F344</f>
        <v>0</v>
      </c>
      <c r="J344" s="38">
        <v>0</v>
      </c>
      <c r="K344" s="37">
        <f t="shared" ref="K344:K375" si="74">L344/F344</f>
        <v>0</v>
      </c>
      <c r="L344" s="38">
        <v>0</v>
      </c>
    </row>
    <row r="345" spans="1:12" s="39" customFormat="1" ht="15.45" customHeight="1" outlineLevel="1" x14ac:dyDescent="0.25">
      <c r="A345" s="33">
        <v>40</v>
      </c>
      <c r="B345" s="34" t="s">
        <v>47</v>
      </c>
      <c r="C345" s="35" t="s">
        <v>28</v>
      </c>
      <c r="D345" s="36">
        <v>188.2</v>
      </c>
      <c r="E345" s="36">
        <v>5.4732580000000004</v>
      </c>
      <c r="F345" s="36">
        <f t="shared" si="70"/>
        <v>1030.0671556</v>
      </c>
      <c r="G345" s="37">
        <f t="shared" si="71"/>
        <v>0</v>
      </c>
      <c r="H345" s="38">
        <f t="shared" si="72"/>
        <v>0</v>
      </c>
      <c r="I345" s="37">
        <f t="shared" si="73"/>
        <v>0</v>
      </c>
      <c r="J345" s="38">
        <v>0</v>
      </c>
      <c r="K345" s="37">
        <f t="shared" si="74"/>
        <v>0</v>
      </c>
      <c r="L345" s="38">
        <v>0</v>
      </c>
    </row>
    <row r="346" spans="1:12" s="39" customFormat="1" ht="15.45" customHeight="1" outlineLevel="1" x14ac:dyDescent="0.25">
      <c r="A346" s="33">
        <v>41</v>
      </c>
      <c r="B346" s="34" t="s">
        <v>279</v>
      </c>
      <c r="C346" s="35" t="s">
        <v>28</v>
      </c>
      <c r="D346" s="36">
        <v>188.2</v>
      </c>
      <c r="E346" s="36">
        <v>1.4259999999999999</v>
      </c>
      <c r="F346" s="36">
        <f t="shared" si="70"/>
        <v>268.3732</v>
      </c>
      <c r="G346" s="37">
        <f t="shared" si="71"/>
        <v>0</v>
      </c>
      <c r="H346" s="38">
        <f t="shared" si="72"/>
        <v>0</v>
      </c>
      <c r="I346" s="37">
        <f t="shared" si="73"/>
        <v>0</v>
      </c>
      <c r="J346" s="38">
        <v>0</v>
      </c>
      <c r="K346" s="37">
        <f t="shared" si="74"/>
        <v>0</v>
      </c>
      <c r="L346" s="38">
        <v>0</v>
      </c>
    </row>
    <row r="347" spans="1:12" s="45" customFormat="1" ht="28.95" customHeight="1" x14ac:dyDescent="0.3">
      <c r="A347" s="33">
        <v>42</v>
      </c>
      <c r="B347" s="34" t="s">
        <v>280</v>
      </c>
      <c r="C347" s="35" t="s">
        <v>28</v>
      </c>
      <c r="D347" s="36">
        <v>188.2</v>
      </c>
      <c r="E347" s="36">
        <v>9.2799999999999994</v>
      </c>
      <c r="F347" s="36">
        <f t="shared" si="70"/>
        <v>1746.4959999999999</v>
      </c>
      <c r="G347" s="37">
        <f t="shared" si="71"/>
        <v>0</v>
      </c>
      <c r="H347" s="38">
        <f t="shared" si="72"/>
        <v>0</v>
      </c>
      <c r="I347" s="37">
        <f t="shared" si="73"/>
        <v>0</v>
      </c>
      <c r="J347" s="38">
        <v>0</v>
      </c>
      <c r="K347" s="37">
        <f t="shared" si="74"/>
        <v>0</v>
      </c>
      <c r="L347" s="38">
        <v>0</v>
      </c>
    </row>
    <row r="348" spans="1:12" s="39" customFormat="1" ht="28.95" customHeight="1" outlineLevel="1" x14ac:dyDescent="0.25">
      <c r="A348" s="33">
        <v>43</v>
      </c>
      <c r="B348" s="34" t="s">
        <v>281</v>
      </c>
      <c r="C348" s="35" t="s">
        <v>28</v>
      </c>
      <c r="D348" s="36">
        <v>188.2</v>
      </c>
      <c r="E348" s="36">
        <v>8.26</v>
      </c>
      <c r="F348" s="36">
        <f t="shared" si="70"/>
        <v>1554.5319999999999</v>
      </c>
      <c r="G348" s="37">
        <f t="shared" si="71"/>
        <v>0</v>
      </c>
      <c r="H348" s="38">
        <f t="shared" si="72"/>
        <v>0</v>
      </c>
      <c r="I348" s="37">
        <f t="shared" si="73"/>
        <v>0</v>
      </c>
      <c r="J348" s="38">
        <v>0</v>
      </c>
      <c r="K348" s="37">
        <f t="shared" si="74"/>
        <v>0</v>
      </c>
      <c r="L348" s="38">
        <v>0</v>
      </c>
    </row>
    <row r="349" spans="1:12" s="39" customFormat="1" ht="15.45" customHeight="1" outlineLevel="1" x14ac:dyDescent="0.25">
      <c r="A349" s="33">
        <v>44</v>
      </c>
      <c r="B349" s="34" t="s">
        <v>47</v>
      </c>
      <c r="C349" s="35" t="s">
        <v>28</v>
      </c>
      <c r="D349" s="36">
        <v>188.2</v>
      </c>
      <c r="E349" s="36">
        <v>5.4732580000000004</v>
      </c>
      <c r="F349" s="36">
        <f t="shared" si="70"/>
        <v>1030.0671556</v>
      </c>
      <c r="G349" s="37">
        <f t="shared" si="71"/>
        <v>0</v>
      </c>
      <c r="H349" s="38">
        <f t="shared" si="72"/>
        <v>0</v>
      </c>
      <c r="I349" s="37">
        <f t="shared" si="73"/>
        <v>0</v>
      </c>
      <c r="J349" s="38">
        <v>0</v>
      </c>
      <c r="K349" s="37">
        <f t="shared" si="74"/>
        <v>0</v>
      </c>
      <c r="L349" s="38">
        <v>0</v>
      </c>
    </row>
    <row r="350" spans="1:12" s="39" customFormat="1" ht="15.45" customHeight="1" outlineLevel="1" x14ac:dyDescent="0.25">
      <c r="A350" s="33">
        <v>46</v>
      </c>
      <c r="B350" s="34" t="s">
        <v>47</v>
      </c>
      <c r="C350" s="35" t="s">
        <v>28</v>
      </c>
      <c r="D350" s="36">
        <v>39</v>
      </c>
      <c r="E350" s="36">
        <v>5.4732580000000004</v>
      </c>
      <c r="F350" s="36">
        <f t="shared" si="70"/>
        <v>213.45706200000001</v>
      </c>
      <c r="G350" s="37">
        <f t="shared" si="71"/>
        <v>0</v>
      </c>
      <c r="H350" s="38">
        <f t="shared" si="72"/>
        <v>0</v>
      </c>
      <c r="I350" s="37">
        <f t="shared" si="73"/>
        <v>0</v>
      </c>
      <c r="J350" s="38">
        <v>0</v>
      </c>
      <c r="K350" s="37">
        <f t="shared" si="74"/>
        <v>0</v>
      </c>
      <c r="L350" s="38">
        <v>0</v>
      </c>
    </row>
    <row r="351" spans="1:12" s="39" customFormat="1" ht="15.45" customHeight="1" outlineLevel="1" x14ac:dyDescent="0.25">
      <c r="A351" s="33">
        <v>47</v>
      </c>
      <c r="B351" s="34" t="s">
        <v>279</v>
      </c>
      <c r="C351" s="35" t="s">
        <v>28</v>
      </c>
      <c r="D351" s="36">
        <v>39</v>
      </c>
      <c r="E351" s="36">
        <v>1.4259999999999999</v>
      </c>
      <c r="F351" s="36">
        <f t="shared" si="70"/>
        <v>55.613999999999997</v>
      </c>
      <c r="G351" s="37">
        <f t="shared" si="71"/>
        <v>0</v>
      </c>
      <c r="H351" s="38">
        <f t="shared" si="72"/>
        <v>0</v>
      </c>
      <c r="I351" s="37">
        <f t="shared" si="73"/>
        <v>0</v>
      </c>
      <c r="J351" s="38">
        <v>0</v>
      </c>
      <c r="K351" s="37">
        <f t="shared" si="74"/>
        <v>0</v>
      </c>
      <c r="L351" s="38">
        <v>0</v>
      </c>
    </row>
    <row r="352" spans="1:12" s="39" customFormat="1" ht="28.95" customHeight="1" outlineLevel="1" x14ac:dyDescent="0.25">
      <c r="A352" s="33">
        <v>49</v>
      </c>
      <c r="B352" s="34" t="s">
        <v>284</v>
      </c>
      <c r="C352" s="35" t="s">
        <v>28</v>
      </c>
      <c r="D352" s="36">
        <v>14</v>
      </c>
      <c r="E352" s="36">
        <v>7.0899579999999993</v>
      </c>
      <c r="F352" s="36">
        <f t="shared" si="70"/>
        <v>99.259411999999998</v>
      </c>
      <c r="G352" s="37">
        <f t="shared" si="71"/>
        <v>0</v>
      </c>
      <c r="H352" s="38">
        <f t="shared" si="72"/>
        <v>0</v>
      </c>
      <c r="I352" s="37">
        <f t="shared" si="73"/>
        <v>0</v>
      </c>
      <c r="J352" s="38">
        <v>0</v>
      </c>
      <c r="K352" s="37">
        <f t="shared" si="74"/>
        <v>0</v>
      </c>
      <c r="L352" s="38">
        <v>0</v>
      </c>
    </row>
    <row r="353" spans="1:12" s="39" customFormat="1" ht="15.45" customHeight="1" outlineLevel="1" x14ac:dyDescent="0.25">
      <c r="A353" s="33">
        <v>50</v>
      </c>
      <c r="B353" s="34" t="s">
        <v>156</v>
      </c>
      <c r="C353" s="35" t="s">
        <v>42</v>
      </c>
      <c r="D353" s="36">
        <v>0.98</v>
      </c>
      <c r="E353" s="36">
        <v>66.499999999999986</v>
      </c>
      <c r="F353" s="36">
        <f t="shared" si="70"/>
        <v>65.169999999999987</v>
      </c>
      <c r="G353" s="37">
        <f t="shared" si="71"/>
        <v>0</v>
      </c>
      <c r="H353" s="38">
        <f t="shared" si="72"/>
        <v>0</v>
      </c>
      <c r="I353" s="37">
        <f t="shared" si="73"/>
        <v>0</v>
      </c>
      <c r="J353" s="38">
        <v>0</v>
      </c>
      <c r="K353" s="37">
        <f t="shared" si="74"/>
        <v>0</v>
      </c>
      <c r="L353" s="38">
        <v>0</v>
      </c>
    </row>
    <row r="354" spans="1:12" s="39" customFormat="1" ht="28.95" customHeight="1" outlineLevel="1" x14ac:dyDescent="0.25">
      <c r="A354" s="33">
        <v>51</v>
      </c>
      <c r="B354" s="34" t="s">
        <v>237</v>
      </c>
      <c r="C354" s="35" t="s">
        <v>30</v>
      </c>
      <c r="D354" s="36">
        <v>1.9E-2</v>
      </c>
      <c r="E354" s="36">
        <v>447.25</v>
      </c>
      <c r="F354" s="36">
        <f t="shared" si="70"/>
        <v>8.4977499999999999</v>
      </c>
      <c r="G354" s="37">
        <f t="shared" si="71"/>
        <v>0</v>
      </c>
      <c r="H354" s="38">
        <f t="shared" si="72"/>
        <v>0</v>
      </c>
      <c r="I354" s="37">
        <f t="shared" si="73"/>
        <v>0</v>
      </c>
      <c r="J354" s="38">
        <v>0</v>
      </c>
      <c r="K354" s="37">
        <f t="shared" si="74"/>
        <v>0</v>
      </c>
      <c r="L354" s="38">
        <v>0</v>
      </c>
    </row>
    <row r="355" spans="1:12" s="39" customFormat="1" ht="15.45" customHeight="1" outlineLevel="1" x14ac:dyDescent="0.25">
      <c r="A355" s="33">
        <v>52</v>
      </c>
      <c r="B355" s="34" t="s">
        <v>278</v>
      </c>
      <c r="C355" s="35" t="s">
        <v>30</v>
      </c>
      <c r="D355" s="36">
        <v>1.9E-2</v>
      </c>
      <c r="E355" s="36">
        <v>1311.1</v>
      </c>
      <c r="F355" s="36">
        <f t="shared" si="70"/>
        <v>24.910899999999998</v>
      </c>
      <c r="G355" s="37">
        <f t="shared" si="71"/>
        <v>0</v>
      </c>
      <c r="H355" s="38">
        <f t="shared" si="72"/>
        <v>0</v>
      </c>
      <c r="I355" s="37">
        <f t="shared" si="73"/>
        <v>0</v>
      </c>
      <c r="J355" s="38">
        <v>0</v>
      </c>
      <c r="K355" s="37">
        <f t="shared" si="74"/>
        <v>0</v>
      </c>
      <c r="L355" s="38">
        <v>0</v>
      </c>
    </row>
    <row r="356" spans="1:12" s="39" customFormat="1" ht="15.45" customHeight="1" outlineLevel="1" x14ac:dyDescent="0.25">
      <c r="A356" s="33">
        <v>53</v>
      </c>
      <c r="B356" s="34" t="s">
        <v>47</v>
      </c>
      <c r="C356" s="35" t="s">
        <v>28</v>
      </c>
      <c r="D356" s="36">
        <v>14</v>
      </c>
      <c r="E356" s="36">
        <v>5.4732580000000004</v>
      </c>
      <c r="F356" s="36">
        <f t="shared" si="70"/>
        <v>76.625612000000004</v>
      </c>
      <c r="G356" s="37">
        <f t="shared" si="71"/>
        <v>0</v>
      </c>
      <c r="H356" s="38">
        <f t="shared" si="72"/>
        <v>0</v>
      </c>
      <c r="I356" s="37">
        <f t="shared" si="73"/>
        <v>0</v>
      </c>
      <c r="J356" s="38">
        <v>0</v>
      </c>
      <c r="K356" s="37">
        <f t="shared" si="74"/>
        <v>0</v>
      </c>
      <c r="L356" s="38">
        <v>0</v>
      </c>
    </row>
    <row r="357" spans="1:12" s="39" customFormat="1" ht="15.45" customHeight="1" outlineLevel="1" x14ac:dyDescent="0.25">
      <c r="A357" s="33">
        <v>54</v>
      </c>
      <c r="B357" s="34" t="s">
        <v>279</v>
      </c>
      <c r="C357" s="35" t="s">
        <v>28</v>
      </c>
      <c r="D357" s="36">
        <v>14</v>
      </c>
      <c r="E357" s="36">
        <v>1.4259999999999999</v>
      </c>
      <c r="F357" s="36">
        <f t="shared" si="70"/>
        <v>19.963999999999999</v>
      </c>
      <c r="G357" s="37">
        <f t="shared" si="71"/>
        <v>0</v>
      </c>
      <c r="H357" s="38">
        <f t="shared" si="72"/>
        <v>0</v>
      </c>
      <c r="I357" s="37">
        <f t="shared" si="73"/>
        <v>0</v>
      </c>
      <c r="J357" s="38">
        <v>0</v>
      </c>
      <c r="K357" s="37">
        <f t="shared" si="74"/>
        <v>0</v>
      </c>
      <c r="L357" s="38">
        <v>0</v>
      </c>
    </row>
    <row r="358" spans="1:12" s="39" customFormat="1" ht="15.45" customHeight="1" outlineLevel="1" x14ac:dyDescent="0.25">
      <c r="A358" s="33">
        <v>56</v>
      </c>
      <c r="B358" s="34" t="s">
        <v>47</v>
      </c>
      <c r="C358" s="35" t="s">
        <v>28</v>
      </c>
      <c r="D358" s="36">
        <v>538.4</v>
      </c>
      <c r="E358" s="36">
        <v>5.4732580000000004</v>
      </c>
      <c r="F358" s="36">
        <f t="shared" si="70"/>
        <v>2946.8021072000001</v>
      </c>
      <c r="G358" s="37">
        <f t="shared" si="71"/>
        <v>0</v>
      </c>
      <c r="H358" s="38">
        <f t="shared" si="72"/>
        <v>0</v>
      </c>
      <c r="I358" s="37">
        <f t="shared" si="73"/>
        <v>0</v>
      </c>
      <c r="J358" s="38">
        <v>0</v>
      </c>
      <c r="K358" s="37">
        <f t="shared" si="74"/>
        <v>0</v>
      </c>
      <c r="L358" s="38">
        <v>0</v>
      </c>
    </row>
    <row r="359" spans="1:12" s="39" customFormat="1" ht="15.45" customHeight="1" outlineLevel="1" x14ac:dyDescent="0.25">
      <c r="A359" s="33">
        <v>57</v>
      </c>
      <c r="B359" s="34" t="s">
        <v>279</v>
      </c>
      <c r="C359" s="35" t="s">
        <v>28</v>
      </c>
      <c r="D359" s="36">
        <v>538.4</v>
      </c>
      <c r="E359" s="36">
        <v>1.4259999999999999</v>
      </c>
      <c r="F359" s="36">
        <f t="shared" si="70"/>
        <v>767.75839999999994</v>
      </c>
      <c r="G359" s="37">
        <f t="shared" si="71"/>
        <v>0</v>
      </c>
      <c r="H359" s="38">
        <f t="shared" si="72"/>
        <v>0</v>
      </c>
      <c r="I359" s="37">
        <f t="shared" si="73"/>
        <v>0</v>
      </c>
      <c r="J359" s="38">
        <v>0</v>
      </c>
      <c r="K359" s="37">
        <f t="shared" si="74"/>
        <v>0</v>
      </c>
      <c r="L359" s="38">
        <v>0</v>
      </c>
    </row>
    <row r="360" spans="1:12" s="39" customFormat="1" ht="15.45" customHeight="1" outlineLevel="1" x14ac:dyDescent="0.25">
      <c r="A360" s="33">
        <v>58</v>
      </c>
      <c r="B360" s="34" t="s">
        <v>293</v>
      </c>
      <c r="C360" s="35" t="s">
        <v>42</v>
      </c>
      <c r="D360" s="36">
        <v>21.54</v>
      </c>
      <c r="E360" s="36">
        <v>65.318799999999996</v>
      </c>
      <c r="F360" s="36">
        <f t="shared" si="70"/>
        <v>1406.9669519999998</v>
      </c>
      <c r="G360" s="37">
        <f t="shared" si="71"/>
        <v>0</v>
      </c>
      <c r="H360" s="38">
        <f t="shared" si="72"/>
        <v>0</v>
      </c>
      <c r="I360" s="37">
        <f t="shared" si="73"/>
        <v>0</v>
      </c>
      <c r="J360" s="38">
        <v>0</v>
      </c>
      <c r="K360" s="37">
        <f t="shared" si="74"/>
        <v>0</v>
      </c>
      <c r="L360" s="38">
        <v>0</v>
      </c>
    </row>
    <row r="361" spans="1:12" s="39" customFormat="1" ht="15.45" customHeight="1" outlineLevel="1" x14ac:dyDescent="0.25">
      <c r="A361" s="33">
        <v>59</v>
      </c>
      <c r="B361" s="34" t="s">
        <v>294</v>
      </c>
      <c r="C361" s="35" t="s">
        <v>28</v>
      </c>
      <c r="D361" s="36">
        <v>538.4</v>
      </c>
      <c r="E361" s="36">
        <v>7.0734339999999998</v>
      </c>
      <c r="F361" s="36">
        <f t="shared" si="70"/>
        <v>3808.3368655999998</v>
      </c>
      <c r="G361" s="37">
        <f t="shared" si="71"/>
        <v>0</v>
      </c>
      <c r="H361" s="38">
        <f t="shared" si="72"/>
        <v>0</v>
      </c>
      <c r="I361" s="37">
        <f t="shared" si="73"/>
        <v>0</v>
      </c>
      <c r="J361" s="38">
        <v>0</v>
      </c>
      <c r="K361" s="37">
        <f t="shared" si="74"/>
        <v>0</v>
      </c>
      <c r="L361" s="38">
        <v>0</v>
      </c>
    </row>
    <row r="362" spans="1:12" s="39" customFormat="1" ht="28.95" customHeight="1" outlineLevel="1" x14ac:dyDescent="0.25">
      <c r="A362" s="33">
        <v>60</v>
      </c>
      <c r="B362" s="34" t="s">
        <v>295</v>
      </c>
      <c r="C362" s="35" t="s">
        <v>28</v>
      </c>
      <c r="D362" s="36">
        <v>538.4</v>
      </c>
      <c r="E362" s="36">
        <v>1.885</v>
      </c>
      <c r="F362" s="36">
        <f t="shared" si="70"/>
        <v>1014.884</v>
      </c>
      <c r="G362" s="37">
        <f t="shared" si="71"/>
        <v>0</v>
      </c>
      <c r="H362" s="38">
        <f t="shared" si="72"/>
        <v>0</v>
      </c>
      <c r="I362" s="37">
        <f t="shared" si="73"/>
        <v>0</v>
      </c>
      <c r="J362" s="38">
        <v>0</v>
      </c>
      <c r="K362" s="37">
        <f t="shared" si="74"/>
        <v>0</v>
      </c>
      <c r="L362" s="38">
        <v>0</v>
      </c>
    </row>
    <row r="363" spans="1:12" s="39" customFormat="1" ht="15.45" customHeight="1" outlineLevel="1" x14ac:dyDescent="0.25">
      <c r="A363" s="33">
        <v>62</v>
      </c>
      <c r="B363" s="34" t="s">
        <v>293</v>
      </c>
      <c r="C363" s="35" t="s">
        <v>42</v>
      </c>
      <c r="D363" s="36">
        <v>1.56</v>
      </c>
      <c r="E363" s="36">
        <v>65.318799999999996</v>
      </c>
      <c r="F363" s="36">
        <f t="shared" si="70"/>
        <v>101.897328</v>
      </c>
      <c r="G363" s="37">
        <f t="shared" si="71"/>
        <v>0</v>
      </c>
      <c r="H363" s="38">
        <f t="shared" si="72"/>
        <v>0</v>
      </c>
      <c r="I363" s="37">
        <f t="shared" si="73"/>
        <v>0</v>
      </c>
      <c r="J363" s="38">
        <v>0</v>
      </c>
      <c r="K363" s="37">
        <f t="shared" si="74"/>
        <v>0</v>
      </c>
      <c r="L363" s="38">
        <v>0</v>
      </c>
    </row>
    <row r="364" spans="1:12" s="39" customFormat="1" ht="28.95" customHeight="1" outlineLevel="1" x14ac:dyDescent="0.25">
      <c r="A364" s="33">
        <v>63</v>
      </c>
      <c r="B364" s="34" t="s">
        <v>237</v>
      </c>
      <c r="C364" s="35" t="s">
        <v>30</v>
      </c>
      <c r="D364" s="36">
        <v>5.2999999999999999E-2</v>
      </c>
      <c r="E364" s="36">
        <v>447.25</v>
      </c>
      <c r="F364" s="36">
        <f t="shared" si="70"/>
        <v>23.704249999999998</v>
      </c>
      <c r="G364" s="37">
        <f t="shared" si="71"/>
        <v>0</v>
      </c>
      <c r="H364" s="38">
        <f t="shared" si="72"/>
        <v>0</v>
      </c>
      <c r="I364" s="37">
        <f t="shared" si="73"/>
        <v>0</v>
      </c>
      <c r="J364" s="38">
        <v>0</v>
      </c>
      <c r="K364" s="37">
        <f t="shared" si="74"/>
        <v>0</v>
      </c>
      <c r="L364" s="38">
        <v>0</v>
      </c>
    </row>
    <row r="365" spans="1:12" s="39" customFormat="1" ht="15.45" customHeight="1" outlineLevel="1" x14ac:dyDescent="0.25">
      <c r="A365" s="33">
        <v>64</v>
      </c>
      <c r="B365" s="34" t="s">
        <v>292</v>
      </c>
      <c r="C365" s="35" t="s">
        <v>30</v>
      </c>
      <c r="D365" s="36">
        <v>5.2999999999999999E-2</v>
      </c>
      <c r="E365" s="36">
        <v>1389.134</v>
      </c>
      <c r="F365" s="36">
        <f t="shared" si="70"/>
        <v>73.624101999999993</v>
      </c>
      <c r="G365" s="37">
        <f t="shared" si="71"/>
        <v>0</v>
      </c>
      <c r="H365" s="38">
        <f t="shared" si="72"/>
        <v>0</v>
      </c>
      <c r="I365" s="37">
        <f t="shared" si="73"/>
        <v>0</v>
      </c>
      <c r="J365" s="38">
        <v>0</v>
      </c>
      <c r="K365" s="37">
        <f t="shared" si="74"/>
        <v>0</v>
      </c>
      <c r="L365" s="38">
        <v>0</v>
      </c>
    </row>
    <row r="366" spans="1:12" s="39" customFormat="1" ht="15.45" customHeight="1" outlineLevel="1" x14ac:dyDescent="0.25">
      <c r="A366" s="33">
        <v>65</v>
      </c>
      <c r="B366" s="34" t="s">
        <v>47</v>
      </c>
      <c r="C366" s="35" t="s">
        <v>28</v>
      </c>
      <c r="D366" s="36">
        <v>39</v>
      </c>
      <c r="E366" s="36">
        <v>5.4732580000000004</v>
      </c>
      <c r="F366" s="36">
        <f t="shared" si="70"/>
        <v>213.45706200000001</v>
      </c>
      <c r="G366" s="37">
        <f t="shared" si="71"/>
        <v>0</v>
      </c>
      <c r="H366" s="38">
        <f t="shared" si="72"/>
        <v>0</v>
      </c>
      <c r="I366" s="37">
        <f t="shared" si="73"/>
        <v>0</v>
      </c>
      <c r="J366" s="38">
        <v>0</v>
      </c>
      <c r="K366" s="37">
        <f t="shared" si="74"/>
        <v>0</v>
      </c>
      <c r="L366" s="38">
        <v>0</v>
      </c>
    </row>
    <row r="367" spans="1:12" s="39" customFormat="1" ht="28.95" customHeight="1" outlineLevel="1" x14ac:dyDescent="0.25">
      <c r="A367" s="33">
        <v>66</v>
      </c>
      <c r="B367" s="34" t="s">
        <v>296</v>
      </c>
      <c r="C367" s="35" t="s">
        <v>28</v>
      </c>
      <c r="D367" s="36">
        <v>39</v>
      </c>
      <c r="E367" s="36">
        <v>1.4259999999999999</v>
      </c>
      <c r="F367" s="36">
        <f t="shared" si="70"/>
        <v>55.613999999999997</v>
      </c>
      <c r="G367" s="37">
        <f t="shared" si="71"/>
        <v>0</v>
      </c>
      <c r="H367" s="38">
        <f t="shared" si="72"/>
        <v>0</v>
      </c>
      <c r="I367" s="37">
        <f t="shared" si="73"/>
        <v>0</v>
      </c>
      <c r="J367" s="38">
        <v>0</v>
      </c>
      <c r="K367" s="37">
        <f t="shared" si="74"/>
        <v>0</v>
      </c>
      <c r="L367" s="38">
        <v>0</v>
      </c>
    </row>
    <row r="368" spans="1:12" s="45" customFormat="1" ht="28.95" customHeight="1" x14ac:dyDescent="0.3">
      <c r="A368" s="33">
        <v>67</v>
      </c>
      <c r="B368" s="34" t="s">
        <v>280</v>
      </c>
      <c r="C368" s="35" t="s">
        <v>28</v>
      </c>
      <c r="D368" s="36">
        <v>39</v>
      </c>
      <c r="E368" s="36">
        <v>9.2799999999999994</v>
      </c>
      <c r="F368" s="36">
        <f t="shared" si="70"/>
        <v>361.91999999999996</v>
      </c>
      <c r="G368" s="37">
        <f t="shared" si="71"/>
        <v>0</v>
      </c>
      <c r="H368" s="38">
        <f t="shared" si="72"/>
        <v>0</v>
      </c>
      <c r="I368" s="37">
        <f t="shared" si="73"/>
        <v>0</v>
      </c>
      <c r="J368" s="38">
        <v>0</v>
      </c>
      <c r="K368" s="37">
        <f t="shared" si="74"/>
        <v>0</v>
      </c>
      <c r="L368" s="38">
        <v>0</v>
      </c>
    </row>
    <row r="369" spans="1:12" s="39" customFormat="1" ht="28.95" customHeight="1" outlineLevel="1" x14ac:dyDescent="0.25">
      <c r="A369" s="33">
        <v>68</v>
      </c>
      <c r="B369" s="34" t="s">
        <v>281</v>
      </c>
      <c r="C369" s="35" t="s">
        <v>28</v>
      </c>
      <c r="D369" s="36">
        <v>39</v>
      </c>
      <c r="E369" s="36">
        <v>8.26</v>
      </c>
      <c r="F369" s="36">
        <f t="shared" si="70"/>
        <v>322.14</v>
      </c>
      <c r="G369" s="37">
        <f t="shared" si="71"/>
        <v>0</v>
      </c>
      <c r="H369" s="38">
        <f t="shared" si="72"/>
        <v>0</v>
      </c>
      <c r="I369" s="37">
        <f t="shared" si="73"/>
        <v>0</v>
      </c>
      <c r="J369" s="38">
        <v>0</v>
      </c>
      <c r="K369" s="37">
        <f t="shared" si="74"/>
        <v>0</v>
      </c>
      <c r="L369" s="38">
        <v>0</v>
      </c>
    </row>
    <row r="370" spans="1:12" s="39" customFormat="1" ht="15.45" customHeight="1" outlineLevel="1" x14ac:dyDescent="0.25">
      <c r="A370" s="33">
        <v>69</v>
      </c>
      <c r="B370" s="34" t="s">
        <v>47</v>
      </c>
      <c r="C370" s="35" t="s">
        <v>28</v>
      </c>
      <c r="D370" s="36">
        <v>39</v>
      </c>
      <c r="E370" s="36">
        <v>5.4732580000000004</v>
      </c>
      <c r="F370" s="36">
        <f t="shared" si="70"/>
        <v>213.45706200000001</v>
      </c>
      <c r="G370" s="37">
        <f t="shared" si="71"/>
        <v>0</v>
      </c>
      <c r="H370" s="38">
        <f t="shared" si="72"/>
        <v>0</v>
      </c>
      <c r="I370" s="37">
        <f t="shared" si="73"/>
        <v>0</v>
      </c>
      <c r="J370" s="38">
        <v>0</v>
      </c>
      <c r="K370" s="37">
        <f t="shared" si="74"/>
        <v>0</v>
      </c>
      <c r="L370" s="38">
        <v>0</v>
      </c>
    </row>
    <row r="371" spans="1:12" s="39" customFormat="1" ht="15.45" customHeight="1" outlineLevel="1" x14ac:dyDescent="0.25">
      <c r="A371" s="33">
        <v>70</v>
      </c>
      <c r="B371" s="34" t="s">
        <v>279</v>
      </c>
      <c r="C371" s="35" t="s">
        <v>28</v>
      </c>
      <c r="D371" s="36">
        <v>39</v>
      </c>
      <c r="E371" s="36">
        <v>1.4259999999999999</v>
      </c>
      <c r="F371" s="36">
        <f t="shared" si="70"/>
        <v>55.613999999999997</v>
      </c>
      <c r="G371" s="37">
        <f t="shared" si="71"/>
        <v>0</v>
      </c>
      <c r="H371" s="38">
        <f t="shared" si="72"/>
        <v>0</v>
      </c>
      <c r="I371" s="37">
        <f t="shared" si="73"/>
        <v>0</v>
      </c>
      <c r="J371" s="38">
        <v>0</v>
      </c>
      <c r="K371" s="37">
        <f t="shared" si="74"/>
        <v>0</v>
      </c>
      <c r="L371" s="38">
        <v>0</v>
      </c>
    </row>
    <row r="372" spans="1:12" s="39" customFormat="1" ht="15.45" customHeight="1" outlineLevel="1" x14ac:dyDescent="0.25">
      <c r="A372" s="33">
        <v>72</v>
      </c>
      <c r="B372" s="34" t="s">
        <v>293</v>
      </c>
      <c r="C372" s="35" t="s">
        <v>42</v>
      </c>
      <c r="D372" s="36">
        <v>6.4</v>
      </c>
      <c r="E372" s="36">
        <v>65.318799999999996</v>
      </c>
      <c r="F372" s="36">
        <f t="shared" si="70"/>
        <v>418.04032000000001</v>
      </c>
      <c r="G372" s="37">
        <f t="shared" si="71"/>
        <v>0</v>
      </c>
      <c r="H372" s="38">
        <f t="shared" si="72"/>
        <v>0</v>
      </c>
      <c r="I372" s="37">
        <f t="shared" si="73"/>
        <v>0</v>
      </c>
      <c r="J372" s="38">
        <v>0</v>
      </c>
      <c r="K372" s="37">
        <f t="shared" si="74"/>
        <v>0</v>
      </c>
      <c r="L372" s="38">
        <v>0</v>
      </c>
    </row>
    <row r="373" spans="1:12" s="39" customFormat="1" ht="28.95" customHeight="1" outlineLevel="1" x14ac:dyDescent="0.25">
      <c r="A373" s="33">
        <v>73</v>
      </c>
      <c r="B373" s="34" t="s">
        <v>237</v>
      </c>
      <c r="C373" s="35" t="s">
        <v>30</v>
      </c>
      <c r="D373" s="36">
        <v>0.216</v>
      </c>
      <c r="E373" s="36">
        <v>447.25</v>
      </c>
      <c r="F373" s="36">
        <f t="shared" si="70"/>
        <v>96.605999999999995</v>
      </c>
      <c r="G373" s="37">
        <f t="shared" si="71"/>
        <v>0</v>
      </c>
      <c r="H373" s="38">
        <f t="shared" si="72"/>
        <v>0</v>
      </c>
      <c r="I373" s="37">
        <f t="shared" si="73"/>
        <v>0</v>
      </c>
      <c r="J373" s="38">
        <v>0</v>
      </c>
      <c r="K373" s="37">
        <f t="shared" si="74"/>
        <v>0</v>
      </c>
      <c r="L373" s="38">
        <v>0</v>
      </c>
    </row>
    <row r="374" spans="1:12" s="39" customFormat="1" ht="15.45" customHeight="1" outlineLevel="1" x14ac:dyDescent="0.25">
      <c r="A374" s="33">
        <v>74</v>
      </c>
      <c r="B374" s="34" t="s">
        <v>278</v>
      </c>
      <c r="C374" s="35" t="s">
        <v>30</v>
      </c>
      <c r="D374" s="36">
        <v>0.216</v>
      </c>
      <c r="E374" s="36">
        <v>1311.1</v>
      </c>
      <c r="F374" s="36">
        <f t="shared" si="70"/>
        <v>283.19759999999997</v>
      </c>
      <c r="G374" s="37">
        <f t="shared" si="71"/>
        <v>0</v>
      </c>
      <c r="H374" s="38">
        <f t="shared" si="72"/>
        <v>0</v>
      </c>
      <c r="I374" s="37">
        <f t="shared" si="73"/>
        <v>0</v>
      </c>
      <c r="J374" s="38">
        <v>0</v>
      </c>
      <c r="K374" s="37">
        <f t="shared" si="74"/>
        <v>0</v>
      </c>
      <c r="L374" s="38">
        <v>0</v>
      </c>
    </row>
    <row r="375" spans="1:12" s="39" customFormat="1" ht="15.45" customHeight="1" outlineLevel="1" x14ac:dyDescent="0.25">
      <c r="A375" s="33">
        <v>75</v>
      </c>
      <c r="B375" s="34" t="s">
        <v>47</v>
      </c>
      <c r="C375" s="35" t="s">
        <v>28</v>
      </c>
      <c r="D375" s="36">
        <v>160</v>
      </c>
      <c r="E375" s="36">
        <v>5.4732580000000004</v>
      </c>
      <c r="F375" s="36">
        <f t="shared" si="70"/>
        <v>875.72128000000009</v>
      </c>
      <c r="G375" s="37">
        <f t="shared" si="71"/>
        <v>0</v>
      </c>
      <c r="H375" s="38">
        <f t="shared" si="72"/>
        <v>0</v>
      </c>
      <c r="I375" s="37">
        <f t="shared" si="73"/>
        <v>0</v>
      </c>
      <c r="J375" s="38">
        <v>0</v>
      </c>
      <c r="K375" s="37">
        <f t="shared" si="74"/>
        <v>0</v>
      </c>
      <c r="L375" s="38">
        <v>0</v>
      </c>
    </row>
    <row r="376" spans="1:12" s="46" customFormat="1" ht="15.45" customHeight="1" outlineLevel="1" x14ac:dyDescent="0.35">
      <c r="A376" s="33">
        <v>76</v>
      </c>
      <c r="B376" s="34" t="s">
        <v>297</v>
      </c>
      <c r="C376" s="35" t="s">
        <v>28</v>
      </c>
      <c r="D376" s="36">
        <v>160</v>
      </c>
      <c r="E376" s="36">
        <v>1.4259999999999999</v>
      </c>
      <c r="F376" s="36">
        <f t="shared" ref="F376:F407" si="75">+E376*D376</f>
        <v>228.16</v>
      </c>
      <c r="G376" s="37">
        <f t="shared" si="71"/>
        <v>0</v>
      </c>
      <c r="H376" s="38">
        <f t="shared" si="72"/>
        <v>0</v>
      </c>
      <c r="I376" s="37">
        <f t="shared" ref="I376:I407" si="76">J376/F376</f>
        <v>0</v>
      </c>
      <c r="J376" s="38">
        <v>0</v>
      </c>
      <c r="K376" s="37">
        <f t="shared" ref="K376:K407" si="77">L376/F376</f>
        <v>0</v>
      </c>
      <c r="L376" s="38">
        <v>0</v>
      </c>
    </row>
    <row r="377" spans="1:12" s="39" customFormat="1" ht="15.45" customHeight="1" outlineLevel="1" x14ac:dyDescent="0.25">
      <c r="A377" s="33">
        <v>78</v>
      </c>
      <c r="B377" s="34" t="s">
        <v>47</v>
      </c>
      <c r="C377" s="35" t="s">
        <v>28</v>
      </c>
      <c r="D377" s="36">
        <v>35.4</v>
      </c>
      <c r="E377" s="36">
        <v>5.4732580000000004</v>
      </c>
      <c r="F377" s="36">
        <f t="shared" si="75"/>
        <v>193.75333320000001</v>
      </c>
      <c r="G377" s="37">
        <f t="shared" si="71"/>
        <v>0</v>
      </c>
      <c r="H377" s="38">
        <f t="shared" si="72"/>
        <v>0</v>
      </c>
      <c r="I377" s="37">
        <f t="shared" si="76"/>
        <v>0</v>
      </c>
      <c r="J377" s="38">
        <v>0</v>
      </c>
      <c r="K377" s="37">
        <f t="shared" si="77"/>
        <v>0</v>
      </c>
      <c r="L377" s="38">
        <v>0</v>
      </c>
    </row>
    <row r="378" spans="1:12" s="39" customFormat="1" ht="15.45" customHeight="1" outlineLevel="1" x14ac:dyDescent="0.25">
      <c r="A378" s="33">
        <v>79</v>
      </c>
      <c r="B378" s="34" t="s">
        <v>297</v>
      </c>
      <c r="C378" s="35" t="s">
        <v>28</v>
      </c>
      <c r="D378" s="36">
        <v>35.4</v>
      </c>
      <c r="E378" s="36">
        <v>1.4259999999999999</v>
      </c>
      <c r="F378" s="36">
        <f t="shared" si="75"/>
        <v>50.480399999999996</v>
      </c>
      <c r="G378" s="37">
        <f t="shared" si="71"/>
        <v>0</v>
      </c>
      <c r="H378" s="38">
        <f t="shared" si="72"/>
        <v>0</v>
      </c>
      <c r="I378" s="37">
        <f t="shared" si="76"/>
        <v>0</v>
      </c>
      <c r="J378" s="38">
        <v>0</v>
      </c>
      <c r="K378" s="37">
        <f t="shared" si="77"/>
        <v>0</v>
      </c>
      <c r="L378" s="38">
        <v>0</v>
      </c>
    </row>
    <row r="379" spans="1:12" s="39" customFormat="1" ht="15.45" customHeight="1" outlineLevel="1" x14ac:dyDescent="0.25">
      <c r="A379" s="31" t="s">
        <v>35</v>
      </c>
      <c r="B379" s="40" t="s">
        <v>36</v>
      </c>
      <c r="C379" s="41">
        <v>0</v>
      </c>
      <c r="D379" s="42"/>
      <c r="E379" s="42"/>
      <c r="F379" s="42"/>
      <c r="G379" s="43"/>
      <c r="H379" s="44"/>
      <c r="I379" s="43"/>
      <c r="J379" s="44"/>
      <c r="K379" s="43"/>
      <c r="L379" s="44">
        <v>0</v>
      </c>
    </row>
    <row r="380" spans="1:12" s="39" customFormat="1" ht="28.95" customHeight="1" outlineLevel="1" x14ac:dyDescent="0.25">
      <c r="A380" s="33">
        <v>2</v>
      </c>
      <c r="B380" s="34" t="s">
        <v>298</v>
      </c>
      <c r="C380" s="35" t="s">
        <v>28</v>
      </c>
      <c r="D380" s="36">
        <v>1983.9</v>
      </c>
      <c r="E380" s="36">
        <v>6.5271220000000003</v>
      </c>
      <c r="F380" s="36">
        <f t="shared" ref="F380:F389" si="78">+E380*D380</f>
        <v>12949.157335800001</v>
      </c>
      <c r="G380" s="37">
        <f t="shared" ref="G380:G389" si="79">I380+K380</f>
        <v>0</v>
      </c>
      <c r="H380" s="38">
        <f t="shared" ref="H380:H389" si="80">J380+L380</f>
        <v>0</v>
      </c>
      <c r="I380" s="37">
        <f t="shared" ref="I380:I389" si="81">J380/F380</f>
        <v>0</v>
      </c>
      <c r="J380" s="38">
        <v>0</v>
      </c>
      <c r="K380" s="37">
        <f t="shared" ref="K380:K389" si="82">L380/F380</f>
        <v>0</v>
      </c>
      <c r="L380" s="38">
        <v>0</v>
      </c>
    </row>
    <row r="381" spans="1:12" s="39" customFormat="1" ht="28.95" customHeight="1" outlineLevel="1" x14ac:dyDescent="0.25">
      <c r="A381" s="33">
        <v>3</v>
      </c>
      <c r="B381" s="34" t="s">
        <v>299</v>
      </c>
      <c r="C381" s="35" t="s">
        <v>28</v>
      </c>
      <c r="D381" s="36">
        <v>1983.9</v>
      </c>
      <c r="E381" s="36">
        <v>8.2566339999999983</v>
      </c>
      <c r="F381" s="36">
        <f t="shared" si="78"/>
        <v>16380.336192599998</v>
      </c>
      <c r="G381" s="37">
        <f t="shared" si="79"/>
        <v>0</v>
      </c>
      <c r="H381" s="38">
        <f t="shared" si="80"/>
        <v>0</v>
      </c>
      <c r="I381" s="37">
        <f t="shared" si="81"/>
        <v>0</v>
      </c>
      <c r="J381" s="38">
        <v>0</v>
      </c>
      <c r="K381" s="37">
        <f t="shared" si="82"/>
        <v>0</v>
      </c>
      <c r="L381" s="38">
        <v>0</v>
      </c>
    </row>
    <row r="382" spans="1:12" s="45" customFormat="1" ht="28.95" customHeight="1" x14ac:dyDescent="0.3">
      <c r="A382" s="33">
        <v>4</v>
      </c>
      <c r="B382" s="34" t="s">
        <v>300</v>
      </c>
      <c r="C382" s="35" t="s">
        <v>28</v>
      </c>
      <c r="D382" s="36">
        <v>96</v>
      </c>
      <c r="E382" s="36">
        <v>32.798139999999997</v>
      </c>
      <c r="F382" s="36">
        <f t="shared" si="78"/>
        <v>3148.6214399999999</v>
      </c>
      <c r="G382" s="37">
        <f t="shared" si="79"/>
        <v>0</v>
      </c>
      <c r="H382" s="38">
        <f t="shared" si="80"/>
        <v>0</v>
      </c>
      <c r="I382" s="37">
        <f t="shared" si="81"/>
        <v>0</v>
      </c>
      <c r="J382" s="38">
        <v>0</v>
      </c>
      <c r="K382" s="37">
        <f t="shared" si="82"/>
        <v>0</v>
      </c>
      <c r="L382" s="38">
        <v>0</v>
      </c>
    </row>
    <row r="383" spans="1:12" s="39" customFormat="1" ht="28.95" customHeight="1" outlineLevel="1" x14ac:dyDescent="0.25">
      <c r="A383" s="33">
        <v>5</v>
      </c>
      <c r="B383" s="34" t="s">
        <v>301</v>
      </c>
      <c r="C383" s="35" t="s">
        <v>28</v>
      </c>
      <c r="D383" s="36">
        <v>96</v>
      </c>
      <c r="E383" s="36">
        <v>5.71</v>
      </c>
      <c r="F383" s="36">
        <f t="shared" si="78"/>
        <v>548.16</v>
      </c>
      <c r="G383" s="37">
        <f t="shared" si="79"/>
        <v>0</v>
      </c>
      <c r="H383" s="38">
        <f t="shared" si="80"/>
        <v>0</v>
      </c>
      <c r="I383" s="37">
        <f t="shared" si="81"/>
        <v>0</v>
      </c>
      <c r="J383" s="38">
        <v>0</v>
      </c>
      <c r="K383" s="37">
        <f t="shared" si="82"/>
        <v>0</v>
      </c>
      <c r="L383" s="38">
        <v>0</v>
      </c>
    </row>
    <row r="384" spans="1:12" s="39" customFormat="1" ht="15.45" customHeight="1" outlineLevel="1" x14ac:dyDescent="0.25">
      <c r="A384" s="33">
        <v>6</v>
      </c>
      <c r="B384" s="34" t="s">
        <v>302</v>
      </c>
      <c r="C384" s="35" t="s">
        <v>28</v>
      </c>
      <c r="D384" s="36">
        <v>86.6</v>
      </c>
      <c r="E384" s="36">
        <v>95.817717999999999</v>
      </c>
      <c r="F384" s="36">
        <f t="shared" si="78"/>
        <v>8297.8143787999998</v>
      </c>
      <c r="G384" s="37">
        <f t="shared" si="79"/>
        <v>0</v>
      </c>
      <c r="H384" s="38">
        <f t="shared" si="80"/>
        <v>0</v>
      </c>
      <c r="I384" s="37">
        <f t="shared" si="81"/>
        <v>0</v>
      </c>
      <c r="J384" s="38">
        <v>0</v>
      </c>
      <c r="K384" s="37">
        <f t="shared" si="82"/>
        <v>0</v>
      </c>
      <c r="L384" s="38">
        <v>0</v>
      </c>
    </row>
    <row r="385" spans="1:12" s="39" customFormat="1" ht="15.45" customHeight="1" outlineLevel="1" x14ac:dyDescent="0.25">
      <c r="A385" s="33">
        <v>8</v>
      </c>
      <c r="B385" s="34" t="s">
        <v>303</v>
      </c>
      <c r="C385" s="35" t="s">
        <v>28</v>
      </c>
      <c r="D385" s="36">
        <v>3260</v>
      </c>
      <c r="E385" s="36">
        <v>2.84</v>
      </c>
      <c r="F385" s="36">
        <f t="shared" si="78"/>
        <v>9258.4</v>
      </c>
      <c r="G385" s="37">
        <f t="shared" si="79"/>
        <v>0</v>
      </c>
      <c r="H385" s="38">
        <f t="shared" si="80"/>
        <v>0</v>
      </c>
      <c r="I385" s="37">
        <f t="shared" si="81"/>
        <v>0</v>
      </c>
      <c r="J385" s="38">
        <v>0</v>
      </c>
      <c r="K385" s="37">
        <f t="shared" si="82"/>
        <v>0</v>
      </c>
      <c r="L385" s="38">
        <v>0</v>
      </c>
    </row>
    <row r="386" spans="1:12" s="39" customFormat="1" ht="28.95" customHeight="1" outlineLevel="1" x14ac:dyDescent="0.25">
      <c r="A386" s="33">
        <v>9</v>
      </c>
      <c r="B386" s="34" t="s">
        <v>304</v>
      </c>
      <c r="C386" s="35" t="s">
        <v>28</v>
      </c>
      <c r="D386" s="36">
        <v>3647</v>
      </c>
      <c r="E386" s="36">
        <v>12.792778</v>
      </c>
      <c r="F386" s="36">
        <f t="shared" si="78"/>
        <v>46655.261365999999</v>
      </c>
      <c r="G386" s="37">
        <f t="shared" si="79"/>
        <v>0</v>
      </c>
      <c r="H386" s="38">
        <f t="shared" si="80"/>
        <v>0</v>
      </c>
      <c r="I386" s="37">
        <f t="shared" si="81"/>
        <v>0</v>
      </c>
      <c r="J386" s="38">
        <v>0</v>
      </c>
      <c r="K386" s="37">
        <f t="shared" si="82"/>
        <v>0</v>
      </c>
      <c r="L386" s="38">
        <v>0</v>
      </c>
    </row>
    <row r="387" spans="1:12" s="39" customFormat="1" ht="28.95" customHeight="1" outlineLevel="1" x14ac:dyDescent="0.25">
      <c r="A387" s="33">
        <v>10</v>
      </c>
      <c r="B387" s="34" t="s">
        <v>305</v>
      </c>
      <c r="C387" s="35" t="s">
        <v>28</v>
      </c>
      <c r="D387" s="36">
        <v>3647</v>
      </c>
      <c r="E387" s="36">
        <v>5.71</v>
      </c>
      <c r="F387" s="36">
        <f t="shared" si="78"/>
        <v>20824.37</v>
      </c>
      <c r="G387" s="37">
        <f t="shared" si="79"/>
        <v>0</v>
      </c>
      <c r="H387" s="38">
        <f t="shared" si="80"/>
        <v>0</v>
      </c>
      <c r="I387" s="37">
        <f t="shared" si="81"/>
        <v>0</v>
      </c>
      <c r="J387" s="38">
        <v>0</v>
      </c>
      <c r="K387" s="37">
        <f t="shared" si="82"/>
        <v>0</v>
      </c>
      <c r="L387" s="38">
        <v>0</v>
      </c>
    </row>
    <row r="388" spans="1:12" s="39" customFormat="1" ht="28.95" customHeight="1" outlineLevel="1" x14ac:dyDescent="0.25">
      <c r="A388" s="33">
        <v>11</v>
      </c>
      <c r="B388" s="34" t="s">
        <v>306</v>
      </c>
      <c r="C388" s="35" t="s">
        <v>28</v>
      </c>
      <c r="D388" s="36">
        <v>474.2</v>
      </c>
      <c r="E388" s="36">
        <v>10.837234</v>
      </c>
      <c r="F388" s="36">
        <f t="shared" si="78"/>
        <v>5139.0163628</v>
      </c>
      <c r="G388" s="37">
        <f t="shared" si="79"/>
        <v>0</v>
      </c>
      <c r="H388" s="38">
        <f t="shared" si="80"/>
        <v>0</v>
      </c>
      <c r="I388" s="37">
        <f t="shared" si="81"/>
        <v>0</v>
      </c>
      <c r="J388" s="38">
        <v>0</v>
      </c>
      <c r="K388" s="37">
        <f t="shared" si="82"/>
        <v>0</v>
      </c>
      <c r="L388" s="38">
        <v>0</v>
      </c>
    </row>
    <row r="389" spans="1:12" s="39" customFormat="1" ht="43.5" customHeight="1" outlineLevel="1" x14ac:dyDescent="0.25">
      <c r="A389" s="33">
        <v>12</v>
      </c>
      <c r="B389" s="34" t="s">
        <v>307</v>
      </c>
      <c r="C389" s="35" t="s">
        <v>28</v>
      </c>
      <c r="D389" s="36">
        <v>474.2</v>
      </c>
      <c r="E389" s="36">
        <v>40.140304</v>
      </c>
      <c r="F389" s="36">
        <f t="shared" si="78"/>
        <v>19034.5321568</v>
      </c>
      <c r="G389" s="37">
        <f t="shared" si="79"/>
        <v>0</v>
      </c>
      <c r="H389" s="38">
        <f t="shared" si="80"/>
        <v>0</v>
      </c>
      <c r="I389" s="37">
        <f t="shared" si="81"/>
        <v>0</v>
      </c>
      <c r="J389" s="38">
        <v>0</v>
      </c>
      <c r="K389" s="37">
        <f t="shared" si="82"/>
        <v>0</v>
      </c>
      <c r="L389" s="38">
        <v>0</v>
      </c>
    </row>
    <row r="390" spans="1:12" s="39" customFormat="1" ht="15.45" customHeight="1" outlineLevel="1" x14ac:dyDescent="0.25">
      <c r="A390" s="31" t="s">
        <v>308</v>
      </c>
      <c r="B390" s="40" t="s">
        <v>309</v>
      </c>
      <c r="C390" s="41">
        <v>0</v>
      </c>
      <c r="D390" s="42"/>
      <c r="E390" s="42"/>
      <c r="F390" s="42"/>
      <c r="G390" s="43"/>
      <c r="H390" s="44"/>
      <c r="I390" s="43"/>
      <c r="J390" s="44"/>
      <c r="K390" s="43"/>
      <c r="L390" s="44">
        <v>0</v>
      </c>
    </row>
    <row r="391" spans="1:12" s="39" customFormat="1" ht="15.45" customHeight="1" outlineLevel="1" x14ac:dyDescent="0.25">
      <c r="A391" s="33">
        <v>1</v>
      </c>
      <c r="B391" s="34" t="s">
        <v>310</v>
      </c>
      <c r="C391" s="35" t="s">
        <v>28</v>
      </c>
      <c r="D391" s="36">
        <v>860</v>
      </c>
      <c r="E391" s="36">
        <v>10.327336000000001</v>
      </c>
      <c r="F391" s="36">
        <f>+E391*D391</f>
        <v>8881.508960000001</v>
      </c>
      <c r="G391" s="37">
        <f t="shared" ref="G391:H395" si="83">I391+K391</f>
        <v>0</v>
      </c>
      <c r="H391" s="38">
        <f t="shared" si="83"/>
        <v>0</v>
      </c>
      <c r="I391" s="37">
        <f>J391/F391</f>
        <v>0</v>
      </c>
      <c r="J391" s="38">
        <v>0</v>
      </c>
      <c r="K391" s="37">
        <f>L391/F391</f>
        <v>0</v>
      </c>
      <c r="L391" s="38">
        <v>0</v>
      </c>
    </row>
    <row r="392" spans="1:12" s="39" customFormat="1" ht="58.05" customHeight="1" outlineLevel="1" x14ac:dyDescent="0.25">
      <c r="A392" s="33">
        <v>2</v>
      </c>
      <c r="B392" s="34" t="s">
        <v>311</v>
      </c>
      <c r="C392" s="35" t="s">
        <v>28</v>
      </c>
      <c r="D392" s="36">
        <v>860</v>
      </c>
      <c r="E392" s="36">
        <v>35.799999999999997</v>
      </c>
      <c r="F392" s="36">
        <f>+E392*D392</f>
        <v>30787.999999999996</v>
      </c>
      <c r="G392" s="37">
        <f t="shared" si="83"/>
        <v>0</v>
      </c>
      <c r="H392" s="38">
        <f t="shared" si="83"/>
        <v>0</v>
      </c>
      <c r="I392" s="37">
        <f>J392/F392</f>
        <v>0</v>
      </c>
      <c r="J392" s="38">
        <v>0</v>
      </c>
      <c r="K392" s="37">
        <f>L392/F392</f>
        <v>0</v>
      </c>
      <c r="L392" s="38">
        <v>0</v>
      </c>
    </row>
    <row r="393" spans="1:12" s="39" customFormat="1" ht="15.45" customHeight="1" outlineLevel="1" x14ac:dyDescent="0.25">
      <c r="A393" s="33">
        <v>3</v>
      </c>
      <c r="B393" s="34" t="s">
        <v>156</v>
      </c>
      <c r="C393" s="35" t="s">
        <v>42</v>
      </c>
      <c r="D393" s="36">
        <v>43</v>
      </c>
      <c r="E393" s="36">
        <v>66.499999999999986</v>
      </c>
      <c r="F393" s="36">
        <f>+E393*D393</f>
        <v>2859.4999999999995</v>
      </c>
      <c r="G393" s="37">
        <f t="shared" si="83"/>
        <v>0</v>
      </c>
      <c r="H393" s="38">
        <f t="shared" si="83"/>
        <v>0</v>
      </c>
      <c r="I393" s="37">
        <f>J393/F393</f>
        <v>0</v>
      </c>
      <c r="J393" s="38">
        <v>0</v>
      </c>
      <c r="K393" s="37">
        <f>L393/F393</f>
        <v>0</v>
      </c>
      <c r="L393" s="38">
        <v>0</v>
      </c>
    </row>
    <row r="394" spans="1:12" s="39" customFormat="1" ht="28.95" customHeight="1" outlineLevel="1" x14ac:dyDescent="0.25">
      <c r="A394" s="33">
        <v>4</v>
      </c>
      <c r="B394" s="34" t="s">
        <v>312</v>
      </c>
      <c r="C394" s="35" t="s">
        <v>28</v>
      </c>
      <c r="D394" s="36">
        <v>120</v>
      </c>
      <c r="E394" s="36">
        <v>28.66</v>
      </c>
      <c r="F394" s="36">
        <f>+E394*D394</f>
        <v>3439.2</v>
      </c>
      <c r="G394" s="37">
        <f t="shared" si="83"/>
        <v>0</v>
      </c>
      <c r="H394" s="38">
        <f t="shared" si="83"/>
        <v>0</v>
      </c>
      <c r="I394" s="37">
        <f>J394/F394</f>
        <v>0</v>
      </c>
      <c r="J394" s="38">
        <v>0</v>
      </c>
      <c r="K394" s="37">
        <f>L394/F394</f>
        <v>0</v>
      </c>
      <c r="L394" s="38">
        <v>0</v>
      </c>
    </row>
    <row r="395" spans="1:12" s="39" customFormat="1" ht="28.95" customHeight="1" outlineLevel="1" x14ac:dyDescent="0.25">
      <c r="A395" s="33">
        <v>5</v>
      </c>
      <c r="B395" s="34" t="s">
        <v>313</v>
      </c>
      <c r="C395" s="35" t="s">
        <v>28</v>
      </c>
      <c r="D395" s="36">
        <v>1360</v>
      </c>
      <c r="E395" s="36">
        <v>6.8142519999999998</v>
      </c>
      <c r="F395" s="36">
        <f>+E395*D395</f>
        <v>9267.3827199999996</v>
      </c>
      <c r="G395" s="37">
        <f t="shared" si="83"/>
        <v>0</v>
      </c>
      <c r="H395" s="38">
        <f t="shared" si="83"/>
        <v>0</v>
      </c>
      <c r="I395" s="37">
        <f>J395/F395</f>
        <v>0</v>
      </c>
      <c r="J395" s="38">
        <v>0</v>
      </c>
      <c r="K395" s="37">
        <f>L395/F395</f>
        <v>0</v>
      </c>
      <c r="L395" s="38">
        <v>0</v>
      </c>
    </row>
    <row r="396" spans="1:12" s="39" customFormat="1" ht="15.45" customHeight="1" outlineLevel="1" x14ac:dyDescent="0.25">
      <c r="A396" s="31" t="s">
        <v>314</v>
      </c>
      <c r="B396" s="40" t="s">
        <v>315</v>
      </c>
      <c r="C396" s="41">
        <v>0</v>
      </c>
      <c r="D396" s="42"/>
      <c r="E396" s="42"/>
      <c r="F396" s="42"/>
      <c r="G396" s="43"/>
      <c r="H396" s="44"/>
      <c r="I396" s="43"/>
      <c r="J396" s="44"/>
      <c r="K396" s="43"/>
      <c r="L396" s="44">
        <v>0</v>
      </c>
    </row>
    <row r="397" spans="1:12" s="45" customFormat="1" ht="28.95" customHeight="1" x14ac:dyDescent="0.3">
      <c r="A397" s="33">
        <v>1</v>
      </c>
      <c r="B397" s="34" t="s">
        <v>316</v>
      </c>
      <c r="C397" s="35" t="s">
        <v>42</v>
      </c>
      <c r="D397" s="36">
        <v>17.5</v>
      </c>
      <c r="E397" s="36">
        <v>8.16</v>
      </c>
      <c r="F397" s="36">
        <f t="shared" ref="F397:F415" si="84">+E397*D397</f>
        <v>142.80000000000001</v>
      </c>
      <c r="G397" s="37">
        <f t="shared" ref="G397:G415" si="85">I397+K397</f>
        <v>0</v>
      </c>
      <c r="H397" s="38">
        <f t="shared" ref="H397:H415" si="86">J397+L397</f>
        <v>0</v>
      </c>
      <c r="I397" s="37">
        <f t="shared" ref="I397:I415" si="87">J397/F397</f>
        <v>0</v>
      </c>
      <c r="J397" s="38">
        <v>0</v>
      </c>
      <c r="K397" s="37">
        <f t="shared" ref="K397:K415" si="88">L397/F397</f>
        <v>0</v>
      </c>
      <c r="L397" s="38">
        <v>0</v>
      </c>
    </row>
    <row r="398" spans="1:12" s="39" customFormat="1" ht="15.45" customHeight="1" outlineLevel="1" x14ac:dyDescent="0.25">
      <c r="A398" s="33">
        <v>2</v>
      </c>
      <c r="B398" s="34" t="s">
        <v>41</v>
      </c>
      <c r="C398" s="35" t="s">
        <v>42</v>
      </c>
      <c r="D398" s="36">
        <v>4</v>
      </c>
      <c r="E398" s="36">
        <v>32.74</v>
      </c>
      <c r="F398" s="36">
        <f t="shared" si="84"/>
        <v>130.96</v>
      </c>
      <c r="G398" s="37">
        <f t="shared" si="85"/>
        <v>0</v>
      </c>
      <c r="H398" s="38">
        <f t="shared" si="86"/>
        <v>0</v>
      </c>
      <c r="I398" s="37">
        <f t="shared" si="87"/>
        <v>0</v>
      </c>
      <c r="J398" s="38">
        <v>0</v>
      </c>
      <c r="K398" s="37">
        <f t="shared" si="88"/>
        <v>0</v>
      </c>
      <c r="L398" s="38">
        <v>0</v>
      </c>
    </row>
    <row r="399" spans="1:12" s="39" customFormat="1" ht="15.45" customHeight="1" outlineLevel="1" x14ac:dyDescent="0.25">
      <c r="A399" s="33">
        <v>3</v>
      </c>
      <c r="B399" s="34" t="s">
        <v>43</v>
      </c>
      <c r="C399" s="35" t="s">
        <v>42</v>
      </c>
      <c r="D399" s="36">
        <v>3.6</v>
      </c>
      <c r="E399" s="36">
        <v>124.1</v>
      </c>
      <c r="F399" s="36">
        <f t="shared" si="84"/>
        <v>446.76</v>
      </c>
      <c r="G399" s="37">
        <f t="shared" si="85"/>
        <v>0</v>
      </c>
      <c r="H399" s="38">
        <f t="shared" si="86"/>
        <v>0</v>
      </c>
      <c r="I399" s="37">
        <f t="shared" si="87"/>
        <v>0</v>
      </c>
      <c r="J399" s="38">
        <v>0</v>
      </c>
      <c r="K399" s="37">
        <f t="shared" si="88"/>
        <v>0</v>
      </c>
      <c r="L399" s="38">
        <v>0</v>
      </c>
    </row>
    <row r="400" spans="1:12" s="39" customFormat="1" ht="15.45" customHeight="1" outlineLevel="1" x14ac:dyDescent="0.25">
      <c r="A400" s="33">
        <v>4</v>
      </c>
      <c r="B400" s="34" t="s">
        <v>317</v>
      </c>
      <c r="C400" s="35" t="s">
        <v>42</v>
      </c>
      <c r="D400" s="36">
        <v>12.1</v>
      </c>
      <c r="E400" s="36">
        <v>133.019566</v>
      </c>
      <c r="F400" s="36">
        <f t="shared" si="84"/>
        <v>1609.5367486</v>
      </c>
      <c r="G400" s="37">
        <f t="shared" si="85"/>
        <v>0</v>
      </c>
      <c r="H400" s="38">
        <f t="shared" si="86"/>
        <v>0</v>
      </c>
      <c r="I400" s="37">
        <f t="shared" si="87"/>
        <v>0</v>
      </c>
      <c r="J400" s="38">
        <v>0</v>
      </c>
      <c r="K400" s="37">
        <f t="shared" si="88"/>
        <v>0</v>
      </c>
      <c r="L400" s="38">
        <v>0</v>
      </c>
    </row>
    <row r="401" spans="1:12" s="39" customFormat="1" ht="15.45" customHeight="1" outlineLevel="1" x14ac:dyDescent="0.25">
      <c r="A401" s="33">
        <v>5</v>
      </c>
      <c r="B401" s="34" t="s">
        <v>45</v>
      </c>
      <c r="C401" s="35" t="s">
        <v>30</v>
      </c>
      <c r="D401" s="36">
        <v>0.02</v>
      </c>
      <c r="E401" s="36">
        <v>1325.1</v>
      </c>
      <c r="F401" s="36">
        <f t="shared" si="84"/>
        <v>26.501999999999999</v>
      </c>
      <c r="G401" s="37">
        <f t="shared" si="85"/>
        <v>0</v>
      </c>
      <c r="H401" s="38">
        <f t="shared" si="86"/>
        <v>0</v>
      </c>
      <c r="I401" s="37">
        <f t="shared" si="87"/>
        <v>0</v>
      </c>
      <c r="J401" s="38">
        <v>0</v>
      </c>
      <c r="K401" s="37">
        <f t="shared" si="88"/>
        <v>0</v>
      </c>
      <c r="L401" s="38">
        <v>0</v>
      </c>
    </row>
    <row r="402" spans="1:12" s="46" customFormat="1" ht="15.45" customHeight="1" outlineLevel="1" x14ac:dyDescent="0.35">
      <c r="A402" s="33">
        <v>6</v>
      </c>
      <c r="B402" s="34" t="s">
        <v>46</v>
      </c>
      <c r="C402" s="35" t="s">
        <v>30</v>
      </c>
      <c r="D402" s="36">
        <v>1.1160000000000001</v>
      </c>
      <c r="E402" s="36">
        <v>1200.0999999999999</v>
      </c>
      <c r="F402" s="36">
        <f t="shared" si="84"/>
        <v>1339.3116</v>
      </c>
      <c r="G402" s="37">
        <f t="shared" si="85"/>
        <v>0</v>
      </c>
      <c r="H402" s="38">
        <f t="shared" si="86"/>
        <v>0</v>
      </c>
      <c r="I402" s="37">
        <f t="shared" si="87"/>
        <v>0</v>
      </c>
      <c r="J402" s="38">
        <v>0</v>
      </c>
      <c r="K402" s="37">
        <f t="shared" si="88"/>
        <v>0</v>
      </c>
      <c r="L402" s="38">
        <v>0</v>
      </c>
    </row>
    <row r="403" spans="1:12" s="39" customFormat="1" ht="28.95" customHeight="1" outlineLevel="1" x14ac:dyDescent="0.25">
      <c r="A403" s="33">
        <v>7</v>
      </c>
      <c r="B403" s="34" t="s">
        <v>238</v>
      </c>
      <c r="C403" s="35" t="s">
        <v>42</v>
      </c>
      <c r="D403" s="36">
        <v>35.28</v>
      </c>
      <c r="E403" s="36">
        <v>201.24</v>
      </c>
      <c r="F403" s="36">
        <f t="shared" si="84"/>
        <v>7099.7472000000007</v>
      </c>
      <c r="G403" s="37">
        <f t="shared" si="85"/>
        <v>0</v>
      </c>
      <c r="H403" s="38">
        <f t="shared" si="86"/>
        <v>0</v>
      </c>
      <c r="I403" s="37">
        <f t="shared" si="87"/>
        <v>0</v>
      </c>
      <c r="J403" s="38">
        <v>0</v>
      </c>
      <c r="K403" s="37">
        <f t="shared" si="88"/>
        <v>0</v>
      </c>
      <c r="L403" s="38">
        <v>0</v>
      </c>
    </row>
    <row r="404" spans="1:12" s="39" customFormat="1" ht="15.45" customHeight="1" outlineLevel="1" x14ac:dyDescent="0.25">
      <c r="A404" s="33">
        <v>8</v>
      </c>
      <c r="B404" s="34" t="s">
        <v>45</v>
      </c>
      <c r="C404" s="35" t="s">
        <v>30</v>
      </c>
      <c r="D404" s="36">
        <v>4.7E-2</v>
      </c>
      <c r="E404" s="36">
        <v>1325.1</v>
      </c>
      <c r="F404" s="36">
        <f t="shared" si="84"/>
        <v>62.279699999999998</v>
      </c>
      <c r="G404" s="37">
        <f t="shared" si="85"/>
        <v>0</v>
      </c>
      <c r="H404" s="38">
        <f t="shared" si="86"/>
        <v>0</v>
      </c>
      <c r="I404" s="37">
        <f t="shared" si="87"/>
        <v>0</v>
      </c>
      <c r="J404" s="38">
        <v>0</v>
      </c>
      <c r="K404" s="37">
        <f t="shared" si="88"/>
        <v>0</v>
      </c>
      <c r="L404" s="38">
        <v>0</v>
      </c>
    </row>
    <row r="405" spans="1:12" s="39" customFormat="1" ht="15.45" customHeight="1" outlineLevel="1" x14ac:dyDescent="0.25">
      <c r="A405" s="33">
        <v>9</v>
      </c>
      <c r="B405" s="34" t="s">
        <v>46</v>
      </c>
      <c r="C405" s="35" t="s">
        <v>30</v>
      </c>
      <c r="D405" s="36">
        <v>1.9430000000000001</v>
      </c>
      <c r="E405" s="36">
        <v>1200.0999999999999</v>
      </c>
      <c r="F405" s="36">
        <f t="shared" si="84"/>
        <v>2331.7943</v>
      </c>
      <c r="G405" s="37">
        <f t="shared" si="85"/>
        <v>0</v>
      </c>
      <c r="H405" s="38">
        <f t="shared" si="86"/>
        <v>0</v>
      </c>
      <c r="I405" s="37">
        <f t="shared" si="87"/>
        <v>0</v>
      </c>
      <c r="J405" s="38">
        <v>0</v>
      </c>
      <c r="K405" s="37">
        <f t="shared" si="88"/>
        <v>0</v>
      </c>
      <c r="L405" s="38">
        <v>0</v>
      </c>
    </row>
    <row r="406" spans="1:12" s="39" customFormat="1" ht="15.45" customHeight="1" outlineLevel="1" x14ac:dyDescent="0.25">
      <c r="A406" s="33">
        <v>10</v>
      </c>
      <c r="B406" s="34" t="s">
        <v>248</v>
      </c>
      <c r="C406" s="35" t="s">
        <v>42</v>
      </c>
      <c r="D406" s="36">
        <v>3.6</v>
      </c>
      <c r="E406" s="36">
        <v>204.1</v>
      </c>
      <c r="F406" s="36">
        <f t="shared" si="84"/>
        <v>734.76</v>
      </c>
      <c r="G406" s="37">
        <f t="shared" si="85"/>
        <v>0</v>
      </c>
      <c r="H406" s="38">
        <f t="shared" si="86"/>
        <v>0</v>
      </c>
      <c r="I406" s="37">
        <f t="shared" si="87"/>
        <v>0</v>
      </c>
      <c r="J406" s="38">
        <v>0</v>
      </c>
      <c r="K406" s="37">
        <f t="shared" si="88"/>
        <v>0</v>
      </c>
      <c r="L406" s="38">
        <v>0</v>
      </c>
    </row>
    <row r="407" spans="1:12" s="39" customFormat="1" ht="15.45" customHeight="1" outlineLevel="1" x14ac:dyDescent="0.25">
      <c r="A407" s="33">
        <v>11</v>
      </c>
      <c r="B407" s="34" t="s">
        <v>45</v>
      </c>
      <c r="C407" s="35" t="s">
        <v>30</v>
      </c>
      <c r="D407" s="36">
        <v>0.1</v>
      </c>
      <c r="E407" s="36">
        <v>1325.1</v>
      </c>
      <c r="F407" s="36">
        <f t="shared" si="84"/>
        <v>132.51</v>
      </c>
      <c r="G407" s="37">
        <f t="shared" si="85"/>
        <v>0</v>
      </c>
      <c r="H407" s="38">
        <f t="shared" si="86"/>
        <v>0</v>
      </c>
      <c r="I407" s="37">
        <f t="shared" si="87"/>
        <v>0</v>
      </c>
      <c r="J407" s="38">
        <v>0</v>
      </c>
      <c r="K407" s="37">
        <f t="shared" si="88"/>
        <v>0</v>
      </c>
      <c r="L407" s="38">
        <v>0</v>
      </c>
    </row>
    <row r="408" spans="1:12" s="46" customFormat="1" ht="15.45" customHeight="1" outlineLevel="1" x14ac:dyDescent="0.35">
      <c r="A408" s="33">
        <v>12</v>
      </c>
      <c r="B408" s="34" t="s">
        <v>46</v>
      </c>
      <c r="C408" s="35" t="s">
        <v>30</v>
      </c>
      <c r="D408" s="36">
        <v>0.21299999999999999</v>
      </c>
      <c r="E408" s="36">
        <v>1200.0999999999999</v>
      </c>
      <c r="F408" s="36">
        <f t="shared" si="84"/>
        <v>255.62129999999996</v>
      </c>
      <c r="G408" s="37">
        <f t="shared" si="85"/>
        <v>0</v>
      </c>
      <c r="H408" s="38">
        <f t="shared" si="86"/>
        <v>0</v>
      </c>
      <c r="I408" s="37">
        <f t="shared" si="87"/>
        <v>0</v>
      </c>
      <c r="J408" s="38">
        <v>0</v>
      </c>
      <c r="K408" s="37">
        <f t="shared" si="88"/>
        <v>0</v>
      </c>
      <c r="L408" s="38">
        <v>0</v>
      </c>
    </row>
    <row r="409" spans="1:12" s="39" customFormat="1" ht="15.45" customHeight="1" outlineLevel="1" x14ac:dyDescent="0.25">
      <c r="A409" s="33">
        <v>13</v>
      </c>
      <c r="B409" s="34" t="s">
        <v>318</v>
      </c>
      <c r="C409" s="35" t="s">
        <v>30</v>
      </c>
      <c r="D409" s="36">
        <v>0.63200000000000001</v>
      </c>
      <c r="E409" s="36">
        <v>1844.3620000000001</v>
      </c>
      <c r="F409" s="36">
        <f t="shared" si="84"/>
        <v>1165.636784</v>
      </c>
      <c r="G409" s="37">
        <f t="shared" si="85"/>
        <v>0</v>
      </c>
      <c r="H409" s="38">
        <f t="shared" si="86"/>
        <v>0</v>
      </c>
      <c r="I409" s="37">
        <f t="shared" si="87"/>
        <v>0</v>
      </c>
      <c r="J409" s="38">
        <v>0</v>
      </c>
      <c r="K409" s="37">
        <f t="shared" si="88"/>
        <v>0</v>
      </c>
      <c r="L409" s="38">
        <v>0</v>
      </c>
    </row>
    <row r="410" spans="1:12" s="39" customFormat="1" ht="15.45" customHeight="1" outlineLevel="1" x14ac:dyDescent="0.25">
      <c r="A410" s="33">
        <v>14</v>
      </c>
      <c r="B410" s="34" t="s">
        <v>235</v>
      </c>
      <c r="C410" s="35" t="s">
        <v>42</v>
      </c>
      <c r="D410" s="36">
        <v>1.4</v>
      </c>
      <c r="E410" s="36">
        <v>36.5</v>
      </c>
      <c r="F410" s="36">
        <f t="shared" si="84"/>
        <v>51.099999999999994</v>
      </c>
      <c r="G410" s="37">
        <f t="shared" si="85"/>
        <v>0</v>
      </c>
      <c r="H410" s="38">
        <f t="shared" si="86"/>
        <v>0</v>
      </c>
      <c r="I410" s="37">
        <f t="shared" si="87"/>
        <v>0</v>
      </c>
      <c r="J410" s="38">
        <v>0</v>
      </c>
      <c r="K410" s="37">
        <f t="shared" si="88"/>
        <v>0</v>
      </c>
      <c r="L410" s="38">
        <v>0</v>
      </c>
    </row>
    <row r="411" spans="1:12" s="39" customFormat="1" ht="15.45" customHeight="1" outlineLevel="1" x14ac:dyDescent="0.25">
      <c r="A411" s="33">
        <v>15</v>
      </c>
      <c r="B411" s="34" t="s">
        <v>319</v>
      </c>
      <c r="C411" s="35" t="s">
        <v>42</v>
      </c>
      <c r="D411" s="36">
        <v>1.4</v>
      </c>
      <c r="E411" s="36">
        <v>26.72</v>
      </c>
      <c r="F411" s="36">
        <f t="shared" si="84"/>
        <v>37.407999999999994</v>
      </c>
      <c r="G411" s="37">
        <f t="shared" si="85"/>
        <v>0</v>
      </c>
      <c r="H411" s="38">
        <f t="shared" si="86"/>
        <v>0</v>
      </c>
      <c r="I411" s="37">
        <f t="shared" si="87"/>
        <v>0</v>
      </c>
      <c r="J411" s="38">
        <v>0</v>
      </c>
      <c r="K411" s="37">
        <f t="shared" si="88"/>
        <v>0</v>
      </c>
      <c r="L411" s="38">
        <v>0</v>
      </c>
    </row>
    <row r="412" spans="1:12" s="39" customFormat="1" ht="15.45" customHeight="1" outlineLevel="1" x14ac:dyDescent="0.25">
      <c r="A412" s="33">
        <v>16</v>
      </c>
      <c r="B412" s="34" t="s">
        <v>43</v>
      </c>
      <c r="C412" s="35" t="s">
        <v>42</v>
      </c>
      <c r="D412" s="36">
        <v>0.7</v>
      </c>
      <c r="E412" s="36">
        <v>124.1</v>
      </c>
      <c r="F412" s="36">
        <f t="shared" si="84"/>
        <v>86.86999999999999</v>
      </c>
      <c r="G412" s="37">
        <f t="shared" si="85"/>
        <v>0</v>
      </c>
      <c r="H412" s="38">
        <f t="shared" si="86"/>
        <v>0</v>
      </c>
      <c r="I412" s="37">
        <f t="shared" si="87"/>
        <v>0</v>
      </c>
      <c r="J412" s="38">
        <v>0</v>
      </c>
      <c r="K412" s="37">
        <f t="shared" si="88"/>
        <v>0</v>
      </c>
      <c r="L412" s="38">
        <v>0</v>
      </c>
    </row>
    <row r="413" spans="1:12" s="39" customFormat="1" ht="15.45" customHeight="1" outlineLevel="1" x14ac:dyDescent="0.25">
      <c r="A413" s="33">
        <v>17</v>
      </c>
      <c r="B413" s="34" t="s">
        <v>320</v>
      </c>
      <c r="C413" s="35" t="s">
        <v>42</v>
      </c>
      <c r="D413" s="36">
        <v>1.4</v>
      </c>
      <c r="E413" s="36">
        <v>173.972566</v>
      </c>
      <c r="F413" s="36">
        <f t="shared" si="84"/>
        <v>243.56159239999999</v>
      </c>
      <c r="G413" s="37">
        <f t="shared" si="85"/>
        <v>0</v>
      </c>
      <c r="H413" s="38">
        <f t="shared" si="86"/>
        <v>0</v>
      </c>
      <c r="I413" s="37">
        <f t="shared" si="87"/>
        <v>0</v>
      </c>
      <c r="J413" s="38">
        <v>0</v>
      </c>
      <c r="K413" s="37">
        <f t="shared" si="88"/>
        <v>0</v>
      </c>
      <c r="L413" s="38">
        <v>0</v>
      </c>
    </row>
    <row r="414" spans="1:12" s="39" customFormat="1" ht="15.45" customHeight="1" outlineLevel="1" x14ac:dyDescent="0.25">
      <c r="A414" s="33">
        <v>18</v>
      </c>
      <c r="B414" s="34" t="s">
        <v>46</v>
      </c>
      <c r="C414" s="35" t="s">
        <v>30</v>
      </c>
      <c r="D414" s="36">
        <v>0.124</v>
      </c>
      <c r="E414" s="36">
        <v>1200.0999999999999</v>
      </c>
      <c r="F414" s="36">
        <f t="shared" si="84"/>
        <v>148.8124</v>
      </c>
      <c r="G414" s="37">
        <f t="shared" si="85"/>
        <v>0</v>
      </c>
      <c r="H414" s="38">
        <f t="shared" si="86"/>
        <v>0</v>
      </c>
      <c r="I414" s="37">
        <f t="shared" si="87"/>
        <v>0</v>
      </c>
      <c r="J414" s="38">
        <v>0</v>
      </c>
      <c r="K414" s="37">
        <f t="shared" si="88"/>
        <v>0</v>
      </c>
      <c r="L414" s="38">
        <v>0</v>
      </c>
    </row>
    <row r="415" spans="1:12" s="39" customFormat="1" ht="15.45" customHeight="1" outlineLevel="1" x14ac:dyDescent="0.25">
      <c r="A415" s="33">
        <v>19</v>
      </c>
      <c r="B415" s="34" t="s">
        <v>321</v>
      </c>
      <c r="C415" s="35" t="s">
        <v>42</v>
      </c>
      <c r="D415" s="36">
        <v>1.8</v>
      </c>
      <c r="E415" s="36">
        <v>380.1</v>
      </c>
      <c r="F415" s="36">
        <f t="shared" si="84"/>
        <v>684.18000000000006</v>
      </c>
      <c r="G415" s="37">
        <f t="shared" si="85"/>
        <v>0</v>
      </c>
      <c r="H415" s="38">
        <f t="shared" si="86"/>
        <v>0</v>
      </c>
      <c r="I415" s="37">
        <f t="shared" si="87"/>
        <v>0</v>
      </c>
      <c r="J415" s="38">
        <v>0</v>
      </c>
      <c r="K415" s="37">
        <f t="shared" si="88"/>
        <v>0</v>
      </c>
      <c r="L415" s="38">
        <v>0</v>
      </c>
    </row>
    <row r="416" spans="1:12" s="39" customFormat="1" ht="15.45" customHeight="1" outlineLevel="1" x14ac:dyDescent="0.25">
      <c r="A416" s="31" t="s">
        <v>322</v>
      </c>
      <c r="B416" s="40" t="s">
        <v>323</v>
      </c>
      <c r="C416" s="41">
        <v>0</v>
      </c>
      <c r="D416" s="42"/>
      <c r="E416" s="42"/>
      <c r="F416" s="42"/>
      <c r="G416" s="43"/>
      <c r="H416" s="44"/>
      <c r="I416" s="43"/>
      <c r="J416" s="44"/>
      <c r="K416" s="43"/>
      <c r="L416" s="44">
        <v>0</v>
      </c>
    </row>
    <row r="417" spans="1:12" s="39" customFormat="1" ht="15.45" customHeight="1" outlineLevel="1" x14ac:dyDescent="0.25">
      <c r="A417" s="33">
        <v>1</v>
      </c>
      <c r="B417" s="34" t="s">
        <v>41</v>
      </c>
      <c r="C417" s="35" t="s">
        <v>42</v>
      </c>
      <c r="D417" s="36">
        <v>3.1</v>
      </c>
      <c r="E417" s="36">
        <v>32.74</v>
      </c>
      <c r="F417" s="36">
        <f t="shared" ref="F417:F427" si="89">+E417*D417</f>
        <v>101.49400000000001</v>
      </c>
      <c r="G417" s="37">
        <f t="shared" ref="G417:G427" si="90">I417+K417</f>
        <v>0</v>
      </c>
      <c r="H417" s="38">
        <f t="shared" ref="H417:H427" si="91">J417+L417</f>
        <v>0</v>
      </c>
      <c r="I417" s="37">
        <f t="shared" ref="I417:I427" si="92">J417/F417</f>
        <v>0</v>
      </c>
      <c r="J417" s="38">
        <v>0</v>
      </c>
      <c r="K417" s="37">
        <f t="shared" ref="K417:K427" si="93">L417/F417</f>
        <v>0</v>
      </c>
      <c r="L417" s="38">
        <v>0</v>
      </c>
    </row>
    <row r="418" spans="1:12" s="39" customFormat="1" ht="15.45" customHeight="1" outlineLevel="1" x14ac:dyDescent="0.25">
      <c r="A418" s="33">
        <v>2</v>
      </c>
      <c r="B418" s="34" t="s">
        <v>43</v>
      </c>
      <c r="C418" s="35" t="s">
        <v>42</v>
      </c>
      <c r="D418" s="36">
        <v>3.1</v>
      </c>
      <c r="E418" s="36">
        <v>124.1</v>
      </c>
      <c r="F418" s="36">
        <f t="shared" si="89"/>
        <v>384.71</v>
      </c>
      <c r="G418" s="37">
        <f t="shared" si="90"/>
        <v>0</v>
      </c>
      <c r="H418" s="38">
        <f t="shared" si="91"/>
        <v>0</v>
      </c>
      <c r="I418" s="37">
        <f t="shared" si="92"/>
        <v>0</v>
      </c>
      <c r="J418" s="38">
        <v>0</v>
      </c>
      <c r="K418" s="37">
        <f t="shared" si="93"/>
        <v>0</v>
      </c>
      <c r="L418" s="38">
        <v>0</v>
      </c>
    </row>
    <row r="419" spans="1:12" s="39" customFormat="1" ht="28.95" customHeight="1" outlineLevel="1" x14ac:dyDescent="0.25">
      <c r="A419" s="33">
        <v>3</v>
      </c>
      <c r="B419" s="34" t="s">
        <v>236</v>
      </c>
      <c r="C419" s="35" t="s">
        <v>42</v>
      </c>
      <c r="D419" s="36">
        <v>3.78</v>
      </c>
      <c r="E419" s="36">
        <v>177.7</v>
      </c>
      <c r="F419" s="36">
        <f t="shared" si="89"/>
        <v>671.7059999999999</v>
      </c>
      <c r="G419" s="37">
        <f t="shared" si="90"/>
        <v>0</v>
      </c>
      <c r="H419" s="38">
        <f t="shared" si="91"/>
        <v>0</v>
      </c>
      <c r="I419" s="37">
        <f t="shared" si="92"/>
        <v>0</v>
      </c>
      <c r="J419" s="38">
        <v>0</v>
      </c>
      <c r="K419" s="37">
        <f t="shared" si="93"/>
        <v>0</v>
      </c>
      <c r="L419" s="38">
        <v>0</v>
      </c>
    </row>
    <row r="420" spans="1:12" s="39" customFormat="1" ht="15.45" customHeight="1" outlineLevel="1" x14ac:dyDescent="0.25">
      <c r="A420" s="33">
        <v>4</v>
      </c>
      <c r="B420" s="34" t="s">
        <v>45</v>
      </c>
      <c r="C420" s="35" t="s">
        <v>30</v>
      </c>
      <c r="D420" s="36">
        <v>6.9000000000000006E-2</v>
      </c>
      <c r="E420" s="36">
        <v>1325.1</v>
      </c>
      <c r="F420" s="36">
        <f t="shared" si="89"/>
        <v>91.431899999999999</v>
      </c>
      <c r="G420" s="37">
        <f t="shared" si="90"/>
        <v>0</v>
      </c>
      <c r="H420" s="38">
        <f t="shared" si="91"/>
        <v>0</v>
      </c>
      <c r="I420" s="37">
        <f t="shared" si="92"/>
        <v>0</v>
      </c>
      <c r="J420" s="38">
        <v>0</v>
      </c>
      <c r="K420" s="37">
        <f t="shared" si="93"/>
        <v>0</v>
      </c>
      <c r="L420" s="38">
        <v>0</v>
      </c>
    </row>
    <row r="421" spans="1:12" s="39" customFormat="1" ht="15.45" customHeight="1" outlineLevel="1" x14ac:dyDescent="0.25">
      <c r="A421" s="33">
        <v>5</v>
      </c>
      <c r="B421" s="34" t="s">
        <v>46</v>
      </c>
      <c r="C421" s="35" t="s">
        <v>30</v>
      </c>
      <c r="D421" s="36">
        <v>6.4000000000000001E-2</v>
      </c>
      <c r="E421" s="36">
        <v>1200.0999999999999</v>
      </c>
      <c r="F421" s="36">
        <f t="shared" si="89"/>
        <v>76.806399999999996</v>
      </c>
      <c r="G421" s="37">
        <f t="shared" si="90"/>
        <v>0</v>
      </c>
      <c r="H421" s="38">
        <f t="shared" si="91"/>
        <v>0</v>
      </c>
      <c r="I421" s="37">
        <f t="shared" si="92"/>
        <v>0</v>
      </c>
      <c r="J421" s="38">
        <v>0</v>
      </c>
      <c r="K421" s="37">
        <f t="shared" si="93"/>
        <v>0</v>
      </c>
      <c r="L421" s="38">
        <v>0</v>
      </c>
    </row>
    <row r="422" spans="1:12" s="39" customFormat="1" ht="15.45" customHeight="1" outlineLevel="1" x14ac:dyDescent="0.25">
      <c r="A422" s="33">
        <v>6</v>
      </c>
      <c r="B422" s="34" t="s">
        <v>324</v>
      </c>
      <c r="C422" s="35" t="s">
        <v>42</v>
      </c>
      <c r="D422" s="36">
        <v>2.4900000000000002</v>
      </c>
      <c r="E422" s="36">
        <v>241.1</v>
      </c>
      <c r="F422" s="36">
        <f t="shared" si="89"/>
        <v>600.33900000000006</v>
      </c>
      <c r="G422" s="37">
        <f t="shared" si="90"/>
        <v>0</v>
      </c>
      <c r="H422" s="38">
        <f t="shared" si="91"/>
        <v>0</v>
      </c>
      <c r="I422" s="37">
        <f t="shared" si="92"/>
        <v>0</v>
      </c>
      <c r="J422" s="38">
        <v>0</v>
      </c>
      <c r="K422" s="37">
        <f t="shared" si="93"/>
        <v>0</v>
      </c>
      <c r="L422" s="38">
        <v>0</v>
      </c>
    </row>
    <row r="423" spans="1:12" s="39" customFormat="1" ht="15.45" customHeight="1" outlineLevel="1" x14ac:dyDescent="0.25">
      <c r="A423" s="33">
        <v>7</v>
      </c>
      <c r="B423" s="34" t="s">
        <v>45</v>
      </c>
      <c r="C423" s="35" t="s">
        <v>30</v>
      </c>
      <c r="D423" s="36">
        <v>5.0999999999999997E-2</v>
      </c>
      <c r="E423" s="36">
        <v>1325.1</v>
      </c>
      <c r="F423" s="36">
        <f t="shared" si="89"/>
        <v>67.580099999999987</v>
      </c>
      <c r="G423" s="37">
        <f t="shared" si="90"/>
        <v>0</v>
      </c>
      <c r="H423" s="38">
        <f t="shared" si="91"/>
        <v>0</v>
      </c>
      <c r="I423" s="37">
        <f t="shared" si="92"/>
        <v>0</v>
      </c>
      <c r="J423" s="38">
        <v>0</v>
      </c>
      <c r="K423" s="37">
        <f t="shared" si="93"/>
        <v>0</v>
      </c>
      <c r="L423" s="38">
        <v>0</v>
      </c>
    </row>
    <row r="424" spans="1:12" s="39" customFormat="1" ht="15.45" customHeight="1" outlineLevel="1" x14ac:dyDescent="0.25">
      <c r="A424" s="33">
        <v>8</v>
      </c>
      <c r="B424" s="34" t="s">
        <v>46</v>
      </c>
      <c r="C424" s="35" t="s">
        <v>30</v>
      </c>
      <c r="D424" s="36">
        <v>0.182</v>
      </c>
      <c r="E424" s="36">
        <v>1200.0999999999999</v>
      </c>
      <c r="F424" s="36">
        <f t="shared" si="89"/>
        <v>218.41819999999998</v>
      </c>
      <c r="G424" s="37">
        <f t="shared" si="90"/>
        <v>0</v>
      </c>
      <c r="H424" s="38">
        <f t="shared" si="91"/>
        <v>0</v>
      </c>
      <c r="I424" s="37">
        <f t="shared" si="92"/>
        <v>0</v>
      </c>
      <c r="J424" s="38">
        <v>0</v>
      </c>
      <c r="K424" s="37">
        <f t="shared" si="93"/>
        <v>0</v>
      </c>
      <c r="L424" s="38">
        <v>0</v>
      </c>
    </row>
    <row r="425" spans="1:12" s="39" customFormat="1" ht="15.45" customHeight="1" outlineLevel="1" x14ac:dyDescent="0.25">
      <c r="A425" s="33">
        <v>9</v>
      </c>
      <c r="B425" s="34" t="s">
        <v>47</v>
      </c>
      <c r="C425" s="35" t="s">
        <v>28</v>
      </c>
      <c r="D425" s="36">
        <v>24.6</v>
      </c>
      <c r="E425" s="36">
        <v>5.4732580000000004</v>
      </c>
      <c r="F425" s="36">
        <f t="shared" si="89"/>
        <v>134.64214680000001</v>
      </c>
      <c r="G425" s="37">
        <f t="shared" si="90"/>
        <v>0</v>
      </c>
      <c r="H425" s="38">
        <f t="shared" si="91"/>
        <v>0</v>
      </c>
      <c r="I425" s="37">
        <f t="shared" si="92"/>
        <v>0</v>
      </c>
      <c r="J425" s="38">
        <v>0</v>
      </c>
      <c r="K425" s="37">
        <f t="shared" si="93"/>
        <v>0</v>
      </c>
      <c r="L425" s="38">
        <v>0</v>
      </c>
    </row>
    <row r="426" spans="1:12" s="39" customFormat="1" ht="15.45" customHeight="1" outlineLevel="1" x14ac:dyDescent="0.25">
      <c r="A426" s="33">
        <v>10</v>
      </c>
      <c r="B426" s="34" t="s">
        <v>325</v>
      </c>
      <c r="C426" s="35" t="s">
        <v>28</v>
      </c>
      <c r="D426" s="36">
        <v>24.6</v>
      </c>
      <c r="E426" s="36">
        <v>6.2812000000000001</v>
      </c>
      <c r="F426" s="36">
        <f t="shared" si="89"/>
        <v>154.51752000000002</v>
      </c>
      <c r="G426" s="37">
        <f t="shared" si="90"/>
        <v>0</v>
      </c>
      <c r="H426" s="38">
        <f t="shared" si="91"/>
        <v>0</v>
      </c>
      <c r="I426" s="37">
        <f t="shared" si="92"/>
        <v>0</v>
      </c>
      <c r="J426" s="38">
        <v>0</v>
      </c>
      <c r="K426" s="37">
        <f t="shared" si="93"/>
        <v>0</v>
      </c>
      <c r="L426" s="38">
        <v>0</v>
      </c>
    </row>
    <row r="427" spans="1:12" s="39" customFormat="1" ht="28.95" customHeight="1" outlineLevel="1" x14ac:dyDescent="0.25">
      <c r="A427" s="33">
        <v>11</v>
      </c>
      <c r="B427" s="34" t="s">
        <v>326</v>
      </c>
      <c r="C427" s="35" t="s">
        <v>28</v>
      </c>
      <c r="D427" s="36">
        <v>24.6</v>
      </c>
      <c r="E427" s="36">
        <v>65.815948000000006</v>
      </c>
      <c r="F427" s="36">
        <f t="shared" si="89"/>
        <v>1619.0723208000002</v>
      </c>
      <c r="G427" s="37">
        <f t="shared" si="90"/>
        <v>0</v>
      </c>
      <c r="H427" s="38">
        <f t="shared" si="91"/>
        <v>0</v>
      </c>
      <c r="I427" s="37">
        <f t="shared" si="92"/>
        <v>0</v>
      </c>
      <c r="J427" s="38">
        <v>0</v>
      </c>
      <c r="K427" s="37">
        <f t="shared" si="93"/>
        <v>0</v>
      </c>
      <c r="L427" s="38">
        <v>0</v>
      </c>
    </row>
    <row r="428" spans="1:12" s="39" customFormat="1" ht="28.95" customHeight="1" outlineLevel="1" x14ac:dyDescent="0.25">
      <c r="A428" s="31" t="s">
        <v>172</v>
      </c>
      <c r="B428" s="40" t="s">
        <v>173</v>
      </c>
      <c r="C428" s="41">
        <v>0</v>
      </c>
      <c r="D428" s="42"/>
      <c r="E428" s="42"/>
      <c r="F428" s="42"/>
      <c r="G428" s="43"/>
      <c r="H428" s="44"/>
      <c r="I428" s="43"/>
      <c r="J428" s="44"/>
      <c r="K428" s="43"/>
      <c r="L428" s="44">
        <v>0</v>
      </c>
    </row>
    <row r="429" spans="1:12" s="39" customFormat="1" ht="28.95" customHeight="1" outlineLevel="1" x14ac:dyDescent="0.25">
      <c r="A429" s="33">
        <v>1</v>
      </c>
      <c r="B429" s="34" t="s">
        <v>327</v>
      </c>
      <c r="C429" s="35" t="s">
        <v>50</v>
      </c>
      <c r="D429" s="36">
        <v>173</v>
      </c>
      <c r="E429" s="36">
        <v>10.779400000000001</v>
      </c>
      <c r="F429" s="36">
        <f t="shared" ref="F429:F469" si="94">+E429*D429</f>
        <v>1864.8362000000002</v>
      </c>
      <c r="G429" s="37">
        <f t="shared" ref="G429:G469" si="95">I429+K429</f>
        <v>0</v>
      </c>
      <c r="H429" s="38">
        <f t="shared" ref="H429:H469" si="96">J429+L429</f>
        <v>0</v>
      </c>
      <c r="I429" s="37">
        <f t="shared" ref="I429:I469" si="97">J429/F429</f>
        <v>0</v>
      </c>
      <c r="J429" s="38">
        <v>0</v>
      </c>
      <c r="K429" s="37">
        <f t="shared" ref="K429:K469" si="98">L429/F429</f>
        <v>0</v>
      </c>
      <c r="L429" s="38">
        <v>0</v>
      </c>
    </row>
    <row r="430" spans="1:12" s="39" customFormat="1" ht="15.45" customHeight="1" outlineLevel="1" x14ac:dyDescent="0.25">
      <c r="A430" s="33">
        <v>2</v>
      </c>
      <c r="B430" s="34" t="s">
        <v>328</v>
      </c>
      <c r="C430" s="35" t="s">
        <v>50</v>
      </c>
      <c r="D430" s="36">
        <v>173</v>
      </c>
      <c r="E430" s="36">
        <v>12.2972</v>
      </c>
      <c r="F430" s="36">
        <f t="shared" si="94"/>
        <v>2127.4155999999998</v>
      </c>
      <c r="G430" s="37">
        <f t="shared" si="95"/>
        <v>0</v>
      </c>
      <c r="H430" s="38">
        <f t="shared" si="96"/>
        <v>0</v>
      </c>
      <c r="I430" s="37">
        <f t="shared" si="97"/>
        <v>0</v>
      </c>
      <c r="J430" s="38">
        <v>0</v>
      </c>
      <c r="K430" s="37">
        <f t="shared" si="98"/>
        <v>0</v>
      </c>
      <c r="L430" s="38">
        <v>0</v>
      </c>
    </row>
    <row r="431" spans="1:12" s="39" customFormat="1" ht="28.95" customHeight="1" outlineLevel="1" x14ac:dyDescent="0.25">
      <c r="A431" s="33">
        <v>3</v>
      </c>
      <c r="B431" s="34" t="s">
        <v>329</v>
      </c>
      <c r="C431" s="35" t="s">
        <v>50</v>
      </c>
      <c r="D431" s="36">
        <v>43</v>
      </c>
      <c r="E431" s="36">
        <v>9.2289999999999992</v>
      </c>
      <c r="F431" s="36">
        <f t="shared" si="94"/>
        <v>396.84699999999998</v>
      </c>
      <c r="G431" s="37">
        <f t="shared" si="95"/>
        <v>0</v>
      </c>
      <c r="H431" s="38">
        <f t="shared" si="96"/>
        <v>0</v>
      </c>
      <c r="I431" s="37">
        <f t="shared" si="97"/>
        <v>0</v>
      </c>
      <c r="J431" s="38">
        <v>0</v>
      </c>
      <c r="K431" s="37">
        <f t="shared" si="98"/>
        <v>0</v>
      </c>
      <c r="L431" s="38">
        <v>0</v>
      </c>
    </row>
    <row r="432" spans="1:12" s="39" customFormat="1" ht="28.95" customHeight="1" outlineLevel="1" x14ac:dyDescent="0.25">
      <c r="A432" s="33">
        <v>4</v>
      </c>
      <c r="B432" s="34" t="s">
        <v>330</v>
      </c>
      <c r="C432" s="35" t="s">
        <v>50</v>
      </c>
      <c r="D432" s="36">
        <v>43</v>
      </c>
      <c r="E432" s="36">
        <v>9.7064000000000004</v>
      </c>
      <c r="F432" s="36">
        <f t="shared" si="94"/>
        <v>417.37520000000001</v>
      </c>
      <c r="G432" s="37">
        <f t="shared" si="95"/>
        <v>0</v>
      </c>
      <c r="H432" s="38">
        <f t="shared" si="96"/>
        <v>0</v>
      </c>
      <c r="I432" s="37">
        <f t="shared" si="97"/>
        <v>0</v>
      </c>
      <c r="J432" s="38">
        <v>0</v>
      </c>
      <c r="K432" s="37">
        <f t="shared" si="98"/>
        <v>0</v>
      </c>
      <c r="L432" s="38">
        <v>0</v>
      </c>
    </row>
    <row r="433" spans="1:12" s="39" customFormat="1" ht="28.95" customHeight="1" outlineLevel="1" x14ac:dyDescent="0.25">
      <c r="A433" s="33">
        <v>5</v>
      </c>
      <c r="B433" s="34" t="s">
        <v>331</v>
      </c>
      <c r="C433" s="35" t="s">
        <v>50</v>
      </c>
      <c r="D433" s="36">
        <v>216</v>
      </c>
      <c r="E433" s="36">
        <v>1.5178</v>
      </c>
      <c r="F433" s="36">
        <f t="shared" si="94"/>
        <v>327.84480000000002</v>
      </c>
      <c r="G433" s="37">
        <f t="shared" si="95"/>
        <v>0</v>
      </c>
      <c r="H433" s="38">
        <f t="shared" si="96"/>
        <v>0</v>
      </c>
      <c r="I433" s="37">
        <f t="shared" si="97"/>
        <v>0</v>
      </c>
      <c r="J433" s="38">
        <v>0</v>
      </c>
      <c r="K433" s="37">
        <f t="shared" si="98"/>
        <v>0</v>
      </c>
      <c r="L433" s="38">
        <v>0</v>
      </c>
    </row>
    <row r="434" spans="1:12" s="39" customFormat="1" ht="28.95" customHeight="1" outlineLevel="1" x14ac:dyDescent="0.25">
      <c r="A434" s="33">
        <v>6</v>
      </c>
      <c r="B434" s="34" t="s">
        <v>332</v>
      </c>
      <c r="C434" s="35" t="s">
        <v>50</v>
      </c>
      <c r="D434" s="36">
        <v>3</v>
      </c>
      <c r="E434" s="36">
        <v>15.440799999999999</v>
      </c>
      <c r="F434" s="36">
        <f t="shared" si="94"/>
        <v>46.322400000000002</v>
      </c>
      <c r="G434" s="37">
        <f t="shared" si="95"/>
        <v>0</v>
      </c>
      <c r="H434" s="38">
        <f t="shared" si="96"/>
        <v>0</v>
      </c>
      <c r="I434" s="37">
        <f t="shared" si="97"/>
        <v>0</v>
      </c>
      <c r="J434" s="38">
        <v>0</v>
      </c>
      <c r="K434" s="37">
        <f t="shared" si="98"/>
        <v>0</v>
      </c>
      <c r="L434" s="38">
        <v>0</v>
      </c>
    </row>
    <row r="435" spans="1:12" s="39" customFormat="1" ht="28.95" customHeight="1" outlineLevel="1" x14ac:dyDescent="0.25">
      <c r="A435" s="33">
        <v>7</v>
      </c>
      <c r="B435" s="34" t="s">
        <v>333</v>
      </c>
      <c r="C435" s="35" t="s">
        <v>50</v>
      </c>
      <c r="D435" s="36">
        <v>15</v>
      </c>
      <c r="E435" s="36">
        <v>5.9548000000000014</v>
      </c>
      <c r="F435" s="36">
        <f t="shared" si="94"/>
        <v>89.322000000000017</v>
      </c>
      <c r="G435" s="37">
        <f t="shared" si="95"/>
        <v>0</v>
      </c>
      <c r="H435" s="38">
        <f t="shared" si="96"/>
        <v>0</v>
      </c>
      <c r="I435" s="37">
        <f t="shared" si="97"/>
        <v>0</v>
      </c>
      <c r="J435" s="38">
        <v>0</v>
      </c>
      <c r="K435" s="37">
        <f t="shared" si="98"/>
        <v>0</v>
      </c>
      <c r="L435" s="38">
        <v>0</v>
      </c>
    </row>
    <row r="436" spans="1:12" s="39" customFormat="1" ht="28.95" customHeight="1" outlineLevel="1" x14ac:dyDescent="0.25">
      <c r="A436" s="33">
        <v>8</v>
      </c>
      <c r="B436" s="34" t="s">
        <v>334</v>
      </c>
      <c r="C436" s="35" t="s">
        <v>50</v>
      </c>
      <c r="D436" s="36">
        <v>15</v>
      </c>
      <c r="E436" s="36">
        <v>5.1367999999999991</v>
      </c>
      <c r="F436" s="36">
        <f t="shared" si="94"/>
        <v>77.051999999999992</v>
      </c>
      <c r="G436" s="37">
        <f t="shared" si="95"/>
        <v>0</v>
      </c>
      <c r="H436" s="38">
        <f t="shared" si="96"/>
        <v>0</v>
      </c>
      <c r="I436" s="37">
        <f t="shared" si="97"/>
        <v>0</v>
      </c>
      <c r="J436" s="38">
        <v>0</v>
      </c>
      <c r="K436" s="37">
        <f t="shared" si="98"/>
        <v>0</v>
      </c>
      <c r="L436" s="38">
        <v>0</v>
      </c>
    </row>
    <row r="437" spans="1:12" s="39" customFormat="1" ht="28.95" customHeight="1" outlineLevel="1" x14ac:dyDescent="0.25">
      <c r="A437" s="33">
        <v>9</v>
      </c>
      <c r="B437" s="34" t="s">
        <v>335</v>
      </c>
      <c r="C437" s="35" t="s">
        <v>50</v>
      </c>
      <c r="D437" s="36">
        <v>10</v>
      </c>
      <c r="E437" s="36">
        <v>5.9548000000000014</v>
      </c>
      <c r="F437" s="36">
        <f t="shared" si="94"/>
        <v>59.548000000000016</v>
      </c>
      <c r="G437" s="37">
        <f t="shared" si="95"/>
        <v>0</v>
      </c>
      <c r="H437" s="38">
        <f t="shared" si="96"/>
        <v>0</v>
      </c>
      <c r="I437" s="37">
        <f t="shared" si="97"/>
        <v>0</v>
      </c>
      <c r="J437" s="38">
        <v>0</v>
      </c>
      <c r="K437" s="37">
        <f t="shared" si="98"/>
        <v>0</v>
      </c>
      <c r="L437" s="38">
        <v>0</v>
      </c>
    </row>
    <row r="438" spans="1:12" s="39" customFormat="1" ht="28.95" customHeight="1" outlineLevel="1" x14ac:dyDescent="0.25">
      <c r="A438" s="33">
        <v>10</v>
      </c>
      <c r="B438" s="34" t="s">
        <v>336</v>
      </c>
      <c r="C438" s="35" t="s">
        <v>50</v>
      </c>
      <c r="D438" s="36">
        <v>10</v>
      </c>
      <c r="E438" s="36">
        <v>3.923</v>
      </c>
      <c r="F438" s="36">
        <f t="shared" si="94"/>
        <v>39.230000000000004</v>
      </c>
      <c r="G438" s="37">
        <f t="shared" si="95"/>
        <v>0</v>
      </c>
      <c r="H438" s="38">
        <f t="shared" si="96"/>
        <v>0</v>
      </c>
      <c r="I438" s="37">
        <f t="shared" si="97"/>
        <v>0</v>
      </c>
      <c r="J438" s="38">
        <v>0</v>
      </c>
      <c r="K438" s="37">
        <f t="shared" si="98"/>
        <v>0</v>
      </c>
      <c r="L438" s="38">
        <v>0</v>
      </c>
    </row>
    <row r="439" spans="1:12" s="39" customFormat="1" ht="28.95" customHeight="1" outlineLevel="1" x14ac:dyDescent="0.25">
      <c r="A439" s="33">
        <v>11</v>
      </c>
      <c r="B439" s="34" t="s">
        <v>337</v>
      </c>
      <c r="C439" s="35" t="s">
        <v>50</v>
      </c>
      <c r="D439" s="36">
        <v>3</v>
      </c>
      <c r="E439" s="36">
        <v>5.9446000000000003</v>
      </c>
      <c r="F439" s="36">
        <f t="shared" si="94"/>
        <v>17.8338</v>
      </c>
      <c r="G439" s="37">
        <f t="shared" si="95"/>
        <v>0</v>
      </c>
      <c r="H439" s="38">
        <f t="shared" si="96"/>
        <v>0</v>
      </c>
      <c r="I439" s="37">
        <f t="shared" si="97"/>
        <v>0</v>
      </c>
      <c r="J439" s="38">
        <v>0</v>
      </c>
      <c r="K439" s="37">
        <f t="shared" si="98"/>
        <v>0</v>
      </c>
      <c r="L439" s="38">
        <v>0</v>
      </c>
    </row>
    <row r="440" spans="1:12" s="39" customFormat="1" ht="28.95" customHeight="1" outlineLevel="1" x14ac:dyDescent="0.25">
      <c r="A440" s="33">
        <v>12</v>
      </c>
      <c r="B440" s="34" t="s">
        <v>338</v>
      </c>
      <c r="C440" s="35" t="s">
        <v>50</v>
      </c>
      <c r="D440" s="36">
        <v>3</v>
      </c>
      <c r="E440" s="36">
        <v>2.75</v>
      </c>
      <c r="F440" s="36">
        <f t="shared" si="94"/>
        <v>8.25</v>
      </c>
      <c r="G440" s="37">
        <f t="shared" si="95"/>
        <v>0</v>
      </c>
      <c r="H440" s="38">
        <f t="shared" si="96"/>
        <v>0</v>
      </c>
      <c r="I440" s="37">
        <f t="shared" si="97"/>
        <v>0</v>
      </c>
      <c r="J440" s="38">
        <v>0</v>
      </c>
      <c r="K440" s="37">
        <f t="shared" si="98"/>
        <v>0</v>
      </c>
      <c r="L440" s="38">
        <v>0</v>
      </c>
    </row>
    <row r="441" spans="1:12" s="39" customFormat="1" ht="28.95" customHeight="1" outlineLevel="1" x14ac:dyDescent="0.25">
      <c r="A441" s="33">
        <v>13</v>
      </c>
      <c r="B441" s="34" t="s">
        <v>339</v>
      </c>
      <c r="C441" s="35" t="s">
        <v>50</v>
      </c>
      <c r="D441" s="36">
        <v>28</v>
      </c>
      <c r="E441" s="36">
        <v>1.5178</v>
      </c>
      <c r="F441" s="36">
        <f t="shared" si="94"/>
        <v>42.498400000000004</v>
      </c>
      <c r="G441" s="37">
        <f t="shared" si="95"/>
        <v>0</v>
      </c>
      <c r="H441" s="38">
        <f t="shared" si="96"/>
        <v>0</v>
      </c>
      <c r="I441" s="37">
        <f t="shared" si="97"/>
        <v>0</v>
      </c>
      <c r="J441" s="38">
        <v>0</v>
      </c>
      <c r="K441" s="37">
        <f t="shared" si="98"/>
        <v>0</v>
      </c>
      <c r="L441" s="38">
        <v>0</v>
      </c>
    </row>
    <row r="442" spans="1:12" s="39" customFormat="1" ht="43.5" customHeight="1" outlineLevel="1" x14ac:dyDescent="0.25">
      <c r="A442" s="33">
        <v>14</v>
      </c>
      <c r="B442" s="34" t="s">
        <v>340</v>
      </c>
      <c r="C442" s="35" t="s">
        <v>50</v>
      </c>
      <c r="D442" s="36">
        <v>10</v>
      </c>
      <c r="E442" s="36">
        <v>14.023</v>
      </c>
      <c r="F442" s="36">
        <f t="shared" si="94"/>
        <v>140.22999999999999</v>
      </c>
      <c r="G442" s="37">
        <f t="shared" si="95"/>
        <v>0</v>
      </c>
      <c r="H442" s="38">
        <f t="shared" si="96"/>
        <v>0</v>
      </c>
      <c r="I442" s="37">
        <f t="shared" si="97"/>
        <v>0</v>
      </c>
      <c r="J442" s="38">
        <v>0</v>
      </c>
      <c r="K442" s="37">
        <f t="shared" si="98"/>
        <v>0</v>
      </c>
      <c r="L442" s="38">
        <v>0</v>
      </c>
    </row>
    <row r="443" spans="1:12" s="39" customFormat="1" ht="43.5" customHeight="1" outlineLevel="1" x14ac:dyDescent="0.25">
      <c r="A443" s="33">
        <v>15</v>
      </c>
      <c r="B443" s="34" t="s">
        <v>341</v>
      </c>
      <c r="C443" s="35" t="s">
        <v>50</v>
      </c>
      <c r="D443" s="36">
        <v>10</v>
      </c>
      <c r="E443" s="36">
        <v>1.2098</v>
      </c>
      <c r="F443" s="36">
        <f t="shared" si="94"/>
        <v>12.097999999999999</v>
      </c>
      <c r="G443" s="37">
        <f t="shared" si="95"/>
        <v>0</v>
      </c>
      <c r="H443" s="38">
        <f t="shared" si="96"/>
        <v>0</v>
      </c>
      <c r="I443" s="37">
        <f t="shared" si="97"/>
        <v>0</v>
      </c>
      <c r="J443" s="38">
        <v>0</v>
      </c>
      <c r="K443" s="37">
        <f t="shared" si="98"/>
        <v>0</v>
      </c>
      <c r="L443" s="38">
        <v>0</v>
      </c>
    </row>
    <row r="444" spans="1:12" s="39" customFormat="1" ht="43.5" customHeight="1" outlineLevel="1" x14ac:dyDescent="0.25">
      <c r="A444" s="33">
        <v>16</v>
      </c>
      <c r="B444" s="34" t="s">
        <v>342</v>
      </c>
      <c r="C444" s="35" t="s">
        <v>50</v>
      </c>
      <c r="D444" s="36">
        <v>11</v>
      </c>
      <c r="E444" s="36">
        <v>14.4514</v>
      </c>
      <c r="F444" s="36">
        <f t="shared" si="94"/>
        <v>158.96539999999999</v>
      </c>
      <c r="G444" s="37">
        <f t="shared" si="95"/>
        <v>0</v>
      </c>
      <c r="H444" s="38">
        <f t="shared" si="96"/>
        <v>0</v>
      </c>
      <c r="I444" s="37">
        <f t="shared" si="97"/>
        <v>0</v>
      </c>
      <c r="J444" s="38">
        <v>0</v>
      </c>
      <c r="K444" s="37">
        <f t="shared" si="98"/>
        <v>0</v>
      </c>
      <c r="L444" s="38">
        <v>0</v>
      </c>
    </row>
    <row r="445" spans="1:12" s="39" customFormat="1" ht="43.5" customHeight="1" outlineLevel="1" x14ac:dyDescent="0.25">
      <c r="A445" s="33">
        <v>17</v>
      </c>
      <c r="B445" s="34" t="s">
        <v>343</v>
      </c>
      <c r="C445" s="35" t="s">
        <v>50</v>
      </c>
      <c r="D445" s="36">
        <v>11</v>
      </c>
      <c r="E445" s="36">
        <v>0.9</v>
      </c>
      <c r="F445" s="36">
        <f t="shared" si="94"/>
        <v>9.9</v>
      </c>
      <c r="G445" s="37">
        <f t="shared" si="95"/>
        <v>0</v>
      </c>
      <c r="H445" s="38">
        <f t="shared" si="96"/>
        <v>0</v>
      </c>
      <c r="I445" s="37">
        <f t="shared" si="97"/>
        <v>0</v>
      </c>
      <c r="J445" s="38">
        <v>0</v>
      </c>
      <c r="K445" s="37">
        <f t="shared" si="98"/>
        <v>0</v>
      </c>
      <c r="L445" s="38">
        <v>0</v>
      </c>
    </row>
    <row r="446" spans="1:12" s="39" customFormat="1" ht="43.5" customHeight="1" outlineLevel="1" x14ac:dyDescent="0.25">
      <c r="A446" s="33">
        <v>18</v>
      </c>
      <c r="B446" s="34" t="s">
        <v>344</v>
      </c>
      <c r="C446" s="35" t="s">
        <v>50</v>
      </c>
      <c r="D446" s="36">
        <v>73</v>
      </c>
      <c r="E446" s="36">
        <v>17.0932</v>
      </c>
      <c r="F446" s="36">
        <f t="shared" si="94"/>
        <v>1247.8036</v>
      </c>
      <c r="G446" s="37">
        <f t="shared" si="95"/>
        <v>0</v>
      </c>
      <c r="H446" s="38">
        <f t="shared" si="96"/>
        <v>0</v>
      </c>
      <c r="I446" s="37">
        <f t="shared" si="97"/>
        <v>0</v>
      </c>
      <c r="J446" s="38">
        <v>0</v>
      </c>
      <c r="K446" s="37">
        <f t="shared" si="98"/>
        <v>0</v>
      </c>
      <c r="L446" s="38">
        <v>0</v>
      </c>
    </row>
    <row r="447" spans="1:12" s="39" customFormat="1" ht="43.5" customHeight="1" outlineLevel="1" x14ac:dyDescent="0.25">
      <c r="A447" s="33">
        <v>19</v>
      </c>
      <c r="B447" s="34" t="s">
        <v>345</v>
      </c>
      <c r="C447" s="35" t="s">
        <v>50</v>
      </c>
      <c r="D447" s="36">
        <v>73</v>
      </c>
      <c r="E447" s="36">
        <v>0.9</v>
      </c>
      <c r="F447" s="36">
        <f t="shared" si="94"/>
        <v>65.7</v>
      </c>
      <c r="G447" s="37">
        <f t="shared" si="95"/>
        <v>0</v>
      </c>
      <c r="H447" s="38">
        <f t="shared" si="96"/>
        <v>0</v>
      </c>
      <c r="I447" s="37">
        <f t="shared" si="97"/>
        <v>0</v>
      </c>
      <c r="J447" s="38">
        <v>0</v>
      </c>
      <c r="K447" s="37">
        <f t="shared" si="98"/>
        <v>0</v>
      </c>
      <c r="L447" s="38">
        <v>0</v>
      </c>
    </row>
    <row r="448" spans="1:12" s="45" customFormat="1" ht="43.5" customHeight="1" x14ac:dyDescent="0.3">
      <c r="A448" s="33">
        <v>20</v>
      </c>
      <c r="B448" s="34" t="s">
        <v>346</v>
      </c>
      <c r="C448" s="35" t="s">
        <v>55</v>
      </c>
      <c r="D448" s="36">
        <v>13</v>
      </c>
      <c r="E448" s="36">
        <v>25.436800000000002</v>
      </c>
      <c r="F448" s="36">
        <f t="shared" si="94"/>
        <v>330.67840000000001</v>
      </c>
      <c r="G448" s="37">
        <f t="shared" si="95"/>
        <v>0</v>
      </c>
      <c r="H448" s="38">
        <f t="shared" si="96"/>
        <v>0</v>
      </c>
      <c r="I448" s="37">
        <f t="shared" si="97"/>
        <v>0</v>
      </c>
      <c r="J448" s="38">
        <v>0</v>
      </c>
      <c r="K448" s="37">
        <f t="shared" si="98"/>
        <v>0</v>
      </c>
      <c r="L448" s="38">
        <v>0</v>
      </c>
    </row>
    <row r="449" spans="1:12" s="39" customFormat="1" ht="15.45" customHeight="1" outlineLevel="1" x14ac:dyDescent="0.25">
      <c r="A449" s="33">
        <v>21</v>
      </c>
      <c r="B449" s="34" t="s">
        <v>347</v>
      </c>
      <c r="C449" s="35" t="s">
        <v>55</v>
      </c>
      <c r="D449" s="36">
        <v>13</v>
      </c>
      <c r="E449" s="36">
        <v>106.32080000000001</v>
      </c>
      <c r="F449" s="36">
        <f t="shared" si="94"/>
        <v>1382.1704</v>
      </c>
      <c r="G449" s="37">
        <f t="shared" si="95"/>
        <v>0</v>
      </c>
      <c r="H449" s="38">
        <f t="shared" si="96"/>
        <v>0</v>
      </c>
      <c r="I449" s="37">
        <f t="shared" si="97"/>
        <v>0</v>
      </c>
      <c r="J449" s="38">
        <v>0</v>
      </c>
      <c r="K449" s="37">
        <f t="shared" si="98"/>
        <v>0</v>
      </c>
      <c r="L449" s="38">
        <v>0</v>
      </c>
    </row>
    <row r="450" spans="1:12" s="39" customFormat="1" ht="28.95" customHeight="1" outlineLevel="1" x14ac:dyDescent="0.25">
      <c r="A450" s="33">
        <v>22</v>
      </c>
      <c r="B450" s="34" t="s">
        <v>348</v>
      </c>
      <c r="C450" s="35" t="s">
        <v>55</v>
      </c>
      <c r="D450" s="36">
        <v>26</v>
      </c>
      <c r="E450" s="36">
        <v>6.4423999999999992</v>
      </c>
      <c r="F450" s="36">
        <f t="shared" si="94"/>
        <v>167.50239999999997</v>
      </c>
      <c r="G450" s="37">
        <f t="shared" si="95"/>
        <v>0</v>
      </c>
      <c r="H450" s="38">
        <f t="shared" si="96"/>
        <v>0</v>
      </c>
      <c r="I450" s="37">
        <f t="shared" si="97"/>
        <v>0</v>
      </c>
      <c r="J450" s="38">
        <v>0</v>
      </c>
      <c r="K450" s="37">
        <f t="shared" si="98"/>
        <v>0</v>
      </c>
      <c r="L450" s="38">
        <v>0</v>
      </c>
    </row>
    <row r="451" spans="1:12" s="39" customFormat="1" ht="15.45" customHeight="1" outlineLevel="1" x14ac:dyDescent="0.25">
      <c r="A451" s="33">
        <v>23</v>
      </c>
      <c r="B451" s="34" t="s">
        <v>349</v>
      </c>
      <c r="C451" s="35" t="s">
        <v>55</v>
      </c>
      <c r="D451" s="36">
        <v>2</v>
      </c>
      <c r="E451" s="36">
        <v>120.88639999999999</v>
      </c>
      <c r="F451" s="36">
        <f t="shared" si="94"/>
        <v>241.77279999999999</v>
      </c>
      <c r="G451" s="37">
        <f t="shared" si="95"/>
        <v>0</v>
      </c>
      <c r="H451" s="38">
        <f t="shared" si="96"/>
        <v>0</v>
      </c>
      <c r="I451" s="37">
        <f t="shared" si="97"/>
        <v>0</v>
      </c>
      <c r="J451" s="38">
        <v>0</v>
      </c>
      <c r="K451" s="37">
        <f t="shared" si="98"/>
        <v>0</v>
      </c>
      <c r="L451" s="38">
        <v>0</v>
      </c>
    </row>
    <row r="452" spans="1:12" s="39" customFormat="1" ht="28.95" customHeight="1" outlineLevel="1" x14ac:dyDescent="0.25">
      <c r="A452" s="33">
        <v>24</v>
      </c>
      <c r="B452" s="34" t="s">
        <v>350</v>
      </c>
      <c r="C452" s="35" t="s">
        <v>55</v>
      </c>
      <c r="D452" s="36">
        <v>5</v>
      </c>
      <c r="E452" s="36">
        <v>5.4019999999999992</v>
      </c>
      <c r="F452" s="36">
        <f t="shared" si="94"/>
        <v>27.009999999999998</v>
      </c>
      <c r="G452" s="37">
        <f t="shared" si="95"/>
        <v>0</v>
      </c>
      <c r="H452" s="38">
        <f t="shared" si="96"/>
        <v>0</v>
      </c>
      <c r="I452" s="37">
        <f t="shared" si="97"/>
        <v>0</v>
      </c>
      <c r="J452" s="38">
        <v>0</v>
      </c>
      <c r="K452" s="37">
        <f t="shared" si="98"/>
        <v>0</v>
      </c>
      <c r="L452" s="38">
        <v>0</v>
      </c>
    </row>
    <row r="453" spans="1:12" s="39" customFormat="1" ht="15.45" customHeight="1" outlineLevel="1" x14ac:dyDescent="0.25">
      <c r="A453" s="33">
        <v>25</v>
      </c>
      <c r="B453" s="34" t="s">
        <v>351</v>
      </c>
      <c r="C453" s="35" t="s">
        <v>55</v>
      </c>
      <c r="D453" s="36">
        <v>5</v>
      </c>
      <c r="E453" s="36">
        <v>4.8817999999999993</v>
      </c>
      <c r="F453" s="36">
        <f t="shared" si="94"/>
        <v>24.408999999999995</v>
      </c>
      <c r="G453" s="37">
        <f t="shared" si="95"/>
        <v>0</v>
      </c>
      <c r="H453" s="38">
        <f t="shared" si="96"/>
        <v>0</v>
      </c>
      <c r="I453" s="37">
        <f t="shared" si="97"/>
        <v>0</v>
      </c>
      <c r="J453" s="38">
        <v>0</v>
      </c>
      <c r="K453" s="37">
        <f t="shared" si="98"/>
        <v>0</v>
      </c>
      <c r="L453" s="38">
        <v>0</v>
      </c>
    </row>
    <row r="454" spans="1:12" s="39" customFormat="1" ht="28.95" customHeight="1" outlineLevel="1" x14ac:dyDescent="0.25">
      <c r="A454" s="33">
        <v>26</v>
      </c>
      <c r="B454" s="34" t="s">
        <v>352</v>
      </c>
      <c r="C454" s="35" t="s">
        <v>55</v>
      </c>
      <c r="D454" s="36">
        <v>20</v>
      </c>
      <c r="E454" s="36">
        <v>3.3212000000000002</v>
      </c>
      <c r="F454" s="36">
        <f t="shared" si="94"/>
        <v>66.424000000000007</v>
      </c>
      <c r="G454" s="37">
        <f t="shared" si="95"/>
        <v>0</v>
      </c>
      <c r="H454" s="38">
        <f t="shared" si="96"/>
        <v>0</v>
      </c>
      <c r="I454" s="37">
        <f t="shared" si="97"/>
        <v>0</v>
      </c>
      <c r="J454" s="38">
        <v>0</v>
      </c>
      <c r="K454" s="37">
        <f t="shared" si="98"/>
        <v>0</v>
      </c>
      <c r="L454" s="38">
        <v>0</v>
      </c>
    </row>
    <row r="455" spans="1:12" s="39" customFormat="1" ht="15.45" customHeight="1" outlineLevel="1" x14ac:dyDescent="0.25">
      <c r="A455" s="33">
        <v>27</v>
      </c>
      <c r="B455" s="34" t="s">
        <v>353</v>
      </c>
      <c r="C455" s="35" t="s">
        <v>55</v>
      </c>
      <c r="D455" s="36">
        <v>14</v>
      </c>
      <c r="E455" s="36">
        <v>169.45060000000001</v>
      </c>
      <c r="F455" s="36">
        <f t="shared" si="94"/>
        <v>2372.3083999999999</v>
      </c>
      <c r="G455" s="37">
        <f t="shared" si="95"/>
        <v>0</v>
      </c>
      <c r="H455" s="38">
        <f t="shared" si="96"/>
        <v>0</v>
      </c>
      <c r="I455" s="37">
        <f t="shared" si="97"/>
        <v>0</v>
      </c>
      <c r="J455" s="38">
        <v>0</v>
      </c>
      <c r="K455" s="37">
        <f t="shared" si="98"/>
        <v>0</v>
      </c>
      <c r="L455" s="38">
        <v>0</v>
      </c>
    </row>
    <row r="456" spans="1:12" s="39" customFormat="1" ht="15.45" customHeight="1" outlineLevel="1" x14ac:dyDescent="0.25">
      <c r="A456" s="33">
        <v>28</v>
      </c>
      <c r="B456" s="34" t="s">
        <v>354</v>
      </c>
      <c r="C456" s="35" t="s">
        <v>50</v>
      </c>
      <c r="D456" s="36">
        <v>280</v>
      </c>
      <c r="E456" s="36">
        <v>2.8010000000000002</v>
      </c>
      <c r="F456" s="36">
        <f t="shared" si="94"/>
        <v>784.28000000000009</v>
      </c>
      <c r="G456" s="37">
        <f t="shared" si="95"/>
        <v>0</v>
      </c>
      <c r="H456" s="38">
        <f t="shared" si="96"/>
        <v>0</v>
      </c>
      <c r="I456" s="37">
        <f t="shared" si="97"/>
        <v>0</v>
      </c>
      <c r="J456" s="38">
        <v>0</v>
      </c>
      <c r="K456" s="37">
        <f t="shared" si="98"/>
        <v>0</v>
      </c>
      <c r="L456" s="38">
        <v>0</v>
      </c>
    </row>
    <row r="457" spans="1:12" s="39" customFormat="1" ht="15.45" customHeight="1" outlineLevel="1" x14ac:dyDescent="0.25">
      <c r="A457" s="33">
        <v>29</v>
      </c>
      <c r="B457" s="34" t="s">
        <v>355</v>
      </c>
      <c r="C457" s="35" t="s">
        <v>55</v>
      </c>
      <c r="D457" s="36">
        <v>1</v>
      </c>
      <c r="E457" s="36">
        <v>5.5039999999999996</v>
      </c>
      <c r="F457" s="36">
        <f t="shared" si="94"/>
        <v>5.5039999999999996</v>
      </c>
      <c r="G457" s="37">
        <f t="shared" si="95"/>
        <v>0</v>
      </c>
      <c r="H457" s="38">
        <f t="shared" si="96"/>
        <v>0</v>
      </c>
      <c r="I457" s="37">
        <f t="shared" si="97"/>
        <v>0</v>
      </c>
      <c r="J457" s="38">
        <v>0</v>
      </c>
      <c r="K457" s="37">
        <f t="shared" si="98"/>
        <v>0</v>
      </c>
      <c r="L457" s="38">
        <v>0</v>
      </c>
    </row>
    <row r="458" spans="1:12" s="39" customFormat="1" ht="28.95" customHeight="1" outlineLevel="1" x14ac:dyDescent="0.25">
      <c r="A458" s="33">
        <v>30</v>
      </c>
      <c r="B458" s="34" t="s">
        <v>352</v>
      </c>
      <c r="C458" s="35" t="s">
        <v>55</v>
      </c>
      <c r="D458" s="36">
        <v>1</v>
      </c>
      <c r="E458" s="36">
        <v>3.3212000000000002</v>
      </c>
      <c r="F458" s="36">
        <f t="shared" si="94"/>
        <v>3.3212000000000002</v>
      </c>
      <c r="G458" s="37">
        <f t="shared" si="95"/>
        <v>0</v>
      </c>
      <c r="H458" s="38">
        <f t="shared" si="96"/>
        <v>0</v>
      </c>
      <c r="I458" s="37">
        <f t="shared" si="97"/>
        <v>0</v>
      </c>
      <c r="J458" s="38">
        <v>0</v>
      </c>
      <c r="K458" s="37">
        <f t="shared" si="98"/>
        <v>0</v>
      </c>
      <c r="L458" s="38">
        <v>0</v>
      </c>
    </row>
    <row r="459" spans="1:12" s="39" customFormat="1" ht="28.95" customHeight="1" outlineLevel="1" x14ac:dyDescent="0.25">
      <c r="A459" s="33">
        <v>31</v>
      </c>
      <c r="B459" s="34" t="s">
        <v>356</v>
      </c>
      <c r="C459" s="35" t="s">
        <v>50</v>
      </c>
      <c r="D459" s="36">
        <v>10</v>
      </c>
      <c r="E459" s="36">
        <v>1.2403999999999999</v>
      </c>
      <c r="F459" s="36">
        <f t="shared" si="94"/>
        <v>12.404</v>
      </c>
      <c r="G459" s="37">
        <f t="shared" si="95"/>
        <v>0</v>
      </c>
      <c r="H459" s="38">
        <f t="shared" si="96"/>
        <v>0</v>
      </c>
      <c r="I459" s="37">
        <f t="shared" si="97"/>
        <v>0</v>
      </c>
      <c r="J459" s="38">
        <v>0</v>
      </c>
      <c r="K459" s="37">
        <f t="shared" si="98"/>
        <v>0</v>
      </c>
      <c r="L459" s="38">
        <v>0</v>
      </c>
    </row>
    <row r="460" spans="1:12" s="39" customFormat="1" ht="15.45" customHeight="1" outlineLevel="1" x14ac:dyDescent="0.25">
      <c r="A460" s="33">
        <v>33</v>
      </c>
      <c r="B460" s="34" t="s">
        <v>357</v>
      </c>
      <c r="C460" s="35" t="s">
        <v>55</v>
      </c>
      <c r="D460" s="36">
        <v>1</v>
      </c>
      <c r="E460" s="36">
        <v>85.0946</v>
      </c>
      <c r="F460" s="36">
        <f t="shared" si="94"/>
        <v>85.0946</v>
      </c>
      <c r="G460" s="37">
        <f t="shared" si="95"/>
        <v>0</v>
      </c>
      <c r="H460" s="38">
        <f t="shared" si="96"/>
        <v>0</v>
      </c>
      <c r="I460" s="37">
        <f t="shared" si="97"/>
        <v>0</v>
      </c>
      <c r="J460" s="38">
        <v>0</v>
      </c>
      <c r="K460" s="37">
        <f t="shared" si="98"/>
        <v>0</v>
      </c>
      <c r="L460" s="38">
        <v>0</v>
      </c>
    </row>
    <row r="461" spans="1:12" s="39" customFormat="1" ht="28.95" customHeight="1" outlineLevel="1" x14ac:dyDescent="0.25">
      <c r="A461" s="33">
        <v>34</v>
      </c>
      <c r="B461" s="34" t="s">
        <v>358</v>
      </c>
      <c r="C461" s="35" t="s">
        <v>28</v>
      </c>
      <c r="D461" s="36">
        <v>9</v>
      </c>
      <c r="E461" s="36">
        <v>7.3420000000000014</v>
      </c>
      <c r="F461" s="36">
        <f t="shared" si="94"/>
        <v>66.078000000000017</v>
      </c>
      <c r="G461" s="37">
        <f t="shared" si="95"/>
        <v>0</v>
      </c>
      <c r="H461" s="38">
        <f t="shared" si="96"/>
        <v>0</v>
      </c>
      <c r="I461" s="37">
        <f t="shared" si="97"/>
        <v>0</v>
      </c>
      <c r="J461" s="38">
        <v>0</v>
      </c>
      <c r="K461" s="37">
        <f t="shared" si="98"/>
        <v>0</v>
      </c>
      <c r="L461" s="38">
        <v>0</v>
      </c>
    </row>
    <row r="462" spans="1:12" s="39" customFormat="1" ht="28.95" customHeight="1" outlineLevel="1" x14ac:dyDescent="0.25">
      <c r="A462" s="33">
        <v>35</v>
      </c>
      <c r="B462" s="34" t="s">
        <v>359</v>
      </c>
      <c r="C462" s="35" t="s">
        <v>42</v>
      </c>
      <c r="D462" s="36">
        <v>0.36</v>
      </c>
      <c r="E462" s="36">
        <v>811.91800000000001</v>
      </c>
      <c r="F462" s="36">
        <f t="shared" si="94"/>
        <v>292.29048</v>
      </c>
      <c r="G462" s="37">
        <f t="shared" si="95"/>
        <v>0</v>
      </c>
      <c r="H462" s="38">
        <f t="shared" si="96"/>
        <v>0</v>
      </c>
      <c r="I462" s="37">
        <f t="shared" si="97"/>
        <v>0</v>
      </c>
      <c r="J462" s="38">
        <v>0</v>
      </c>
      <c r="K462" s="37">
        <f t="shared" si="98"/>
        <v>0</v>
      </c>
      <c r="L462" s="38">
        <v>0</v>
      </c>
    </row>
    <row r="463" spans="1:12" s="39" customFormat="1" ht="28.95" customHeight="1" outlineLevel="1" x14ac:dyDescent="0.25">
      <c r="A463" s="33">
        <v>36</v>
      </c>
      <c r="B463" s="34" t="s">
        <v>360</v>
      </c>
      <c r="C463" s="35" t="s">
        <v>28</v>
      </c>
      <c r="D463" s="36">
        <v>5</v>
      </c>
      <c r="E463" s="36">
        <v>23.519200000000001</v>
      </c>
      <c r="F463" s="36">
        <f t="shared" si="94"/>
        <v>117.596</v>
      </c>
      <c r="G463" s="37">
        <f t="shared" si="95"/>
        <v>0</v>
      </c>
      <c r="H463" s="38">
        <f t="shared" si="96"/>
        <v>0</v>
      </c>
      <c r="I463" s="37">
        <f t="shared" si="97"/>
        <v>0</v>
      </c>
      <c r="J463" s="38">
        <v>0</v>
      </c>
      <c r="K463" s="37">
        <f t="shared" si="98"/>
        <v>0</v>
      </c>
      <c r="L463" s="38">
        <v>0</v>
      </c>
    </row>
    <row r="464" spans="1:12" s="39" customFormat="1" ht="43.5" customHeight="1" outlineLevel="1" x14ac:dyDescent="0.25">
      <c r="A464" s="33">
        <v>37</v>
      </c>
      <c r="B464" s="34" t="s">
        <v>361</v>
      </c>
      <c r="C464" s="35" t="s">
        <v>50</v>
      </c>
      <c r="D464" s="36">
        <v>12</v>
      </c>
      <c r="E464" s="36">
        <v>9.2187999999999999</v>
      </c>
      <c r="F464" s="36">
        <f t="shared" si="94"/>
        <v>110.62559999999999</v>
      </c>
      <c r="G464" s="37">
        <f t="shared" si="95"/>
        <v>0</v>
      </c>
      <c r="H464" s="38">
        <f t="shared" si="96"/>
        <v>0</v>
      </c>
      <c r="I464" s="37">
        <f t="shared" si="97"/>
        <v>0</v>
      </c>
      <c r="J464" s="38">
        <v>0</v>
      </c>
      <c r="K464" s="37">
        <f t="shared" si="98"/>
        <v>0</v>
      </c>
      <c r="L464" s="38">
        <v>0</v>
      </c>
    </row>
    <row r="465" spans="1:12" s="39" customFormat="1" ht="43.5" customHeight="1" outlineLevel="1" x14ac:dyDescent="0.25">
      <c r="A465" s="33">
        <v>38</v>
      </c>
      <c r="B465" s="34" t="s">
        <v>362</v>
      </c>
      <c r="C465" s="35" t="s">
        <v>50</v>
      </c>
      <c r="D465" s="36">
        <v>12</v>
      </c>
      <c r="E465" s="36">
        <v>6.1159999999999988</v>
      </c>
      <c r="F465" s="36">
        <f t="shared" si="94"/>
        <v>73.391999999999982</v>
      </c>
      <c r="G465" s="37">
        <f t="shared" si="95"/>
        <v>0</v>
      </c>
      <c r="H465" s="38">
        <f t="shared" si="96"/>
        <v>0</v>
      </c>
      <c r="I465" s="37">
        <f t="shared" si="97"/>
        <v>0</v>
      </c>
      <c r="J465" s="38">
        <v>0</v>
      </c>
      <c r="K465" s="37">
        <f t="shared" si="98"/>
        <v>0</v>
      </c>
      <c r="L465" s="38">
        <v>0</v>
      </c>
    </row>
    <row r="466" spans="1:12" s="45" customFormat="1" ht="43.5" customHeight="1" x14ac:dyDescent="0.3">
      <c r="A466" s="33">
        <v>39</v>
      </c>
      <c r="B466" s="34" t="s">
        <v>363</v>
      </c>
      <c r="C466" s="35" t="s">
        <v>50</v>
      </c>
      <c r="D466" s="36">
        <v>8</v>
      </c>
      <c r="E466" s="36">
        <v>9.2187999999999999</v>
      </c>
      <c r="F466" s="36">
        <f t="shared" si="94"/>
        <v>73.750399999999999</v>
      </c>
      <c r="G466" s="37">
        <f t="shared" si="95"/>
        <v>0</v>
      </c>
      <c r="H466" s="38">
        <f t="shared" si="96"/>
        <v>0</v>
      </c>
      <c r="I466" s="37">
        <f t="shared" si="97"/>
        <v>0</v>
      </c>
      <c r="J466" s="38">
        <v>0</v>
      </c>
      <c r="K466" s="37">
        <f t="shared" si="98"/>
        <v>0</v>
      </c>
      <c r="L466" s="38">
        <v>0</v>
      </c>
    </row>
    <row r="467" spans="1:12" s="39" customFormat="1" ht="15.45" customHeight="1" outlineLevel="1" x14ac:dyDescent="0.25">
      <c r="A467" s="33">
        <v>40</v>
      </c>
      <c r="B467" s="34" t="s">
        <v>364</v>
      </c>
      <c r="C467" s="35" t="s">
        <v>50</v>
      </c>
      <c r="D467" s="36">
        <v>8</v>
      </c>
      <c r="E467" s="36">
        <v>5.3509999999999991</v>
      </c>
      <c r="F467" s="36">
        <f t="shared" si="94"/>
        <v>42.807999999999993</v>
      </c>
      <c r="G467" s="37">
        <f t="shared" si="95"/>
        <v>0</v>
      </c>
      <c r="H467" s="38">
        <f t="shared" si="96"/>
        <v>0</v>
      </c>
      <c r="I467" s="37">
        <f t="shared" si="97"/>
        <v>0</v>
      </c>
      <c r="J467" s="38">
        <v>0</v>
      </c>
      <c r="K467" s="37">
        <f t="shared" si="98"/>
        <v>0</v>
      </c>
      <c r="L467" s="38">
        <v>0</v>
      </c>
    </row>
    <row r="468" spans="1:12" s="39" customFormat="1" ht="28.95" customHeight="1" outlineLevel="1" x14ac:dyDescent="0.25">
      <c r="A468" s="33">
        <v>41</v>
      </c>
      <c r="B468" s="34" t="s">
        <v>365</v>
      </c>
      <c r="C468" s="35" t="s">
        <v>55</v>
      </c>
      <c r="D468" s="36">
        <v>2</v>
      </c>
      <c r="E468" s="36">
        <v>6.4423999999999992</v>
      </c>
      <c r="F468" s="36">
        <f t="shared" si="94"/>
        <v>12.884799999999998</v>
      </c>
      <c r="G468" s="37">
        <f t="shared" si="95"/>
        <v>0</v>
      </c>
      <c r="H468" s="38">
        <f t="shared" si="96"/>
        <v>0</v>
      </c>
      <c r="I468" s="37">
        <f t="shared" si="97"/>
        <v>0</v>
      </c>
      <c r="J468" s="38">
        <v>0</v>
      </c>
      <c r="K468" s="37">
        <f t="shared" si="98"/>
        <v>0</v>
      </c>
      <c r="L468" s="38">
        <v>0</v>
      </c>
    </row>
    <row r="469" spans="1:12" s="39" customFormat="1" ht="28.95" customHeight="1" outlineLevel="1" x14ac:dyDescent="0.25">
      <c r="A469" s="33">
        <v>42</v>
      </c>
      <c r="B469" s="34" t="s">
        <v>350</v>
      </c>
      <c r="C469" s="35" t="s">
        <v>55</v>
      </c>
      <c r="D469" s="36">
        <v>4</v>
      </c>
      <c r="E469" s="36">
        <v>5.4019999999999992</v>
      </c>
      <c r="F469" s="36">
        <f t="shared" si="94"/>
        <v>21.607999999999997</v>
      </c>
      <c r="G469" s="37">
        <f t="shared" si="95"/>
        <v>0</v>
      </c>
      <c r="H469" s="38">
        <f t="shared" si="96"/>
        <v>0</v>
      </c>
      <c r="I469" s="37">
        <f t="shared" si="97"/>
        <v>0</v>
      </c>
      <c r="J469" s="38">
        <v>0</v>
      </c>
      <c r="K469" s="37">
        <f t="shared" si="98"/>
        <v>0</v>
      </c>
      <c r="L469" s="38">
        <v>0</v>
      </c>
    </row>
    <row r="470" spans="1:12" s="39" customFormat="1" ht="28.95" customHeight="1" outlineLevel="1" x14ac:dyDescent="0.25">
      <c r="A470" s="31" t="s">
        <v>366</v>
      </c>
      <c r="B470" s="40" t="s">
        <v>367</v>
      </c>
      <c r="C470" s="41">
        <v>0</v>
      </c>
      <c r="D470" s="42"/>
      <c r="E470" s="42"/>
      <c r="F470" s="42"/>
      <c r="G470" s="43"/>
      <c r="H470" s="44"/>
      <c r="I470" s="43"/>
      <c r="J470" s="44"/>
      <c r="K470" s="43"/>
      <c r="L470" s="44">
        <v>0</v>
      </c>
    </row>
    <row r="471" spans="1:12" s="39" customFormat="1" ht="28.95" customHeight="1" outlineLevel="1" x14ac:dyDescent="0.25">
      <c r="A471" s="33">
        <v>1</v>
      </c>
      <c r="B471" s="34" t="s">
        <v>368</v>
      </c>
      <c r="C471" s="35" t="s">
        <v>50</v>
      </c>
      <c r="D471" s="36">
        <v>20</v>
      </c>
      <c r="E471" s="36">
        <v>5.9649999999999999</v>
      </c>
      <c r="F471" s="36">
        <f t="shared" ref="F471:F496" si="99">+E471*D471</f>
        <v>119.3</v>
      </c>
      <c r="G471" s="37">
        <f t="shared" ref="G471:G496" si="100">I471+K471</f>
        <v>0</v>
      </c>
      <c r="H471" s="38">
        <f t="shared" ref="H471:H496" si="101">J471+L471</f>
        <v>0</v>
      </c>
      <c r="I471" s="37">
        <f t="shared" ref="I471:I496" si="102">J471/F471</f>
        <v>0</v>
      </c>
      <c r="J471" s="38">
        <v>0</v>
      </c>
      <c r="K471" s="37">
        <f t="shared" ref="K471:K496" si="103">L471/F471</f>
        <v>0</v>
      </c>
      <c r="L471" s="38">
        <v>0</v>
      </c>
    </row>
    <row r="472" spans="1:12" s="45" customFormat="1" ht="28.95" customHeight="1" x14ac:dyDescent="0.3">
      <c r="A472" s="33">
        <v>2</v>
      </c>
      <c r="B472" s="34" t="s">
        <v>369</v>
      </c>
      <c r="C472" s="35" t="s">
        <v>50</v>
      </c>
      <c r="D472" s="36">
        <v>20</v>
      </c>
      <c r="E472" s="36">
        <v>7.9009999999999989</v>
      </c>
      <c r="F472" s="36">
        <f t="shared" si="99"/>
        <v>158.01999999999998</v>
      </c>
      <c r="G472" s="37">
        <f t="shared" si="100"/>
        <v>0</v>
      </c>
      <c r="H472" s="38">
        <f t="shared" si="101"/>
        <v>0</v>
      </c>
      <c r="I472" s="37">
        <f t="shared" si="102"/>
        <v>0</v>
      </c>
      <c r="J472" s="38">
        <v>0</v>
      </c>
      <c r="K472" s="37">
        <f t="shared" si="103"/>
        <v>0</v>
      </c>
      <c r="L472" s="38">
        <v>0</v>
      </c>
    </row>
    <row r="473" spans="1:12" s="39" customFormat="1" ht="28.95" customHeight="1" outlineLevel="1" x14ac:dyDescent="0.25">
      <c r="A473" s="33">
        <v>3</v>
      </c>
      <c r="B473" s="34" t="s">
        <v>333</v>
      </c>
      <c r="C473" s="35" t="s">
        <v>50</v>
      </c>
      <c r="D473" s="36">
        <v>68</v>
      </c>
      <c r="E473" s="36">
        <v>5.9548000000000014</v>
      </c>
      <c r="F473" s="36">
        <f t="shared" si="99"/>
        <v>404.92640000000011</v>
      </c>
      <c r="G473" s="37">
        <f t="shared" si="100"/>
        <v>0</v>
      </c>
      <c r="H473" s="38">
        <f t="shared" si="101"/>
        <v>0</v>
      </c>
      <c r="I473" s="37">
        <f t="shared" si="102"/>
        <v>0</v>
      </c>
      <c r="J473" s="38">
        <v>0</v>
      </c>
      <c r="K473" s="37">
        <f t="shared" si="103"/>
        <v>0</v>
      </c>
      <c r="L473" s="38">
        <v>0</v>
      </c>
    </row>
    <row r="474" spans="1:12" s="39" customFormat="1" ht="28.95" customHeight="1" outlineLevel="1" x14ac:dyDescent="0.25">
      <c r="A474" s="33">
        <v>4</v>
      </c>
      <c r="B474" s="34" t="s">
        <v>334</v>
      </c>
      <c r="C474" s="35" t="s">
        <v>50</v>
      </c>
      <c r="D474" s="36">
        <v>68</v>
      </c>
      <c r="E474" s="36">
        <v>5.1265999999999998</v>
      </c>
      <c r="F474" s="36">
        <f t="shared" si="99"/>
        <v>348.60879999999997</v>
      </c>
      <c r="G474" s="37">
        <f t="shared" si="100"/>
        <v>0</v>
      </c>
      <c r="H474" s="38">
        <f t="shared" si="101"/>
        <v>0</v>
      </c>
      <c r="I474" s="37">
        <f t="shared" si="102"/>
        <v>0</v>
      </c>
      <c r="J474" s="38">
        <v>0</v>
      </c>
      <c r="K474" s="37">
        <f t="shared" si="103"/>
        <v>0</v>
      </c>
      <c r="L474" s="38">
        <v>0</v>
      </c>
    </row>
    <row r="475" spans="1:12" s="39" customFormat="1" ht="28.95" customHeight="1" outlineLevel="1" x14ac:dyDescent="0.25">
      <c r="A475" s="33">
        <v>5</v>
      </c>
      <c r="B475" s="34" t="s">
        <v>335</v>
      </c>
      <c r="C475" s="35" t="s">
        <v>50</v>
      </c>
      <c r="D475" s="36">
        <v>16</v>
      </c>
      <c r="E475" s="36">
        <v>5.9446000000000003</v>
      </c>
      <c r="F475" s="36">
        <f t="shared" si="99"/>
        <v>95.113600000000005</v>
      </c>
      <c r="G475" s="37">
        <f t="shared" si="100"/>
        <v>0</v>
      </c>
      <c r="H475" s="38">
        <f t="shared" si="101"/>
        <v>0</v>
      </c>
      <c r="I475" s="37">
        <f t="shared" si="102"/>
        <v>0</v>
      </c>
      <c r="J475" s="38">
        <v>0</v>
      </c>
      <c r="K475" s="37">
        <f t="shared" si="103"/>
        <v>0</v>
      </c>
      <c r="L475" s="38">
        <v>0</v>
      </c>
    </row>
    <row r="476" spans="1:12" s="39" customFormat="1" ht="28.95" customHeight="1" outlineLevel="1" x14ac:dyDescent="0.25">
      <c r="A476" s="33">
        <v>6</v>
      </c>
      <c r="B476" s="34" t="s">
        <v>336</v>
      </c>
      <c r="C476" s="35" t="s">
        <v>50</v>
      </c>
      <c r="D476" s="36">
        <v>16</v>
      </c>
      <c r="E476" s="36">
        <v>3.923</v>
      </c>
      <c r="F476" s="36">
        <f t="shared" si="99"/>
        <v>62.768000000000001</v>
      </c>
      <c r="G476" s="37">
        <f t="shared" si="100"/>
        <v>0</v>
      </c>
      <c r="H476" s="38">
        <f t="shared" si="101"/>
        <v>0</v>
      </c>
      <c r="I476" s="37">
        <f t="shared" si="102"/>
        <v>0</v>
      </c>
      <c r="J476" s="38">
        <v>0</v>
      </c>
      <c r="K476" s="37">
        <f t="shared" si="103"/>
        <v>0</v>
      </c>
      <c r="L476" s="38">
        <v>0</v>
      </c>
    </row>
    <row r="477" spans="1:12" s="39" customFormat="1" ht="28.95" customHeight="1" outlineLevel="1" x14ac:dyDescent="0.25">
      <c r="A477" s="33">
        <v>7</v>
      </c>
      <c r="B477" s="34" t="s">
        <v>337</v>
      </c>
      <c r="C477" s="35" t="s">
        <v>50</v>
      </c>
      <c r="D477" s="36">
        <v>75</v>
      </c>
      <c r="E477" s="36">
        <v>5.9446000000000003</v>
      </c>
      <c r="F477" s="36">
        <f t="shared" si="99"/>
        <v>445.84500000000003</v>
      </c>
      <c r="G477" s="37">
        <f t="shared" si="100"/>
        <v>0</v>
      </c>
      <c r="H477" s="38">
        <f t="shared" si="101"/>
        <v>0</v>
      </c>
      <c r="I477" s="37">
        <f t="shared" si="102"/>
        <v>0</v>
      </c>
      <c r="J477" s="38">
        <v>0</v>
      </c>
      <c r="K477" s="37">
        <f t="shared" si="103"/>
        <v>0</v>
      </c>
      <c r="L477" s="38">
        <v>0</v>
      </c>
    </row>
    <row r="478" spans="1:12" s="39" customFormat="1" ht="28.95" customHeight="1" outlineLevel="1" x14ac:dyDescent="0.25">
      <c r="A478" s="33">
        <v>8</v>
      </c>
      <c r="B478" s="34" t="s">
        <v>338</v>
      </c>
      <c r="C478" s="35" t="s">
        <v>50</v>
      </c>
      <c r="D478" s="36">
        <v>75</v>
      </c>
      <c r="E478" s="36">
        <v>2.75</v>
      </c>
      <c r="F478" s="36">
        <f t="shared" si="99"/>
        <v>206.25</v>
      </c>
      <c r="G478" s="37">
        <f t="shared" si="100"/>
        <v>0</v>
      </c>
      <c r="H478" s="38">
        <f t="shared" si="101"/>
        <v>0</v>
      </c>
      <c r="I478" s="37">
        <f t="shared" si="102"/>
        <v>0</v>
      </c>
      <c r="J478" s="38">
        <v>0</v>
      </c>
      <c r="K478" s="37">
        <f t="shared" si="103"/>
        <v>0</v>
      </c>
      <c r="L478" s="38">
        <v>0</v>
      </c>
    </row>
    <row r="479" spans="1:12" s="39" customFormat="1" ht="28.95" customHeight="1" outlineLevel="1" x14ac:dyDescent="0.25">
      <c r="A479" s="33">
        <v>9</v>
      </c>
      <c r="B479" s="34" t="s">
        <v>339</v>
      </c>
      <c r="C479" s="35" t="s">
        <v>50</v>
      </c>
      <c r="D479" s="36">
        <v>179</v>
      </c>
      <c r="E479" s="36">
        <v>1.5178</v>
      </c>
      <c r="F479" s="36">
        <f t="shared" si="99"/>
        <v>271.68619999999999</v>
      </c>
      <c r="G479" s="37">
        <f t="shared" si="100"/>
        <v>0</v>
      </c>
      <c r="H479" s="38">
        <f t="shared" si="101"/>
        <v>0</v>
      </c>
      <c r="I479" s="37">
        <f t="shared" si="102"/>
        <v>0</v>
      </c>
      <c r="J479" s="38">
        <v>0</v>
      </c>
      <c r="K479" s="37">
        <f t="shared" si="103"/>
        <v>0</v>
      </c>
      <c r="L479" s="38">
        <v>0</v>
      </c>
    </row>
    <row r="480" spans="1:12" s="39" customFormat="1" ht="43.5" customHeight="1" outlineLevel="1" x14ac:dyDescent="0.25">
      <c r="A480" s="33">
        <v>10</v>
      </c>
      <c r="B480" s="34" t="s">
        <v>370</v>
      </c>
      <c r="C480" s="35" t="s">
        <v>50</v>
      </c>
      <c r="D480" s="36">
        <v>21</v>
      </c>
      <c r="E480" s="36">
        <v>13.819000000000001</v>
      </c>
      <c r="F480" s="36">
        <f t="shared" si="99"/>
        <v>290.19900000000001</v>
      </c>
      <c r="G480" s="37">
        <f t="shared" si="100"/>
        <v>0</v>
      </c>
      <c r="H480" s="38">
        <f t="shared" si="101"/>
        <v>0</v>
      </c>
      <c r="I480" s="37">
        <f t="shared" si="102"/>
        <v>0</v>
      </c>
      <c r="J480" s="38">
        <v>0</v>
      </c>
      <c r="K480" s="37">
        <f t="shared" si="103"/>
        <v>0</v>
      </c>
      <c r="L480" s="38">
        <v>0</v>
      </c>
    </row>
    <row r="481" spans="1:12" s="39" customFormat="1" ht="43.5" customHeight="1" outlineLevel="1" x14ac:dyDescent="0.25">
      <c r="A481" s="33">
        <v>11</v>
      </c>
      <c r="B481" s="34" t="s">
        <v>371</v>
      </c>
      <c r="C481" s="35" t="s">
        <v>50</v>
      </c>
      <c r="D481" s="36">
        <v>21</v>
      </c>
      <c r="E481" s="36">
        <v>1.6484000000000001</v>
      </c>
      <c r="F481" s="36">
        <f t="shared" si="99"/>
        <v>34.616399999999999</v>
      </c>
      <c r="G481" s="37">
        <f t="shared" si="100"/>
        <v>0</v>
      </c>
      <c r="H481" s="38">
        <f t="shared" si="101"/>
        <v>0</v>
      </c>
      <c r="I481" s="37">
        <f t="shared" si="102"/>
        <v>0</v>
      </c>
      <c r="J481" s="38">
        <v>0</v>
      </c>
      <c r="K481" s="37">
        <f t="shared" si="103"/>
        <v>0</v>
      </c>
      <c r="L481" s="38">
        <v>0</v>
      </c>
    </row>
    <row r="482" spans="1:12" s="39" customFormat="1" ht="43.5" customHeight="1" outlineLevel="1" x14ac:dyDescent="0.25">
      <c r="A482" s="33">
        <v>12</v>
      </c>
      <c r="B482" s="34" t="s">
        <v>372</v>
      </c>
      <c r="C482" s="35" t="s">
        <v>50</v>
      </c>
      <c r="D482" s="36">
        <v>11</v>
      </c>
      <c r="E482" s="36">
        <v>14.4514</v>
      </c>
      <c r="F482" s="36">
        <f t="shared" si="99"/>
        <v>158.96539999999999</v>
      </c>
      <c r="G482" s="37">
        <f t="shared" si="100"/>
        <v>0</v>
      </c>
      <c r="H482" s="38">
        <f t="shared" si="101"/>
        <v>0</v>
      </c>
      <c r="I482" s="37">
        <f t="shared" si="102"/>
        <v>0</v>
      </c>
      <c r="J482" s="38">
        <v>0</v>
      </c>
      <c r="K482" s="37">
        <f t="shared" si="103"/>
        <v>0</v>
      </c>
      <c r="L482" s="38">
        <v>0</v>
      </c>
    </row>
    <row r="483" spans="1:12" s="39" customFormat="1" ht="43.5" customHeight="1" outlineLevel="1" x14ac:dyDescent="0.25">
      <c r="A483" s="33">
        <v>13</v>
      </c>
      <c r="B483" s="34" t="s">
        <v>373</v>
      </c>
      <c r="C483" s="35" t="s">
        <v>50</v>
      </c>
      <c r="D483" s="36">
        <v>11</v>
      </c>
      <c r="E483" s="36">
        <v>1.0873999999999999</v>
      </c>
      <c r="F483" s="36">
        <f t="shared" si="99"/>
        <v>11.961399999999999</v>
      </c>
      <c r="G483" s="37">
        <f t="shared" si="100"/>
        <v>0</v>
      </c>
      <c r="H483" s="38">
        <f t="shared" si="101"/>
        <v>0</v>
      </c>
      <c r="I483" s="37">
        <f t="shared" si="102"/>
        <v>0</v>
      </c>
      <c r="J483" s="38">
        <v>0</v>
      </c>
      <c r="K483" s="37">
        <f t="shared" si="103"/>
        <v>0</v>
      </c>
      <c r="L483" s="38">
        <v>0</v>
      </c>
    </row>
    <row r="484" spans="1:12" s="39" customFormat="1" ht="43.5" customHeight="1" outlineLevel="1" x14ac:dyDescent="0.25">
      <c r="A484" s="33">
        <v>14</v>
      </c>
      <c r="B484" s="34" t="s">
        <v>374</v>
      </c>
      <c r="C484" s="35" t="s">
        <v>50</v>
      </c>
      <c r="D484" s="36">
        <v>89</v>
      </c>
      <c r="E484" s="36">
        <v>17.0932</v>
      </c>
      <c r="F484" s="36">
        <f t="shared" si="99"/>
        <v>1521.2947999999999</v>
      </c>
      <c r="G484" s="37">
        <f t="shared" si="100"/>
        <v>0</v>
      </c>
      <c r="H484" s="38">
        <f t="shared" si="101"/>
        <v>0</v>
      </c>
      <c r="I484" s="37">
        <f t="shared" si="102"/>
        <v>0</v>
      </c>
      <c r="J484" s="38">
        <v>0</v>
      </c>
      <c r="K484" s="37">
        <f t="shared" si="103"/>
        <v>0</v>
      </c>
      <c r="L484" s="38">
        <v>0</v>
      </c>
    </row>
    <row r="485" spans="1:12" s="39" customFormat="1" ht="43.5" customHeight="1" outlineLevel="1" x14ac:dyDescent="0.25">
      <c r="A485" s="33">
        <v>15</v>
      </c>
      <c r="B485" s="34" t="s">
        <v>375</v>
      </c>
      <c r="C485" s="35" t="s">
        <v>50</v>
      </c>
      <c r="D485" s="36">
        <v>89</v>
      </c>
      <c r="E485" s="36">
        <v>0.9</v>
      </c>
      <c r="F485" s="36">
        <f t="shared" si="99"/>
        <v>80.100000000000009</v>
      </c>
      <c r="G485" s="37">
        <f t="shared" si="100"/>
        <v>0</v>
      </c>
      <c r="H485" s="38">
        <f t="shared" si="101"/>
        <v>0</v>
      </c>
      <c r="I485" s="37">
        <f t="shared" si="102"/>
        <v>0</v>
      </c>
      <c r="J485" s="38">
        <v>0</v>
      </c>
      <c r="K485" s="37">
        <f t="shared" si="103"/>
        <v>0</v>
      </c>
      <c r="L485" s="38">
        <v>0</v>
      </c>
    </row>
    <row r="486" spans="1:12" s="39" customFormat="1" ht="28.95" customHeight="1" outlineLevel="1" x14ac:dyDescent="0.25">
      <c r="A486" s="33">
        <v>16</v>
      </c>
      <c r="B486" s="34" t="s">
        <v>376</v>
      </c>
      <c r="C486" s="35" t="s">
        <v>55</v>
      </c>
      <c r="D486" s="36">
        <v>1</v>
      </c>
      <c r="E486" s="36">
        <v>8.5231999999999992</v>
      </c>
      <c r="F486" s="36">
        <f t="shared" si="99"/>
        <v>8.5231999999999992</v>
      </c>
      <c r="G486" s="37">
        <f t="shared" si="100"/>
        <v>0</v>
      </c>
      <c r="H486" s="38">
        <f t="shared" si="101"/>
        <v>0</v>
      </c>
      <c r="I486" s="37">
        <f t="shared" si="102"/>
        <v>0</v>
      </c>
      <c r="J486" s="38">
        <v>0</v>
      </c>
      <c r="K486" s="37">
        <f t="shared" si="103"/>
        <v>0</v>
      </c>
      <c r="L486" s="38">
        <v>0</v>
      </c>
    </row>
    <row r="487" spans="1:12" s="39" customFormat="1" ht="28.95" customHeight="1" outlineLevel="1" x14ac:dyDescent="0.25">
      <c r="A487" s="33">
        <v>17</v>
      </c>
      <c r="B487" s="34" t="s">
        <v>350</v>
      </c>
      <c r="C487" s="35" t="s">
        <v>55</v>
      </c>
      <c r="D487" s="36">
        <v>6</v>
      </c>
      <c r="E487" s="36">
        <v>5.4019999999999992</v>
      </c>
      <c r="F487" s="36">
        <f t="shared" si="99"/>
        <v>32.411999999999992</v>
      </c>
      <c r="G487" s="37">
        <f t="shared" si="100"/>
        <v>0</v>
      </c>
      <c r="H487" s="38">
        <f t="shared" si="101"/>
        <v>0</v>
      </c>
      <c r="I487" s="37">
        <f t="shared" si="102"/>
        <v>0</v>
      </c>
      <c r="J487" s="38">
        <v>0</v>
      </c>
      <c r="K487" s="37">
        <f t="shared" si="103"/>
        <v>0</v>
      </c>
      <c r="L487" s="38">
        <v>0</v>
      </c>
    </row>
    <row r="488" spans="1:12" s="39" customFormat="1" ht="15.45" customHeight="1" outlineLevel="1" x14ac:dyDescent="0.25">
      <c r="A488" s="33">
        <v>18</v>
      </c>
      <c r="B488" s="34" t="s">
        <v>351</v>
      </c>
      <c r="C488" s="35" t="s">
        <v>55</v>
      </c>
      <c r="D488" s="36">
        <v>5</v>
      </c>
      <c r="E488" s="36">
        <v>4.8817999999999993</v>
      </c>
      <c r="F488" s="36">
        <f t="shared" si="99"/>
        <v>24.408999999999995</v>
      </c>
      <c r="G488" s="37">
        <f t="shared" si="100"/>
        <v>0</v>
      </c>
      <c r="H488" s="38">
        <f t="shared" si="101"/>
        <v>0</v>
      </c>
      <c r="I488" s="37">
        <f t="shared" si="102"/>
        <v>0</v>
      </c>
      <c r="J488" s="38">
        <v>0</v>
      </c>
      <c r="K488" s="37">
        <f t="shared" si="103"/>
        <v>0</v>
      </c>
      <c r="L488" s="38">
        <v>0</v>
      </c>
    </row>
    <row r="489" spans="1:12" s="39" customFormat="1" ht="28.95" customHeight="1" outlineLevel="1" x14ac:dyDescent="0.25">
      <c r="A489" s="33">
        <v>19</v>
      </c>
      <c r="B489" s="34" t="s">
        <v>352</v>
      </c>
      <c r="C489" s="35" t="s">
        <v>55</v>
      </c>
      <c r="D489" s="36">
        <v>5</v>
      </c>
      <c r="E489" s="36">
        <v>3.3212000000000002</v>
      </c>
      <c r="F489" s="36">
        <f t="shared" si="99"/>
        <v>16.606000000000002</v>
      </c>
      <c r="G489" s="37">
        <f t="shared" si="100"/>
        <v>0</v>
      </c>
      <c r="H489" s="38">
        <f t="shared" si="101"/>
        <v>0</v>
      </c>
      <c r="I489" s="37">
        <f t="shared" si="102"/>
        <v>0</v>
      </c>
      <c r="J489" s="38">
        <v>0</v>
      </c>
      <c r="K489" s="37">
        <f t="shared" si="103"/>
        <v>0</v>
      </c>
      <c r="L489" s="38">
        <v>0</v>
      </c>
    </row>
    <row r="490" spans="1:12" s="39" customFormat="1" ht="15.45" customHeight="1" outlineLevel="1" x14ac:dyDescent="0.25">
      <c r="A490" s="33">
        <v>20</v>
      </c>
      <c r="B490" s="34" t="s">
        <v>377</v>
      </c>
      <c r="C490" s="35" t="s">
        <v>55</v>
      </c>
      <c r="D490" s="36">
        <v>15</v>
      </c>
      <c r="E490" s="36">
        <v>100.5802</v>
      </c>
      <c r="F490" s="36">
        <f t="shared" si="99"/>
        <v>1508.703</v>
      </c>
      <c r="G490" s="37">
        <f t="shared" si="100"/>
        <v>0</v>
      </c>
      <c r="H490" s="38">
        <f t="shared" si="101"/>
        <v>0</v>
      </c>
      <c r="I490" s="37">
        <f t="shared" si="102"/>
        <v>0</v>
      </c>
      <c r="J490" s="38">
        <v>0</v>
      </c>
      <c r="K490" s="37">
        <f t="shared" si="103"/>
        <v>0</v>
      </c>
      <c r="L490" s="38">
        <v>0</v>
      </c>
    </row>
    <row r="491" spans="1:12" s="39" customFormat="1" ht="15.45" customHeight="1" outlineLevel="1" x14ac:dyDescent="0.25">
      <c r="A491" s="33">
        <v>21</v>
      </c>
      <c r="B491" s="34" t="s">
        <v>378</v>
      </c>
      <c r="C491" s="35" t="s">
        <v>115</v>
      </c>
      <c r="D491" s="36">
        <v>15</v>
      </c>
      <c r="E491" s="36">
        <v>62.624000000000009</v>
      </c>
      <c r="F491" s="36">
        <f t="shared" si="99"/>
        <v>939.36000000000013</v>
      </c>
      <c r="G491" s="37">
        <f t="shared" si="100"/>
        <v>0</v>
      </c>
      <c r="H491" s="38">
        <f t="shared" si="101"/>
        <v>0</v>
      </c>
      <c r="I491" s="37">
        <f t="shared" si="102"/>
        <v>0</v>
      </c>
      <c r="J491" s="38">
        <v>0</v>
      </c>
      <c r="K491" s="37">
        <f t="shared" si="103"/>
        <v>0</v>
      </c>
      <c r="L491" s="38">
        <v>0</v>
      </c>
    </row>
    <row r="492" spans="1:12" s="39" customFormat="1" ht="15.45" customHeight="1" outlineLevel="1" x14ac:dyDescent="0.25">
      <c r="A492" s="33">
        <v>22</v>
      </c>
      <c r="B492" s="34" t="s">
        <v>379</v>
      </c>
      <c r="C492" s="35" t="s">
        <v>55</v>
      </c>
      <c r="D492" s="36">
        <v>10</v>
      </c>
      <c r="E492" s="36">
        <v>100.5802</v>
      </c>
      <c r="F492" s="36">
        <f t="shared" si="99"/>
        <v>1005.802</v>
      </c>
      <c r="G492" s="37">
        <f t="shared" si="100"/>
        <v>0</v>
      </c>
      <c r="H492" s="38">
        <f t="shared" si="101"/>
        <v>0</v>
      </c>
      <c r="I492" s="37">
        <f t="shared" si="102"/>
        <v>0</v>
      </c>
      <c r="J492" s="38">
        <v>0</v>
      </c>
      <c r="K492" s="37">
        <f t="shared" si="103"/>
        <v>0</v>
      </c>
      <c r="L492" s="38">
        <v>0</v>
      </c>
    </row>
    <row r="493" spans="1:12" s="39" customFormat="1" ht="15.45" customHeight="1" outlineLevel="1" x14ac:dyDescent="0.25">
      <c r="A493" s="33">
        <v>23</v>
      </c>
      <c r="B493" s="34" t="s">
        <v>380</v>
      </c>
      <c r="C493" s="35" t="s">
        <v>55</v>
      </c>
      <c r="D493" s="36">
        <v>10</v>
      </c>
      <c r="E493" s="36">
        <v>109.8806</v>
      </c>
      <c r="F493" s="36">
        <f t="shared" si="99"/>
        <v>1098.806</v>
      </c>
      <c r="G493" s="37">
        <f t="shared" si="100"/>
        <v>0</v>
      </c>
      <c r="H493" s="38">
        <f t="shared" si="101"/>
        <v>0</v>
      </c>
      <c r="I493" s="37">
        <f t="shared" si="102"/>
        <v>0</v>
      </c>
      <c r="J493" s="38">
        <v>0</v>
      </c>
      <c r="K493" s="37">
        <f t="shared" si="103"/>
        <v>0</v>
      </c>
      <c r="L493" s="38">
        <v>0</v>
      </c>
    </row>
    <row r="494" spans="1:12" s="39" customFormat="1" ht="15.45" customHeight="1" outlineLevel="1" x14ac:dyDescent="0.25">
      <c r="A494" s="33">
        <v>24</v>
      </c>
      <c r="B494" s="34" t="s">
        <v>355</v>
      </c>
      <c r="C494" s="35" t="s">
        <v>55</v>
      </c>
      <c r="D494" s="36">
        <v>2</v>
      </c>
      <c r="E494" s="36">
        <v>5.5039999999999996</v>
      </c>
      <c r="F494" s="36">
        <f t="shared" si="99"/>
        <v>11.007999999999999</v>
      </c>
      <c r="G494" s="37">
        <f t="shared" si="100"/>
        <v>0</v>
      </c>
      <c r="H494" s="38">
        <f t="shared" si="101"/>
        <v>0</v>
      </c>
      <c r="I494" s="37">
        <f t="shared" si="102"/>
        <v>0</v>
      </c>
      <c r="J494" s="38">
        <v>0</v>
      </c>
      <c r="K494" s="37">
        <f t="shared" si="103"/>
        <v>0</v>
      </c>
      <c r="L494" s="38">
        <v>0</v>
      </c>
    </row>
    <row r="495" spans="1:12" s="39" customFormat="1" ht="28.95" customHeight="1" outlineLevel="1" x14ac:dyDescent="0.25">
      <c r="A495" s="33">
        <v>25</v>
      </c>
      <c r="B495" s="34" t="s">
        <v>352</v>
      </c>
      <c r="C495" s="35" t="s">
        <v>55</v>
      </c>
      <c r="D495" s="36">
        <v>1</v>
      </c>
      <c r="E495" s="36">
        <v>3.3212000000000002</v>
      </c>
      <c r="F495" s="36">
        <f t="shared" si="99"/>
        <v>3.3212000000000002</v>
      </c>
      <c r="G495" s="37">
        <f t="shared" si="100"/>
        <v>0</v>
      </c>
      <c r="H495" s="38">
        <f t="shared" si="101"/>
        <v>0</v>
      </c>
      <c r="I495" s="37">
        <f t="shared" si="102"/>
        <v>0</v>
      </c>
      <c r="J495" s="38">
        <v>0</v>
      </c>
      <c r="K495" s="37">
        <f t="shared" si="103"/>
        <v>0</v>
      </c>
      <c r="L495" s="38">
        <v>0</v>
      </c>
    </row>
    <row r="496" spans="1:12" s="39" customFormat="1" ht="28.95" customHeight="1" outlineLevel="1" x14ac:dyDescent="0.25">
      <c r="A496" s="33">
        <v>26</v>
      </c>
      <c r="B496" s="34" t="s">
        <v>356</v>
      </c>
      <c r="C496" s="35" t="s">
        <v>50</v>
      </c>
      <c r="D496" s="36">
        <v>10</v>
      </c>
      <c r="E496" s="36">
        <v>1.2403999999999999</v>
      </c>
      <c r="F496" s="36">
        <f t="shared" si="99"/>
        <v>12.404</v>
      </c>
      <c r="G496" s="37">
        <f t="shared" si="100"/>
        <v>0</v>
      </c>
      <c r="H496" s="38">
        <f t="shared" si="101"/>
        <v>0</v>
      </c>
      <c r="I496" s="37">
        <f t="shared" si="102"/>
        <v>0</v>
      </c>
      <c r="J496" s="38">
        <v>0</v>
      </c>
      <c r="K496" s="37">
        <f t="shared" si="103"/>
        <v>0</v>
      </c>
      <c r="L496" s="38">
        <v>0</v>
      </c>
    </row>
    <row r="497" spans="1:12" s="39" customFormat="1" ht="28.95" customHeight="1" outlineLevel="1" x14ac:dyDescent="0.25">
      <c r="A497" s="31" t="s">
        <v>381</v>
      </c>
      <c r="B497" s="40" t="s">
        <v>382</v>
      </c>
      <c r="C497" s="41">
        <v>0</v>
      </c>
      <c r="D497" s="42"/>
      <c r="E497" s="42"/>
      <c r="F497" s="42"/>
      <c r="G497" s="43"/>
      <c r="H497" s="44"/>
      <c r="I497" s="43"/>
      <c r="J497" s="44"/>
      <c r="K497" s="43"/>
      <c r="L497" s="44">
        <v>0</v>
      </c>
    </row>
    <row r="498" spans="1:12" s="39" customFormat="1" ht="28.95" customHeight="1" outlineLevel="1" x14ac:dyDescent="0.25">
      <c r="A498" s="33">
        <v>1</v>
      </c>
      <c r="B498" s="34" t="s">
        <v>383</v>
      </c>
      <c r="C498" s="35" t="s">
        <v>50</v>
      </c>
      <c r="D498" s="36">
        <v>176</v>
      </c>
      <c r="E498" s="36">
        <v>8.923</v>
      </c>
      <c r="F498" s="36">
        <f t="shared" ref="F498:F514" si="104">+E498*D498</f>
        <v>1570.4480000000001</v>
      </c>
      <c r="G498" s="37">
        <f t="shared" ref="G498:G514" si="105">I498+K498</f>
        <v>0</v>
      </c>
      <c r="H498" s="38">
        <f t="shared" ref="H498:H514" si="106">J498+L498</f>
        <v>0</v>
      </c>
      <c r="I498" s="37">
        <f t="shared" ref="I498:I514" si="107">J498/F498</f>
        <v>0</v>
      </c>
      <c r="J498" s="38">
        <v>0</v>
      </c>
      <c r="K498" s="37">
        <f t="shared" ref="K498:K514" si="108">L498/F498</f>
        <v>0</v>
      </c>
      <c r="L498" s="38">
        <v>0</v>
      </c>
    </row>
    <row r="499" spans="1:12" s="39" customFormat="1" ht="28.95" customHeight="1" outlineLevel="1" x14ac:dyDescent="0.25">
      <c r="A499" s="33">
        <v>2</v>
      </c>
      <c r="B499" s="34" t="s">
        <v>384</v>
      </c>
      <c r="C499" s="35" t="s">
        <v>50</v>
      </c>
      <c r="D499" s="36">
        <v>176</v>
      </c>
      <c r="E499" s="36">
        <v>6.9421999999999997</v>
      </c>
      <c r="F499" s="36">
        <f t="shared" si="104"/>
        <v>1221.8271999999999</v>
      </c>
      <c r="G499" s="37">
        <f t="shared" si="105"/>
        <v>0</v>
      </c>
      <c r="H499" s="38">
        <f t="shared" si="106"/>
        <v>0</v>
      </c>
      <c r="I499" s="37">
        <f t="shared" si="107"/>
        <v>0</v>
      </c>
      <c r="J499" s="38">
        <v>0</v>
      </c>
      <c r="K499" s="37">
        <f t="shared" si="108"/>
        <v>0</v>
      </c>
      <c r="L499" s="38">
        <v>0</v>
      </c>
    </row>
    <row r="500" spans="1:12" s="39" customFormat="1" ht="28.95" customHeight="1" outlineLevel="1" x14ac:dyDescent="0.25">
      <c r="A500" s="33">
        <v>3</v>
      </c>
      <c r="B500" s="34" t="s">
        <v>385</v>
      </c>
      <c r="C500" s="35" t="s">
        <v>50</v>
      </c>
      <c r="D500" s="36">
        <v>42</v>
      </c>
      <c r="E500" s="36">
        <v>9.3819999999999997</v>
      </c>
      <c r="F500" s="36">
        <f t="shared" si="104"/>
        <v>394.04399999999998</v>
      </c>
      <c r="G500" s="37">
        <f t="shared" si="105"/>
        <v>0</v>
      </c>
      <c r="H500" s="38">
        <f t="shared" si="106"/>
        <v>0</v>
      </c>
      <c r="I500" s="37">
        <f t="shared" si="107"/>
        <v>0</v>
      </c>
      <c r="J500" s="38">
        <v>0</v>
      </c>
      <c r="K500" s="37">
        <f t="shared" si="108"/>
        <v>0</v>
      </c>
      <c r="L500" s="38">
        <v>0</v>
      </c>
    </row>
    <row r="501" spans="1:12" s="39" customFormat="1" ht="28.95" customHeight="1" outlineLevel="1" x14ac:dyDescent="0.25">
      <c r="A501" s="33">
        <v>4</v>
      </c>
      <c r="B501" s="34" t="s">
        <v>386</v>
      </c>
      <c r="C501" s="35" t="s">
        <v>50</v>
      </c>
      <c r="D501" s="36">
        <v>42</v>
      </c>
      <c r="E501" s="36">
        <v>4.3411999999999988</v>
      </c>
      <c r="F501" s="36">
        <f t="shared" si="104"/>
        <v>182.33039999999994</v>
      </c>
      <c r="G501" s="37">
        <f t="shared" si="105"/>
        <v>0</v>
      </c>
      <c r="H501" s="38">
        <f t="shared" si="106"/>
        <v>0</v>
      </c>
      <c r="I501" s="37">
        <f t="shared" si="107"/>
        <v>0</v>
      </c>
      <c r="J501" s="38">
        <v>0</v>
      </c>
      <c r="K501" s="37">
        <f t="shared" si="108"/>
        <v>0</v>
      </c>
      <c r="L501" s="38">
        <v>0</v>
      </c>
    </row>
    <row r="502" spans="1:12" s="39" customFormat="1" ht="28.95" customHeight="1" outlineLevel="1" x14ac:dyDescent="0.25">
      <c r="A502" s="33">
        <v>5</v>
      </c>
      <c r="B502" s="34" t="s">
        <v>387</v>
      </c>
      <c r="C502" s="35" t="s">
        <v>55</v>
      </c>
      <c r="D502" s="36">
        <v>10</v>
      </c>
      <c r="E502" s="36">
        <v>10.9834</v>
      </c>
      <c r="F502" s="36">
        <f t="shared" si="104"/>
        <v>109.834</v>
      </c>
      <c r="G502" s="37">
        <f t="shared" si="105"/>
        <v>0</v>
      </c>
      <c r="H502" s="38">
        <f t="shared" si="106"/>
        <v>0</v>
      </c>
      <c r="I502" s="37">
        <f t="shared" si="107"/>
        <v>0</v>
      </c>
      <c r="J502" s="38">
        <v>0</v>
      </c>
      <c r="K502" s="37">
        <f t="shared" si="108"/>
        <v>0</v>
      </c>
      <c r="L502" s="38">
        <v>0</v>
      </c>
    </row>
    <row r="503" spans="1:12" s="39" customFormat="1" ht="15.45" customHeight="1" outlineLevel="1" x14ac:dyDescent="0.25">
      <c r="A503" s="33">
        <v>6</v>
      </c>
      <c r="B503" s="34" t="s">
        <v>388</v>
      </c>
      <c r="C503" s="35" t="s">
        <v>115</v>
      </c>
      <c r="D503" s="36">
        <v>14</v>
      </c>
      <c r="E503" s="36">
        <v>29.68</v>
      </c>
      <c r="F503" s="36">
        <f t="shared" si="104"/>
        <v>415.52</v>
      </c>
      <c r="G503" s="37">
        <f t="shared" si="105"/>
        <v>0</v>
      </c>
      <c r="H503" s="38">
        <f t="shared" si="106"/>
        <v>0</v>
      </c>
      <c r="I503" s="37">
        <f t="shared" si="107"/>
        <v>0</v>
      </c>
      <c r="J503" s="38">
        <v>0</v>
      </c>
      <c r="K503" s="37">
        <f t="shared" si="108"/>
        <v>0</v>
      </c>
      <c r="L503" s="38">
        <v>0</v>
      </c>
    </row>
    <row r="504" spans="1:12" s="39" customFormat="1" ht="15.45" customHeight="1" outlineLevel="1" x14ac:dyDescent="0.25">
      <c r="A504" s="33">
        <v>7</v>
      </c>
      <c r="B504" s="34" t="s">
        <v>389</v>
      </c>
      <c r="C504" s="35" t="s">
        <v>115</v>
      </c>
      <c r="D504" s="36">
        <v>14</v>
      </c>
      <c r="E504" s="36">
        <v>148.97720000000001</v>
      </c>
      <c r="F504" s="36">
        <f t="shared" si="104"/>
        <v>2085.6808000000001</v>
      </c>
      <c r="G504" s="37">
        <f t="shared" si="105"/>
        <v>0</v>
      </c>
      <c r="H504" s="38">
        <f t="shared" si="106"/>
        <v>0</v>
      </c>
      <c r="I504" s="37">
        <f t="shared" si="107"/>
        <v>0</v>
      </c>
      <c r="J504" s="38">
        <v>0</v>
      </c>
      <c r="K504" s="37">
        <f t="shared" si="108"/>
        <v>0</v>
      </c>
      <c r="L504" s="38">
        <v>0</v>
      </c>
    </row>
    <row r="505" spans="1:12" s="39" customFormat="1" ht="15.45" customHeight="1" outlineLevel="1" x14ac:dyDescent="0.25">
      <c r="A505" s="33">
        <v>8</v>
      </c>
      <c r="B505" s="34" t="s">
        <v>390</v>
      </c>
      <c r="C505" s="35" t="s">
        <v>115</v>
      </c>
      <c r="D505" s="36">
        <v>15</v>
      </c>
      <c r="E505" s="36">
        <v>38.656000000000013</v>
      </c>
      <c r="F505" s="36">
        <f t="shared" si="104"/>
        <v>579.84000000000015</v>
      </c>
      <c r="G505" s="37">
        <f t="shared" si="105"/>
        <v>0</v>
      </c>
      <c r="H505" s="38">
        <f t="shared" si="106"/>
        <v>0</v>
      </c>
      <c r="I505" s="37">
        <f t="shared" si="107"/>
        <v>0</v>
      </c>
      <c r="J505" s="38">
        <v>0</v>
      </c>
      <c r="K505" s="37">
        <f t="shared" si="108"/>
        <v>0</v>
      </c>
      <c r="L505" s="38">
        <v>0</v>
      </c>
    </row>
    <row r="506" spans="1:12" s="39" customFormat="1" ht="15.45" customHeight="1" outlineLevel="1" x14ac:dyDescent="0.25">
      <c r="A506" s="33">
        <v>9</v>
      </c>
      <c r="B506" s="34" t="s">
        <v>391</v>
      </c>
      <c r="C506" s="35" t="s">
        <v>55</v>
      </c>
      <c r="D506" s="36">
        <v>15</v>
      </c>
      <c r="E506" s="36">
        <v>114.64400000000001</v>
      </c>
      <c r="F506" s="36">
        <f t="shared" si="104"/>
        <v>1719.66</v>
      </c>
      <c r="G506" s="37">
        <f t="shared" si="105"/>
        <v>0</v>
      </c>
      <c r="H506" s="38">
        <f t="shared" si="106"/>
        <v>0</v>
      </c>
      <c r="I506" s="37">
        <f t="shared" si="107"/>
        <v>0</v>
      </c>
      <c r="J506" s="38">
        <v>0</v>
      </c>
      <c r="K506" s="37">
        <f t="shared" si="108"/>
        <v>0</v>
      </c>
      <c r="L506" s="38">
        <v>0</v>
      </c>
    </row>
    <row r="507" spans="1:12" s="39" customFormat="1" ht="15.45" customHeight="1" outlineLevel="1" x14ac:dyDescent="0.25">
      <c r="A507" s="33">
        <v>10</v>
      </c>
      <c r="B507" s="34" t="s">
        <v>392</v>
      </c>
      <c r="C507" s="35" t="s">
        <v>115</v>
      </c>
      <c r="D507" s="36">
        <v>5</v>
      </c>
      <c r="E507" s="36">
        <v>19.684000000000001</v>
      </c>
      <c r="F507" s="36">
        <f t="shared" si="104"/>
        <v>98.42</v>
      </c>
      <c r="G507" s="37">
        <f t="shared" si="105"/>
        <v>0</v>
      </c>
      <c r="H507" s="38">
        <f t="shared" si="106"/>
        <v>0</v>
      </c>
      <c r="I507" s="37">
        <f t="shared" si="107"/>
        <v>0</v>
      </c>
      <c r="J507" s="38">
        <v>0</v>
      </c>
      <c r="K507" s="37">
        <f t="shared" si="108"/>
        <v>0</v>
      </c>
      <c r="L507" s="38">
        <v>0</v>
      </c>
    </row>
    <row r="508" spans="1:12" s="39" customFormat="1" ht="15.45" customHeight="1" outlineLevel="1" x14ac:dyDescent="0.25">
      <c r="A508" s="33">
        <v>11</v>
      </c>
      <c r="B508" s="34" t="s">
        <v>393</v>
      </c>
      <c r="C508" s="35" t="s">
        <v>115</v>
      </c>
      <c r="D508" s="36">
        <v>5</v>
      </c>
      <c r="E508" s="36">
        <v>187.47200000000001</v>
      </c>
      <c r="F508" s="36">
        <f t="shared" si="104"/>
        <v>937.36</v>
      </c>
      <c r="G508" s="37">
        <f t="shared" si="105"/>
        <v>0</v>
      </c>
      <c r="H508" s="38">
        <f t="shared" si="106"/>
        <v>0</v>
      </c>
      <c r="I508" s="37">
        <f t="shared" si="107"/>
        <v>0</v>
      </c>
      <c r="J508" s="38">
        <v>0</v>
      </c>
      <c r="K508" s="37">
        <f t="shared" si="108"/>
        <v>0</v>
      </c>
      <c r="L508" s="38">
        <v>0</v>
      </c>
    </row>
    <row r="509" spans="1:12" s="39" customFormat="1" ht="15.45" customHeight="1" outlineLevel="1" x14ac:dyDescent="0.25">
      <c r="A509" s="33">
        <v>12</v>
      </c>
      <c r="B509" s="34" t="s">
        <v>394</v>
      </c>
      <c r="C509" s="35" t="s">
        <v>55</v>
      </c>
      <c r="D509" s="36">
        <v>5</v>
      </c>
      <c r="E509" s="36">
        <v>6.4423999999999992</v>
      </c>
      <c r="F509" s="36">
        <f t="shared" si="104"/>
        <v>32.211999999999996</v>
      </c>
      <c r="G509" s="37">
        <f t="shared" si="105"/>
        <v>0</v>
      </c>
      <c r="H509" s="38">
        <f t="shared" si="106"/>
        <v>0</v>
      </c>
      <c r="I509" s="37">
        <f t="shared" si="107"/>
        <v>0</v>
      </c>
      <c r="J509" s="38">
        <v>0</v>
      </c>
      <c r="K509" s="37">
        <f t="shared" si="108"/>
        <v>0</v>
      </c>
      <c r="L509" s="38">
        <v>0</v>
      </c>
    </row>
    <row r="510" spans="1:12" s="39" customFormat="1" ht="15.45" customHeight="1" outlineLevel="1" x14ac:dyDescent="0.25">
      <c r="A510" s="33">
        <v>13</v>
      </c>
      <c r="B510" s="34" t="s">
        <v>395</v>
      </c>
      <c r="C510" s="35" t="s">
        <v>115</v>
      </c>
      <c r="D510" s="36">
        <v>1</v>
      </c>
      <c r="E510" s="36">
        <v>22.54000000000001</v>
      </c>
      <c r="F510" s="36">
        <f t="shared" si="104"/>
        <v>22.54000000000001</v>
      </c>
      <c r="G510" s="37">
        <f t="shared" si="105"/>
        <v>0</v>
      </c>
      <c r="H510" s="38">
        <f t="shared" si="106"/>
        <v>0</v>
      </c>
      <c r="I510" s="37">
        <f t="shared" si="107"/>
        <v>0</v>
      </c>
      <c r="J510" s="38">
        <v>0</v>
      </c>
      <c r="K510" s="37">
        <f t="shared" si="108"/>
        <v>0</v>
      </c>
      <c r="L510" s="38">
        <v>0</v>
      </c>
    </row>
    <row r="511" spans="1:12" s="39" customFormat="1" ht="15.45" customHeight="1" outlineLevel="1" x14ac:dyDescent="0.25">
      <c r="A511" s="33">
        <v>14</v>
      </c>
      <c r="B511" s="34" t="s">
        <v>396</v>
      </c>
      <c r="C511" s="35" t="s">
        <v>115</v>
      </c>
      <c r="D511" s="36">
        <v>17</v>
      </c>
      <c r="E511" s="36">
        <v>14.278</v>
      </c>
      <c r="F511" s="36">
        <f t="shared" si="104"/>
        <v>242.726</v>
      </c>
      <c r="G511" s="37">
        <f t="shared" si="105"/>
        <v>0</v>
      </c>
      <c r="H511" s="38">
        <f t="shared" si="106"/>
        <v>0</v>
      </c>
      <c r="I511" s="37">
        <f t="shared" si="107"/>
        <v>0</v>
      </c>
      <c r="J511" s="38">
        <v>0</v>
      </c>
      <c r="K511" s="37">
        <f t="shared" si="108"/>
        <v>0</v>
      </c>
      <c r="L511" s="38">
        <v>0</v>
      </c>
    </row>
    <row r="512" spans="1:12" s="39" customFormat="1" ht="28.95" customHeight="1" outlineLevel="1" x14ac:dyDescent="0.25">
      <c r="A512" s="33">
        <v>15</v>
      </c>
      <c r="B512" s="34" t="s">
        <v>397</v>
      </c>
      <c r="C512" s="35" t="s">
        <v>50</v>
      </c>
      <c r="D512" s="36">
        <v>2</v>
      </c>
      <c r="E512" s="36">
        <v>49.192599999999999</v>
      </c>
      <c r="F512" s="36">
        <f t="shared" si="104"/>
        <v>98.385199999999998</v>
      </c>
      <c r="G512" s="37">
        <f t="shared" si="105"/>
        <v>0</v>
      </c>
      <c r="H512" s="38">
        <f t="shared" si="106"/>
        <v>0</v>
      </c>
      <c r="I512" s="37">
        <f t="shared" si="107"/>
        <v>0</v>
      </c>
      <c r="J512" s="38">
        <v>0</v>
      </c>
      <c r="K512" s="37">
        <f t="shared" si="108"/>
        <v>0</v>
      </c>
      <c r="L512" s="38">
        <v>0</v>
      </c>
    </row>
    <row r="513" spans="1:12" s="39" customFormat="1" ht="43.5" customHeight="1" outlineLevel="1" x14ac:dyDescent="0.25">
      <c r="A513" s="33">
        <v>16</v>
      </c>
      <c r="B513" s="34" t="s">
        <v>398</v>
      </c>
      <c r="C513" s="35" t="s">
        <v>50</v>
      </c>
      <c r="D513" s="36">
        <v>2</v>
      </c>
      <c r="E513" s="36">
        <v>89.96</v>
      </c>
      <c r="F513" s="36">
        <f t="shared" si="104"/>
        <v>179.92</v>
      </c>
      <c r="G513" s="37">
        <f t="shared" si="105"/>
        <v>0</v>
      </c>
      <c r="H513" s="38">
        <f t="shared" si="106"/>
        <v>0</v>
      </c>
      <c r="I513" s="37">
        <f t="shared" si="107"/>
        <v>0</v>
      </c>
      <c r="J513" s="38">
        <v>0</v>
      </c>
      <c r="K513" s="37">
        <f t="shared" si="108"/>
        <v>0</v>
      </c>
      <c r="L513" s="38">
        <v>0</v>
      </c>
    </row>
    <row r="514" spans="1:12" s="39" customFormat="1" ht="28.95" customHeight="1" outlineLevel="1" x14ac:dyDescent="0.25">
      <c r="A514" s="33">
        <v>17</v>
      </c>
      <c r="B514" s="34" t="s">
        <v>399</v>
      </c>
      <c r="C514" s="35" t="s">
        <v>50</v>
      </c>
      <c r="D514" s="36">
        <v>2</v>
      </c>
      <c r="E514" s="36">
        <v>1.7218</v>
      </c>
      <c r="F514" s="36">
        <f t="shared" si="104"/>
        <v>3.4436</v>
      </c>
      <c r="G514" s="37">
        <f t="shared" si="105"/>
        <v>0</v>
      </c>
      <c r="H514" s="38">
        <f t="shared" si="106"/>
        <v>0</v>
      </c>
      <c r="I514" s="37">
        <f t="shared" si="107"/>
        <v>0</v>
      </c>
      <c r="J514" s="38">
        <v>0</v>
      </c>
      <c r="K514" s="37">
        <f t="shared" si="108"/>
        <v>0</v>
      </c>
      <c r="L514" s="38">
        <v>0</v>
      </c>
    </row>
    <row r="515" spans="1:12" s="39" customFormat="1" ht="28.95" customHeight="1" outlineLevel="1" x14ac:dyDescent="0.25">
      <c r="A515" s="31" t="s">
        <v>400</v>
      </c>
      <c r="B515" s="40" t="s">
        <v>401</v>
      </c>
      <c r="C515" s="41">
        <v>0</v>
      </c>
      <c r="D515" s="42"/>
      <c r="E515" s="42"/>
      <c r="F515" s="42"/>
      <c r="G515" s="43"/>
      <c r="H515" s="44"/>
      <c r="I515" s="43"/>
      <c r="J515" s="44"/>
      <c r="K515" s="43"/>
      <c r="L515" s="44">
        <v>0</v>
      </c>
    </row>
    <row r="516" spans="1:12" s="39" customFormat="1" ht="28.95" customHeight="1" outlineLevel="1" x14ac:dyDescent="0.25">
      <c r="A516" s="33">
        <v>1</v>
      </c>
      <c r="B516" s="34" t="s">
        <v>402</v>
      </c>
      <c r="C516" s="35" t="s">
        <v>50</v>
      </c>
      <c r="D516" s="36">
        <v>5</v>
      </c>
      <c r="E516" s="36">
        <v>11.921799999999999</v>
      </c>
      <c r="F516" s="36">
        <f t="shared" ref="F516:F535" si="109">+E516*D516</f>
        <v>59.608999999999995</v>
      </c>
      <c r="G516" s="37">
        <f t="shared" ref="G516:G535" si="110">I516+K516</f>
        <v>0</v>
      </c>
      <c r="H516" s="38">
        <f t="shared" ref="H516:H535" si="111">J516+L516</f>
        <v>0</v>
      </c>
      <c r="I516" s="37">
        <f t="shared" ref="I516:I535" si="112">J516/F516</f>
        <v>0</v>
      </c>
      <c r="J516" s="38">
        <v>0</v>
      </c>
      <c r="K516" s="37">
        <f t="shared" ref="K516:K535" si="113">L516/F516</f>
        <v>0</v>
      </c>
      <c r="L516" s="38">
        <v>0</v>
      </c>
    </row>
    <row r="517" spans="1:12" s="39" customFormat="1" ht="43.5" customHeight="1" outlineLevel="1" x14ac:dyDescent="0.25">
      <c r="A517" s="33">
        <v>2</v>
      </c>
      <c r="B517" s="34" t="s">
        <v>403</v>
      </c>
      <c r="C517" s="35" t="s">
        <v>50</v>
      </c>
      <c r="D517" s="36">
        <v>5</v>
      </c>
      <c r="E517" s="36">
        <v>13.8476</v>
      </c>
      <c r="F517" s="36">
        <f t="shared" si="109"/>
        <v>69.238</v>
      </c>
      <c r="G517" s="37">
        <f t="shared" si="110"/>
        <v>0</v>
      </c>
      <c r="H517" s="38">
        <f t="shared" si="111"/>
        <v>0</v>
      </c>
      <c r="I517" s="37">
        <f t="shared" si="112"/>
        <v>0</v>
      </c>
      <c r="J517" s="38">
        <v>0</v>
      </c>
      <c r="K517" s="37">
        <f t="shared" si="113"/>
        <v>0</v>
      </c>
      <c r="L517" s="38">
        <v>0</v>
      </c>
    </row>
    <row r="518" spans="1:12" s="39" customFormat="1" ht="28.95" customHeight="1" outlineLevel="1" x14ac:dyDescent="0.25">
      <c r="A518" s="33">
        <v>3</v>
      </c>
      <c r="B518" s="34" t="s">
        <v>331</v>
      </c>
      <c r="C518" s="35" t="s">
        <v>50</v>
      </c>
      <c r="D518" s="36">
        <v>5</v>
      </c>
      <c r="E518" s="36">
        <v>1.9258</v>
      </c>
      <c r="F518" s="36">
        <f t="shared" si="109"/>
        <v>9.6289999999999996</v>
      </c>
      <c r="G518" s="37">
        <f t="shared" si="110"/>
        <v>0</v>
      </c>
      <c r="H518" s="38">
        <f t="shared" si="111"/>
        <v>0</v>
      </c>
      <c r="I518" s="37">
        <f t="shared" si="112"/>
        <v>0</v>
      </c>
      <c r="J518" s="38">
        <v>0</v>
      </c>
      <c r="K518" s="37">
        <f t="shared" si="113"/>
        <v>0</v>
      </c>
      <c r="L518" s="38">
        <v>0</v>
      </c>
    </row>
    <row r="519" spans="1:12" s="39" customFormat="1" ht="28.95" customHeight="1" outlineLevel="1" x14ac:dyDescent="0.25">
      <c r="A519" s="33">
        <v>4</v>
      </c>
      <c r="B519" s="34" t="s">
        <v>383</v>
      </c>
      <c r="C519" s="35" t="s">
        <v>50</v>
      </c>
      <c r="D519" s="36">
        <v>9</v>
      </c>
      <c r="E519" s="36">
        <v>8.923</v>
      </c>
      <c r="F519" s="36">
        <f t="shared" si="109"/>
        <v>80.307000000000002</v>
      </c>
      <c r="G519" s="37">
        <f t="shared" si="110"/>
        <v>0</v>
      </c>
      <c r="H519" s="38">
        <f t="shared" si="111"/>
        <v>0</v>
      </c>
      <c r="I519" s="37">
        <f t="shared" si="112"/>
        <v>0</v>
      </c>
      <c r="J519" s="38">
        <v>0</v>
      </c>
      <c r="K519" s="37">
        <f t="shared" si="113"/>
        <v>0</v>
      </c>
      <c r="L519" s="38">
        <v>0</v>
      </c>
    </row>
    <row r="520" spans="1:12" s="39" customFormat="1" ht="28.95" customHeight="1" outlineLevel="1" x14ac:dyDescent="0.25">
      <c r="A520" s="33">
        <v>5</v>
      </c>
      <c r="B520" s="34" t="s">
        <v>384</v>
      </c>
      <c r="C520" s="35" t="s">
        <v>50</v>
      </c>
      <c r="D520" s="36">
        <v>9</v>
      </c>
      <c r="E520" s="36">
        <v>6.9421999999999997</v>
      </c>
      <c r="F520" s="36">
        <f t="shared" si="109"/>
        <v>62.479799999999997</v>
      </c>
      <c r="G520" s="37">
        <f t="shared" si="110"/>
        <v>0</v>
      </c>
      <c r="H520" s="38">
        <f t="shared" si="111"/>
        <v>0</v>
      </c>
      <c r="I520" s="37">
        <f t="shared" si="112"/>
        <v>0</v>
      </c>
      <c r="J520" s="38">
        <v>0</v>
      </c>
      <c r="K520" s="37">
        <f t="shared" si="113"/>
        <v>0</v>
      </c>
      <c r="L520" s="38">
        <v>0</v>
      </c>
    </row>
    <row r="521" spans="1:12" s="39" customFormat="1" ht="28.95" customHeight="1" outlineLevel="1" x14ac:dyDescent="0.25">
      <c r="A521" s="33">
        <v>6</v>
      </c>
      <c r="B521" s="34" t="s">
        <v>385</v>
      </c>
      <c r="C521" s="35" t="s">
        <v>50</v>
      </c>
      <c r="D521" s="36">
        <v>11</v>
      </c>
      <c r="E521" s="36">
        <v>9.3819999999999997</v>
      </c>
      <c r="F521" s="36">
        <f t="shared" si="109"/>
        <v>103.202</v>
      </c>
      <c r="G521" s="37">
        <f t="shared" si="110"/>
        <v>0</v>
      </c>
      <c r="H521" s="38">
        <f t="shared" si="111"/>
        <v>0</v>
      </c>
      <c r="I521" s="37">
        <f t="shared" si="112"/>
        <v>0</v>
      </c>
      <c r="J521" s="38">
        <v>0</v>
      </c>
      <c r="K521" s="37">
        <f t="shared" si="113"/>
        <v>0</v>
      </c>
      <c r="L521" s="38">
        <v>0</v>
      </c>
    </row>
    <row r="522" spans="1:12" s="39" customFormat="1" ht="28.95" customHeight="1" outlineLevel="1" x14ac:dyDescent="0.25">
      <c r="A522" s="33">
        <v>7</v>
      </c>
      <c r="B522" s="34" t="s">
        <v>386</v>
      </c>
      <c r="C522" s="35" t="s">
        <v>50</v>
      </c>
      <c r="D522" s="36">
        <v>11</v>
      </c>
      <c r="E522" s="36">
        <v>4.3411999999999988</v>
      </c>
      <c r="F522" s="36">
        <f t="shared" si="109"/>
        <v>47.753199999999985</v>
      </c>
      <c r="G522" s="37">
        <f t="shared" si="110"/>
        <v>0</v>
      </c>
      <c r="H522" s="38">
        <f t="shared" si="111"/>
        <v>0</v>
      </c>
      <c r="I522" s="37">
        <f t="shared" si="112"/>
        <v>0</v>
      </c>
      <c r="J522" s="38">
        <v>0</v>
      </c>
      <c r="K522" s="37">
        <f t="shared" si="113"/>
        <v>0</v>
      </c>
      <c r="L522" s="38">
        <v>0</v>
      </c>
    </row>
    <row r="523" spans="1:12" s="39" customFormat="1" ht="15.45" customHeight="1" outlineLevel="1" x14ac:dyDescent="0.25">
      <c r="A523" s="33">
        <v>8</v>
      </c>
      <c r="B523" s="34" t="s">
        <v>388</v>
      </c>
      <c r="C523" s="35" t="s">
        <v>115</v>
      </c>
      <c r="D523" s="36">
        <v>4</v>
      </c>
      <c r="E523" s="36">
        <v>29.68</v>
      </c>
      <c r="F523" s="36">
        <f t="shared" si="109"/>
        <v>118.72</v>
      </c>
      <c r="G523" s="37">
        <f t="shared" si="110"/>
        <v>0</v>
      </c>
      <c r="H523" s="38">
        <f t="shared" si="111"/>
        <v>0</v>
      </c>
      <c r="I523" s="37">
        <f t="shared" si="112"/>
        <v>0</v>
      </c>
      <c r="J523" s="38">
        <v>0</v>
      </c>
      <c r="K523" s="37">
        <f t="shared" si="113"/>
        <v>0</v>
      </c>
      <c r="L523" s="38">
        <v>0</v>
      </c>
    </row>
    <row r="524" spans="1:12" s="39" customFormat="1" ht="15.45" customHeight="1" outlineLevel="1" x14ac:dyDescent="0.25">
      <c r="A524" s="33">
        <v>9</v>
      </c>
      <c r="B524" s="34" t="s">
        <v>389</v>
      </c>
      <c r="C524" s="35" t="s">
        <v>115</v>
      </c>
      <c r="D524" s="36">
        <v>4</v>
      </c>
      <c r="E524" s="36">
        <v>148.97720000000001</v>
      </c>
      <c r="F524" s="36">
        <f t="shared" si="109"/>
        <v>595.90880000000004</v>
      </c>
      <c r="G524" s="37">
        <f t="shared" si="110"/>
        <v>0</v>
      </c>
      <c r="H524" s="38">
        <f t="shared" si="111"/>
        <v>0</v>
      </c>
      <c r="I524" s="37">
        <f t="shared" si="112"/>
        <v>0</v>
      </c>
      <c r="J524" s="38">
        <v>0</v>
      </c>
      <c r="K524" s="37">
        <f t="shared" si="113"/>
        <v>0</v>
      </c>
      <c r="L524" s="38">
        <v>0</v>
      </c>
    </row>
    <row r="525" spans="1:12" s="39" customFormat="1" ht="15.45" customHeight="1" outlineLevel="1" x14ac:dyDescent="0.25">
      <c r="A525" s="33">
        <v>10</v>
      </c>
      <c r="B525" s="34" t="s">
        <v>390</v>
      </c>
      <c r="C525" s="35" t="s">
        <v>115</v>
      </c>
      <c r="D525" s="36">
        <v>4</v>
      </c>
      <c r="E525" s="36">
        <v>38.656000000000013</v>
      </c>
      <c r="F525" s="36">
        <f t="shared" si="109"/>
        <v>154.62400000000005</v>
      </c>
      <c r="G525" s="37">
        <f t="shared" si="110"/>
        <v>0</v>
      </c>
      <c r="H525" s="38">
        <f t="shared" si="111"/>
        <v>0</v>
      </c>
      <c r="I525" s="37">
        <f t="shared" si="112"/>
        <v>0</v>
      </c>
      <c r="J525" s="38">
        <v>0</v>
      </c>
      <c r="K525" s="37">
        <f t="shared" si="113"/>
        <v>0</v>
      </c>
      <c r="L525" s="38">
        <v>0</v>
      </c>
    </row>
    <row r="526" spans="1:12" s="39" customFormat="1" ht="15.45" customHeight="1" outlineLevel="1" x14ac:dyDescent="0.25">
      <c r="A526" s="33">
        <v>11</v>
      </c>
      <c r="B526" s="34" t="s">
        <v>391</v>
      </c>
      <c r="C526" s="35" t="s">
        <v>55</v>
      </c>
      <c r="D526" s="36">
        <v>4</v>
      </c>
      <c r="E526" s="36">
        <v>114.64400000000001</v>
      </c>
      <c r="F526" s="36">
        <f t="shared" si="109"/>
        <v>458.57600000000002</v>
      </c>
      <c r="G526" s="37">
        <f t="shared" si="110"/>
        <v>0</v>
      </c>
      <c r="H526" s="38">
        <f t="shared" si="111"/>
        <v>0</v>
      </c>
      <c r="I526" s="37">
        <f t="shared" si="112"/>
        <v>0</v>
      </c>
      <c r="J526" s="38">
        <v>0</v>
      </c>
      <c r="K526" s="37">
        <f t="shared" si="113"/>
        <v>0</v>
      </c>
      <c r="L526" s="38">
        <v>0</v>
      </c>
    </row>
    <row r="527" spans="1:12" s="39" customFormat="1" ht="15.45" customHeight="1" outlineLevel="1" x14ac:dyDescent="0.25">
      <c r="A527" s="33">
        <v>12</v>
      </c>
      <c r="B527" s="34" t="s">
        <v>395</v>
      </c>
      <c r="C527" s="35" t="s">
        <v>115</v>
      </c>
      <c r="D527" s="36">
        <v>1</v>
      </c>
      <c r="E527" s="36">
        <v>22.54000000000001</v>
      </c>
      <c r="F527" s="36">
        <f t="shared" si="109"/>
        <v>22.54000000000001</v>
      </c>
      <c r="G527" s="37">
        <f t="shared" si="110"/>
        <v>0</v>
      </c>
      <c r="H527" s="38">
        <f t="shared" si="111"/>
        <v>0</v>
      </c>
      <c r="I527" s="37">
        <f t="shared" si="112"/>
        <v>0</v>
      </c>
      <c r="J527" s="38">
        <v>0</v>
      </c>
      <c r="K527" s="37">
        <f t="shared" si="113"/>
        <v>0</v>
      </c>
      <c r="L527" s="38">
        <v>0</v>
      </c>
    </row>
    <row r="528" spans="1:12" s="39" customFormat="1" ht="15.45" customHeight="1" outlineLevel="1" x14ac:dyDescent="0.25">
      <c r="A528" s="33">
        <v>13</v>
      </c>
      <c r="B528" s="34" t="s">
        <v>396</v>
      </c>
      <c r="C528" s="35" t="s">
        <v>115</v>
      </c>
      <c r="D528" s="36">
        <v>3</v>
      </c>
      <c r="E528" s="36">
        <v>14.278</v>
      </c>
      <c r="F528" s="36">
        <f t="shared" si="109"/>
        <v>42.834000000000003</v>
      </c>
      <c r="G528" s="37">
        <f t="shared" si="110"/>
        <v>0</v>
      </c>
      <c r="H528" s="38">
        <f t="shared" si="111"/>
        <v>0</v>
      </c>
      <c r="I528" s="37">
        <f t="shared" si="112"/>
        <v>0</v>
      </c>
      <c r="J528" s="38">
        <v>0</v>
      </c>
      <c r="K528" s="37">
        <f t="shared" si="113"/>
        <v>0</v>
      </c>
      <c r="L528" s="38">
        <v>0</v>
      </c>
    </row>
    <row r="529" spans="1:12" s="39" customFormat="1" ht="43.5" customHeight="1" outlineLevel="1" x14ac:dyDescent="0.25">
      <c r="A529" s="33">
        <v>14</v>
      </c>
      <c r="B529" s="34" t="s">
        <v>404</v>
      </c>
      <c r="C529" s="35" t="s">
        <v>55</v>
      </c>
      <c r="D529" s="36">
        <v>1</v>
      </c>
      <c r="E529" s="36">
        <v>45.49</v>
      </c>
      <c r="F529" s="36">
        <f t="shared" si="109"/>
        <v>45.49</v>
      </c>
      <c r="G529" s="37">
        <f t="shared" si="110"/>
        <v>0</v>
      </c>
      <c r="H529" s="38">
        <f t="shared" si="111"/>
        <v>0</v>
      </c>
      <c r="I529" s="37">
        <f t="shared" si="112"/>
        <v>0</v>
      </c>
      <c r="J529" s="38">
        <v>0</v>
      </c>
      <c r="K529" s="37">
        <f t="shared" si="113"/>
        <v>0</v>
      </c>
      <c r="L529" s="38">
        <v>0</v>
      </c>
    </row>
    <row r="530" spans="1:12" s="39" customFormat="1" ht="15.45" customHeight="1" outlineLevel="1" x14ac:dyDescent="0.25">
      <c r="A530" s="33">
        <v>15</v>
      </c>
      <c r="B530" s="34" t="s">
        <v>405</v>
      </c>
      <c r="C530" s="35" t="s">
        <v>55</v>
      </c>
      <c r="D530" s="36">
        <v>1</v>
      </c>
      <c r="E530" s="36">
        <v>127.547</v>
      </c>
      <c r="F530" s="36">
        <f t="shared" si="109"/>
        <v>127.547</v>
      </c>
      <c r="G530" s="37">
        <f t="shared" si="110"/>
        <v>0</v>
      </c>
      <c r="H530" s="38">
        <f t="shared" si="111"/>
        <v>0</v>
      </c>
      <c r="I530" s="37">
        <f t="shared" si="112"/>
        <v>0</v>
      </c>
      <c r="J530" s="38">
        <v>0</v>
      </c>
      <c r="K530" s="37">
        <f t="shared" si="113"/>
        <v>0</v>
      </c>
      <c r="L530" s="38">
        <v>0</v>
      </c>
    </row>
    <row r="531" spans="1:12" s="39" customFormat="1" ht="28.95" customHeight="1" outlineLevel="1" x14ac:dyDescent="0.25">
      <c r="A531" s="33">
        <v>16</v>
      </c>
      <c r="B531" s="34" t="s">
        <v>406</v>
      </c>
      <c r="C531" s="35" t="s">
        <v>55</v>
      </c>
      <c r="D531" s="36">
        <v>2</v>
      </c>
      <c r="E531" s="36">
        <v>7.4827999999999992</v>
      </c>
      <c r="F531" s="36">
        <f t="shared" si="109"/>
        <v>14.965599999999998</v>
      </c>
      <c r="G531" s="37">
        <f t="shared" si="110"/>
        <v>0</v>
      </c>
      <c r="H531" s="38">
        <f t="shared" si="111"/>
        <v>0</v>
      </c>
      <c r="I531" s="37">
        <f t="shared" si="112"/>
        <v>0</v>
      </c>
      <c r="J531" s="38">
        <v>0</v>
      </c>
      <c r="K531" s="37">
        <f t="shared" si="113"/>
        <v>0</v>
      </c>
      <c r="L531" s="38">
        <v>0</v>
      </c>
    </row>
    <row r="532" spans="1:12" s="39" customFormat="1" ht="15.45" customHeight="1" outlineLevel="1" x14ac:dyDescent="0.25">
      <c r="A532" s="33">
        <v>17</v>
      </c>
      <c r="B532" s="34" t="s">
        <v>407</v>
      </c>
      <c r="C532" s="35" t="s">
        <v>55</v>
      </c>
      <c r="D532" s="36">
        <v>1</v>
      </c>
      <c r="E532" s="36">
        <v>199.95679999999999</v>
      </c>
      <c r="F532" s="36">
        <f t="shared" si="109"/>
        <v>199.95679999999999</v>
      </c>
      <c r="G532" s="37">
        <f t="shared" si="110"/>
        <v>0</v>
      </c>
      <c r="H532" s="38">
        <f t="shared" si="111"/>
        <v>0</v>
      </c>
      <c r="I532" s="37">
        <f t="shared" si="112"/>
        <v>0</v>
      </c>
      <c r="J532" s="38">
        <v>0</v>
      </c>
      <c r="K532" s="37">
        <f t="shared" si="113"/>
        <v>0</v>
      </c>
      <c r="L532" s="38">
        <v>0</v>
      </c>
    </row>
    <row r="533" spans="1:12" s="39" customFormat="1" ht="28.95" customHeight="1" outlineLevel="1" x14ac:dyDescent="0.25">
      <c r="A533" s="33">
        <v>18</v>
      </c>
      <c r="B533" s="34" t="s">
        <v>408</v>
      </c>
      <c r="C533" s="35" t="s">
        <v>55</v>
      </c>
      <c r="D533" s="36">
        <v>1</v>
      </c>
      <c r="E533" s="36">
        <v>201.04</v>
      </c>
      <c r="F533" s="36">
        <f t="shared" si="109"/>
        <v>201.04</v>
      </c>
      <c r="G533" s="37">
        <f t="shared" si="110"/>
        <v>0</v>
      </c>
      <c r="H533" s="38">
        <f t="shared" si="111"/>
        <v>0</v>
      </c>
      <c r="I533" s="37">
        <f t="shared" si="112"/>
        <v>0</v>
      </c>
      <c r="J533" s="38">
        <v>0</v>
      </c>
      <c r="K533" s="37">
        <f t="shared" si="113"/>
        <v>0</v>
      </c>
      <c r="L533" s="38">
        <v>0</v>
      </c>
    </row>
    <row r="534" spans="1:12" s="39" customFormat="1" ht="28.95" customHeight="1" outlineLevel="1" x14ac:dyDescent="0.25">
      <c r="A534" s="33">
        <v>19</v>
      </c>
      <c r="B534" s="34" t="s">
        <v>409</v>
      </c>
      <c r="C534" s="35" t="s">
        <v>55</v>
      </c>
      <c r="D534" s="36">
        <v>1</v>
      </c>
      <c r="E534" s="36">
        <v>1254.0999999999999</v>
      </c>
      <c r="F534" s="36">
        <f t="shared" si="109"/>
        <v>1254.0999999999999</v>
      </c>
      <c r="G534" s="37">
        <f t="shared" si="110"/>
        <v>0</v>
      </c>
      <c r="H534" s="38">
        <f t="shared" si="111"/>
        <v>0</v>
      </c>
      <c r="I534" s="37">
        <f t="shared" si="112"/>
        <v>0</v>
      </c>
      <c r="J534" s="38">
        <v>0</v>
      </c>
      <c r="K534" s="37">
        <f t="shared" si="113"/>
        <v>0</v>
      </c>
      <c r="L534" s="38">
        <v>0</v>
      </c>
    </row>
    <row r="535" spans="1:12" s="39" customFormat="1" ht="58.05" customHeight="1" outlineLevel="1" x14ac:dyDescent="0.25">
      <c r="A535" s="33">
        <v>20</v>
      </c>
      <c r="B535" s="34" t="s">
        <v>410</v>
      </c>
      <c r="C535" s="35" t="s">
        <v>55</v>
      </c>
      <c r="D535" s="36">
        <v>1</v>
      </c>
      <c r="E535" s="36">
        <v>17.0932</v>
      </c>
      <c r="F535" s="36">
        <f t="shared" si="109"/>
        <v>17.0932</v>
      </c>
      <c r="G535" s="37">
        <f t="shared" si="110"/>
        <v>0</v>
      </c>
      <c r="H535" s="38">
        <f t="shared" si="111"/>
        <v>0</v>
      </c>
      <c r="I535" s="37">
        <f t="shared" si="112"/>
        <v>0</v>
      </c>
      <c r="J535" s="38">
        <v>0</v>
      </c>
      <c r="K535" s="37">
        <f t="shared" si="113"/>
        <v>0</v>
      </c>
      <c r="L535" s="38">
        <v>0</v>
      </c>
    </row>
    <row r="536" spans="1:12" s="39" customFormat="1" ht="28.95" customHeight="1" outlineLevel="1" x14ac:dyDescent="0.25">
      <c r="A536" s="31" t="s">
        <v>411</v>
      </c>
      <c r="B536" s="40" t="s">
        <v>412</v>
      </c>
      <c r="C536" s="41">
        <v>0</v>
      </c>
      <c r="D536" s="42"/>
      <c r="E536" s="42"/>
      <c r="F536" s="42"/>
      <c r="G536" s="43"/>
      <c r="H536" s="44"/>
      <c r="I536" s="43"/>
      <c r="J536" s="44"/>
      <c r="K536" s="43"/>
      <c r="L536" s="44">
        <v>0</v>
      </c>
    </row>
    <row r="537" spans="1:12" s="39" customFormat="1" ht="28.95" customHeight="1" outlineLevel="1" x14ac:dyDescent="0.25">
      <c r="A537" s="33">
        <v>1</v>
      </c>
      <c r="B537" s="34" t="s">
        <v>383</v>
      </c>
      <c r="C537" s="35" t="s">
        <v>50</v>
      </c>
      <c r="D537" s="36">
        <v>31</v>
      </c>
      <c r="E537" s="36">
        <v>8.923</v>
      </c>
      <c r="F537" s="36">
        <f t="shared" ref="F537:F549" si="114">+E537*D537</f>
        <v>276.613</v>
      </c>
      <c r="G537" s="37">
        <f t="shared" ref="G537:G549" si="115">I537+K537</f>
        <v>0</v>
      </c>
      <c r="H537" s="38">
        <f t="shared" ref="H537:H549" si="116">J537+L537</f>
        <v>0</v>
      </c>
      <c r="I537" s="37">
        <f t="shared" ref="I537:I549" si="117">J537/F537</f>
        <v>0</v>
      </c>
      <c r="J537" s="38">
        <v>0</v>
      </c>
      <c r="K537" s="37">
        <f t="shared" ref="K537:K549" si="118">L537/F537</f>
        <v>0</v>
      </c>
      <c r="L537" s="38">
        <v>0</v>
      </c>
    </row>
    <row r="538" spans="1:12" s="39" customFormat="1" ht="28.95" customHeight="1" outlineLevel="1" x14ac:dyDescent="0.25">
      <c r="A538" s="33">
        <v>2</v>
      </c>
      <c r="B538" s="34" t="s">
        <v>384</v>
      </c>
      <c r="C538" s="35" t="s">
        <v>50</v>
      </c>
      <c r="D538" s="36">
        <v>31</v>
      </c>
      <c r="E538" s="36">
        <v>6.9421999999999997</v>
      </c>
      <c r="F538" s="36">
        <f t="shared" si="114"/>
        <v>215.20819999999998</v>
      </c>
      <c r="G538" s="37">
        <f t="shared" si="115"/>
        <v>0</v>
      </c>
      <c r="H538" s="38">
        <f t="shared" si="116"/>
        <v>0</v>
      </c>
      <c r="I538" s="37">
        <f t="shared" si="117"/>
        <v>0</v>
      </c>
      <c r="J538" s="38">
        <v>0</v>
      </c>
      <c r="K538" s="37">
        <f t="shared" si="118"/>
        <v>0</v>
      </c>
      <c r="L538" s="38">
        <v>0</v>
      </c>
    </row>
    <row r="539" spans="1:12" s="39" customFormat="1" ht="28.95" customHeight="1" outlineLevel="1" x14ac:dyDescent="0.25">
      <c r="A539" s="33">
        <v>3</v>
      </c>
      <c r="B539" s="34" t="s">
        <v>385</v>
      </c>
      <c r="C539" s="35" t="s">
        <v>50</v>
      </c>
      <c r="D539" s="36">
        <v>36</v>
      </c>
      <c r="E539" s="36">
        <v>9.3819999999999997</v>
      </c>
      <c r="F539" s="36">
        <f t="shared" si="114"/>
        <v>337.75200000000001</v>
      </c>
      <c r="G539" s="37">
        <f t="shared" si="115"/>
        <v>0</v>
      </c>
      <c r="H539" s="38">
        <f t="shared" si="116"/>
        <v>0</v>
      </c>
      <c r="I539" s="37">
        <f t="shared" si="117"/>
        <v>0</v>
      </c>
      <c r="J539" s="38">
        <v>0</v>
      </c>
      <c r="K539" s="37">
        <f t="shared" si="118"/>
        <v>0</v>
      </c>
      <c r="L539" s="38">
        <v>0</v>
      </c>
    </row>
    <row r="540" spans="1:12" s="39" customFormat="1" ht="28.95" customHeight="1" outlineLevel="1" x14ac:dyDescent="0.25">
      <c r="A540" s="33">
        <v>4</v>
      </c>
      <c r="B540" s="34" t="s">
        <v>386</v>
      </c>
      <c r="C540" s="35" t="s">
        <v>50</v>
      </c>
      <c r="D540" s="36">
        <v>36</v>
      </c>
      <c r="E540" s="36">
        <v>4.3411999999999988</v>
      </c>
      <c r="F540" s="36">
        <f t="shared" si="114"/>
        <v>156.28319999999997</v>
      </c>
      <c r="G540" s="37">
        <f t="shared" si="115"/>
        <v>0</v>
      </c>
      <c r="H540" s="38">
        <f t="shared" si="116"/>
        <v>0</v>
      </c>
      <c r="I540" s="37">
        <f t="shared" si="117"/>
        <v>0</v>
      </c>
      <c r="J540" s="38">
        <v>0</v>
      </c>
      <c r="K540" s="37">
        <f t="shared" si="118"/>
        <v>0</v>
      </c>
      <c r="L540" s="38">
        <v>0</v>
      </c>
    </row>
    <row r="541" spans="1:12" s="39" customFormat="1" ht="28.95" customHeight="1" outlineLevel="1" x14ac:dyDescent="0.25">
      <c r="A541" s="33">
        <v>5</v>
      </c>
      <c r="B541" s="34" t="s">
        <v>413</v>
      </c>
      <c r="C541" s="35" t="s">
        <v>55</v>
      </c>
      <c r="D541" s="36">
        <v>5</v>
      </c>
      <c r="E541" s="36">
        <v>10.9834</v>
      </c>
      <c r="F541" s="36">
        <f t="shared" si="114"/>
        <v>54.917000000000002</v>
      </c>
      <c r="G541" s="37">
        <f t="shared" si="115"/>
        <v>0</v>
      </c>
      <c r="H541" s="38">
        <f t="shared" si="116"/>
        <v>0</v>
      </c>
      <c r="I541" s="37">
        <f t="shared" si="117"/>
        <v>0</v>
      </c>
      <c r="J541" s="38">
        <v>0</v>
      </c>
      <c r="K541" s="37">
        <f t="shared" si="118"/>
        <v>0</v>
      </c>
      <c r="L541" s="38">
        <v>0</v>
      </c>
    </row>
    <row r="542" spans="1:12" s="39" customFormat="1" ht="28.95" customHeight="1" outlineLevel="1" x14ac:dyDescent="0.25">
      <c r="A542" s="33">
        <v>6</v>
      </c>
      <c r="B542" s="34" t="s">
        <v>414</v>
      </c>
      <c r="C542" s="35" t="s">
        <v>115</v>
      </c>
      <c r="D542" s="36">
        <v>2</v>
      </c>
      <c r="E542" s="36">
        <v>23.356000000000002</v>
      </c>
      <c r="F542" s="36">
        <f t="shared" si="114"/>
        <v>46.712000000000003</v>
      </c>
      <c r="G542" s="37">
        <f t="shared" si="115"/>
        <v>0</v>
      </c>
      <c r="H542" s="38">
        <f t="shared" si="116"/>
        <v>0</v>
      </c>
      <c r="I542" s="37">
        <f t="shared" si="117"/>
        <v>0</v>
      </c>
      <c r="J542" s="38">
        <v>0</v>
      </c>
      <c r="K542" s="37">
        <f t="shared" si="118"/>
        <v>0</v>
      </c>
      <c r="L542" s="38">
        <v>0</v>
      </c>
    </row>
    <row r="543" spans="1:12" s="39" customFormat="1" ht="15.45" customHeight="1" outlineLevel="1" x14ac:dyDescent="0.25">
      <c r="A543" s="33">
        <v>7</v>
      </c>
      <c r="B543" s="34" t="s">
        <v>415</v>
      </c>
      <c r="C543" s="35" t="s">
        <v>55</v>
      </c>
      <c r="D543" s="36">
        <v>2</v>
      </c>
      <c r="E543" s="36">
        <v>304.71080000000012</v>
      </c>
      <c r="F543" s="36">
        <f t="shared" si="114"/>
        <v>609.42160000000024</v>
      </c>
      <c r="G543" s="37">
        <f t="shared" si="115"/>
        <v>0</v>
      </c>
      <c r="H543" s="38">
        <f t="shared" si="116"/>
        <v>0</v>
      </c>
      <c r="I543" s="37">
        <f t="shared" si="117"/>
        <v>0</v>
      </c>
      <c r="J543" s="38">
        <v>0</v>
      </c>
      <c r="K543" s="37">
        <f t="shared" si="118"/>
        <v>0</v>
      </c>
      <c r="L543" s="38">
        <v>0</v>
      </c>
    </row>
    <row r="544" spans="1:12" s="39" customFormat="1" ht="15.45" customHeight="1" outlineLevel="1" x14ac:dyDescent="0.25">
      <c r="A544" s="33">
        <v>8</v>
      </c>
      <c r="B544" s="34" t="s">
        <v>416</v>
      </c>
      <c r="C544" s="35" t="s">
        <v>55</v>
      </c>
      <c r="D544" s="36">
        <v>2</v>
      </c>
      <c r="E544" s="36">
        <v>6.4423999999999992</v>
      </c>
      <c r="F544" s="36">
        <f t="shared" si="114"/>
        <v>12.884799999999998</v>
      </c>
      <c r="G544" s="37">
        <f t="shared" si="115"/>
        <v>0</v>
      </c>
      <c r="H544" s="38">
        <f t="shared" si="116"/>
        <v>0</v>
      </c>
      <c r="I544" s="37">
        <f t="shared" si="117"/>
        <v>0</v>
      </c>
      <c r="J544" s="38">
        <v>0</v>
      </c>
      <c r="K544" s="37">
        <f t="shared" si="118"/>
        <v>0</v>
      </c>
      <c r="L544" s="38">
        <v>0</v>
      </c>
    </row>
    <row r="545" spans="1:12" s="39" customFormat="1" ht="15.45" customHeight="1" outlineLevel="1" x14ac:dyDescent="0.25">
      <c r="A545" s="33">
        <v>9</v>
      </c>
      <c r="B545" s="34" t="s">
        <v>417</v>
      </c>
      <c r="C545" s="35" t="s">
        <v>55</v>
      </c>
      <c r="D545" s="36">
        <v>3</v>
      </c>
      <c r="E545" s="36">
        <v>6.4423999999999992</v>
      </c>
      <c r="F545" s="36">
        <f t="shared" si="114"/>
        <v>19.327199999999998</v>
      </c>
      <c r="G545" s="37">
        <f t="shared" si="115"/>
        <v>0</v>
      </c>
      <c r="H545" s="38">
        <f t="shared" si="116"/>
        <v>0</v>
      </c>
      <c r="I545" s="37">
        <f t="shared" si="117"/>
        <v>0</v>
      </c>
      <c r="J545" s="38">
        <v>0</v>
      </c>
      <c r="K545" s="37">
        <f t="shared" si="118"/>
        <v>0</v>
      </c>
      <c r="L545" s="38">
        <v>0</v>
      </c>
    </row>
    <row r="546" spans="1:12" s="39" customFormat="1" ht="15.45" customHeight="1" outlineLevel="1" x14ac:dyDescent="0.25">
      <c r="A546" s="33">
        <v>10</v>
      </c>
      <c r="B546" s="34" t="s">
        <v>396</v>
      </c>
      <c r="C546" s="35" t="s">
        <v>115</v>
      </c>
      <c r="D546" s="36">
        <v>1</v>
      </c>
      <c r="E546" s="36">
        <v>14.278</v>
      </c>
      <c r="F546" s="36">
        <f t="shared" si="114"/>
        <v>14.278</v>
      </c>
      <c r="G546" s="37">
        <f t="shared" si="115"/>
        <v>0</v>
      </c>
      <c r="H546" s="38">
        <f t="shared" si="116"/>
        <v>0</v>
      </c>
      <c r="I546" s="37">
        <f t="shared" si="117"/>
        <v>0</v>
      </c>
      <c r="J546" s="38">
        <v>0</v>
      </c>
      <c r="K546" s="37">
        <f t="shared" si="118"/>
        <v>0</v>
      </c>
      <c r="L546" s="38">
        <v>0</v>
      </c>
    </row>
    <row r="547" spans="1:12" s="39" customFormat="1" ht="28.95" customHeight="1" outlineLevel="1" x14ac:dyDescent="0.25">
      <c r="A547" s="33">
        <v>11</v>
      </c>
      <c r="B547" s="34" t="s">
        <v>418</v>
      </c>
      <c r="C547" s="35" t="s">
        <v>50</v>
      </c>
      <c r="D547" s="36">
        <v>2</v>
      </c>
      <c r="E547" s="36">
        <v>49.192599999999999</v>
      </c>
      <c r="F547" s="36">
        <f t="shared" si="114"/>
        <v>98.385199999999998</v>
      </c>
      <c r="G547" s="37">
        <f t="shared" si="115"/>
        <v>0</v>
      </c>
      <c r="H547" s="38">
        <f t="shared" si="116"/>
        <v>0</v>
      </c>
      <c r="I547" s="37">
        <f t="shared" si="117"/>
        <v>0</v>
      </c>
      <c r="J547" s="38">
        <v>0</v>
      </c>
      <c r="K547" s="37">
        <f t="shared" si="118"/>
        <v>0</v>
      </c>
      <c r="L547" s="38">
        <v>0</v>
      </c>
    </row>
    <row r="548" spans="1:12" s="39" customFormat="1" ht="43.5" customHeight="1" outlineLevel="1" x14ac:dyDescent="0.25">
      <c r="A548" s="33">
        <v>12</v>
      </c>
      <c r="B548" s="34" t="s">
        <v>398</v>
      </c>
      <c r="C548" s="35" t="s">
        <v>50</v>
      </c>
      <c r="D548" s="36">
        <v>2</v>
      </c>
      <c r="E548" s="36">
        <v>90.867799999999988</v>
      </c>
      <c r="F548" s="36">
        <f t="shared" si="114"/>
        <v>181.73559999999998</v>
      </c>
      <c r="G548" s="37">
        <f t="shared" si="115"/>
        <v>0</v>
      </c>
      <c r="H548" s="38">
        <f t="shared" si="116"/>
        <v>0</v>
      </c>
      <c r="I548" s="37">
        <f t="shared" si="117"/>
        <v>0</v>
      </c>
      <c r="J548" s="38">
        <v>0</v>
      </c>
      <c r="K548" s="37">
        <f t="shared" si="118"/>
        <v>0</v>
      </c>
      <c r="L548" s="38">
        <v>0</v>
      </c>
    </row>
    <row r="549" spans="1:12" s="39" customFormat="1" ht="28.95" customHeight="1" outlineLevel="1" x14ac:dyDescent="0.25">
      <c r="A549" s="33">
        <v>13</v>
      </c>
      <c r="B549" s="34" t="s">
        <v>399</v>
      </c>
      <c r="C549" s="35" t="s">
        <v>50</v>
      </c>
      <c r="D549" s="36">
        <v>2</v>
      </c>
      <c r="E549" s="36">
        <v>1.7218</v>
      </c>
      <c r="F549" s="36">
        <f t="shared" si="114"/>
        <v>3.4436</v>
      </c>
      <c r="G549" s="37">
        <f t="shared" si="115"/>
        <v>0</v>
      </c>
      <c r="H549" s="38">
        <f t="shared" si="116"/>
        <v>0</v>
      </c>
      <c r="I549" s="37">
        <f t="shared" si="117"/>
        <v>0</v>
      </c>
      <c r="J549" s="38">
        <v>0</v>
      </c>
      <c r="K549" s="37">
        <f t="shared" si="118"/>
        <v>0</v>
      </c>
      <c r="L549" s="38">
        <v>0</v>
      </c>
    </row>
    <row r="550" spans="1:12" s="39" customFormat="1" ht="28.95" customHeight="1" outlineLevel="1" x14ac:dyDescent="0.25">
      <c r="A550" s="31" t="s">
        <v>419</v>
      </c>
      <c r="B550" s="40" t="s">
        <v>420</v>
      </c>
      <c r="C550" s="41">
        <v>0</v>
      </c>
      <c r="D550" s="42"/>
      <c r="E550" s="42"/>
      <c r="F550" s="42"/>
      <c r="G550" s="43"/>
      <c r="H550" s="44"/>
      <c r="I550" s="43"/>
      <c r="J550" s="44"/>
      <c r="K550" s="43"/>
      <c r="L550" s="44">
        <v>0</v>
      </c>
    </row>
    <row r="551" spans="1:12" s="39" customFormat="1" ht="43.5" customHeight="1" outlineLevel="1" x14ac:dyDescent="0.25">
      <c r="A551" s="33">
        <v>1</v>
      </c>
      <c r="B551" s="34" t="s">
        <v>421</v>
      </c>
      <c r="C551" s="35" t="s">
        <v>50</v>
      </c>
      <c r="D551" s="36">
        <v>23</v>
      </c>
      <c r="E551" s="36">
        <v>12.452199999999999</v>
      </c>
      <c r="F551" s="36">
        <f t="shared" ref="F551:F564" si="119">+E551*D551</f>
        <v>286.4006</v>
      </c>
      <c r="G551" s="37">
        <f t="shared" ref="G551:G564" si="120">I551+K551</f>
        <v>0</v>
      </c>
      <c r="H551" s="38">
        <f t="shared" ref="H551:H564" si="121">J551+L551</f>
        <v>0</v>
      </c>
      <c r="I551" s="37">
        <f t="shared" ref="I551:I564" si="122">J551/F551</f>
        <v>0</v>
      </c>
      <c r="J551" s="38">
        <v>0</v>
      </c>
      <c r="K551" s="37">
        <f t="shared" ref="K551:K564" si="123">L551/F551</f>
        <v>0</v>
      </c>
      <c r="L551" s="38">
        <v>0</v>
      </c>
    </row>
    <row r="552" spans="1:12" s="39" customFormat="1" ht="43.5" customHeight="1" outlineLevel="1" x14ac:dyDescent="0.25">
      <c r="A552" s="33">
        <v>2</v>
      </c>
      <c r="B552" s="34" t="s">
        <v>422</v>
      </c>
      <c r="C552" s="35" t="s">
        <v>50</v>
      </c>
      <c r="D552" s="36">
        <v>23</v>
      </c>
      <c r="E552" s="36">
        <v>1.3118000000000001</v>
      </c>
      <c r="F552" s="36">
        <f t="shared" si="119"/>
        <v>30.171400000000002</v>
      </c>
      <c r="G552" s="37">
        <f t="shared" si="120"/>
        <v>0</v>
      </c>
      <c r="H552" s="38">
        <f t="shared" si="121"/>
        <v>0</v>
      </c>
      <c r="I552" s="37">
        <f t="shared" si="122"/>
        <v>0</v>
      </c>
      <c r="J552" s="38">
        <v>0</v>
      </c>
      <c r="K552" s="37">
        <f t="shared" si="123"/>
        <v>0</v>
      </c>
      <c r="L552" s="38">
        <v>0</v>
      </c>
    </row>
    <row r="553" spans="1:12" s="39" customFormat="1" ht="28.95" customHeight="1" outlineLevel="1" x14ac:dyDescent="0.25">
      <c r="A553" s="33">
        <v>3</v>
      </c>
      <c r="B553" s="34" t="s">
        <v>329</v>
      </c>
      <c r="C553" s="35" t="s">
        <v>50</v>
      </c>
      <c r="D553" s="36">
        <v>11</v>
      </c>
      <c r="E553" s="36">
        <v>9.2289999999999992</v>
      </c>
      <c r="F553" s="36">
        <f t="shared" si="119"/>
        <v>101.51899999999999</v>
      </c>
      <c r="G553" s="37">
        <f t="shared" si="120"/>
        <v>0</v>
      </c>
      <c r="H553" s="38">
        <f t="shared" si="121"/>
        <v>0</v>
      </c>
      <c r="I553" s="37">
        <f t="shared" si="122"/>
        <v>0</v>
      </c>
      <c r="J553" s="38">
        <v>0</v>
      </c>
      <c r="K553" s="37">
        <f t="shared" si="123"/>
        <v>0</v>
      </c>
      <c r="L553" s="38">
        <v>0</v>
      </c>
    </row>
    <row r="554" spans="1:12" s="39" customFormat="1" ht="28.95" customHeight="1" outlineLevel="1" x14ac:dyDescent="0.25">
      <c r="A554" s="33">
        <v>4</v>
      </c>
      <c r="B554" s="34" t="s">
        <v>330</v>
      </c>
      <c r="C554" s="35" t="s">
        <v>50</v>
      </c>
      <c r="D554" s="36">
        <v>11</v>
      </c>
      <c r="E554" s="36">
        <v>9.7064000000000004</v>
      </c>
      <c r="F554" s="36">
        <f t="shared" si="119"/>
        <v>106.77040000000001</v>
      </c>
      <c r="G554" s="37">
        <f t="shared" si="120"/>
        <v>0</v>
      </c>
      <c r="H554" s="38">
        <f t="shared" si="121"/>
        <v>0</v>
      </c>
      <c r="I554" s="37">
        <f t="shared" si="122"/>
        <v>0</v>
      </c>
      <c r="J554" s="38">
        <v>0</v>
      </c>
      <c r="K554" s="37">
        <f t="shared" si="123"/>
        <v>0</v>
      </c>
      <c r="L554" s="38">
        <v>0</v>
      </c>
    </row>
    <row r="555" spans="1:12" s="39" customFormat="1" ht="28.95" customHeight="1" outlineLevel="1" x14ac:dyDescent="0.25">
      <c r="A555" s="33">
        <v>5</v>
      </c>
      <c r="B555" s="34" t="s">
        <v>339</v>
      </c>
      <c r="C555" s="35" t="s">
        <v>50</v>
      </c>
      <c r="D555" s="36">
        <v>11</v>
      </c>
      <c r="E555" s="36">
        <v>1.7218</v>
      </c>
      <c r="F555" s="36">
        <f t="shared" si="119"/>
        <v>18.939799999999998</v>
      </c>
      <c r="G555" s="37">
        <f t="shared" si="120"/>
        <v>0</v>
      </c>
      <c r="H555" s="38">
        <f t="shared" si="121"/>
        <v>0</v>
      </c>
      <c r="I555" s="37">
        <f t="shared" si="122"/>
        <v>0</v>
      </c>
      <c r="J555" s="38">
        <v>0</v>
      </c>
      <c r="K555" s="37">
        <f t="shared" si="123"/>
        <v>0</v>
      </c>
      <c r="L555" s="38">
        <v>0</v>
      </c>
    </row>
    <row r="556" spans="1:12" s="39" customFormat="1" ht="43.5" customHeight="1" outlineLevel="1" x14ac:dyDescent="0.25">
      <c r="A556" s="33">
        <v>6</v>
      </c>
      <c r="B556" s="34" t="s">
        <v>423</v>
      </c>
      <c r="C556" s="35" t="s">
        <v>55</v>
      </c>
      <c r="D556" s="36">
        <v>2</v>
      </c>
      <c r="E556" s="36">
        <v>25.436800000000002</v>
      </c>
      <c r="F556" s="36">
        <f t="shared" si="119"/>
        <v>50.873600000000003</v>
      </c>
      <c r="G556" s="37">
        <f t="shared" si="120"/>
        <v>0</v>
      </c>
      <c r="H556" s="38">
        <f t="shared" si="121"/>
        <v>0</v>
      </c>
      <c r="I556" s="37">
        <f t="shared" si="122"/>
        <v>0</v>
      </c>
      <c r="J556" s="38">
        <v>0</v>
      </c>
      <c r="K556" s="37">
        <f t="shared" si="123"/>
        <v>0</v>
      </c>
      <c r="L556" s="38">
        <v>0</v>
      </c>
    </row>
    <row r="557" spans="1:12" s="39" customFormat="1" ht="15.45" customHeight="1" outlineLevel="1" x14ac:dyDescent="0.25">
      <c r="A557" s="33">
        <v>7</v>
      </c>
      <c r="B557" s="34" t="s">
        <v>347</v>
      </c>
      <c r="C557" s="35" t="s">
        <v>55</v>
      </c>
      <c r="D557" s="36">
        <v>2</v>
      </c>
      <c r="E557" s="36">
        <v>106.32080000000001</v>
      </c>
      <c r="F557" s="36">
        <f t="shared" si="119"/>
        <v>212.64160000000001</v>
      </c>
      <c r="G557" s="37">
        <f t="shared" si="120"/>
        <v>0</v>
      </c>
      <c r="H557" s="38">
        <f t="shared" si="121"/>
        <v>0</v>
      </c>
      <c r="I557" s="37">
        <f t="shared" si="122"/>
        <v>0</v>
      </c>
      <c r="J557" s="38">
        <v>0</v>
      </c>
      <c r="K557" s="37">
        <f t="shared" si="123"/>
        <v>0</v>
      </c>
      <c r="L557" s="38">
        <v>0</v>
      </c>
    </row>
    <row r="558" spans="1:12" s="39" customFormat="1" ht="28.95" customHeight="1" outlineLevel="1" x14ac:dyDescent="0.25">
      <c r="A558" s="33">
        <v>8</v>
      </c>
      <c r="B558" s="34" t="s">
        <v>348</v>
      </c>
      <c r="C558" s="35" t="s">
        <v>55</v>
      </c>
      <c r="D558" s="36">
        <v>4</v>
      </c>
      <c r="E558" s="36">
        <v>6.4423999999999992</v>
      </c>
      <c r="F558" s="36">
        <f t="shared" si="119"/>
        <v>25.769599999999997</v>
      </c>
      <c r="G558" s="37">
        <f t="shared" si="120"/>
        <v>0</v>
      </c>
      <c r="H558" s="38">
        <f t="shared" si="121"/>
        <v>0</v>
      </c>
      <c r="I558" s="37">
        <f t="shared" si="122"/>
        <v>0</v>
      </c>
      <c r="J558" s="38">
        <v>0</v>
      </c>
      <c r="K558" s="37">
        <f t="shared" si="123"/>
        <v>0</v>
      </c>
      <c r="L558" s="38">
        <v>0</v>
      </c>
    </row>
    <row r="559" spans="1:12" s="39" customFormat="1" ht="15.45" customHeight="1" outlineLevel="1" x14ac:dyDescent="0.25">
      <c r="A559" s="33">
        <v>9</v>
      </c>
      <c r="B559" s="34" t="s">
        <v>349</v>
      </c>
      <c r="C559" s="35" t="s">
        <v>55</v>
      </c>
      <c r="D559" s="36">
        <v>2</v>
      </c>
      <c r="E559" s="36">
        <v>120.88639999999999</v>
      </c>
      <c r="F559" s="36">
        <f t="shared" si="119"/>
        <v>241.77279999999999</v>
      </c>
      <c r="G559" s="37">
        <f t="shared" si="120"/>
        <v>0</v>
      </c>
      <c r="H559" s="38">
        <f t="shared" si="121"/>
        <v>0</v>
      </c>
      <c r="I559" s="37">
        <f t="shared" si="122"/>
        <v>0</v>
      </c>
      <c r="J559" s="38">
        <v>0</v>
      </c>
      <c r="K559" s="37">
        <f t="shared" si="123"/>
        <v>0</v>
      </c>
      <c r="L559" s="38">
        <v>0</v>
      </c>
    </row>
    <row r="560" spans="1:12" s="39" customFormat="1" ht="28.95" customHeight="1" outlineLevel="1" x14ac:dyDescent="0.25">
      <c r="A560" s="33">
        <v>10</v>
      </c>
      <c r="B560" s="34" t="s">
        <v>424</v>
      </c>
      <c r="C560" s="35" t="s">
        <v>55</v>
      </c>
      <c r="D560" s="36">
        <v>3</v>
      </c>
      <c r="E560" s="36">
        <v>69.182599999999979</v>
      </c>
      <c r="F560" s="36">
        <f t="shared" si="119"/>
        <v>207.54779999999994</v>
      </c>
      <c r="G560" s="37">
        <f t="shared" si="120"/>
        <v>0</v>
      </c>
      <c r="H560" s="38">
        <f t="shared" si="121"/>
        <v>0</v>
      </c>
      <c r="I560" s="37">
        <f t="shared" si="122"/>
        <v>0</v>
      </c>
      <c r="J560" s="38">
        <v>0</v>
      </c>
      <c r="K560" s="37">
        <f t="shared" si="123"/>
        <v>0</v>
      </c>
      <c r="L560" s="38">
        <v>0</v>
      </c>
    </row>
    <row r="561" spans="1:12" s="39" customFormat="1" ht="28.95" customHeight="1" outlineLevel="1" x14ac:dyDescent="0.25">
      <c r="A561" s="33">
        <v>11</v>
      </c>
      <c r="B561" s="34" t="s">
        <v>365</v>
      </c>
      <c r="C561" s="35" t="s">
        <v>55</v>
      </c>
      <c r="D561" s="36">
        <v>3</v>
      </c>
      <c r="E561" s="36">
        <v>6.4423999999999992</v>
      </c>
      <c r="F561" s="36">
        <f t="shared" si="119"/>
        <v>19.327199999999998</v>
      </c>
      <c r="G561" s="37">
        <f t="shared" si="120"/>
        <v>0</v>
      </c>
      <c r="H561" s="38">
        <f t="shared" si="121"/>
        <v>0</v>
      </c>
      <c r="I561" s="37">
        <f t="shared" si="122"/>
        <v>0</v>
      </c>
      <c r="J561" s="38">
        <v>0</v>
      </c>
      <c r="K561" s="37">
        <f t="shared" si="123"/>
        <v>0</v>
      </c>
      <c r="L561" s="38">
        <v>0</v>
      </c>
    </row>
    <row r="562" spans="1:12" s="39" customFormat="1" ht="28.95" customHeight="1" outlineLevel="1" x14ac:dyDescent="0.25">
      <c r="A562" s="33">
        <v>12</v>
      </c>
      <c r="B562" s="34" t="s">
        <v>408</v>
      </c>
      <c r="C562" s="35" t="s">
        <v>55</v>
      </c>
      <c r="D562" s="36">
        <v>5</v>
      </c>
      <c r="E562" s="36">
        <v>201.04</v>
      </c>
      <c r="F562" s="36">
        <f t="shared" si="119"/>
        <v>1005.1999999999999</v>
      </c>
      <c r="G562" s="37">
        <f t="shared" si="120"/>
        <v>0</v>
      </c>
      <c r="H562" s="38">
        <f t="shared" si="121"/>
        <v>0</v>
      </c>
      <c r="I562" s="37">
        <f t="shared" si="122"/>
        <v>0</v>
      </c>
      <c r="J562" s="38">
        <v>0</v>
      </c>
      <c r="K562" s="37">
        <f t="shared" si="123"/>
        <v>0</v>
      </c>
      <c r="L562" s="38">
        <v>0</v>
      </c>
    </row>
    <row r="563" spans="1:12" s="39" customFormat="1" ht="28.95" customHeight="1" outlineLevel="1" x14ac:dyDescent="0.25">
      <c r="A563" s="33">
        <v>13</v>
      </c>
      <c r="B563" s="34" t="s">
        <v>425</v>
      </c>
      <c r="C563" s="35" t="s">
        <v>55</v>
      </c>
      <c r="D563" s="36">
        <v>5</v>
      </c>
      <c r="E563" s="36">
        <v>765.1</v>
      </c>
      <c r="F563" s="36">
        <f t="shared" si="119"/>
        <v>3825.5</v>
      </c>
      <c r="G563" s="37">
        <f t="shared" si="120"/>
        <v>0</v>
      </c>
      <c r="H563" s="38">
        <f t="shared" si="121"/>
        <v>0</v>
      </c>
      <c r="I563" s="37">
        <f t="shared" si="122"/>
        <v>0</v>
      </c>
      <c r="J563" s="38">
        <v>0</v>
      </c>
      <c r="K563" s="37">
        <f t="shared" si="123"/>
        <v>0</v>
      </c>
      <c r="L563" s="38">
        <v>0</v>
      </c>
    </row>
    <row r="564" spans="1:12" s="39" customFormat="1" ht="58.05" customHeight="1" outlineLevel="1" x14ac:dyDescent="0.25">
      <c r="A564" s="33">
        <v>14</v>
      </c>
      <c r="B564" s="34" t="s">
        <v>410</v>
      </c>
      <c r="C564" s="35" t="s">
        <v>55</v>
      </c>
      <c r="D564" s="36">
        <v>5</v>
      </c>
      <c r="E564" s="36">
        <v>17.0932</v>
      </c>
      <c r="F564" s="36">
        <f t="shared" si="119"/>
        <v>85.465999999999994</v>
      </c>
      <c r="G564" s="37">
        <f t="shared" si="120"/>
        <v>0</v>
      </c>
      <c r="H564" s="38">
        <f t="shared" si="121"/>
        <v>0</v>
      </c>
      <c r="I564" s="37">
        <f t="shared" si="122"/>
        <v>0</v>
      </c>
      <c r="J564" s="38">
        <v>0</v>
      </c>
      <c r="K564" s="37">
        <f t="shared" si="123"/>
        <v>0</v>
      </c>
      <c r="L564" s="38">
        <v>0</v>
      </c>
    </row>
    <row r="565" spans="1:12" s="39" customFormat="1" ht="15.45" customHeight="1" outlineLevel="1" x14ac:dyDescent="0.25">
      <c r="A565" s="31" t="s">
        <v>426</v>
      </c>
      <c r="B565" s="40" t="s">
        <v>427</v>
      </c>
      <c r="C565" s="41">
        <v>0</v>
      </c>
      <c r="D565" s="42"/>
      <c r="E565" s="42"/>
      <c r="F565" s="42"/>
      <c r="G565" s="43"/>
      <c r="H565" s="44"/>
      <c r="I565" s="43"/>
      <c r="J565" s="44"/>
      <c r="K565" s="43"/>
      <c r="L565" s="44">
        <v>0</v>
      </c>
    </row>
    <row r="566" spans="1:12" s="39" customFormat="1" ht="28.95" customHeight="1" outlineLevel="1" x14ac:dyDescent="0.25">
      <c r="A566" s="33">
        <v>1</v>
      </c>
      <c r="B566" s="34" t="s">
        <v>428</v>
      </c>
      <c r="C566" s="35" t="s">
        <v>50</v>
      </c>
      <c r="D566" s="36">
        <v>320</v>
      </c>
      <c r="E566" s="36">
        <v>14.023</v>
      </c>
      <c r="F566" s="36">
        <f t="shared" ref="F566:F597" si="124">+E566*D566</f>
        <v>4487.3599999999997</v>
      </c>
      <c r="G566" s="37">
        <f t="shared" ref="G566:G597" si="125">I566+K566</f>
        <v>0</v>
      </c>
      <c r="H566" s="38">
        <f t="shared" ref="H566:H597" si="126">J566+L566</f>
        <v>0</v>
      </c>
      <c r="I566" s="37">
        <f t="shared" ref="I566:I597" si="127">J566/F566</f>
        <v>0</v>
      </c>
      <c r="J566" s="38">
        <v>0</v>
      </c>
      <c r="K566" s="37">
        <f t="shared" ref="K566:K597" si="128">L566/F566</f>
        <v>0</v>
      </c>
      <c r="L566" s="38">
        <v>0</v>
      </c>
    </row>
    <row r="567" spans="1:12" s="39" customFormat="1" ht="43.5" customHeight="1" outlineLevel="1" x14ac:dyDescent="0.25">
      <c r="A567" s="33">
        <v>2</v>
      </c>
      <c r="B567" s="34" t="s">
        <v>429</v>
      </c>
      <c r="C567" s="35" t="s">
        <v>50</v>
      </c>
      <c r="D567" s="36">
        <v>320</v>
      </c>
      <c r="E567" s="36">
        <v>1.2403999999999999</v>
      </c>
      <c r="F567" s="36">
        <f t="shared" si="124"/>
        <v>396.928</v>
      </c>
      <c r="G567" s="37">
        <f t="shared" si="125"/>
        <v>0</v>
      </c>
      <c r="H567" s="38">
        <f t="shared" si="126"/>
        <v>0</v>
      </c>
      <c r="I567" s="37">
        <f t="shared" si="127"/>
        <v>0</v>
      </c>
      <c r="J567" s="38">
        <v>0</v>
      </c>
      <c r="K567" s="37">
        <f t="shared" si="128"/>
        <v>0</v>
      </c>
      <c r="L567" s="38">
        <v>0</v>
      </c>
    </row>
    <row r="568" spans="1:12" s="39" customFormat="1" ht="28.95" customHeight="1" outlineLevel="1" x14ac:dyDescent="0.25">
      <c r="A568" s="33">
        <v>3</v>
      </c>
      <c r="B568" s="34" t="s">
        <v>430</v>
      </c>
      <c r="C568" s="35" t="s">
        <v>50</v>
      </c>
      <c r="D568" s="36">
        <v>120</v>
      </c>
      <c r="E568" s="36">
        <v>13.421200000000001</v>
      </c>
      <c r="F568" s="36">
        <f t="shared" si="124"/>
        <v>1610.5440000000001</v>
      </c>
      <c r="G568" s="37">
        <f t="shared" si="125"/>
        <v>0</v>
      </c>
      <c r="H568" s="38">
        <f t="shared" si="126"/>
        <v>0</v>
      </c>
      <c r="I568" s="37">
        <f t="shared" si="127"/>
        <v>0</v>
      </c>
      <c r="J568" s="38">
        <v>0</v>
      </c>
      <c r="K568" s="37">
        <f t="shared" si="128"/>
        <v>0</v>
      </c>
      <c r="L568" s="38">
        <v>0</v>
      </c>
    </row>
    <row r="569" spans="1:12" s="39" customFormat="1" ht="43.5" customHeight="1" outlineLevel="1" x14ac:dyDescent="0.25">
      <c r="A569" s="33">
        <v>4</v>
      </c>
      <c r="B569" s="34" t="s">
        <v>431</v>
      </c>
      <c r="C569" s="35" t="s">
        <v>50</v>
      </c>
      <c r="D569" s="36">
        <v>120</v>
      </c>
      <c r="E569" s="36">
        <v>1.8728</v>
      </c>
      <c r="F569" s="36">
        <f t="shared" si="124"/>
        <v>224.73599999999999</v>
      </c>
      <c r="G569" s="37">
        <f t="shared" si="125"/>
        <v>0</v>
      </c>
      <c r="H569" s="38">
        <f t="shared" si="126"/>
        <v>0</v>
      </c>
      <c r="I569" s="37">
        <f t="shared" si="127"/>
        <v>0</v>
      </c>
      <c r="J569" s="38">
        <v>0</v>
      </c>
      <c r="K569" s="37">
        <f t="shared" si="128"/>
        <v>0</v>
      </c>
      <c r="L569" s="38">
        <v>0</v>
      </c>
    </row>
    <row r="570" spans="1:12" s="46" customFormat="1" ht="28.95" customHeight="1" outlineLevel="1" x14ac:dyDescent="0.35">
      <c r="A570" s="33">
        <v>5</v>
      </c>
      <c r="B570" s="34" t="s">
        <v>432</v>
      </c>
      <c r="C570" s="35" t="s">
        <v>50</v>
      </c>
      <c r="D570" s="36">
        <v>75</v>
      </c>
      <c r="E570" s="36">
        <v>12.452199999999999</v>
      </c>
      <c r="F570" s="36">
        <f t="shared" si="124"/>
        <v>933.91499999999996</v>
      </c>
      <c r="G570" s="37">
        <f t="shared" si="125"/>
        <v>0</v>
      </c>
      <c r="H570" s="38">
        <f t="shared" si="126"/>
        <v>0</v>
      </c>
      <c r="I570" s="37">
        <f t="shared" si="127"/>
        <v>0</v>
      </c>
      <c r="J570" s="38">
        <v>0</v>
      </c>
      <c r="K570" s="37">
        <f t="shared" si="128"/>
        <v>0</v>
      </c>
      <c r="L570" s="38">
        <v>0</v>
      </c>
    </row>
    <row r="571" spans="1:12" s="39" customFormat="1" ht="43.5" customHeight="1" outlineLevel="1" x14ac:dyDescent="0.25">
      <c r="A571" s="33">
        <v>6</v>
      </c>
      <c r="B571" s="34" t="s">
        <v>433</v>
      </c>
      <c r="C571" s="35" t="s">
        <v>50</v>
      </c>
      <c r="D571" s="36">
        <v>75</v>
      </c>
      <c r="E571" s="36">
        <v>2.8010000000000002</v>
      </c>
      <c r="F571" s="36">
        <f t="shared" si="124"/>
        <v>210.07500000000002</v>
      </c>
      <c r="G571" s="37">
        <f t="shared" si="125"/>
        <v>0</v>
      </c>
      <c r="H571" s="38">
        <f t="shared" si="126"/>
        <v>0</v>
      </c>
      <c r="I571" s="37">
        <f t="shared" si="127"/>
        <v>0</v>
      </c>
      <c r="J571" s="38">
        <v>0</v>
      </c>
      <c r="K571" s="37">
        <f t="shared" si="128"/>
        <v>0</v>
      </c>
      <c r="L571" s="38">
        <v>0</v>
      </c>
    </row>
    <row r="572" spans="1:12" s="39" customFormat="1" ht="28.95" customHeight="1" outlineLevel="1" x14ac:dyDescent="0.25">
      <c r="A572" s="33">
        <v>7</v>
      </c>
      <c r="B572" s="34" t="s">
        <v>434</v>
      </c>
      <c r="C572" s="35" t="s">
        <v>50</v>
      </c>
      <c r="D572" s="36">
        <v>155</v>
      </c>
      <c r="E572" s="36">
        <v>10.606</v>
      </c>
      <c r="F572" s="36">
        <f t="shared" si="124"/>
        <v>1643.93</v>
      </c>
      <c r="G572" s="37">
        <f t="shared" si="125"/>
        <v>0</v>
      </c>
      <c r="H572" s="38">
        <f t="shared" si="126"/>
        <v>0</v>
      </c>
      <c r="I572" s="37">
        <f t="shared" si="127"/>
        <v>0</v>
      </c>
      <c r="J572" s="38">
        <v>0</v>
      </c>
      <c r="K572" s="37">
        <f t="shared" si="128"/>
        <v>0</v>
      </c>
      <c r="L572" s="38">
        <v>0</v>
      </c>
    </row>
    <row r="573" spans="1:12" s="39" customFormat="1" ht="43.5" customHeight="1" outlineLevel="1" x14ac:dyDescent="0.25">
      <c r="A573" s="33">
        <v>8</v>
      </c>
      <c r="B573" s="34" t="s">
        <v>435</v>
      </c>
      <c r="C573" s="35" t="s">
        <v>50</v>
      </c>
      <c r="D573" s="36">
        <v>155</v>
      </c>
      <c r="E573" s="36">
        <v>4.2493999999999996</v>
      </c>
      <c r="F573" s="36">
        <f t="shared" si="124"/>
        <v>658.65699999999993</v>
      </c>
      <c r="G573" s="37">
        <f t="shared" si="125"/>
        <v>0</v>
      </c>
      <c r="H573" s="38">
        <f t="shared" si="126"/>
        <v>0</v>
      </c>
      <c r="I573" s="37">
        <f t="shared" si="127"/>
        <v>0</v>
      </c>
      <c r="J573" s="38">
        <v>0</v>
      </c>
      <c r="K573" s="37">
        <f t="shared" si="128"/>
        <v>0</v>
      </c>
      <c r="L573" s="38">
        <v>0</v>
      </c>
    </row>
    <row r="574" spans="1:12" s="39" customFormat="1" ht="28.95" customHeight="1" outlineLevel="1" x14ac:dyDescent="0.25">
      <c r="A574" s="33">
        <v>9</v>
      </c>
      <c r="B574" s="34" t="s">
        <v>436</v>
      </c>
      <c r="C574" s="35" t="s">
        <v>50</v>
      </c>
      <c r="D574" s="36">
        <v>60</v>
      </c>
      <c r="E574" s="36">
        <v>11.738200000000001</v>
      </c>
      <c r="F574" s="36">
        <f t="shared" si="124"/>
        <v>704.29200000000003</v>
      </c>
      <c r="G574" s="37">
        <f t="shared" si="125"/>
        <v>0</v>
      </c>
      <c r="H574" s="38">
        <f t="shared" si="126"/>
        <v>0</v>
      </c>
      <c r="I574" s="37">
        <f t="shared" si="127"/>
        <v>0</v>
      </c>
      <c r="J574" s="38">
        <v>0</v>
      </c>
      <c r="K574" s="37">
        <f t="shared" si="128"/>
        <v>0</v>
      </c>
      <c r="L574" s="38">
        <v>0</v>
      </c>
    </row>
    <row r="575" spans="1:12" s="39" customFormat="1" ht="43.5" customHeight="1" outlineLevel="1" x14ac:dyDescent="0.25">
      <c r="A575" s="33">
        <v>10</v>
      </c>
      <c r="B575" s="34" t="s">
        <v>437</v>
      </c>
      <c r="C575" s="35" t="s">
        <v>50</v>
      </c>
      <c r="D575" s="36">
        <v>60</v>
      </c>
      <c r="E575" s="36">
        <v>4.8817999999999993</v>
      </c>
      <c r="F575" s="36">
        <f t="shared" si="124"/>
        <v>292.90799999999996</v>
      </c>
      <c r="G575" s="37">
        <f t="shared" si="125"/>
        <v>0</v>
      </c>
      <c r="H575" s="38">
        <f t="shared" si="126"/>
        <v>0</v>
      </c>
      <c r="I575" s="37">
        <f t="shared" si="127"/>
        <v>0</v>
      </c>
      <c r="J575" s="38">
        <v>0</v>
      </c>
      <c r="K575" s="37">
        <f t="shared" si="128"/>
        <v>0</v>
      </c>
      <c r="L575" s="38">
        <v>0</v>
      </c>
    </row>
    <row r="576" spans="1:12" s="39" customFormat="1" ht="28.95" customHeight="1" outlineLevel="1" x14ac:dyDescent="0.25">
      <c r="A576" s="33">
        <v>11</v>
      </c>
      <c r="B576" s="34" t="s">
        <v>438</v>
      </c>
      <c r="C576" s="35" t="s">
        <v>50</v>
      </c>
      <c r="D576" s="36">
        <v>85</v>
      </c>
      <c r="E576" s="36">
        <v>10.320399999999999</v>
      </c>
      <c r="F576" s="36">
        <f t="shared" si="124"/>
        <v>877.23399999999992</v>
      </c>
      <c r="G576" s="37">
        <f t="shared" si="125"/>
        <v>0</v>
      </c>
      <c r="H576" s="38">
        <f t="shared" si="126"/>
        <v>0</v>
      </c>
      <c r="I576" s="37">
        <f t="shared" si="127"/>
        <v>0</v>
      </c>
      <c r="J576" s="38">
        <v>0</v>
      </c>
      <c r="K576" s="37">
        <f t="shared" si="128"/>
        <v>0</v>
      </c>
      <c r="L576" s="38">
        <v>0</v>
      </c>
    </row>
    <row r="577" spans="1:12" s="39" customFormat="1" ht="43.5" customHeight="1" outlineLevel="1" x14ac:dyDescent="0.25">
      <c r="A577" s="33">
        <v>12</v>
      </c>
      <c r="B577" s="34" t="s">
        <v>439</v>
      </c>
      <c r="C577" s="35" t="s">
        <v>50</v>
      </c>
      <c r="D577" s="36">
        <v>85</v>
      </c>
      <c r="E577" s="36">
        <v>15.428599999999999</v>
      </c>
      <c r="F577" s="36">
        <f t="shared" si="124"/>
        <v>1311.431</v>
      </c>
      <c r="G577" s="37">
        <f t="shared" si="125"/>
        <v>0</v>
      </c>
      <c r="H577" s="38">
        <f t="shared" si="126"/>
        <v>0</v>
      </c>
      <c r="I577" s="37">
        <f t="shared" si="127"/>
        <v>0</v>
      </c>
      <c r="J577" s="38">
        <v>0</v>
      </c>
      <c r="K577" s="37">
        <f t="shared" si="128"/>
        <v>0</v>
      </c>
      <c r="L577" s="38">
        <v>0</v>
      </c>
    </row>
    <row r="578" spans="1:12" s="39" customFormat="1" ht="28.95" customHeight="1" outlineLevel="1" x14ac:dyDescent="0.25">
      <c r="A578" s="33">
        <v>13</v>
      </c>
      <c r="B578" s="34" t="s">
        <v>440</v>
      </c>
      <c r="C578" s="35" t="s">
        <v>50</v>
      </c>
      <c r="D578" s="36">
        <v>43</v>
      </c>
      <c r="E578" s="36">
        <v>16.246600000000001</v>
      </c>
      <c r="F578" s="36">
        <f t="shared" si="124"/>
        <v>698.60380000000009</v>
      </c>
      <c r="G578" s="37">
        <f t="shared" si="125"/>
        <v>0</v>
      </c>
      <c r="H578" s="38">
        <f t="shared" si="126"/>
        <v>0</v>
      </c>
      <c r="I578" s="37">
        <f t="shared" si="127"/>
        <v>0</v>
      </c>
      <c r="J578" s="38">
        <v>0</v>
      </c>
      <c r="K578" s="37">
        <f t="shared" si="128"/>
        <v>0</v>
      </c>
      <c r="L578" s="38">
        <v>0</v>
      </c>
    </row>
    <row r="579" spans="1:12" s="39" customFormat="1" ht="43.5" customHeight="1" outlineLevel="1" x14ac:dyDescent="0.25">
      <c r="A579" s="33">
        <v>14</v>
      </c>
      <c r="B579" s="34" t="s">
        <v>441</v>
      </c>
      <c r="C579" s="35" t="s">
        <v>55</v>
      </c>
      <c r="D579" s="36">
        <v>43</v>
      </c>
      <c r="E579" s="36">
        <v>8.7476000000000003</v>
      </c>
      <c r="F579" s="36">
        <f t="shared" si="124"/>
        <v>376.14679999999998</v>
      </c>
      <c r="G579" s="37">
        <f t="shared" si="125"/>
        <v>0</v>
      </c>
      <c r="H579" s="38">
        <f t="shared" si="126"/>
        <v>0</v>
      </c>
      <c r="I579" s="37">
        <f t="shared" si="127"/>
        <v>0</v>
      </c>
      <c r="J579" s="38">
        <v>0</v>
      </c>
      <c r="K579" s="37">
        <f t="shared" si="128"/>
        <v>0</v>
      </c>
      <c r="L579" s="38">
        <v>0</v>
      </c>
    </row>
    <row r="580" spans="1:12" s="39" customFormat="1" ht="15.45" customHeight="1" outlineLevel="1" x14ac:dyDescent="0.25">
      <c r="A580" s="33">
        <v>15</v>
      </c>
      <c r="B580" s="34" t="s">
        <v>442</v>
      </c>
      <c r="C580" s="35" t="s">
        <v>55</v>
      </c>
      <c r="D580" s="36">
        <v>3</v>
      </c>
      <c r="E580" s="36">
        <v>10</v>
      </c>
      <c r="F580" s="36">
        <f t="shared" si="124"/>
        <v>30</v>
      </c>
      <c r="G580" s="37">
        <f t="shared" si="125"/>
        <v>0</v>
      </c>
      <c r="H580" s="38">
        <f t="shared" si="126"/>
        <v>0</v>
      </c>
      <c r="I580" s="37">
        <f t="shared" si="127"/>
        <v>0</v>
      </c>
      <c r="J580" s="38">
        <v>0</v>
      </c>
      <c r="K580" s="37">
        <f t="shared" si="128"/>
        <v>0</v>
      </c>
      <c r="L580" s="38">
        <v>0</v>
      </c>
    </row>
    <row r="581" spans="1:12" s="39" customFormat="1" ht="15.45" customHeight="1" outlineLevel="1" x14ac:dyDescent="0.25">
      <c r="A581" s="33">
        <v>16</v>
      </c>
      <c r="B581" s="34" t="s">
        <v>443</v>
      </c>
      <c r="C581" s="35" t="s">
        <v>55</v>
      </c>
      <c r="D581" s="36">
        <v>3</v>
      </c>
      <c r="E581" s="36">
        <v>12</v>
      </c>
      <c r="F581" s="36">
        <f t="shared" si="124"/>
        <v>36</v>
      </c>
      <c r="G581" s="37">
        <f t="shared" si="125"/>
        <v>0</v>
      </c>
      <c r="H581" s="38">
        <f t="shared" si="126"/>
        <v>0</v>
      </c>
      <c r="I581" s="37">
        <f t="shared" si="127"/>
        <v>0</v>
      </c>
      <c r="J581" s="38">
        <v>0</v>
      </c>
      <c r="K581" s="37">
        <f t="shared" si="128"/>
        <v>0</v>
      </c>
      <c r="L581" s="38">
        <v>0</v>
      </c>
    </row>
    <row r="582" spans="1:12" s="39" customFormat="1" ht="15.45" customHeight="1" outlineLevel="1" x14ac:dyDescent="0.25">
      <c r="A582" s="33">
        <v>17</v>
      </c>
      <c r="B582" s="34" t="s">
        <v>444</v>
      </c>
      <c r="C582" s="35" t="s">
        <v>55</v>
      </c>
      <c r="D582" s="36">
        <v>9</v>
      </c>
      <c r="E582" s="36">
        <v>15</v>
      </c>
      <c r="F582" s="36">
        <f t="shared" si="124"/>
        <v>135</v>
      </c>
      <c r="G582" s="37">
        <f t="shared" si="125"/>
        <v>0</v>
      </c>
      <c r="H582" s="38">
        <f t="shared" si="126"/>
        <v>0</v>
      </c>
      <c r="I582" s="37">
        <f t="shared" si="127"/>
        <v>0</v>
      </c>
      <c r="J582" s="38">
        <v>0</v>
      </c>
      <c r="K582" s="37">
        <f t="shared" si="128"/>
        <v>0</v>
      </c>
      <c r="L582" s="38">
        <v>0</v>
      </c>
    </row>
    <row r="583" spans="1:12" s="39" customFormat="1" ht="15.45" customHeight="1" outlineLevel="1" x14ac:dyDescent="0.25">
      <c r="A583" s="33">
        <v>18</v>
      </c>
      <c r="B583" s="34" t="s">
        <v>445</v>
      </c>
      <c r="C583" s="35" t="s">
        <v>55</v>
      </c>
      <c r="D583" s="36">
        <v>5</v>
      </c>
      <c r="E583" s="36">
        <v>18</v>
      </c>
      <c r="F583" s="36">
        <f t="shared" si="124"/>
        <v>90</v>
      </c>
      <c r="G583" s="37">
        <f t="shared" si="125"/>
        <v>0</v>
      </c>
      <c r="H583" s="38">
        <f t="shared" si="126"/>
        <v>0</v>
      </c>
      <c r="I583" s="37">
        <f t="shared" si="127"/>
        <v>0</v>
      </c>
      <c r="J583" s="38">
        <v>0</v>
      </c>
      <c r="K583" s="37">
        <f t="shared" si="128"/>
        <v>0</v>
      </c>
      <c r="L583" s="38">
        <v>0</v>
      </c>
    </row>
    <row r="584" spans="1:12" s="39" customFormat="1" ht="15.45" customHeight="1" outlineLevel="1" x14ac:dyDescent="0.25">
      <c r="A584" s="33">
        <v>19</v>
      </c>
      <c r="B584" s="34" t="s">
        <v>446</v>
      </c>
      <c r="C584" s="35" t="s">
        <v>55</v>
      </c>
      <c r="D584" s="36">
        <v>6</v>
      </c>
      <c r="E584" s="36">
        <v>21</v>
      </c>
      <c r="F584" s="36">
        <f t="shared" si="124"/>
        <v>126</v>
      </c>
      <c r="G584" s="37">
        <f t="shared" si="125"/>
        <v>0</v>
      </c>
      <c r="H584" s="38">
        <f t="shared" si="126"/>
        <v>0</v>
      </c>
      <c r="I584" s="37">
        <f t="shared" si="127"/>
        <v>0</v>
      </c>
      <c r="J584" s="38">
        <v>0</v>
      </c>
      <c r="K584" s="37">
        <f t="shared" si="128"/>
        <v>0</v>
      </c>
      <c r="L584" s="38">
        <v>0</v>
      </c>
    </row>
    <row r="585" spans="1:12" s="39" customFormat="1" ht="15.45" customHeight="1" outlineLevel="1" x14ac:dyDescent="0.25">
      <c r="A585" s="33">
        <v>20</v>
      </c>
      <c r="B585" s="34" t="s">
        <v>447</v>
      </c>
      <c r="C585" s="35" t="s">
        <v>55</v>
      </c>
      <c r="D585" s="36">
        <v>5</v>
      </c>
      <c r="E585" s="36">
        <v>25</v>
      </c>
      <c r="F585" s="36">
        <f t="shared" si="124"/>
        <v>125</v>
      </c>
      <c r="G585" s="37">
        <f t="shared" si="125"/>
        <v>0</v>
      </c>
      <c r="H585" s="38">
        <f t="shared" si="126"/>
        <v>0</v>
      </c>
      <c r="I585" s="37">
        <f t="shared" si="127"/>
        <v>0</v>
      </c>
      <c r="J585" s="38">
        <v>0</v>
      </c>
      <c r="K585" s="37">
        <f t="shared" si="128"/>
        <v>0</v>
      </c>
      <c r="L585" s="38">
        <v>0</v>
      </c>
    </row>
    <row r="586" spans="1:12" s="39" customFormat="1" ht="15.45" customHeight="1" outlineLevel="1" x14ac:dyDescent="0.25">
      <c r="A586" s="33">
        <v>21</v>
      </c>
      <c r="B586" s="34" t="s">
        <v>448</v>
      </c>
      <c r="C586" s="35" t="s">
        <v>55</v>
      </c>
      <c r="D586" s="36">
        <v>9</v>
      </c>
      <c r="E586" s="36">
        <v>29</v>
      </c>
      <c r="F586" s="36">
        <f t="shared" si="124"/>
        <v>261</v>
      </c>
      <c r="G586" s="37">
        <f t="shared" si="125"/>
        <v>0</v>
      </c>
      <c r="H586" s="38">
        <f t="shared" si="126"/>
        <v>0</v>
      </c>
      <c r="I586" s="37">
        <f t="shared" si="127"/>
        <v>0</v>
      </c>
      <c r="J586" s="38">
        <v>0</v>
      </c>
      <c r="K586" s="37">
        <f t="shared" si="128"/>
        <v>0</v>
      </c>
      <c r="L586" s="38">
        <v>0</v>
      </c>
    </row>
    <row r="587" spans="1:12" s="39" customFormat="1" ht="15.45" customHeight="1" outlineLevel="1" x14ac:dyDescent="0.25">
      <c r="A587" s="33">
        <v>22</v>
      </c>
      <c r="B587" s="34" t="s">
        <v>449</v>
      </c>
      <c r="C587" s="35" t="s">
        <v>55</v>
      </c>
      <c r="D587" s="36">
        <v>5</v>
      </c>
      <c r="E587" s="36">
        <v>31</v>
      </c>
      <c r="F587" s="36">
        <f t="shared" si="124"/>
        <v>155</v>
      </c>
      <c r="G587" s="37">
        <f t="shared" si="125"/>
        <v>0</v>
      </c>
      <c r="H587" s="38">
        <f t="shared" si="126"/>
        <v>0</v>
      </c>
      <c r="I587" s="37">
        <f t="shared" si="127"/>
        <v>0</v>
      </c>
      <c r="J587" s="38">
        <v>0</v>
      </c>
      <c r="K587" s="37">
        <f t="shared" si="128"/>
        <v>0</v>
      </c>
      <c r="L587" s="38">
        <v>0</v>
      </c>
    </row>
    <row r="588" spans="1:12" s="39" customFormat="1" ht="15.45" customHeight="1" outlineLevel="1" x14ac:dyDescent="0.25">
      <c r="A588" s="33">
        <v>23</v>
      </c>
      <c r="B588" s="34" t="s">
        <v>450</v>
      </c>
      <c r="C588" s="35" t="s">
        <v>55</v>
      </c>
      <c r="D588" s="36">
        <v>3</v>
      </c>
      <c r="E588" s="36">
        <v>36</v>
      </c>
      <c r="F588" s="36">
        <f t="shared" si="124"/>
        <v>108</v>
      </c>
      <c r="G588" s="37">
        <f t="shared" si="125"/>
        <v>0</v>
      </c>
      <c r="H588" s="38">
        <f t="shared" si="126"/>
        <v>0</v>
      </c>
      <c r="I588" s="37">
        <f t="shared" si="127"/>
        <v>0</v>
      </c>
      <c r="J588" s="38">
        <v>0</v>
      </c>
      <c r="K588" s="37">
        <f t="shared" si="128"/>
        <v>0</v>
      </c>
      <c r="L588" s="38">
        <v>0</v>
      </c>
    </row>
    <row r="589" spans="1:12" s="39" customFormat="1" ht="15.45" customHeight="1" outlineLevel="1" x14ac:dyDescent="0.25">
      <c r="A589" s="33">
        <v>24</v>
      </c>
      <c r="B589" s="34" t="s">
        <v>451</v>
      </c>
      <c r="C589" s="35" t="s">
        <v>55</v>
      </c>
      <c r="D589" s="36">
        <v>1</v>
      </c>
      <c r="E589" s="36">
        <v>39</v>
      </c>
      <c r="F589" s="36">
        <f t="shared" si="124"/>
        <v>39</v>
      </c>
      <c r="G589" s="37">
        <f t="shared" si="125"/>
        <v>0</v>
      </c>
      <c r="H589" s="38">
        <f t="shared" si="126"/>
        <v>0</v>
      </c>
      <c r="I589" s="37">
        <f t="shared" si="127"/>
        <v>0</v>
      </c>
      <c r="J589" s="38">
        <v>0</v>
      </c>
      <c r="K589" s="37">
        <f t="shared" si="128"/>
        <v>0</v>
      </c>
      <c r="L589" s="38">
        <v>0</v>
      </c>
    </row>
    <row r="590" spans="1:12" s="39" customFormat="1" ht="15.45" customHeight="1" outlineLevel="1" x14ac:dyDescent="0.25">
      <c r="A590" s="33">
        <v>25</v>
      </c>
      <c r="B590" s="34" t="s">
        <v>452</v>
      </c>
      <c r="C590" s="35" t="s">
        <v>55</v>
      </c>
      <c r="D590" s="36">
        <v>3</v>
      </c>
      <c r="E590" s="36">
        <v>44</v>
      </c>
      <c r="F590" s="36">
        <f t="shared" si="124"/>
        <v>132</v>
      </c>
      <c r="G590" s="37">
        <f t="shared" si="125"/>
        <v>0</v>
      </c>
      <c r="H590" s="38">
        <f t="shared" si="126"/>
        <v>0</v>
      </c>
      <c r="I590" s="37">
        <f t="shared" si="127"/>
        <v>0</v>
      </c>
      <c r="J590" s="38">
        <v>0</v>
      </c>
      <c r="K590" s="37">
        <f t="shared" si="128"/>
        <v>0</v>
      </c>
      <c r="L590" s="38">
        <v>0</v>
      </c>
    </row>
    <row r="591" spans="1:12" s="39" customFormat="1" ht="15.45" customHeight="1" outlineLevel="1" x14ac:dyDescent="0.25">
      <c r="A591" s="33">
        <v>26</v>
      </c>
      <c r="B591" s="34" t="s">
        <v>453</v>
      </c>
      <c r="C591" s="35" t="s">
        <v>55</v>
      </c>
      <c r="D591" s="36">
        <v>2</v>
      </c>
      <c r="E591" s="36">
        <v>46</v>
      </c>
      <c r="F591" s="36">
        <f t="shared" si="124"/>
        <v>92</v>
      </c>
      <c r="G591" s="37">
        <f t="shared" si="125"/>
        <v>0</v>
      </c>
      <c r="H591" s="38">
        <f t="shared" si="126"/>
        <v>0</v>
      </c>
      <c r="I591" s="37">
        <f t="shared" si="127"/>
        <v>0</v>
      </c>
      <c r="J591" s="38">
        <v>0</v>
      </c>
      <c r="K591" s="37">
        <f t="shared" si="128"/>
        <v>0</v>
      </c>
      <c r="L591" s="38">
        <v>0</v>
      </c>
    </row>
    <row r="592" spans="1:12" s="39" customFormat="1" ht="15.45" customHeight="1" outlineLevel="1" x14ac:dyDescent="0.25">
      <c r="A592" s="33">
        <v>27</v>
      </c>
      <c r="B592" s="34" t="s">
        <v>454</v>
      </c>
      <c r="C592" s="35" t="s">
        <v>55</v>
      </c>
      <c r="D592" s="36">
        <v>464</v>
      </c>
      <c r="E592" s="36">
        <v>17.100000000000001</v>
      </c>
      <c r="F592" s="36">
        <f t="shared" si="124"/>
        <v>7934.4000000000005</v>
      </c>
      <c r="G592" s="37">
        <f t="shared" si="125"/>
        <v>0</v>
      </c>
      <c r="H592" s="38">
        <f t="shared" si="126"/>
        <v>0</v>
      </c>
      <c r="I592" s="37">
        <f t="shared" si="127"/>
        <v>0</v>
      </c>
      <c r="J592" s="38">
        <v>0</v>
      </c>
      <c r="K592" s="37">
        <f t="shared" si="128"/>
        <v>0</v>
      </c>
      <c r="L592" s="38">
        <v>0</v>
      </c>
    </row>
    <row r="593" spans="1:12" s="49" customFormat="1" ht="28.95" customHeight="1" outlineLevel="1" x14ac:dyDescent="0.3">
      <c r="A593" s="33">
        <v>28</v>
      </c>
      <c r="B593" s="34" t="s">
        <v>455</v>
      </c>
      <c r="C593" s="35" t="s">
        <v>55</v>
      </c>
      <c r="D593" s="36">
        <v>4</v>
      </c>
      <c r="E593" s="36">
        <v>140</v>
      </c>
      <c r="F593" s="36">
        <f t="shared" si="124"/>
        <v>560</v>
      </c>
      <c r="G593" s="37">
        <f t="shared" si="125"/>
        <v>0</v>
      </c>
      <c r="H593" s="38">
        <f t="shared" si="126"/>
        <v>0</v>
      </c>
      <c r="I593" s="37">
        <f t="shared" si="127"/>
        <v>0</v>
      </c>
      <c r="J593" s="38">
        <v>0</v>
      </c>
      <c r="K593" s="37">
        <f t="shared" si="128"/>
        <v>0</v>
      </c>
      <c r="L593" s="38">
        <v>0</v>
      </c>
    </row>
    <row r="594" spans="1:12" s="39" customFormat="1" ht="28.95" customHeight="1" outlineLevel="1" x14ac:dyDescent="0.25">
      <c r="A594" s="33">
        <v>29</v>
      </c>
      <c r="B594" s="34" t="s">
        <v>456</v>
      </c>
      <c r="C594" s="35" t="s">
        <v>55</v>
      </c>
      <c r="D594" s="36">
        <v>4</v>
      </c>
      <c r="E594" s="36">
        <v>324.32540000000012</v>
      </c>
      <c r="F594" s="36">
        <f t="shared" si="124"/>
        <v>1297.3016000000005</v>
      </c>
      <c r="G594" s="37">
        <f t="shared" si="125"/>
        <v>0</v>
      </c>
      <c r="H594" s="38">
        <f t="shared" si="126"/>
        <v>0</v>
      </c>
      <c r="I594" s="37">
        <f t="shared" si="127"/>
        <v>0</v>
      </c>
      <c r="J594" s="38">
        <v>0</v>
      </c>
      <c r="K594" s="37">
        <f t="shared" si="128"/>
        <v>0</v>
      </c>
      <c r="L594" s="38">
        <v>0</v>
      </c>
    </row>
    <row r="595" spans="1:12" s="39" customFormat="1" ht="15.45" customHeight="1" outlineLevel="1" x14ac:dyDescent="0.25">
      <c r="A595" s="33">
        <v>30</v>
      </c>
      <c r="B595" s="34" t="s">
        <v>457</v>
      </c>
      <c r="C595" s="35" t="s">
        <v>55</v>
      </c>
      <c r="D595" s="36">
        <v>54</v>
      </c>
      <c r="E595" s="36">
        <v>11.1</v>
      </c>
      <c r="F595" s="36">
        <f t="shared" si="124"/>
        <v>599.4</v>
      </c>
      <c r="G595" s="37">
        <f t="shared" si="125"/>
        <v>0</v>
      </c>
      <c r="H595" s="38">
        <f t="shared" si="126"/>
        <v>0</v>
      </c>
      <c r="I595" s="37">
        <f t="shared" si="127"/>
        <v>0</v>
      </c>
      <c r="J595" s="38">
        <v>0</v>
      </c>
      <c r="K595" s="37">
        <f t="shared" si="128"/>
        <v>0</v>
      </c>
      <c r="L595" s="38">
        <v>0</v>
      </c>
    </row>
    <row r="596" spans="1:12" s="39" customFormat="1" ht="15.45" customHeight="1" outlineLevel="1" x14ac:dyDescent="0.25">
      <c r="A596" s="33">
        <v>31</v>
      </c>
      <c r="B596" s="34" t="s">
        <v>458</v>
      </c>
      <c r="C596" s="35" t="s">
        <v>115</v>
      </c>
      <c r="D596" s="36">
        <v>28</v>
      </c>
      <c r="E596" s="36">
        <v>1.8952</v>
      </c>
      <c r="F596" s="36">
        <f t="shared" si="124"/>
        <v>53.065600000000003</v>
      </c>
      <c r="G596" s="37">
        <f t="shared" si="125"/>
        <v>0</v>
      </c>
      <c r="H596" s="38">
        <f t="shared" si="126"/>
        <v>0</v>
      </c>
      <c r="I596" s="37">
        <f t="shared" si="127"/>
        <v>0</v>
      </c>
      <c r="J596" s="38">
        <v>0</v>
      </c>
      <c r="K596" s="37">
        <f t="shared" si="128"/>
        <v>0</v>
      </c>
      <c r="L596" s="38">
        <v>0</v>
      </c>
    </row>
    <row r="597" spans="1:12" s="46" customFormat="1" ht="15.45" customHeight="1" outlineLevel="1" x14ac:dyDescent="0.35">
      <c r="A597" s="33">
        <v>32</v>
      </c>
      <c r="B597" s="34" t="s">
        <v>459</v>
      </c>
      <c r="C597" s="35" t="s">
        <v>55</v>
      </c>
      <c r="D597" s="36">
        <v>28</v>
      </c>
      <c r="E597" s="36">
        <v>9.1</v>
      </c>
      <c r="F597" s="36">
        <f t="shared" si="124"/>
        <v>254.79999999999998</v>
      </c>
      <c r="G597" s="37">
        <f t="shared" si="125"/>
        <v>0</v>
      </c>
      <c r="H597" s="38">
        <f t="shared" si="126"/>
        <v>0</v>
      </c>
      <c r="I597" s="37">
        <f t="shared" si="127"/>
        <v>0</v>
      </c>
      <c r="J597" s="38">
        <v>0</v>
      </c>
      <c r="K597" s="37">
        <f t="shared" si="128"/>
        <v>0</v>
      </c>
      <c r="L597" s="38">
        <v>0</v>
      </c>
    </row>
    <row r="598" spans="1:12" s="39" customFormat="1" ht="28.95" customHeight="1" outlineLevel="1" x14ac:dyDescent="0.25">
      <c r="A598" s="33">
        <v>33</v>
      </c>
      <c r="B598" s="34" t="s">
        <v>460</v>
      </c>
      <c r="C598" s="35" t="s">
        <v>55</v>
      </c>
      <c r="D598" s="36">
        <v>10</v>
      </c>
      <c r="E598" s="36">
        <v>23.060199999999998</v>
      </c>
      <c r="F598" s="36">
        <f t="shared" ref="F598:F629" si="129">+E598*D598</f>
        <v>230.60199999999998</v>
      </c>
      <c r="G598" s="37">
        <f t="shared" ref="G598:G615" si="130">I598+K598</f>
        <v>0</v>
      </c>
      <c r="H598" s="38">
        <f t="shared" ref="H598:H615" si="131">J598+L598</f>
        <v>0</v>
      </c>
      <c r="I598" s="37">
        <f t="shared" ref="I598:I629" si="132">J598/F598</f>
        <v>0</v>
      </c>
      <c r="J598" s="38">
        <v>0</v>
      </c>
      <c r="K598" s="37">
        <f t="shared" ref="K598:K629" si="133">L598/F598</f>
        <v>0</v>
      </c>
      <c r="L598" s="38">
        <v>0</v>
      </c>
    </row>
    <row r="599" spans="1:12" s="39" customFormat="1" ht="15.45" customHeight="1" outlineLevel="1" x14ac:dyDescent="0.25">
      <c r="A599" s="33">
        <v>34</v>
      </c>
      <c r="B599" s="34" t="s">
        <v>461</v>
      </c>
      <c r="C599" s="35" t="s">
        <v>55</v>
      </c>
      <c r="D599" s="36">
        <v>10</v>
      </c>
      <c r="E599" s="36">
        <v>0.1</v>
      </c>
      <c r="F599" s="36">
        <f t="shared" si="129"/>
        <v>1</v>
      </c>
      <c r="G599" s="37">
        <f t="shared" si="130"/>
        <v>0</v>
      </c>
      <c r="H599" s="38">
        <f t="shared" si="131"/>
        <v>0</v>
      </c>
      <c r="I599" s="37">
        <f t="shared" si="132"/>
        <v>0</v>
      </c>
      <c r="J599" s="38">
        <v>0</v>
      </c>
      <c r="K599" s="37">
        <f t="shared" si="133"/>
        <v>0</v>
      </c>
      <c r="L599" s="38">
        <v>0</v>
      </c>
    </row>
    <row r="600" spans="1:12" s="39" customFormat="1" ht="28.95" customHeight="1" outlineLevel="1" x14ac:dyDescent="0.25">
      <c r="A600" s="33">
        <v>35</v>
      </c>
      <c r="B600" s="34" t="s">
        <v>352</v>
      </c>
      <c r="C600" s="35" t="s">
        <v>55</v>
      </c>
      <c r="D600" s="36">
        <v>20</v>
      </c>
      <c r="E600" s="36">
        <v>3.3212000000000002</v>
      </c>
      <c r="F600" s="36">
        <f t="shared" si="129"/>
        <v>66.424000000000007</v>
      </c>
      <c r="G600" s="37">
        <f t="shared" si="130"/>
        <v>0</v>
      </c>
      <c r="H600" s="38">
        <f t="shared" si="131"/>
        <v>0</v>
      </c>
      <c r="I600" s="37">
        <f t="shared" si="132"/>
        <v>0</v>
      </c>
      <c r="J600" s="38">
        <v>0</v>
      </c>
      <c r="K600" s="37">
        <f t="shared" si="133"/>
        <v>0</v>
      </c>
      <c r="L600" s="38">
        <v>0</v>
      </c>
    </row>
    <row r="601" spans="1:12" s="39" customFormat="1" ht="15.45" customHeight="1" outlineLevel="1" x14ac:dyDescent="0.25">
      <c r="A601" s="33">
        <v>36</v>
      </c>
      <c r="B601" s="34" t="s">
        <v>351</v>
      </c>
      <c r="C601" s="35" t="s">
        <v>55</v>
      </c>
      <c r="D601" s="36">
        <v>4</v>
      </c>
      <c r="E601" s="36">
        <v>4.8817999999999993</v>
      </c>
      <c r="F601" s="36">
        <f t="shared" si="129"/>
        <v>19.527199999999997</v>
      </c>
      <c r="G601" s="37">
        <f t="shared" si="130"/>
        <v>0</v>
      </c>
      <c r="H601" s="38">
        <f t="shared" si="131"/>
        <v>0</v>
      </c>
      <c r="I601" s="37">
        <f t="shared" si="132"/>
        <v>0</v>
      </c>
      <c r="J601" s="38">
        <v>0</v>
      </c>
      <c r="K601" s="37">
        <f t="shared" si="133"/>
        <v>0</v>
      </c>
      <c r="L601" s="38">
        <v>0</v>
      </c>
    </row>
    <row r="602" spans="1:12" s="39" customFormat="1" ht="28.95" customHeight="1" outlineLevel="1" x14ac:dyDescent="0.25">
      <c r="A602" s="33">
        <v>37</v>
      </c>
      <c r="B602" s="34" t="s">
        <v>365</v>
      </c>
      <c r="C602" s="35" t="s">
        <v>55</v>
      </c>
      <c r="D602" s="36">
        <v>14</v>
      </c>
      <c r="E602" s="36">
        <v>6.4423999999999992</v>
      </c>
      <c r="F602" s="36">
        <f t="shared" si="129"/>
        <v>90.193599999999989</v>
      </c>
      <c r="G602" s="37">
        <f t="shared" si="130"/>
        <v>0</v>
      </c>
      <c r="H602" s="38">
        <f t="shared" si="131"/>
        <v>0</v>
      </c>
      <c r="I602" s="37">
        <f t="shared" si="132"/>
        <v>0</v>
      </c>
      <c r="J602" s="38">
        <v>0</v>
      </c>
      <c r="K602" s="37">
        <f t="shared" si="133"/>
        <v>0</v>
      </c>
      <c r="L602" s="38">
        <v>0</v>
      </c>
    </row>
    <row r="603" spans="1:12" s="39" customFormat="1" ht="28.95" customHeight="1" outlineLevel="1" x14ac:dyDescent="0.25">
      <c r="A603" s="33">
        <v>38</v>
      </c>
      <c r="B603" s="34" t="s">
        <v>376</v>
      </c>
      <c r="C603" s="35" t="s">
        <v>55</v>
      </c>
      <c r="D603" s="36">
        <v>2</v>
      </c>
      <c r="E603" s="36">
        <v>8.5231999999999992</v>
      </c>
      <c r="F603" s="36">
        <f t="shared" si="129"/>
        <v>17.046399999999998</v>
      </c>
      <c r="G603" s="37">
        <f t="shared" si="130"/>
        <v>0</v>
      </c>
      <c r="H603" s="38">
        <f t="shared" si="131"/>
        <v>0</v>
      </c>
      <c r="I603" s="37">
        <f t="shared" si="132"/>
        <v>0</v>
      </c>
      <c r="J603" s="38">
        <v>0</v>
      </c>
      <c r="K603" s="37">
        <f t="shared" si="133"/>
        <v>0</v>
      </c>
      <c r="L603" s="38">
        <v>0</v>
      </c>
    </row>
    <row r="604" spans="1:12" s="39" customFormat="1" ht="15.45" customHeight="1" outlineLevel="1" x14ac:dyDescent="0.25">
      <c r="A604" s="33">
        <v>39</v>
      </c>
      <c r="B604" s="34" t="s">
        <v>462</v>
      </c>
      <c r="C604" s="35" t="s">
        <v>55</v>
      </c>
      <c r="D604" s="36">
        <v>2</v>
      </c>
      <c r="E604" s="36">
        <v>10.0838</v>
      </c>
      <c r="F604" s="36">
        <f t="shared" si="129"/>
        <v>20.1676</v>
      </c>
      <c r="G604" s="37">
        <f t="shared" si="130"/>
        <v>0</v>
      </c>
      <c r="H604" s="38">
        <f t="shared" si="131"/>
        <v>0</v>
      </c>
      <c r="I604" s="37">
        <f t="shared" si="132"/>
        <v>0</v>
      </c>
      <c r="J604" s="38">
        <v>0</v>
      </c>
      <c r="K604" s="37">
        <f t="shared" si="133"/>
        <v>0</v>
      </c>
      <c r="L604" s="38">
        <v>0</v>
      </c>
    </row>
    <row r="605" spans="1:12" s="39" customFormat="1" ht="15.45" customHeight="1" outlineLevel="1" x14ac:dyDescent="0.25">
      <c r="A605" s="33">
        <v>40</v>
      </c>
      <c r="B605" s="34" t="s">
        <v>463</v>
      </c>
      <c r="C605" s="35" t="s">
        <v>55</v>
      </c>
      <c r="D605" s="36">
        <v>5</v>
      </c>
      <c r="E605" s="36">
        <v>11.644399999999999</v>
      </c>
      <c r="F605" s="36">
        <f t="shared" si="129"/>
        <v>58.221999999999994</v>
      </c>
      <c r="G605" s="37">
        <f t="shared" si="130"/>
        <v>0</v>
      </c>
      <c r="H605" s="38">
        <f t="shared" si="131"/>
        <v>0</v>
      </c>
      <c r="I605" s="37">
        <f t="shared" si="132"/>
        <v>0</v>
      </c>
      <c r="J605" s="38">
        <v>0</v>
      </c>
      <c r="K605" s="37">
        <f t="shared" si="133"/>
        <v>0</v>
      </c>
      <c r="L605" s="38">
        <v>0</v>
      </c>
    </row>
    <row r="606" spans="1:12" s="39" customFormat="1" ht="15.45" customHeight="1" outlineLevel="1" x14ac:dyDescent="0.25">
      <c r="A606" s="33">
        <v>41</v>
      </c>
      <c r="B606" s="34" t="s">
        <v>464</v>
      </c>
      <c r="C606" s="35" t="s">
        <v>55</v>
      </c>
      <c r="D606" s="36">
        <v>1</v>
      </c>
      <c r="E606" s="36">
        <v>695.13819999999998</v>
      </c>
      <c r="F606" s="36">
        <f t="shared" si="129"/>
        <v>695.13819999999998</v>
      </c>
      <c r="G606" s="37">
        <f t="shared" si="130"/>
        <v>0</v>
      </c>
      <c r="H606" s="38">
        <f t="shared" si="131"/>
        <v>0</v>
      </c>
      <c r="I606" s="37">
        <f t="shared" si="132"/>
        <v>0</v>
      </c>
      <c r="J606" s="38">
        <v>0</v>
      </c>
      <c r="K606" s="37">
        <f t="shared" si="133"/>
        <v>0</v>
      </c>
      <c r="L606" s="38">
        <v>0</v>
      </c>
    </row>
    <row r="607" spans="1:12" s="39" customFormat="1" ht="15.45" customHeight="1" outlineLevel="1" x14ac:dyDescent="0.25">
      <c r="A607" s="33">
        <v>42</v>
      </c>
      <c r="B607" s="34" t="s">
        <v>465</v>
      </c>
      <c r="C607" s="35" t="s">
        <v>55</v>
      </c>
      <c r="D607" s="36">
        <v>4</v>
      </c>
      <c r="E607" s="36">
        <v>640.50700000000006</v>
      </c>
      <c r="F607" s="36">
        <f t="shared" si="129"/>
        <v>2562.0280000000002</v>
      </c>
      <c r="G607" s="37">
        <f t="shared" si="130"/>
        <v>0</v>
      </c>
      <c r="H607" s="38">
        <f t="shared" si="131"/>
        <v>0</v>
      </c>
      <c r="I607" s="37">
        <f t="shared" si="132"/>
        <v>0</v>
      </c>
      <c r="J607" s="38">
        <v>0</v>
      </c>
      <c r="K607" s="37">
        <f t="shared" si="133"/>
        <v>0</v>
      </c>
      <c r="L607" s="38">
        <v>0</v>
      </c>
    </row>
    <row r="608" spans="1:12" s="39" customFormat="1" ht="43.5" customHeight="1" outlineLevel="1" x14ac:dyDescent="0.25">
      <c r="A608" s="33">
        <v>43</v>
      </c>
      <c r="B608" s="34" t="s">
        <v>466</v>
      </c>
      <c r="C608" s="35" t="s">
        <v>55</v>
      </c>
      <c r="D608" s="36">
        <v>4</v>
      </c>
      <c r="E608" s="36">
        <v>35.137</v>
      </c>
      <c r="F608" s="36">
        <f t="shared" si="129"/>
        <v>140.548</v>
      </c>
      <c r="G608" s="37">
        <f t="shared" si="130"/>
        <v>0</v>
      </c>
      <c r="H608" s="38">
        <f t="shared" si="131"/>
        <v>0</v>
      </c>
      <c r="I608" s="37">
        <f t="shared" si="132"/>
        <v>0</v>
      </c>
      <c r="J608" s="38">
        <v>0</v>
      </c>
      <c r="K608" s="37">
        <f t="shared" si="133"/>
        <v>0</v>
      </c>
      <c r="L608" s="38">
        <v>0</v>
      </c>
    </row>
    <row r="609" spans="1:12" s="39" customFormat="1" ht="43.5" customHeight="1" outlineLevel="1" x14ac:dyDescent="0.25">
      <c r="A609" s="33">
        <v>44</v>
      </c>
      <c r="B609" s="34" t="s">
        <v>467</v>
      </c>
      <c r="C609" s="35" t="s">
        <v>55</v>
      </c>
      <c r="D609" s="36">
        <v>4</v>
      </c>
      <c r="E609" s="36">
        <v>350.1</v>
      </c>
      <c r="F609" s="36">
        <f t="shared" si="129"/>
        <v>1400.4</v>
      </c>
      <c r="G609" s="37">
        <f t="shared" si="130"/>
        <v>0</v>
      </c>
      <c r="H609" s="38">
        <f t="shared" si="131"/>
        <v>0</v>
      </c>
      <c r="I609" s="37">
        <f t="shared" si="132"/>
        <v>0</v>
      </c>
      <c r="J609" s="38">
        <v>0</v>
      </c>
      <c r="K609" s="37">
        <f t="shared" si="133"/>
        <v>0</v>
      </c>
      <c r="L609" s="38">
        <v>0</v>
      </c>
    </row>
    <row r="610" spans="1:12" s="39" customFormat="1" ht="15.45" customHeight="1" outlineLevel="1" x14ac:dyDescent="0.25">
      <c r="A610" s="33">
        <v>45</v>
      </c>
      <c r="B610" s="34" t="s">
        <v>468</v>
      </c>
      <c r="C610" s="35" t="s">
        <v>55</v>
      </c>
      <c r="D610" s="36">
        <v>55</v>
      </c>
      <c r="E610" s="36">
        <v>30.1</v>
      </c>
      <c r="F610" s="36">
        <f t="shared" si="129"/>
        <v>1655.5</v>
      </c>
      <c r="G610" s="37">
        <f t="shared" si="130"/>
        <v>0</v>
      </c>
      <c r="H610" s="38">
        <f t="shared" si="131"/>
        <v>0</v>
      </c>
      <c r="I610" s="37">
        <f t="shared" si="132"/>
        <v>0</v>
      </c>
      <c r="J610" s="38">
        <v>0</v>
      </c>
      <c r="K610" s="37">
        <f t="shared" si="133"/>
        <v>0</v>
      </c>
      <c r="L610" s="38">
        <v>0</v>
      </c>
    </row>
    <row r="611" spans="1:12" s="39" customFormat="1" ht="15.45" customHeight="1" outlineLevel="1" x14ac:dyDescent="0.25">
      <c r="A611" s="33">
        <v>46</v>
      </c>
      <c r="B611" s="34" t="s">
        <v>469</v>
      </c>
      <c r="C611" s="35" t="s">
        <v>115</v>
      </c>
      <c r="D611" s="36">
        <v>11</v>
      </c>
      <c r="E611" s="36">
        <v>3.2416</v>
      </c>
      <c r="F611" s="36">
        <f t="shared" si="129"/>
        <v>35.657600000000002</v>
      </c>
      <c r="G611" s="37">
        <f t="shared" si="130"/>
        <v>0</v>
      </c>
      <c r="H611" s="38">
        <f t="shared" si="131"/>
        <v>0</v>
      </c>
      <c r="I611" s="37">
        <f t="shared" si="132"/>
        <v>0</v>
      </c>
      <c r="J611" s="38">
        <v>0</v>
      </c>
      <c r="K611" s="37">
        <f t="shared" si="133"/>
        <v>0</v>
      </c>
      <c r="L611" s="38">
        <v>0</v>
      </c>
    </row>
    <row r="612" spans="1:12" s="45" customFormat="1" ht="15.45" customHeight="1" x14ac:dyDescent="0.3">
      <c r="A612" s="33">
        <v>47</v>
      </c>
      <c r="B612" s="34" t="s">
        <v>470</v>
      </c>
      <c r="C612" s="35" t="s">
        <v>55</v>
      </c>
      <c r="D612" s="36">
        <v>11</v>
      </c>
      <c r="E612" s="36">
        <v>13.205</v>
      </c>
      <c r="F612" s="36">
        <f t="shared" si="129"/>
        <v>145.255</v>
      </c>
      <c r="G612" s="37">
        <f t="shared" si="130"/>
        <v>0</v>
      </c>
      <c r="H612" s="38">
        <f t="shared" si="131"/>
        <v>0</v>
      </c>
      <c r="I612" s="37">
        <f t="shared" si="132"/>
        <v>0</v>
      </c>
      <c r="J612" s="38">
        <v>0</v>
      </c>
      <c r="K612" s="37">
        <f t="shared" si="133"/>
        <v>0</v>
      </c>
      <c r="L612" s="38">
        <v>0</v>
      </c>
    </row>
    <row r="613" spans="1:12" s="39" customFormat="1" ht="15.45" customHeight="1" outlineLevel="1" x14ac:dyDescent="0.25">
      <c r="A613" s="33">
        <v>48</v>
      </c>
      <c r="B613" s="34" t="s">
        <v>471</v>
      </c>
      <c r="C613" s="35" t="s">
        <v>115</v>
      </c>
      <c r="D613" s="36">
        <v>2</v>
      </c>
      <c r="E613" s="36">
        <v>4.4656000000000002</v>
      </c>
      <c r="F613" s="36">
        <f t="shared" si="129"/>
        <v>8.9312000000000005</v>
      </c>
      <c r="G613" s="37">
        <f t="shared" si="130"/>
        <v>0</v>
      </c>
      <c r="H613" s="38">
        <f t="shared" si="131"/>
        <v>0</v>
      </c>
      <c r="I613" s="37">
        <f t="shared" si="132"/>
        <v>0</v>
      </c>
      <c r="J613" s="38">
        <v>0</v>
      </c>
      <c r="K613" s="37">
        <f t="shared" si="133"/>
        <v>0</v>
      </c>
      <c r="L613" s="38">
        <v>0</v>
      </c>
    </row>
    <row r="614" spans="1:12" s="39" customFormat="1" ht="15.45" customHeight="1" outlineLevel="1" x14ac:dyDescent="0.25">
      <c r="A614" s="33">
        <v>49</v>
      </c>
      <c r="B614" s="34" t="s">
        <v>472</v>
      </c>
      <c r="C614" s="35" t="s">
        <v>55</v>
      </c>
      <c r="D614" s="36">
        <v>2</v>
      </c>
      <c r="E614" s="36">
        <v>16.173200000000001</v>
      </c>
      <c r="F614" s="36">
        <f t="shared" si="129"/>
        <v>32.346400000000003</v>
      </c>
      <c r="G614" s="37">
        <f t="shared" si="130"/>
        <v>0</v>
      </c>
      <c r="H614" s="38">
        <f t="shared" si="131"/>
        <v>0</v>
      </c>
      <c r="I614" s="37">
        <f t="shared" si="132"/>
        <v>0</v>
      </c>
      <c r="J614" s="38">
        <v>0</v>
      </c>
      <c r="K614" s="37">
        <f t="shared" si="133"/>
        <v>0</v>
      </c>
      <c r="L614" s="38">
        <v>0</v>
      </c>
    </row>
    <row r="615" spans="1:12" s="39" customFormat="1" ht="28.95" customHeight="1" outlineLevel="1" x14ac:dyDescent="0.25">
      <c r="A615" s="33">
        <v>50</v>
      </c>
      <c r="B615" s="34" t="s">
        <v>473</v>
      </c>
      <c r="C615" s="35" t="s">
        <v>66</v>
      </c>
      <c r="D615" s="36">
        <v>2.92</v>
      </c>
      <c r="E615" s="36">
        <v>508.24360000000001</v>
      </c>
      <c r="F615" s="36">
        <f t="shared" si="129"/>
        <v>1484.071312</v>
      </c>
      <c r="G615" s="37">
        <f t="shared" si="130"/>
        <v>0</v>
      </c>
      <c r="H615" s="38">
        <f t="shared" si="131"/>
        <v>0</v>
      </c>
      <c r="I615" s="37">
        <f t="shared" si="132"/>
        <v>0</v>
      </c>
      <c r="J615" s="38">
        <v>0</v>
      </c>
      <c r="K615" s="37">
        <f t="shared" si="133"/>
        <v>0</v>
      </c>
      <c r="L615" s="38">
        <v>0</v>
      </c>
    </row>
    <row r="616" spans="1:12" s="39" customFormat="1" ht="15.45" customHeight="1" outlineLevel="1" x14ac:dyDescent="0.25">
      <c r="A616" s="31" t="s">
        <v>474</v>
      </c>
      <c r="B616" s="40" t="s">
        <v>475</v>
      </c>
      <c r="C616" s="41">
        <v>0</v>
      </c>
      <c r="D616" s="42"/>
      <c r="E616" s="42"/>
      <c r="F616" s="42"/>
      <c r="G616" s="43"/>
      <c r="H616" s="44"/>
      <c r="I616" s="43"/>
      <c r="J616" s="44"/>
      <c r="K616" s="43"/>
      <c r="L616" s="44">
        <v>0</v>
      </c>
    </row>
    <row r="617" spans="1:12" s="39" customFormat="1" ht="15.45" customHeight="1" outlineLevel="1" x14ac:dyDescent="0.25">
      <c r="A617" s="33">
        <v>1</v>
      </c>
      <c r="B617" s="34" t="s">
        <v>476</v>
      </c>
      <c r="C617" s="35" t="s">
        <v>55</v>
      </c>
      <c r="D617" s="36">
        <v>10</v>
      </c>
      <c r="E617" s="36">
        <v>13.814</v>
      </c>
      <c r="F617" s="36">
        <f t="shared" ref="F617:F633" si="134">+E617*D617</f>
        <v>138.13999999999999</v>
      </c>
      <c r="G617" s="37">
        <f t="shared" ref="G617:G633" si="135">I617+K617</f>
        <v>0</v>
      </c>
      <c r="H617" s="38">
        <f t="shared" ref="H617:H633" si="136">J617+L617</f>
        <v>0</v>
      </c>
      <c r="I617" s="37">
        <f t="shared" ref="I617:I633" si="137">J617/F617</f>
        <v>0</v>
      </c>
      <c r="J617" s="38">
        <v>0</v>
      </c>
      <c r="K617" s="37">
        <f t="shared" ref="K617:K633" si="138">L617/F617</f>
        <v>0</v>
      </c>
      <c r="L617" s="38">
        <v>0</v>
      </c>
    </row>
    <row r="618" spans="1:12" s="39" customFormat="1" ht="28.95" customHeight="1" outlineLevel="1" x14ac:dyDescent="0.25">
      <c r="A618" s="33">
        <v>2</v>
      </c>
      <c r="B618" s="34" t="s">
        <v>477</v>
      </c>
      <c r="C618" s="35" t="s">
        <v>55</v>
      </c>
      <c r="D618" s="36">
        <v>3</v>
      </c>
      <c r="E618" s="36">
        <v>101.36360000000001</v>
      </c>
      <c r="F618" s="36">
        <f t="shared" si="134"/>
        <v>304.0908</v>
      </c>
      <c r="G618" s="37">
        <f t="shared" si="135"/>
        <v>0</v>
      </c>
      <c r="H618" s="38">
        <f t="shared" si="136"/>
        <v>0</v>
      </c>
      <c r="I618" s="37">
        <f t="shared" si="137"/>
        <v>0</v>
      </c>
      <c r="J618" s="38">
        <v>0</v>
      </c>
      <c r="K618" s="37">
        <f t="shared" si="138"/>
        <v>0</v>
      </c>
      <c r="L618" s="38">
        <v>0</v>
      </c>
    </row>
    <row r="619" spans="1:12" s="46" customFormat="1" ht="28.95" customHeight="1" outlineLevel="1" x14ac:dyDescent="0.35">
      <c r="A619" s="33">
        <v>3</v>
      </c>
      <c r="B619" s="34" t="s">
        <v>478</v>
      </c>
      <c r="C619" s="35" t="s">
        <v>55</v>
      </c>
      <c r="D619" s="36">
        <v>3</v>
      </c>
      <c r="E619" s="36">
        <v>692.83100000000002</v>
      </c>
      <c r="F619" s="36">
        <f t="shared" si="134"/>
        <v>2078.4929999999999</v>
      </c>
      <c r="G619" s="37">
        <f t="shared" si="135"/>
        <v>0</v>
      </c>
      <c r="H619" s="38">
        <f t="shared" si="136"/>
        <v>0</v>
      </c>
      <c r="I619" s="37">
        <f t="shared" si="137"/>
        <v>0</v>
      </c>
      <c r="J619" s="38">
        <v>0</v>
      </c>
      <c r="K619" s="37">
        <f t="shared" si="138"/>
        <v>0</v>
      </c>
      <c r="L619" s="38">
        <v>0</v>
      </c>
    </row>
    <row r="620" spans="1:12" s="39" customFormat="1" ht="28.95" customHeight="1" outlineLevel="1" x14ac:dyDescent="0.25">
      <c r="A620" s="33">
        <v>4</v>
      </c>
      <c r="B620" s="34" t="s">
        <v>479</v>
      </c>
      <c r="C620" s="35" t="s">
        <v>55</v>
      </c>
      <c r="D620" s="36">
        <v>2</v>
      </c>
      <c r="E620" s="36">
        <v>1680.3235999999999</v>
      </c>
      <c r="F620" s="36">
        <f t="shared" si="134"/>
        <v>3360.6471999999999</v>
      </c>
      <c r="G620" s="37">
        <f t="shared" si="135"/>
        <v>0</v>
      </c>
      <c r="H620" s="38">
        <f t="shared" si="136"/>
        <v>0</v>
      </c>
      <c r="I620" s="37">
        <f t="shared" si="137"/>
        <v>0</v>
      </c>
      <c r="J620" s="38">
        <v>0</v>
      </c>
      <c r="K620" s="37">
        <f t="shared" si="138"/>
        <v>0</v>
      </c>
      <c r="L620" s="38">
        <v>0</v>
      </c>
    </row>
    <row r="621" spans="1:12" s="39" customFormat="1" ht="28.95" customHeight="1" outlineLevel="1" x14ac:dyDescent="0.25">
      <c r="A621" s="33">
        <v>5</v>
      </c>
      <c r="B621" s="34" t="s">
        <v>480</v>
      </c>
      <c r="C621" s="35" t="s">
        <v>55</v>
      </c>
      <c r="D621" s="36">
        <v>2</v>
      </c>
      <c r="E621" s="36">
        <v>73.486999999999981</v>
      </c>
      <c r="F621" s="36">
        <f t="shared" si="134"/>
        <v>146.97399999999996</v>
      </c>
      <c r="G621" s="37">
        <f t="shared" si="135"/>
        <v>0</v>
      </c>
      <c r="H621" s="38">
        <f t="shared" si="136"/>
        <v>0</v>
      </c>
      <c r="I621" s="37">
        <f t="shared" si="137"/>
        <v>0</v>
      </c>
      <c r="J621" s="38">
        <v>0</v>
      </c>
      <c r="K621" s="37">
        <f t="shared" si="138"/>
        <v>0</v>
      </c>
      <c r="L621" s="38">
        <v>0</v>
      </c>
    </row>
    <row r="622" spans="1:12" s="39" customFormat="1" ht="28.95" customHeight="1" outlineLevel="1" x14ac:dyDescent="0.25">
      <c r="A622" s="33">
        <v>6</v>
      </c>
      <c r="B622" s="34" t="s">
        <v>481</v>
      </c>
      <c r="C622" s="35" t="s">
        <v>55</v>
      </c>
      <c r="D622" s="36">
        <v>7</v>
      </c>
      <c r="E622" s="36">
        <v>15.4102</v>
      </c>
      <c r="F622" s="36">
        <f t="shared" si="134"/>
        <v>107.87139999999999</v>
      </c>
      <c r="G622" s="37">
        <f t="shared" si="135"/>
        <v>0</v>
      </c>
      <c r="H622" s="38">
        <f t="shared" si="136"/>
        <v>0</v>
      </c>
      <c r="I622" s="37">
        <f t="shared" si="137"/>
        <v>0</v>
      </c>
      <c r="J622" s="38">
        <v>0</v>
      </c>
      <c r="K622" s="37">
        <f t="shared" si="138"/>
        <v>0</v>
      </c>
      <c r="L622" s="38">
        <v>0</v>
      </c>
    </row>
    <row r="623" spans="1:12" s="39" customFormat="1" ht="28.95" customHeight="1" outlineLevel="1" x14ac:dyDescent="0.25">
      <c r="A623" s="33">
        <v>7</v>
      </c>
      <c r="B623" s="34" t="s">
        <v>482</v>
      </c>
      <c r="C623" s="35" t="s">
        <v>55</v>
      </c>
      <c r="D623" s="36">
        <v>6</v>
      </c>
      <c r="E623" s="36">
        <v>17.552199999999999</v>
      </c>
      <c r="F623" s="36">
        <f t="shared" si="134"/>
        <v>105.31319999999999</v>
      </c>
      <c r="G623" s="37">
        <f t="shared" si="135"/>
        <v>0</v>
      </c>
      <c r="H623" s="38">
        <f t="shared" si="136"/>
        <v>0</v>
      </c>
      <c r="I623" s="37">
        <f t="shared" si="137"/>
        <v>0</v>
      </c>
      <c r="J623" s="38">
        <v>0</v>
      </c>
      <c r="K623" s="37">
        <f t="shared" si="138"/>
        <v>0</v>
      </c>
      <c r="L623" s="38">
        <v>0</v>
      </c>
    </row>
    <row r="624" spans="1:12" s="39" customFormat="1" ht="15.45" customHeight="1" outlineLevel="1" x14ac:dyDescent="0.25">
      <c r="A624" s="33">
        <v>8</v>
      </c>
      <c r="B624" s="34" t="s">
        <v>483</v>
      </c>
      <c r="C624" s="35" t="s">
        <v>55</v>
      </c>
      <c r="D624" s="36">
        <v>4</v>
      </c>
      <c r="E624" s="36">
        <v>31.515999999999998</v>
      </c>
      <c r="F624" s="36">
        <f t="shared" si="134"/>
        <v>126.06399999999999</v>
      </c>
      <c r="G624" s="37">
        <f t="shared" si="135"/>
        <v>0</v>
      </c>
      <c r="H624" s="38">
        <f t="shared" si="136"/>
        <v>0</v>
      </c>
      <c r="I624" s="37">
        <f t="shared" si="137"/>
        <v>0</v>
      </c>
      <c r="J624" s="38">
        <v>0</v>
      </c>
      <c r="K624" s="37">
        <f t="shared" si="138"/>
        <v>0</v>
      </c>
      <c r="L624" s="38">
        <v>0</v>
      </c>
    </row>
    <row r="625" spans="1:12" s="39" customFormat="1" ht="28.95" customHeight="1" outlineLevel="1" x14ac:dyDescent="0.25">
      <c r="A625" s="33">
        <v>9</v>
      </c>
      <c r="B625" s="34" t="s">
        <v>484</v>
      </c>
      <c r="C625" s="35" t="s">
        <v>55</v>
      </c>
      <c r="D625" s="36">
        <v>12</v>
      </c>
      <c r="E625" s="36">
        <v>18.919</v>
      </c>
      <c r="F625" s="36">
        <f t="shared" si="134"/>
        <v>227.02800000000002</v>
      </c>
      <c r="G625" s="37">
        <f t="shared" si="135"/>
        <v>0</v>
      </c>
      <c r="H625" s="38">
        <f t="shared" si="136"/>
        <v>0</v>
      </c>
      <c r="I625" s="37">
        <f t="shared" si="137"/>
        <v>0</v>
      </c>
      <c r="J625" s="38">
        <v>0</v>
      </c>
      <c r="K625" s="37">
        <f t="shared" si="138"/>
        <v>0</v>
      </c>
      <c r="L625" s="38">
        <v>0</v>
      </c>
    </row>
    <row r="626" spans="1:12" s="39" customFormat="1" ht="15.45" customHeight="1" outlineLevel="1" x14ac:dyDescent="0.25">
      <c r="A626" s="33">
        <v>10</v>
      </c>
      <c r="B626" s="34" t="s">
        <v>485</v>
      </c>
      <c r="C626" s="35" t="s">
        <v>55</v>
      </c>
      <c r="D626" s="36">
        <v>12</v>
      </c>
      <c r="E626" s="36">
        <v>12.684799999999999</v>
      </c>
      <c r="F626" s="36">
        <f t="shared" si="134"/>
        <v>152.2176</v>
      </c>
      <c r="G626" s="37">
        <f t="shared" si="135"/>
        <v>0</v>
      </c>
      <c r="H626" s="38">
        <f t="shared" si="136"/>
        <v>0</v>
      </c>
      <c r="I626" s="37">
        <f t="shared" si="137"/>
        <v>0</v>
      </c>
      <c r="J626" s="38">
        <v>0</v>
      </c>
      <c r="K626" s="37">
        <f t="shared" si="138"/>
        <v>0</v>
      </c>
      <c r="L626" s="38">
        <v>0</v>
      </c>
    </row>
    <row r="627" spans="1:12" s="39" customFormat="1" ht="28.95" customHeight="1" outlineLevel="1" x14ac:dyDescent="0.25">
      <c r="A627" s="33">
        <v>11</v>
      </c>
      <c r="B627" s="34" t="s">
        <v>486</v>
      </c>
      <c r="C627" s="35" t="s">
        <v>55</v>
      </c>
      <c r="D627" s="36">
        <v>4</v>
      </c>
      <c r="E627" s="36">
        <v>21.6934</v>
      </c>
      <c r="F627" s="36">
        <f t="shared" si="134"/>
        <v>86.773600000000002</v>
      </c>
      <c r="G627" s="37">
        <f t="shared" si="135"/>
        <v>0</v>
      </c>
      <c r="H627" s="38">
        <f t="shared" si="136"/>
        <v>0</v>
      </c>
      <c r="I627" s="37">
        <f t="shared" si="137"/>
        <v>0</v>
      </c>
      <c r="J627" s="38">
        <v>0</v>
      </c>
      <c r="K627" s="37">
        <f t="shared" si="138"/>
        <v>0</v>
      </c>
      <c r="L627" s="38">
        <v>0</v>
      </c>
    </row>
    <row r="628" spans="1:12" s="39" customFormat="1" ht="28.95" customHeight="1" outlineLevel="1" x14ac:dyDescent="0.25">
      <c r="A628" s="33">
        <v>12</v>
      </c>
      <c r="B628" s="34" t="s">
        <v>487</v>
      </c>
      <c r="C628" s="35" t="s">
        <v>55</v>
      </c>
      <c r="D628" s="36">
        <v>2</v>
      </c>
      <c r="E628" s="36">
        <v>2.3643999999999998</v>
      </c>
      <c r="F628" s="36">
        <f t="shared" si="134"/>
        <v>4.7287999999999997</v>
      </c>
      <c r="G628" s="37">
        <f t="shared" si="135"/>
        <v>0</v>
      </c>
      <c r="H628" s="38">
        <f t="shared" si="136"/>
        <v>0</v>
      </c>
      <c r="I628" s="37">
        <f t="shared" si="137"/>
        <v>0</v>
      </c>
      <c r="J628" s="38">
        <v>0</v>
      </c>
      <c r="K628" s="37">
        <f t="shared" si="138"/>
        <v>0</v>
      </c>
      <c r="L628" s="38">
        <v>0</v>
      </c>
    </row>
    <row r="629" spans="1:12" s="39" customFormat="1" ht="15.45" customHeight="1" outlineLevel="1" x14ac:dyDescent="0.25">
      <c r="A629" s="33">
        <v>13</v>
      </c>
      <c r="B629" s="34" t="s">
        <v>488</v>
      </c>
      <c r="C629" s="35" t="s">
        <v>55</v>
      </c>
      <c r="D629" s="36">
        <v>10</v>
      </c>
      <c r="E629" s="36">
        <v>10.298</v>
      </c>
      <c r="F629" s="36">
        <f t="shared" si="134"/>
        <v>102.98</v>
      </c>
      <c r="G629" s="37">
        <f t="shared" si="135"/>
        <v>0</v>
      </c>
      <c r="H629" s="38">
        <f t="shared" si="136"/>
        <v>0</v>
      </c>
      <c r="I629" s="37">
        <f t="shared" si="137"/>
        <v>0</v>
      </c>
      <c r="J629" s="38">
        <v>0</v>
      </c>
      <c r="K629" s="37">
        <f t="shared" si="138"/>
        <v>0</v>
      </c>
      <c r="L629" s="38">
        <v>0</v>
      </c>
    </row>
    <row r="630" spans="1:12" s="39" customFormat="1" ht="28.95" customHeight="1" outlineLevel="1" x14ac:dyDescent="0.25">
      <c r="A630" s="33">
        <v>14</v>
      </c>
      <c r="B630" s="34" t="s">
        <v>489</v>
      </c>
      <c r="C630" s="35" t="s">
        <v>106</v>
      </c>
      <c r="D630" s="36">
        <v>35.1</v>
      </c>
      <c r="E630" s="36">
        <v>39.625</v>
      </c>
      <c r="F630" s="36">
        <f t="shared" si="134"/>
        <v>1390.8375000000001</v>
      </c>
      <c r="G630" s="37">
        <f t="shared" si="135"/>
        <v>0</v>
      </c>
      <c r="H630" s="38">
        <f t="shared" si="136"/>
        <v>0</v>
      </c>
      <c r="I630" s="37">
        <f t="shared" si="137"/>
        <v>0</v>
      </c>
      <c r="J630" s="38">
        <v>0</v>
      </c>
      <c r="K630" s="37">
        <f t="shared" si="138"/>
        <v>0</v>
      </c>
      <c r="L630" s="38">
        <v>0</v>
      </c>
    </row>
    <row r="631" spans="1:12" s="39" customFormat="1" ht="28.95" customHeight="1" outlineLevel="1" x14ac:dyDescent="0.25">
      <c r="A631" s="33">
        <v>15</v>
      </c>
      <c r="B631" s="34" t="s">
        <v>490</v>
      </c>
      <c r="C631" s="35" t="s">
        <v>106</v>
      </c>
      <c r="D631" s="36">
        <v>22</v>
      </c>
      <c r="E631" s="36">
        <v>37.6768</v>
      </c>
      <c r="F631" s="36">
        <f t="shared" si="134"/>
        <v>828.88959999999997</v>
      </c>
      <c r="G631" s="37">
        <f t="shared" si="135"/>
        <v>0</v>
      </c>
      <c r="H631" s="38">
        <f t="shared" si="136"/>
        <v>0</v>
      </c>
      <c r="I631" s="37">
        <f t="shared" si="137"/>
        <v>0</v>
      </c>
      <c r="J631" s="38">
        <v>0</v>
      </c>
      <c r="K631" s="37">
        <f t="shared" si="138"/>
        <v>0</v>
      </c>
      <c r="L631" s="38">
        <v>0</v>
      </c>
    </row>
    <row r="632" spans="1:12" s="39" customFormat="1" ht="28.95" customHeight="1" outlineLevel="1" x14ac:dyDescent="0.25">
      <c r="A632" s="33">
        <v>16</v>
      </c>
      <c r="B632" s="34" t="s">
        <v>491</v>
      </c>
      <c r="C632" s="35" t="s">
        <v>106</v>
      </c>
      <c r="D632" s="36">
        <v>35.200000000000003</v>
      </c>
      <c r="E632" s="36">
        <v>35.4328</v>
      </c>
      <c r="F632" s="36">
        <f t="shared" si="134"/>
        <v>1247.2345600000001</v>
      </c>
      <c r="G632" s="37">
        <f t="shared" si="135"/>
        <v>0</v>
      </c>
      <c r="H632" s="38">
        <f t="shared" si="136"/>
        <v>0</v>
      </c>
      <c r="I632" s="37">
        <f t="shared" si="137"/>
        <v>0</v>
      </c>
      <c r="J632" s="38">
        <v>0</v>
      </c>
      <c r="K632" s="37">
        <f t="shared" si="138"/>
        <v>0</v>
      </c>
      <c r="L632" s="38">
        <v>0</v>
      </c>
    </row>
    <row r="633" spans="1:12" s="39" customFormat="1" ht="15.45" customHeight="1" outlineLevel="1" x14ac:dyDescent="0.25">
      <c r="A633" s="33">
        <v>17</v>
      </c>
      <c r="B633" s="34" t="s">
        <v>492</v>
      </c>
      <c r="C633" s="35" t="s">
        <v>50</v>
      </c>
      <c r="D633" s="36">
        <v>6</v>
      </c>
      <c r="E633" s="36">
        <v>17.886800000000001</v>
      </c>
      <c r="F633" s="36">
        <f t="shared" si="134"/>
        <v>107.32080000000001</v>
      </c>
      <c r="G633" s="37">
        <f t="shared" si="135"/>
        <v>0</v>
      </c>
      <c r="H633" s="38">
        <f t="shared" si="136"/>
        <v>0</v>
      </c>
      <c r="I633" s="37">
        <f t="shared" si="137"/>
        <v>0</v>
      </c>
      <c r="J633" s="38">
        <v>0</v>
      </c>
      <c r="K633" s="37">
        <f t="shared" si="138"/>
        <v>0</v>
      </c>
      <c r="L633" s="38">
        <v>0</v>
      </c>
    </row>
    <row r="634" spans="1:12" s="39" customFormat="1" ht="15.45" customHeight="1" outlineLevel="1" x14ac:dyDescent="0.25">
      <c r="A634" s="31" t="s">
        <v>493</v>
      </c>
      <c r="B634" s="40" t="s">
        <v>494</v>
      </c>
      <c r="C634" s="41">
        <v>0</v>
      </c>
      <c r="D634" s="42"/>
      <c r="E634" s="42"/>
      <c r="F634" s="42"/>
      <c r="G634" s="43"/>
      <c r="H634" s="44"/>
      <c r="I634" s="43"/>
      <c r="J634" s="44"/>
      <c r="K634" s="43"/>
      <c r="L634" s="44">
        <v>0</v>
      </c>
    </row>
    <row r="635" spans="1:12" s="39" customFormat="1" ht="28.95" customHeight="1" outlineLevel="1" x14ac:dyDescent="0.25">
      <c r="A635" s="33">
        <v>18</v>
      </c>
      <c r="B635" s="34" t="s">
        <v>495</v>
      </c>
      <c r="C635" s="35" t="s">
        <v>115</v>
      </c>
      <c r="D635" s="36">
        <v>13</v>
      </c>
      <c r="E635" s="36">
        <v>68.317599999999999</v>
      </c>
      <c r="F635" s="36">
        <f>+E635*D635</f>
        <v>888.12879999999996</v>
      </c>
      <c r="G635" s="37">
        <f t="shared" ref="G635:H639" si="139">I635+K635</f>
        <v>0</v>
      </c>
      <c r="H635" s="38">
        <f t="shared" si="139"/>
        <v>0</v>
      </c>
      <c r="I635" s="37">
        <f>J635/F635</f>
        <v>0</v>
      </c>
      <c r="J635" s="38">
        <v>0</v>
      </c>
      <c r="K635" s="37">
        <f>L635/F635</f>
        <v>0</v>
      </c>
      <c r="L635" s="38">
        <v>0</v>
      </c>
    </row>
    <row r="636" spans="1:12" s="39" customFormat="1" ht="28.95" customHeight="1" outlineLevel="1" x14ac:dyDescent="0.25">
      <c r="A636" s="33">
        <v>19</v>
      </c>
      <c r="B636" s="34" t="s">
        <v>496</v>
      </c>
      <c r="C636" s="35" t="s">
        <v>55</v>
      </c>
      <c r="D636" s="36">
        <v>13</v>
      </c>
      <c r="E636" s="36">
        <v>684.57920000000013</v>
      </c>
      <c r="F636" s="36">
        <f>+E636*D636</f>
        <v>8899.5296000000017</v>
      </c>
      <c r="G636" s="37">
        <f t="shared" si="139"/>
        <v>0</v>
      </c>
      <c r="H636" s="38">
        <f t="shared" si="139"/>
        <v>0</v>
      </c>
      <c r="I636" s="37">
        <f>J636/F636</f>
        <v>0</v>
      </c>
      <c r="J636" s="38">
        <v>0</v>
      </c>
      <c r="K636" s="37">
        <f>L636/F636</f>
        <v>0</v>
      </c>
      <c r="L636" s="38">
        <v>0</v>
      </c>
    </row>
    <row r="637" spans="1:12" s="39" customFormat="1" ht="28.95" customHeight="1" outlineLevel="1" x14ac:dyDescent="0.25">
      <c r="A637" s="33">
        <v>20</v>
      </c>
      <c r="B637" s="34" t="s">
        <v>497</v>
      </c>
      <c r="C637" s="35" t="s">
        <v>55</v>
      </c>
      <c r="D637" s="36">
        <v>3</v>
      </c>
      <c r="E637" s="36">
        <v>754.7654</v>
      </c>
      <c r="F637" s="36">
        <f>+E637*D637</f>
        <v>2264.2961999999998</v>
      </c>
      <c r="G637" s="37">
        <f t="shared" si="139"/>
        <v>0</v>
      </c>
      <c r="H637" s="38">
        <f t="shared" si="139"/>
        <v>0</v>
      </c>
      <c r="I637" s="37">
        <f>J637/F637</f>
        <v>0</v>
      </c>
      <c r="J637" s="38">
        <v>0</v>
      </c>
      <c r="K637" s="37">
        <f>L637/F637</f>
        <v>0</v>
      </c>
      <c r="L637" s="38">
        <v>0</v>
      </c>
    </row>
    <row r="638" spans="1:12" s="39" customFormat="1" ht="28.95" customHeight="1" outlineLevel="1" x14ac:dyDescent="0.25">
      <c r="A638" s="33">
        <v>21</v>
      </c>
      <c r="B638" s="34" t="s">
        <v>498</v>
      </c>
      <c r="C638" s="35" t="s">
        <v>115</v>
      </c>
      <c r="D638" s="36">
        <v>2</v>
      </c>
      <c r="E638" s="36">
        <v>76.395999999999987</v>
      </c>
      <c r="F638" s="36">
        <f>+E638*D638</f>
        <v>152.79199999999997</v>
      </c>
      <c r="G638" s="37">
        <f t="shared" si="139"/>
        <v>0</v>
      </c>
      <c r="H638" s="38">
        <f t="shared" si="139"/>
        <v>0</v>
      </c>
      <c r="I638" s="37">
        <f>J638/F638</f>
        <v>0</v>
      </c>
      <c r="J638" s="38">
        <v>0</v>
      </c>
      <c r="K638" s="37">
        <f>L638/F638</f>
        <v>0</v>
      </c>
      <c r="L638" s="38">
        <v>0</v>
      </c>
    </row>
    <row r="639" spans="1:12" s="39" customFormat="1" ht="15.45" customHeight="1" outlineLevel="1" x14ac:dyDescent="0.25">
      <c r="A639" s="33">
        <v>22</v>
      </c>
      <c r="B639" s="34" t="s">
        <v>499</v>
      </c>
      <c r="C639" s="35" t="s">
        <v>55</v>
      </c>
      <c r="D639" s="36">
        <v>2</v>
      </c>
      <c r="E639" s="36">
        <v>1628.0383999999999</v>
      </c>
      <c r="F639" s="36">
        <f>+E639*D639</f>
        <v>3256.0767999999998</v>
      </c>
      <c r="G639" s="37">
        <f t="shared" si="139"/>
        <v>0</v>
      </c>
      <c r="H639" s="38">
        <f t="shared" si="139"/>
        <v>0</v>
      </c>
      <c r="I639" s="37">
        <f>J639/F639</f>
        <v>0</v>
      </c>
      <c r="J639" s="38">
        <v>0</v>
      </c>
      <c r="K639" s="37">
        <f>L639/F639</f>
        <v>0</v>
      </c>
      <c r="L639" s="38">
        <v>0</v>
      </c>
    </row>
    <row r="640" spans="1:12" s="39" customFormat="1" ht="15.45" customHeight="1" outlineLevel="1" x14ac:dyDescent="0.25">
      <c r="A640" s="31" t="s">
        <v>500</v>
      </c>
      <c r="B640" s="40" t="s">
        <v>501</v>
      </c>
      <c r="C640" s="41">
        <v>0</v>
      </c>
      <c r="D640" s="42"/>
      <c r="E640" s="42"/>
      <c r="F640" s="42"/>
      <c r="G640" s="43"/>
      <c r="H640" s="44"/>
      <c r="I640" s="43"/>
      <c r="J640" s="44"/>
      <c r="K640" s="43"/>
      <c r="L640" s="44">
        <v>0</v>
      </c>
    </row>
    <row r="641" spans="1:12" s="39" customFormat="1" ht="15.45" customHeight="1" outlineLevel="1" x14ac:dyDescent="0.25">
      <c r="A641" s="33">
        <v>1</v>
      </c>
      <c r="B641" s="34" t="s">
        <v>502</v>
      </c>
      <c r="C641" s="35" t="s">
        <v>55</v>
      </c>
      <c r="D641" s="36">
        <v>1</v>
      </c>
      <c r="E641" s="36">
        <v>199.95679999999999</v>
      </c>
      <c r="F641" s="36">
        <f t="shared" ref="F641:F672" si="140">+E641*D641</f>
        <v>199.95679999999999</v>
      </c>
      <c r="G641" s="37">
        <f t="shared" ref="G641:G672" si="141">I641+K641</f>
        <v>0</v>
      </c>
      <c r="H641" s="38">
        <f t="shared" ref="H641:H672" si="142">J641+L641</f>
        <v>0</v>
      </c>
      <c r="I641" s="37">
        <f t="shared" ref="I641:I672" si="143">J641/F641</f>
        <v>0</v>
      </c>
      <c r="J641" s="38">
        <v>0</v>
      </c>
      <c r="K641" s="37">
        <f t="shared" ref="K641:K672" si="144">L641/F641</f>
        <v>0</v>
      </c>
      <c r="L641" s="38">
        <v>0</v>
      </c>
    </row>
    <row r="642" spans="1:12" s="39" customFormat="1" ht="28.95" customHeight="1" outlineLevel="1" x14ac:dyDescent="0.25">
      <c r="A642" s="33">
        <v>2</v>
      </c>
      <c r="B642" s="34" t="s">
        <v>503</v>
      </c>
      <c r="C642" s="35" t="s">
        <v>55</v>
      </c>
      <c r="D642" s="36">
        <v>1</v>
      </c>
      <c r="E642" s="36">
        <v>39.523000000000003</v>
      </c>
      <c r="F642" s="36">
        <f t="shared" si="140"/>
        <v>39.523000000000003</v>
      </c>
      <c r="G642" s="37">
        <f t="shared" si="141"/>
        <v>0</v>
      </c>
      <c r="H642" s="38">
        <f t="shared" si="142"/>
        <v>0</v>
      </c>
      <c r="I642" s="37">
        <f t="shared" si="143"/>
        <v>0</v>
      </c>
      <c r="J642" s="38">
        <v>0</v>
      </c>
      <c r="K642" s="37">
        <f t="shared" si="144"/>
        <v>0</v>
      </c>
      <c r="L642" s="38">
        <v>0</v>
      </c>
    </row>
    <row r="643" spans="1:12" s="39" customFormat="1" ht="15.45" customHeight="1" outlineLevel="1" x14ac:dyDescent="0.25">
      <c r="A643" s="33">
        <v>3</v>
      </c>
      <c r="B643" s="34" t="s">
        <v>504</v>
      </c>
      <c r="C643" s="35" t="s">
        <v>55</v>
      </c>
      <c r="D643" s="36">
        <v>1</v>
      </c>
      <c r="E643" s="36">
        <v>344.5320000000001</v>
      </c>
      <c r="F643" s="36">
        <f t="shared" si="140"/>
        <v>344.5320000000001</v>
      </c>
      <c r="G643" s="37">
        <f t="shared" si="141"/>
        <v>0</v>
      </c>
      <c r="H643" s="38">
        <f t="shared" si="142"/>
        <v>0</v>
      </c>
      <c r="I643" s="37">
        <f t="shared" si="143"/>
        <v>0</v>
      </c>
      <c r="J643" s="38">
        <v>0</v>
      </c>
      <c r="K643" s="37">
        <f t="shared" si="144"/>
        <v>0</v>
      </c>
      <c r="L643" s="38">
        <v>0</v>
      </c>
    </row>
    <row r="644" spans="1:12" s="39" customFormat="1" ht="15.45" customHeight="1" outlineLevel="1" x14ac:dyDescent="0.25">
      <c r="A644" s="33">
        <v>4</v>
      </c>
      <c r="B644" s="34" t="s">
        <v>505</v>
      </c>
      <c r="C644" s="35" t="s">
        <v>55</v>
      </c>
      <c r="D644" s="36">
        <v>1</v>
      </c>
      <c r="E644" s="36">
        <v>146.4</v>
      </c>
      <c r="F644" s="36">
        <f t="shared" si="140"/>
        <v>146.4</v>
      </c>
      <c r="G644" s="37">
        <f t="shared" si="141"/>
        <v>0</v>
      </c>
      <c r="H644" s="38">
        <f t="shared" si="142"/>
        <v>0</v>
      </c>
      <c r="I644" s="37">
        <f t="shared" si="143"/>
        <v>0</v>
      </c>
      <c r="J644" s="38">
        <v>0</v>
      </c>
      <c r="K644" s="37">
        <f t="shared" si="144"/>
        <v>0</v>
      </c>
      <c r="L644" s="38">
        <v>0</v>
      </c>
    </row>
    <row r="645" spans="1:12" s="39" customFormat="1" ht="15.45" customHeight="1" outlineLevel="1" x14ac:dyDescent="0.25">
      <c r="A645" s="33">
        <v>5</v>
      </c>
      <c r="B645" s="34" t="s">
        <v>506</v>
      </c>
      <c r="C645" s="35" t="s">
        <v>55</v>
      </c>
      <c r="D645" s="36">
        <v>1</v>
      </c>
      <c r="E645" s="36">
        <v>133.85</v>
      </c>
      <c r="F645" s="36">
        <f t="shared" si="140"/>
        <v>133.85</v>
      </c>
      <c r="G645" s="37">
        <f t="shared" si="141"/>
        <v>0</v>
      </c>
      <c r="H645" s="38">
        <f t="shared" si="142"/>
        <v>0</v>
      </c>
      <c r="I645" s="37">
        <f t="shared" si="143"/>
        <v>0</v>
      </c>
      <c r="J645" s="38">
        <v>0</v>
      </c>
      <c r="K645" s="37">
        <f t="shared" si="144"/>
        <v>0</v>
      </c>
      <c r="L645" s="38">
        <v>0</v>
      </c>
    </row>
    <row r="646" spans="1:12" s="39" customFormat="1" ht="15.45" customHeight="1" outlineLevel="1" x14ac:dyDescent="0.25">
      <c r="A646" s="33">
        <v>6</v>
      </c>
      <c r="B646" s="34" t="s">
        <v>507</v>
      </c>
      <c r="C646" s="35" t="s">
        <v>55</v>
      </c>
      <c r="D646" s="36">
        <v>3</v>
      </c>
      <c r="E646" s="36">
        <v>37.299999999999997</v>
      </c>
      <c r="F646" s="36">
        <f t="shared" si="140"/>
        <v>111.89999999999999</v>
      </c>
      <c r="G646" s="37">
        <f t="shared" si="141"/>
        <v>0</v>
      </c>
      <c r="H646" s="38">
        <f t="shared" si="142"/>
        <v>0</v>
      </c>
      <c r="I646" s="37">
        <f t="shared" si="143"/>
        <v>0</v>
      </c>
      <c r="J646" s="38">
        <v>0</v>
      </c>
      <c r="K646" s="37">
        <f t="shared" si="144"/>
        <v>0</v>
      </c>
      <c r="L646" s="38">
        <v>0</v>
      </c>
    </row>
    <row r="647" spans="1:12" s="39" customFormat="1" ht="15.45" customHeight="1" outlineLevel="1" x14ac:dyDescent="0.25">
      <c r="A647" s="33">
        <v>7</v>
      </c>
      <c r="B647" s="34" t="s">
        <v>508</v>
      </c>
      <c r="C647" s="35" t="s">
        <v>55</v>
      </c>
      <c r="D647" s="36">
        <v>1</v>
      </c>
      <c r="E647" s="36">
        <v>32.450000000000003</v>
      </c>
      <c r="F647" s="36">
        <f t="shared" si="140"/>
        <v>32.450000000000003</v>
      </c>
      <c r="G647" s="37">
        <f t="shared" si="141"/>
        <v>0</v>
      </c>
      <c r="H647" s="38">
        <f t="shared" si="142"/>
        <v>0</v>
      </c>
      <c r="I647" s="37">
        <f t="shared" si="143"/>
        <v>0</v>
      </c>
      <c r="J647" s="38">
        <v>0</v>
      </c>
      <c r="K647" s="37">
        <f t="shared" si="144"/>
        <v>0</v>
      </c>
      <c r="L647" s="38">
        <v>0</v>
      </c>
    </row>
    <row r="648" spans="1:12" s="39" customFormat="1" ht="15.45" customHeight="1" outlineLevel="1" x14ac:dyDescent="0.25">
      <c r="A648" s="33">
        <v>8</v>
      </c>
      <c r="B648" s="34" t="s">
        <v>509</v>
      </c>
      <c r="C648" s="35" t="s">
        <v>55</v>
      </c>
      <c r="D648" s="36">
        <v>1</v>
      </c>
      <c r="E648" s="36">
        <v>25.8126</v>
      </c>
      <c r="F648" s="36">
        <f t="shared" si="140"/>
        <v>25.8126</v>
      </c>
      <c r="G648" s="37">
        <f t="shared" si="141"/>
        <v>0</v>
      </c>
      <c r="H648" s="38">
        <f t="shared" si="142"/>
        <v>0</v>
      </c>
      <c r="I648" s="37">
        <f t="shared" si="143"/>
        <v>0</v>
      </c>
      <c r="J648" s="38">
        <v>0</v>
      </c>
      <c r="K648" s="37">
        <f t="shared" si="144"/>
        <v>0</v>
      </c>
      <c r="L648" s="38">
        <v>0</v>
      </c>
    </row>
    <row r="649" spans="1:12" s="39" customFormat="1" ht="15.45" customHeight="1" outlineLevel="1" x14ac:dyDescent="0.25">
      <c r="A649" s="33">
        <v>9</v>
      </c>
      <c r="B649" s="34" t="s">
        <v>510</v>
      </c>
      <c r="C649" s="35" t="s">
        <v>55</v>
      </c>
      <c r="D649" s="36">
        <v>5</v>
      </c>
      <c r="E649" s="36">
        <v>22.5</v>
      </c>
      <c r="F649" s="36">
        <f t="shared" si="140"/>
        <v>112.5</v>
      </c>
      <c r="G649" s="37">
        <f t="shared" si="141"/>
        <v>0</v>
      </c>
      <c r="H649" s="38">
        <f t="shared" si="142"/>
        <v>0</v>
      </c>
      <c r="I649" s="37">
        <f t="shared" si="143"/>
        <v>0</v>
      </c>
      <c r="J649" s="38">
        <v>0</v>
      </c>
      <c r="K649" s="37">
        <f t="shared" si="144"/>
        <v>0</v>
      </c>
      <c r="L649" s="38">
        <v>0</v>
      </c>
    </row>
    <row r="650" spans="1:12" s="39" customFormat="1" ht="15.45" customHeight="1" outlineLevel="1" x14ac:dyDescent="0.25">
      <c r="A650" s="33">
        <v>10</v>
      </c>
      <c r="B650" s="34" t="s">
        <v>511</v>
      </c>
      <c r="C650" s="35" t="s">
        <v>55</v>
      </c>
      <c r="D650" s="36">
        <v>2</v>
      </c>
      <c r="E650" s="36">
        <v>21.79</v>
      </c>
      <c r="F650" s="36">
        <f t="shared" si="140"/>
        <v>43.58</v>
      </c>
      <c r="G650" s="37">
        <f t="shared" si="141"/>
        <v>0</v>
      </c>
      <c r="H650" s="38">
        <f t="shared" si="142"/>
        <v>0</v>
      </c>
      <c r="I650" s="37">
        <f t="shared" si="143"/>
        <v>0</v>
      </c>
      <c r="J650" s="38">
        <v>0</v>
      </c>
      <c r="K650" s="37">
        <f t="shared" si="144"/>
        <v>0</v>
      </c>
      <c r="L650" s="38">
        <v>0</v>
      </c>
    </row>
    <row r="651" spans="1:12" s="39" customFormat="1" ht="15.45" customHeight="1" outlineLevel="1" x14ac:dyDescent="0.25">
      <c r="A651" s="33">
        <v>11</v>
      </c>
      <c r="B651" s="34" t="s">
        <v>512</v>
      </c>
      <c r="C651" s="35" t="s">
        <v>55</v>
      </c>
      <c r="D651" s="36">
        <v>1</v>
      </c>
      <c r="E651" s="36">
        <v>21.498000000000001</v>
      </c>
      <c r="F651" s="36">
        <f t="shared" si="140"/>
        <v>21.498000000000001</v>
      </c>
      <c r="G651" s="37">
        <f t="shared" si="141"/>
        <v>0</v>
      </c>
      <c r="H651" s="38">
        <f t="shared" si="142"/>
        <v>0</v>
      </c>
      <c r="I651" s="37">
        <f t="shared" si="143"/>
        <v>0</v>
      </c>
      <c r="J651" s="38">
        <v>0</v>
      </c>
      <c r="K651" s="37">
        <f t="shared" si="144"/>
        <v>0</v>
      </c>
      <c r="L651" s="38">
        <v>0</v>
      </c>
    </row>
    <row r="652" spans="1:12" s="39" customFormat="1" ht="15.45" customHeight="1" outlineLevel="1" x14ac:dyDescent="0.25">
      <c r="A652" s="33">
        <v>12</v>
      </c>
      <c r="B652" s="34" t="s">
        <v>513</v>
      </c>
      <c r="C652" s="35" t="s">
        <v>55</v>
      </c>
      <c r="D652" s="36">
        <v>16</v>
      </c>
      <c r="E652" s="36">
        <v>13.8704</v>
      </c>
      <c r="F652" s="36">
        <f t="shared" si="140"/>
        <v>221.9264</v>
      </c>
      <c r="G652" s="37">
        <f t="shared" si="141"/>
        <v>0</v>
      </c>
      <c r="H652" s="38">
        <f t="shared" si="142"/>
        <v>0</v>
      </c>
      <c r="I652" s="37">
        <f t="shared" si="143"/>
        <v>0</v>
      </c>
      <c r="J652" s="38">
        <v>0</v>
      </c>
      <c r="K652" s="37">
        <f t="shared" si="144"/>
        <v>0</v>
      </c>
      <c r="L652" s="38">
        <v>0</v>
      </c>
    </row>
    <row r="653" spans="1:12" s="39" customFormat="1" ht="15.45" customHeight="1" outlineLevel="1" x14ac:dyDescent="0.25">
      <c r="A653" s="33">
        <v>13</v>
      </c>
      <c r="B653" s="34" t="s">
        <v>514</v>
      </c>
      <c r="C653" s="35" t="s">
        <v>55</v>
      </c>
      <c r="D653" s="36">
        <v>1</v>
      </c>
      <c r="E653" s="36">
        <v>438.2</v>
      </c>
      <c r="F653" s="36">
        <f t="shared" si="140"/>
        <v>438.2</v>
      </c>
      <c r="G653" s="37">
        <f t="shared" si="141"/>
        <v>0</v>
      </c>
      <c r="H653" s="38">
        <f t="shared" si="142"/>
        <v>0</v>
      </c>
      <c r="I653" s="37">
        <f t="shared" si="143"/>
        <v>0</v>
      </c>
      <c r="J653" s="38">
        <v>0</v>
      </c>
      <c r="K653" s="37">
        <f t="shared" si="144"/>
        <v>0</v>
      </c>
      <c r="L653" s="38">
        <v>0</v>
      </c>
    </row>
    <row r="654" spans="1:12" s="45" customFormat="1" ht="15.45" customHeight="1" x14ac:dyDescent="0.3">
      <c r="A654" s="33">
        <v>14</v>
      </c>
      <c r="B654" s="34" t="s">
        <v>515</v>
      </c>
      <c r="C654" s="35" t="s">
        <v>55</v>
      </c>
      <c r="D654" s="36">
        <v>1</v>
      </c>
      <c r="E654" s="36">
        <v>37.358199999999997</v>
      </c>
      <c r="F654" s="36">
        <f t="shared" si="140"/>
        <v>37.358199999999997</v>
      </c>
      <c r="G654" s="37">
        <f t="shared" si="141"/>
        <v>0</v>
      </c>
      <c r="H654" s="38">
        <f t="shared" si="142"/>
        <v>0</v>
      </c>
      <c r="I654" s="37">
        <f t="shared" si="143"/>
        <v>0</v>
      </c>
      <c r="J654" s="38">
        <v>0</v>
      </c>
      <c r="K654" s="37">
        <f t="shared" si="144"/>
        <v>0</v>
      </c>
      <c r="L654" s="38">
        <v>0</v>
      </c>
    </row>
    <row r="655" spans="1:12" s="39" customFormat="1" ht="43.5" customHeight="1" outlineLevel="1" x14ac:dyDescent="0.25">
      <c r="A655" s="33">
        <v>15</v>
      </c>
      <c r="B655" s="34" t="s">
        <v>516</v>
      </c>
      <c r="C655" s="35" t="s">
        <v>55</v>
      </c>
      <c r="D655" s="36">
        <v>3</v>
      </c>
      <c r="E655" s="36">
        <v>24.017400000000009</v>
      </c>
      <c r="F655" s="36">
        <f t="shared" si="140"/>
        <v>72.052200000000028</v>
      </c>
      <c r="G655" s="37">
        <f t="shared" si="141"/>
        <v>0</v>
      </c>
      <c r="H655" s="38">
        <f t="shared" si="142"/>
        <v>0</v>
      </c>
      <c r="I655" s="37">
        <f t="shared" si="143"/>
        <v>0</v>
      </c>
      <c r="J655" s="38">
        <v>0</v>
      </c>
      <c r="K655" s="37">
        <f t="shared" si="144"/>
        <v>0</v>
      </c>
      <c r="L655" s="38">
        <v>0</v>
      </c>
    </row>
    <row r="656" spans="1:12" s="39" customFormat="1" ht="15.45" customHeight="1" outlineLevel="1" x14ac:dyDescent="0.25">
      <c r="A656" s="33">
        <v>16</v>
      </c>
      <c r="B656" s="34" t="s">
        <v>517</v>
      </c>
      <c r="C656" s="35" t="s">
        <v>55</v>
      </c>
      <c r="D656" s="36">
        <v>3</v>
      </c>
      <c r="E656" s="36">
        <v>37.445</v>
      </c>
      <c r="F656" s="36">
        <f t="shared" si="140"/>
        <v>112.33500000000001</v>
      </c>
      <c r="G656" s="37">
        <f t="shared" si="141"/>
        <v>0</v>
      </c>
      <c r="H656" s="38">
        <f t="shared" si="142"/>
        <v>0</v>
      </c>
      <c r="I656" s="37">
        <f t="shared" si="143"/>
        <v>0</v>
      </c>
      <c r="J656" s="38">
        <v>0</v>
      </c>
      <c r="K656" s="37">
        <f t="shared" si="144"/>
        <v>0</v>
      </c>
      <c r="L656" s="38">
        <v>0</v>
      </c>
    </row>
    <row r="657" spans="1:12" s="39" customFormat="1" ht="28.95" customHeight="1" outlineLevel="1" x14ac:dyDescent="0.25">
      <c r="A657" s="33">
        <v>17</v>
      </c>
      <c r="B657" s="34" t="s">
        <v>518</v>
      </c>
      <c r="C657" s="35" t="s">
        <v>55</v>
      </c>
      <c r="D657" s="36">
        <v>1</v>
      </c>
      <c r="E657" s="36">
        <v>21.79</v>
      </c>
      <c r="F657" s="36">
        <f t="shared" si="140"/>
        <v>21.79</v>
      </c>
      <c r="G657" s="37">
        <f t="shared" si="141"/>
        <v>0</v>
      </c>
      <c r="H657" s="38">
        <f t="shared" si="142"/>
        <v>0</v>
      </c>
      <c r="I657" s="37">
        <f t="shared" si="143"/>
        <v>0</v>
      </c>
      <c r="J657" s="38">
        <v>0</v>
      </c>
      <c r="K657" s="37">
        <f t="shared" si="144"/>
        <v>0</v>
      </c>
      <c r="L657" s="38">
        <v>0</v>
      </c>
    </row>
    <row r="658" spans="1:12" s="39" customFormat="1" ht="43.5" customHeight="1" outlineLevel="1" x14ac:dyDescent="0.25">
      <c r="A658" s="33">
        <v>18</v>
      </c>
      <c r="B658" s="34" t="s">
        <v>519</v>
      </c>
      <c r="C658" s="35" t="s">
        <v>55</v>
      </c>
      <c r="D658" s="36">
        <v>1</v>
      </c>
      <c r="E658" s="36">
        <v>28.231999999999999</v>
      </c>
      <c r="F658" s="36">
        <f t="shared" si="140"/>
        <v>28.231999999999999</v>
      </c>
      <c r="G658" s="37">
        <f t="shared" si="141"/>
        <v>0</v>
      </c>
      <c r="H658" s="38">
        <f t="shared" si="142"/>
        <v>0</v>
      </c>
      <c r="I658" s="37">
        <f t="shared" si="143"/>
        <v>0</v>
      </c>
      <c r="J658" s="38">
        <v>0</v>
      </c>
      <c r="K658" s="37">
        <f t="shared" si="144"/>
        <v>0</v>
      </c>
      <c r="L658" s="38">
        <v>0</v>
      </c>
    </row>
    <row r="659" spans="1:12" s="39" customFormat="1" ht="28.95" customHeight="1" outlineLevel="1" x14ac:dyDescent="0.25">
      <c r="A659" s="33">
        <v>19</v>
      </c>
      <c r="B659" s="34" t="s">
        <v>520</v>
      </c>
      <c r="C659" s="35" t="s">
        <v>55</v>
      </c>
      <c r="D659" s="36">
        <v>1</v>
      </c>
      <c r="E659" s="36">
        <v>24.017400000000009</v>
      </c>
      <c r="F659" s="36">
        <f t="shared" si="140"/>
        <v>24.017400000000009</v>
      </c>
      <c r="G659" s="37">
        <f t="shared" si="141"/>
        <v>0</v>
      </c>
      <c r="H659" s="38">
        <f t="shared" si="142"/>
        <v>0</v>
      </c>
      <c r="I659" s="37">
        <f t="shared" si="143"/>
        <v>0</v>
      </c>
      <c r="J659" s="38">
        <v>0</v>
      </c>
      <c r="K659" s="37">
        <f t="shared" si="144"/>
        <v>0</v>
      </c>
      <c r="L659" s="38">
        <v>0</v>
      </c>
    </row>
    <row r="660" spans="1:12" s="39" customFormat="1" ht="28.95" customHeight="1" outlineLevel="1" x14ac:dyDescent="0.25">
      <c r="A660" s="33">
        <v>20</v>
      </c>
      <c r="B660" s="34" t="s">
        <v>521</v>
      </c>
      <c r="C660" s="35" t="s">
        <v>55</v>
      </c>
      <c r="D660" s="36">
        <v>1</v>
      </c>
      <c r="E660" s="36">
        <v>19.97</v>
      </c>
      <c r="F660" s="36">
        <f t="shared" si="140"/>
        <v>19.97</v>
      </c>
      <c r="G660" s="37">
        <f t="shared" si="141"/>
        <v>0</v>
      </c>
      <c r="H660" s="38">
        <f t="shared" si="142"/>
        <v>0</v>
      </c>
      <c r="I660" s="37">
        <f t="shared" si="143"/>
        <v>0</v>
      </c>
      <c r="J660" s="38">
        <v>0</v>
      </c>
      <c r="K660" s="37">
        <f t="shared" si="144"/>
        <v>0</v>
      </c>
      <c r="L660" s="38">
        <v>0</v>
      </c>
    </row>
    <row r="661" spans="1:12" s="39" customFormat="1" ht="15.45" customHeight="1" outlineLevel="1" x14ac:dyDescent="0.25">
      <c r="A661" s="33">
        <v>21</v>
      </c>
      <c r="B661" s="34" t="s">
        <v>508</v>
      </c>
      <c r="C661" s="35" t="s">
        <v>55</v>
      </c>
      <c r="D661" s="36">
        <v>1</v>
      </c>
      <c r="E661" s="36">
        <v>5.3921999999999999</v>
      </c>
      <c r="F661" s="36">
        <f t="shared" si="140"/>
        <v>5.3921999999999999</v>
      </c>
      <c r="G661" s="37">
        <f t="shared" si="141"/>
        <v>0</v>
      </c>
      <c r="H661" s="38">
        <f t="shared" si="142"/>
        <v>0</v>
      </c>
      <c r="I661" s="37">
        <f t="shared" si="143"/>
        <v>0</v>
      </c>
      <c r="J661" s="38">
        <v>0</v>
      </c>
      <c r="K661" s="37">
        <f t="shared" si="144"/>
        <v>0</v>
      </c>
      <c r="L661" s="38">
        <v>0</v>
      </c>
    </row>
    <row r="662" spans="1:12" s="39" customFormat="1" ht="15.45" customHeight="1" outlineLevel="1" x14ac:dyDescent="0.25">
      <c r="A662" s="33">
        <v>22</v>
      </c>
      <c r="B662" s="34" t="s">
        <v>522</v>
      </c>
      <c r="C662" s="35" t="s">
        <v>55</v>
      </c>
      <c r="D662" s="36">
        <v>1</v>
      </c>
      <c r="E662" s="36">
        <v>5.3921999999999999</v>
      </c>
      <c r="F662" s="36">
        <f t="shared" si="140"/>
        <v>5.3921999999999999</v>
      </c>
      <c r="G662" s="37">
        <f t="shared" si="141"/>
        <v>0</v>
      </c>
      <c r="H662" s="38">
        <f t="shared" si="142"/>
        <v>0</v>
      </c>
      <c r="I662" s="37">
        <f t="shared" si="143"/>
        <v>0</v>
      </c>
      <c r="J662" s="38">
        <v>0</v>
      </c>
      <c r="K662" s="37">
        <f t="shared" si="144"/>
        <v>0</v>
      </c>
      <c r="L662" s="38">
        <v>0</v>
      </c>
    </row>
    <row r="663" spans="1:12" s="39" customFormat="1" ht="15.45" customHeight="1" outlineLevel="1" x14ac:dyDescent="0.25">
      <c r="A663" s="33">
        <v>23</v>
      </c>
      <c r="B663" s="34" t="s">
        <v>510</v>
      </c>
      <c r="C663" s="35" t="s">
        <v>55</v>
      </c>
      <c r="D663" s="36">
        <v>3</v>
      </c>
      <c r="E663" s="36">
        <v>25.8126</v>
      </c>
      <c r="F663" s="36">
        <f t="shared" si="140"/>
        <v>77.437799999999996</v>
      </c>
      <c r="G663" s="37">
        <f t="shared" si="141"/>
        <v>0</v>
      </c>
      <c r="H663" s="38">
        <f t="shared" si="142"/>
        <v>0</v>
      </c>
      <c r="I663" s="37">
        <f t="shared" si="143"/>
        <v>0</v>
      </c>
      <c r="J663" s="38">
        <v>0</v>
      </c>
      <c r="K663" s="37">
        <f t="shared" si="144"/>
        <v>0</v>
      </c>
      <c r="L663" s="38">
        <v>0</v>
      </c>
    </row>
    <row r="664" spans="1:12" s="39" customFormat="1" ht="15.45" customHeight="1" outlineLevel="1" x14ac:dyDescent="0.25">
      <c r="A664" s="33">
        <v>24</v>
      </c>
      <c r="B664" s="34" t="s">
        <v>511</v>
      </c>
      <c r="C664" s="35" t="s">
        <v>55</v>
      </c>
      <c r="D664" s="36">
        <v>1</v>
      </c>
      <c r="E664" s="36">
        <v>21.498000000000001</v>
      </c>
      <c r="F664" s="36">
        <f t="shared" si="140"/>
        <v>21.498000000000001</v>
      </c>
      <c r="G664" s="37">
        <f t="shared" si="141"/>
        <v>0</v>
      </c>
      <c r="H664" s="38">
        <f t="shared" si="142"/>
        <v>0</v>
      </c>
      <c r="I664" s="37">
        <f t="shared" si="143"/>
        <v>0</v>
      </c>
      <c r="J664" s="38">
        <v>0</v>
      </c>
      <c r="K664" s="37">
        <f t="shared" si="144"/>
        <v>0</v>
      </c>
      <c r="L664" s="38">
        <v>0</v>
      </c>
    </row>
    <row r="665" spans="1:12" s="39" customFormat="1" ht="15.45" customHeight="1" outlineLevel="1" x14ac:dyDescent="0.25">
      <c r="A665" s="33">
        <v>25</v>
      </c>
      <c r="B665" s="34" t="s">
        <v>523</v>
      </c>
      <c r="C665" s="35" t="s">
        <v>55</v>
      </c>
      <c r="D665" s="36">
        <v>1</v>
      </c>
      <c r="E665" s="36">
        <v>5.3411999999999988</v>
      </c>
      <c r="F665" s="36">
        <f t="shared" si="140"/>
        <v>5.3411999999999988</v>
      </c>
      <c r="G665" s="37">
        <f t="shared" si="141"/>
        <v>0</v>
      </c>
      <c r="H665" s="38">
        <f t="shared" si="142"/>
        <v>0</v>
      </c>
      <c r="I665" s="37">
        <f t="shared" si="143"/>
        <v>0</v>
      </c>
      <c r="J665" s="38">
        <v>0</v>
      </c>
      <c r="K665" s="37">
        <f t="shared" si="144"/>
        <v>0</v>
      </c>
      <c r="L665" s="38">
        <v>0</v>
      </c>
    </row>
    <row r="666" spans="1:12" s="39" customFormat="1" ht="15.45" customHeight="1" outlineLevel="1" x14ac:dyDescent="0.25">
      <c r="A666" s="33">
        <v>26</v>
      </c>
      <c r="B666" s="34" t="s">
        <v>513</v>
      </c>
      <c r="C666" s="35" t="s">
        <v>55</v>
      </c>
      <c r="D666" s="36">
        <v>7</v>
      </c>
      <c r="E666" s="36">
        <v>12.656599999999999</v>
      </c>
      <c r="F666" s="36">
        <f t="shared" si="140"/>
        <v>88.596199999999996</v>
      </c>
      <c r="G666" s="37">
        <f t="shared" si="141"/>
        <v>0</v>
      </c>
      <c r="H666" s="38">
        <f t="shared" si="142"/>
        <v>0</v>
      </c>
      <c r="I666" s="37">
        <f t="shared" si="143"/>
        <v>0</v>
      </c>
      <c r="J666" s="38">
        <v>0</v>
      </c>
      <c r="K666" s="37">
        <f t="shared" si="144"/>
        <v>0</v>
      </c>
      <c r="L666" s="38">
        <v>0</v>
      </c>
    </row>
    <row r="667" spans="1:12" s="39" customFormat="1" ht="28.95" customHeight="1" outlineLevel="1" x14ac:dyDescent="0.25">
      <c r="A667" s="33">
        <v>27</v>
      </c>
      <c r="B667" s="34" t="s">
        <v>524</v>
      </c>
      <c r="C667" s="35" t="s">
        <v>55</v>
      </c>
      <c r="D667" s="36">
        <v>1</v>
      </c>
      <c r="E667" s="36">
        <v>5.3921999999999999</v>
      </c>
      <c r="F667" s="36">
        <f t="shared" si="140"/>
        <v>5.3921999999999999</v>
      </c>
      <c r="G667" s="37">
        <f t="shared" si="141"/>
        <v>0</v>
      </c>
      <c r="H667" s="38">
        <f t="shared" si="142"/>
        <v>0</v>
      </c>
      <c r="I667" s="37">
        <f t="shared" si="143"/>
        <v>0</v>
      </c>
      <c r="J667" s="38">
        <v>0</v>
      </c>
      <c r="K667" s="37">
        <f t="shared" si="144"/>
        <v>0</v>
      </c>
      <c r="L667" s="38">
        <v>0</v>
      </c>
    </row>
    <row r="668" spans="1:12" s="39" customFormat="1" ht="28.95" customHeight="1" outlineLevel="1" x14ac:dyDescent="0.25">
      <c r="A668" s="33">
        <v>28</v>
      </c>
      <c r="B668" s="34" t="s">
        <v>525</v>
      </c>
      <c r="C668" s="35" t="s">
        <v>55</v>
      </c>
      <c r="D668" s="36">
        <v>1</v>
      </c>
      <c r="E668" s="36">
        <v>51.031200000000013</v>
      </c>
      <c r="F668" s="36">
        <f t="shared" si="140"/>
        <v>51.031200000000013</v>
      </c>
      <c r="G668" s="37">
        <f t="shared" si="141"/>
        <v>0</v>
      </c>
      <c r="H668" s="38">
        <f t="shared" si="142"/>
        <v>0</v>
      </c>
      <c r="I668" s="37">
        <f t="shared" si="143"/>
        <v>0</v>
      </c>
      <c r="J668" s="38">
        <v>0</v>
      </c>
      <c r="K668" s="37">
        <f t="shared" si="144"/>
        <v>0</v>
      </c>
      <c r="L668" s="38">
        <v>0</v>
      </c>
    </row>
    <row r="669" spans="1:12" s="39" customFormat="1" ht="28.95" customHeight="1" outlineLevel="1" x14ac:dyDescent="0.25">
      <c r="A669" s="33">
        <v>29</v>
      </c>
      <c r="B669" s="34" t="s">
        <v>526</v>
      </c>
      <c r="C669" s="35" t="s">
        <v>55</v>
      </c>
      <c r="D669" s="36">
        <v>1</v>
      </c>
      <c r="E669" s="36">
        <v>21.498000000000001</v>
      </c>
      <c r="F669" s="36">
        <f t="shared" si="140"/>
        <v>21.498000000000001</v>
      </c>
      <c r="G669" s="37">
        <f t="shared" si="141"/>
        <v>0</v>
      </c>
      <c r="H669" s="38">
        <f t="shared" si="142"/>
        <v>0</v>
      </c>
      <c r="I669" s="37">
        <f t="shared" si="143"/>
        <v>0</v>
      </c>
      <c r="J669" s="38">
        <v>0</v>
      </c>
      <c r="K669" s="37">
        <f t="shared" si="144"/>
        <v>0</v>
      </c>
      <c r="L669" s="38">
        <v>0</v>
      </c>
    </row>
    <row r="670" spans="1:12" s="39" customFormat="1" ht="28.95" customHeight="1" outlineLevel="1" x14ac:dyDescent="0.25">
      <c r="A670" s="33">
        <v>30</v>
      </c>
      <c r="B670" s="34" t="s">
        <v>521</v>
      </c>
      <c r="C670" s="35" t="s">
        <v>55</v>
      </c>
      <c r="D670" s="36">
        <v>1</v>
      </c>
      <c r="E670" s="36">
        <v>19.97</v>
      </c>
      <c r="F670" s="36">
        <f t="shared" si="140"/>
        <v>19.97</v>
      </c>
      <c r="G670" s="37">
        <f t="shared" si="141"/>
        <v>0</v>
      </c>
      <c r="H670" s="38">
        <f t="shared" si="142"/>
        <v>0</v>
      </c>
      <c r="I670" s="37">
        <f t="shared" si="143"/>
        <v>0</v>
      </c>
      <c r="J670" s="38">
        <v>0</v>
      </c>
      <c r="K670" s="37">
        <f t="shared" si="144"/>
        <v>0</v>
      </c>
      <c r="L670" s="38">
        <v>0</v>
      </c>
    </row>
    <row r="671" spans="1:12" s="39" customFormat="1" ht="15.45" customHeight="1" outlineLevel="1" x14ac:dyDescent="0.25">
      <c r="A671" s="33">
        <v>31</v>
      </c>
      <c r="B671" s="34" t="s">
        <v>522</v>
      </c>
      <c r="C671" s="35" t="s">
        <v>55</v>
      </c>
      <c r="D671" s="36">
        <v>1</v>
      </c>
      <c r="E671" s="36">
        <v>5.3411999999999988</v>
      </c>
      <c r="F671" s="36">
        <f t="shared" si="140"/>
        <v>5.3411999999999988</v>
      </c>
      <c r="G671" s="37">
        <f t="shared" si="141"/>
        <v>0</v>
      </c>
      <c r="H671" s="38">
        <f t="shared" si="142"/>
        <v>0</v>
      </c>
      <c r="I671" s="37">
        <f t="shared" si="143"/>
        <v>0</v>
      </c>
      <c r="J671" s="38">
        <v>0</v>
      </c>
      <c r="K671" s="37">
        <f t="shared" si="144"/>
        <v>0</v>
      </c>
      <c r="L671" s="38">
        <v>0</v>
      </c>
    </row>
    <row r="672" spans="1:12" s="39" customFormat="1" ht="15.45" customHeight="1" outlineLevel="1" x14ac:dyDescent="0.25">
      <c r="A672" s="33">
        <v>32</v>
      </c>
      <c r="B672" s="34" t="s">
        <v>527</v>
      </c>
      <c r="C672" s="35" t="s">
        <v>55</v>
      </c>
      <c r="D672" s="36">
        <v>1</v>
      </c>
      <c r="E672" s="36">
        <v>5.3921999999999999</v>
      </c>
      <c r="F672" s="36">
        <f t="shared" si="140"/>
        <v>5.3921999999999999</v>
      </c>
      <c r="G672" s="37">
        <f t="shared" si="141"/>
        <v>0</v>
      </c>
      <c r="H672" s="38">
        <f t="shared" si="142"/>
        <v>0</v>
      </c>
      <c r="I672" s="37">
        <f t="shared" si="143"/>
        <v>0</v>
      </c>
      <c r="J672" s="38">
        <v>0</v>
      </c>
      <c r="K672" s="37">
        <f t="shared" si="144"/>
        <v>0</v>
      </c>
      <c r="L672" s="38">
        <v>0</v>
      </c>
    </row>
    <row r="673" spans="1:12" s="39" customFormat="1" ht="15.45" customHeight="1" outlineLevel="1" x14ac:dyDescent="0.25">
      <c r="A673" s="33">
        <v>33</v>
      </c>
      <c r="B673" s="34" t="s">
        <v>528</v>
      </c>
      <c r="C673" s="35" t="s">
        <v>55</v>
      </c>
      <c r="D673" s="36">
        <v>7</v>
      </c>
      <c r="E673" s="36">
        <v>5.3921999999999999</v>
      </c>
      <c r="F673" s="36">
        <f t="shared" ref="F673:F704" si="145">+E673*D673</f>
        <v>37.745399999999997</v>
      </c>
      <c r="G673" s="37">
        <f t="shared" ref="G673:G704" si="146">I673+K673</f>
        <v>0</v>
      </c>
      <c r="H673" s="38">
        <f t="shared" ref="H673:H704" si="147">J673+L673</f>
        <v>0</v>
      </c>
      <c r="I673" s="37">
        <f t="shared" ref="I673:I704" si="148">J673/F673</f>
        <v>0</v>
      </c>
      <c r="J673" s="38">
        <v>0</v>
      </c>
      <c r="K673" s="37">
        <f t="shared" ref="K673:K704" si="149">L673/F673</f>
        <v>0</v>
      </c>
      <c r="L673" s="38">
        <v>0</v>
      </c>
    </row>
    <row r="674" spans="1:12" s="39" customFormat="1" ht="15.45" customHeight="1" outlineLevel="1" x14ac:dyDescent="0.25">
      <c r="A674" s="33">
        <v>34</v>
      </c>
      <c r="B674" s="34" t="s">
        <v>523</v>
      </c>
      <c r="C674" s="35" t="s">
        <v>55</v>
      </c>
      <c r="D674" s="36">
        <v>6</v>
      </c>
      <c r="E674" s="36">
        <v>133.85</v>
      </c>
      <c r="F674" s="36">
        <f t="shared" si="145"/>
        <v>803.09999999999991</v>
      </c>
      <c r="G674" s="37">
        <f t="shared" si="146"/>
        <v>0</v>
      </c>
      <c r="H674" s="38">
        <f t="shared" si="147"/>
        <v>0</v>
      </c>
      <c r="I674" s="37">
        <f t="shared" si="148"/>
        <v>0</v>
      </c>
      <c r="J674" s="38">
        <v>0</v>
      </c>
      <c r="K674" s="37">
        <f t="shared" si="149"/>
        <v>0</v>
      </c>
      <c r="L674" s="38">
        <v>0</v>
      </c>
    </row>
    <row r="675" spans="1:12" s="39" customFormat="1" ht="15.45" customHeight="1" outlineLevel="1" x14ac:dyDescent="0.25">
      <c r="A675" s="33">
        <v>35</v>
      </c>
      <c r="B675" s="34" t="s">
        <v>513</v>
      </c>
      <c r="C675" s="35" t="s">
        <v>55</v>
      </c>
      <c r="D675" s="36">
        <v>15</v>
      </c>
      <c r="E675" s="36">
        <v>28.7624</v>
      </c>
      <c r="F675" s="36">
        <f t="shared" si="145"/>
        <v>431.43599999999998</v>
      </c>
      <c r="G675" s="37">
        <f t="shared" si="146"/>
        <v>0</v>
      </c>
      <c r="H675" s="38">
        <f t="shared" si="147"/>
        <v>0</v>
      </c>
      <c r="I675" s="37">
        <f t="shared" si="148"/>
        <v>0</v>
      </c>
      <c r="J675" s="38">
        <v>0</v>
      </c>
      <c r="K675" s="37">
        <f t="shared" si="149"/>
        <v>0</v>
      </c>
      <c r="L675" s="38">
        <v>0</v>
      </c>
    </row>
    <row r="676" spans="1:12" s="39" customFormat="1" ht="28.95" customHeight="1" outlineLevel="1" x14ac:dyDescent="0.25">
      <c r="A676" s="33">
        <v>36</v>
      </c>
      <c r="B676" s="34" t="s">
        <v>529</v>
      </c>
      <c r="C676" s="35" t="s">
        <v>55</v>
      </c>
      <c r="D676" s="36">
        <v>1</v>
      </c>
      <c r="E676" s="36">
        <v>5.3411999999999988</v>
      </c>
      <c r="F676" s="36">
        <f t="shared" si="145"/>
        <v>5.3411999999999988</v>
      </c>
      <c r="G676" s="37">
        <f t="shared" si="146"/>
        <v>0</v>
      </c>
      <c r="H676" s="38">
        <f t="shared" si="147"/>
        <v>0</v>
      </c>
      <c r="I676" s="37">
        <f t="shared" si="148"/>
        <v>0</v>
      </c>
      <c r="J676" s="38">
        <v>0</v>
      </c>
      <c r="K676" s="37">
        <f t="shared" si="149"/>
        <v>0</v>
      </c>
      <c r="L676" s="38">
        <v>0</v>
      </c>
    </row>
    <row r="677" spans="1:12" s="45" customFormat="1" ht="28.95" customHeight="1" x14ac:dyDescent="0.3">
      <c r="A677" s="33">
        <v>37</v>
      </c>
      <c r="B677" s="34" t="s">
        <v>521</v>
      </c>
      <c r="C677" s="35" t="s">
        <v>55</v>
      </c>
      <c r="D677" s="36">
        <v>1</v>
      </c>
      <c r="E677" s="36">
        <v>19.97</v>
      </c>
      <c r="F677" s="36">
        <f t="shared" si="145"/>
        <v>19.97</v>
      </c>
      <c r="G677" s="37">
        <f t="shared" si="146"/>
        <v>0</v>
      </c>
      <c r="H677" s="38">
        <f t="shared" si="147"/>
        <v>0</v>
      </c>
      <c r="I677" s="37">
        <f t="shared" si="148"/>
        <v>0</v>
      </c>
      <c r="J677" s="38">
        <v>0</v>
      </c>
      <c r="K677" s="37">
        <f t="shared" si="149"/>
        <v>0</v>
      </c>
      <c r="L677" s="38">
        <v>0</v>
      </c>
    </row>
    <row r="678" spans="1:12" s="39" customFormat="1" ht="15.45" customHeight="1" outlineLevel="1" x14ac:dyDescent="0.25">
      <c r="A678" s="33">
        <v>38</v>
      </c>
      <c r="B678" s="34" t="s">
        <v>509</v>
      </c>
      <c r="C678" s="35" t="s">
        <v>55</v>
      </c>
      <c r="D678" s="36">
        <v>1</v>
      </c>
      <c r="E678" s="36">
        <v>5.3921999999999999</v>
      </c>
      <c r="F678" s="36">
        <f t="shared" si="145"/>
        <v>5.3921999999999999</v>
      </c>
      <c r="G678" s="37">
        <f t="shared" si="146"/>
        <v>0</v>
      </c>
      <c r="H678" s="38">
        <f t="shared" si="147"/>
        <v>0</v>
      </c>
      <c r="I678" s="37">
        <f t="shared" si="148"/>
        <v>0</v>
      </c>
      <c r="J678" s="38">
        <v>0</v>
      </c>
      <c r="K678" s="37">
        <f t="shared" si="149"/>
        <v>0</v>
      </c>
      <c r="L678" s="38">
        <v>0</v>
      </c>
    </row>
    <row r="679" spans="1:12" s="39" customFormat="1" ht="15.45" customHeight="1" outlineLevel="1" x14ac:dyDescent="0.25">
      <c r="A679" s="33">
        <v>39</v>
      </c>
      <c r="B679" s="34" t="s">
        <v>530</v>
      </c>
      <c r="C679" s="35" t="s">
        <v>55</v>
      </c>
      <c r="D679" s="36">
        <v>2</v>
      </c>
      <c r="E679" s="36">
        <v>5.3921999999999999</v>
      </c>
      <c r="F679" s="36">
        <f t="shared" si="145"/>
        <v>10.7844</v>
      </c>
      <c r="G679" s="37">
        <f t="shared" si="146"/>
        <v>0</v>
      </c>
      <c r="H679" s="38">
        <f t="shared" si="147"/>
        <v>0</v>
      </c>
      <c r="I679" s="37">
        <f t="shared" si="148"/>
        <v>0</v>
      </c>
      <c r="J679" s="38">
        <v>0</v>
      </c>
      <c r="K679" s="37">
        <f t="shared" si="149"/>
        <v>0</v>
      </c>
      <c r="L679" s="38">
        <v>0</v>
      </c>
    </row>
    <row r="680" spans="1:12" s="39" customFormat="1" ht="15.45" customHeight="1" outlineLevel="1" x14ac:dyDescent="0.25">
      <c r="A680" s="33">
        <v>40</v>
      </c>
      <c r="B680" s="34" t="s">
        <v>527</v>
      </c>
      <c r="C680" s="35" t="s">
        <v>55</v>
      </c>
      <c r="D680" s="36">
        <v>1</v>
      </c>
      <c r="E680" s="36">
        <v>21.79</v>
      </c>
      <c r="F680" s="36">
        <f t="shared" si="145"/>
        <v>21.79</v>
      </c>
      <c r="G680" s="37">
        <f t="shared" si="146"/>
        <v>0</v>
      </c>
      <c r="H680" s="38">
        <f t="shared" si="147"/>
        <v>0</v>
      </c>
      <c r="I680" s="37">
        <f t="shared" si="148"/>
        <v>0</v>
      </c>
      <c r="J680" s="38">
        <v>0</v>
      </c>
      <c r="K680" s="37">
        <f t="shared" si="149"/>
        <v>0</v>
      </c>
      <c r="L680" s="38">
        <v>0</v>
      </c>
    </row>
    <row r="681" spans="1:12" s="39" customFormat="1" ht="15.45" customHeight="1" outlineLevel="1" x14ac:dyDescent="0.25">
      <c r="A681" s="33">
        <v>41</v>
      </c>
      <c r="B681" s="34" t="s">
        <v>528</v>
      </c>
      <c r="C681" s="35" t="s">
        <v>55</v>
      </c>
      <c r="D681" s="36">
        <v>12</v>
      </c>
      <c r="E681" s="36">
        <v>21.498000000000001</v>
      </c>
      <c r="F681" s="36">
        <f t="shared" si="145"/>
        <v>257.976</v>
      </c>
      <c r="G681" s="37">
        <f t="shared" si="146"/>
        <v>0</v>
      </c>
      <c r="H681" s="38">
        <f t="shared" si="147"/>
        <v>0</v>
      </c>
      <c r="I681" s="37">
        <f t="shared" si="148"/>
        <v>0</v>
      </c>
      <c r="J681" s="38">
        <v>0</v>
      </c>
      <c r="K681" s="37">
        <f t="shared" si="149"/>
        <v>0</v>
      </c>
      <c r="L681" s="38">
        <v>0</v>
      </c>
    </row>
    <row r="682" spans="1:12" s="39" customFormat="1" ht="15.45" customHeight="1" outlineLevel="1" x14ac:dyDescent="0.25">
      <c r="A682" s="33">
        <v>42</v>
      </c>
      <c r="B682" s="34" t="s">
        <v>523</v>
      </c>
      <c r="C682" s="35" t="s">
        <v>55</v>
      </c>
      <c r="D682" s="36">
        <v>10</v>
      </c>
      <c r="E682" s="36">
        <v>5.3921999999999999</v>
      </c>
      <c r="F682" s="36">
        <f t="shared" si="145"/>
        <v>53.921999999999997</v>
      </c>
      <c r="G682" s="37">
        <f t="shared" si="146"/>
        <v>0</v>
      </c>
      <c r="H682" s="38">
        <f t="shared" si="147"/>
        <v>0</v>
      </c>
      <c r="I682" s="37">
        <f t="shared" si="148"/>
        <v>0</v>
      </c>
      <c r="J682" s="38">
        <v>0</v>
      </c>
      <c r="K682" s="37">
        <f t="shared" si="149"/>
        <v>0</v>
      </c>
      <c r="L682" s="38">
        <v>0</v>
      </c>
    </row>
    <row r="683" spans="1:12" s="39" customFormat="1" ht="15.45" customHeight="1" outlineLevel="1" x14ac:dyDescent="0.25">
      <c r="A683" s="33">
        <v>43</v>
      </c>
      <c r="B683" s="34" t="s">
        <v>513</v>
      </c>
      <c r="C683" s="35" t="s">
        <v>55</v>
      </c>
      <c r="D683" s="36">
        <v>26</v>
      </c>
      <c r="E683" s="36">
        <v>12.656599999999999</v>
      </c>
      <c r="F683" s="36">
        <f t="shared" si="145"/>
        <v>329.07159999999999</v>
      </c>
      <c r="G683" s="37">
        <f t="shared" si="146"/>
        <v>0</v>
      </c>
      <c r="H683" s="38">
        <f t="shared" si="147"/>
        <v>0</v>
      </c>
      <c r="I683" s="37">
        <f t="shared" si="148"/>
        <v>0</v>
      </c>
      <c r="J683" s="38">
        <v>0</v>
      </c>
      <c r="K683" s="37">
        <f t="shared" si="149"/>
        <v>0</v>
      </c>
      <c r="L683" s="38">
        <v>0</v>
      </c>
    </row>
    <row r="684" spans="1:12" s="39" customFormat="1" ht="28.95" customHeight="1" outlineLevel="1" x14ac:dyDescent="0.25">
      <c r="A684" s="33">
        <v>44</v>
      </c>
      <c r="B684" s="34" t="s">
        <v>520</v>
      </c>
      <c r="C684" s="35" t="s">
        <v>55</v>
      </c>
      <c r="D684" s="36">
        <v>1</v>
      </c>
      <c r="E684" s="36">
        <v>32.450000000000003</v>
      </c>
      <c r="F684" s="36">
        <f t="shared" si="145"/>
        <v>32.450000000000003</v>
      </c>
      <c r="G684" s="37">
        <f t="shared" si="146"/>
        <v>0</v>
      </c>
      <c r="H684" s="38">
        <f t="shared" si="147"/>
        <v>0</v>
      </c>
      <c r="I684" s="37">
        <f t="shared" si="148"/>
        <v>0</v>
      </c>
      <c r="J684" s="38">
        <v>0</v>
      </c>
      <c r="K684" s="37">
        <f t="shared" si="149"/>
        <v>0</v>
      </c>
      <c r="L684" s="38">
        <v>0</v>
      </c>
    </row>
    <row r="685" spans="1:12" s="39" customFormat="1" ht="28.95" customHeight="1" outlineLevel="1" x14ac:dyDescent="0.25">
      <c r="A685" s="33">
        <v>45</v>
      </c>
      <c r="B685" s="34" t="s">
        <v>521</v>
      </c>
      <c r="C685" s="35" t="s">
        <v>55</v>
      </c>
      <c r="D685" s="36">
        <v>1</v>
      </c>
      <c r="E685" s="36">
        <v>37.128799999999998</v>
      </c>
      <c r="F685" s="36">
        <f t="shared" si="145"/>
        <v>37.128799999999998</v>
      </c>
      <c r="G685" s="37">
        <f t="shared" si="146"/>
        <v>0</v>
      </c>
      <c r="H685" s="38">
        <f t="shared" si="147"/>
        <v>0</v>
      </c>
      <c r="I685" s="37">
        <f t="shared" si="148"/>
        <v>0</v>
      </c>
      <c r="J685" s="38">
        <v>0</v>
      </c>
      <c r="K685" s="37">
        <f t="shared" si="149"/>
        <v>0</v>
      </c>
      <c r="L685" s="38">
        <v>0</v>
      </c>
    </row>
    <row r="686" spans="1:12" s="39" customFormat="1" ht="15.45" customHeight="1" outlineLevel="1" x14ac:dyDescent="0.25">
      <c r="A686" s="33">
        <v>46</v>
      </c>
      <c r="B686" s="34" t="s">
        <v>507</v>
      </c>
      <c r="C686" s="35" t="s">
        <v>55</v>
      </c>
      <c r="D686" s="36">
        <v>1</v>
      </c>
      <c r="E686" s="36">
        <v>5.3411999999999988</v>
      </c>
      <c r="F686" s="36">
        <f t="shared" si="145"/>
        <v>5.3411999999999988</v>
      </c>
      <c r="G686" s="37">
        <f t="shared" si="146"/>
        <v>0</v>
      </c>
      <c r="H686" s="38">
        <f t="shared" si="147"/>
        <v>0</v>
      </c>
      <c r="I686" s="37">
        <f t="shared" si="148"/>
        <v>0</v>
      </c>
      <c r="J686" s="38">
        <v>0</v>
      </c>
      <c r="K686" s="37">
        <f t="shared" si="149"/>
        <v>0</v>
      </c>
      <c r="L686" s="38">
        <v>0</v>
      </c>
    </row>
    <row r="687" spans="1:12" s="39" customFormat="1" ht="15.45" customHeight="1" outlineLevel="1" x14ac:dyDescent="0.25">
      <c r="A687" s="33">
        <v>47</v>
      </c>
      <c r="B687" s="34" t="s">
        <v>512</v>
      </c>
      <c r="C687" s="35" t="s">
        <v>55</v>
      </c>
      <c r="D687" s="36">
        <v>1</v>
      </c>
      <c r="E687" s="36">
        <v>5.3921999999999999</v>
      </c>
      <c r="F687" s="36">
        <f t="shared" si="145"/>
        <v>5.3921999999999999</v>
      </c>
      <c r="G687" s="37">
        <f t="shared" si="146"/>
        <v>0</v>
      </c>
      <c r="H687" s="38">
        <f t="shared" si="147"/>
        <v>0</v>
      </c>
      <c r="I687" s="37">
        <f t="shared" si="148"/>
        <v>0</v>
      </c>
      <c r="J687" s="38">
        <v>0</v>
      </c>
      <c r="K687" s="37">
        <f t="shared" si="149"/>
        <v>0</v>
      </c>
      <c r="L687" s="38">
        <v>0</v>
      </c>
    </row>
    <row r="688" spans="1:12" s="39" customFormat="1" ht="15.45" customHeight="1" outlineLevel="1" x14ac:dyDescent="0.25">
      <c r="A688" s="33">
        <v>48</v>
      </c>
      <c r="B688" s="34" t="s">
        <v>527</v>
      </c>
      <c r="C688" s="35" t="s">
        <v>55</v>
      </c>
      <c r="D688" s="36">
        <v>1</v>
      </c>
      <c r="E688" s="36">
        <v>5.3921999999999999</v>
      </c>
      <c r="F688" s="36">
        <f t="shared" si="145"/>
        <v>5.3921999999999999</v>
      </c>
      <c r="G688" s="37">
        <f t="shared" si="146"/>
        <v>0</v>
      </c>
      <c r="H688" s="38">
        <f t="shared" si="147"/>
        <v>0</v>
      </c>
      <c r="I688" s="37">
        <f t="shared" si="148"/>
        <v>0</v>
      </c>
      <c r="J688" s="38">
        <v>0</v>
      </c>
      <c r="K688" s="37">
        <f t="shared" si="149"/>
        <v>0</v>
      </c>
      <c r="L688" s="38">
        <v>0</v>
      </c>
    </row>
    <row r="689" spans="1:12" s="39" customFormat="1" ht="15.45" customHeight="1" outlineLevel="1" x14ac:dyDescent="0.25">
      <c r="A689" s="33">
        <v>49</v>
      </c>
      <c r="B689" s="34" t="s">
        <v>531</v>
      </c>
      <c r="C689" s="35" t="s">
        <v>55</v>
      </c>
      <c r="D689" s="36">
        <v>2</v>
      </c>
      <c r="E689" s="36">
        <v>32.450000000000003</v>
      </c>
      <c r="F689" s="36">
        <f t="shared" si="145"/>
        <v>64.900000000000006</v>
      </c>
      <c r="G689" s="37">
        <f t="shared" si="146"/>
        <v>0</v>
      </c>
      <c r="H689" s="38">
        <f t="shared" si="147"/>
        <v>0</v>
      </c>
      <c r="I689" s="37">
        <f t="shared" si="148"/>
        <v>0</v>
      </c>
      <c r="J689" s="38">
        <v>0</v>
      </c>
      <c r="K689" s="37">
        <f t="shared" si="149"/>
        <v>0</v>
      </c>
      <c r="L689" s="38">
        <v>0</v>
      </c>
    </row>
    <row r="690" spans="1:12" s="39" customFormat="1" ht="15.45" customHeight="1" outlineLevel="1" x14ac:dyDescent="0.25">
      <c r="A690" s="33">
        <v>50</v>
      </c>
      <c r="B690" s="34" t="s">
        <v>528</v>
      </c>
      <c r="C690" s="35" t="s">
        <v>55</v>
      </c>
      <c r="D690" s="36">
        <v>16</v>
      </c>
      <c r="E690" s="36">
        <v>7.9931999999999999</v>
      </c>
      <c r="F690" s="36">
        <f t="shared" si="145"/>
        <v>127.8912</v>
      </c>
      <c r="G690" s="37">
        <f t="shared" si="146"/>
        <v>0</v>
      </c>
      <c r="H690" s="38">
        <f t="shared" si="147"/>
        <v>0</v>
      </c>
      <c r="I690" s="37">
        <f t="shared" si="148"/>
        <v>0</v>
      </c>
      <c r="J690" s="38">
        <v>0</v>
      </c>
      <c r="K690" s="37">
        <f t="shared" si="149"/>
        <v>0</v>
      </c>
      <c r="L690" s="38">
        <v>0</v>
      </c>
    </row>
    <row r="691" spans="1:12" s="39" customFormat="1" ht="15.45" customHeight="1" outlineLevel="1" x14ac:dyDescent="0.25">
      <c r="A691" s="33">
        <v>51</v>
      </c>
      <c r="B691" s="34" t="s">
        <v>523</v>
      </c>
      <c r="C691" s="35" t="s">
        <v>55</v>
      </c>
      <c r="D691" s="36">
        <v>6</v>
      </c>
      <c r="E691" s="36">
        <v>5.3411999999999988</v>
      </c>
      <c r="F691" s="36">
        <f t="shared" si="145"/>
        <v>32.047199999999989</v>
      </c>
      <c r="G691" s="37">
        <f t="shared" si="146"/>
        <v>0</v>
      </c>
      <c r="H691" s="38">
        <f t="shared" si="147"/>
        <v>0</v>
      </c>
      <c r="I691" s="37">
        <f t="shared" si="148"/>
        <v>0</v>
      </c>
      <c r="J691" s="38">
        <v>0</v>
      </c>
      <c r="K691" s="37">
        <f t="shared" si="149"/>
        <v>0</v>
      </c>
      <c r="L691" s="38">
        <v>0</v>
      </c>
    </row>
    <row r="692" spans="1:12" s="39" customFormat="1" ht="15.45" customHeight="1" outlineLevel="1" x14ac:dyDescent="0.25">
      <c r="A692" s="33">
        <v>52</v>
      </c>
      <c r="B692" s="34" t="s">
        <v>513</v>
      </c>
      <c r="C692" s="35" t="s">
        <v>55</v>
      </c>
      <c r="D692" s="36">
        <v>27</v>
      </c>
      <c r="E692" s="36">
        <v>12.656599999999999</v>
      </c>
      <c r="F692" s="36">
        <f t="shared" si="145"/>
        <v>341.72819999999996</v>
      </c>
      <c r="G692" s="37">
        <f t="shared" si="146"/>
        <v>0</v>
      </c>
      <c r="H692" s="38">
        <f t="shared" si="147"/>
        <v>0</v>
      </c>
      <c r="I692" s="37">
        <f t="shared" si="148"/>
        <v>0</v>
      </c>
      <c r="J692" s="38">
        <v>0</v>
      </c>
      <c r="K692" s="37">
        <f t="shared" si="149"/>
        <v>0</v>
      </c>
      <c r="L692" s="38">
        <v>0</v>
      </c>
    </row>
    <row r="693" spans="1:12" s="39" customFormat="1" ht="15.45" customHeight="1" outlineLevel="1" x14ac:dyDescent="0.25">
      <c r="A693" s="33">
        <v>53</v>
      </c>
      <c r="B693" s="34" t="s">
        <v>532</v>
      </c>
      <c r="C693" s="35" t="s">
        <v>55</v>
      </c>
      <c r="D693" s="36">
        <v>1</v>
      </c>
      <c r="E693" s="36">
        <v>5.3921999999999999</v>
      </c>
      <c r="F693" s="36">
        <f t="shared" si="145"/>
        <v>5.3921999999999999</v>
      </c>
      <c r="G693" s="37">
        <f t="shared" si="146"/>
        <v>0</v>
      </c>
      <c r="H693" s="38">
        <f t="shared" si="147"/>
        <v>0</v>
      </c>
      <c r="I693" s="37">
        <f t="shared" si="148"/>
        <v>0</v>
      </c>
      <c r="J693" s="38">
        <v>0</v>
      </c>
      <c r="K693" s="37">
        <f t="shared" si="149"/>
        <v>0</v>
      </c>
      <c r="L693" s="38">
        <v>0</v>
      </c>
    </row>
    <row r="694" spans="1:12" s="39" customFormat="1" ht="28.95" customHeight="1" outlineLevel="1" x14ac:dyDescent="0.25">
      <c r="A694" s="33">
        <v>54</v>
      </c>
      <c r="B694" s="34" t="s">
        <v>533</v>
      </c>
      <c r="C694" s="35" t="s">
        <v>55</v>
      </c>
      <c r="D694" s="36">
        <v>1</v>
      </c>
      <c r="E694" s="36">
        <v>36.394399999999997</v>
      </c>
      <c r="F694" s="36">
        <f t="shared" si="145"/>
        <v>36.394399999999997</v>
      </c>
      <c r="G694" s="37">
        <f t="shared" si="146"/>
        <v>0</v>
      </c>
      <c r="H694" s="38">
        <f t="shared" si="147"/>
        <v>0</v>
      </c>
      <c r="I694" s="37">
        <f t="shared" si="148"/>
        <v>0</v>
      </c>
      <c r="J694" s="38">
        <v>0</v>
      </c>
      <c r="K694" s="37">
        <f t="shared" si="149"/>
        <v>0</v>
      </c>
      <c r="L694" s="38">
        <v>0</v>
      </c>
    </row>
    <row r="695" spans="1:12" s="39" customFormat="1" ht="15.45" customHeight="1" outlineLevel="1" x14ac:dyDescent="0.25">
      <c r="A695" s="33">
        <v>55</v>
      </c>
      <c r="B695" s="34" t="s">
        <v>534</v>
      </c>
      <c r="C695" s="35" t="s">
        <v>55</v>
      </c>
      <c r="D695" s="36">
        <v>1</v>
      </c>
      <c r="E695" s="36">
        <v>7.9931999999999999</v>
      </c>
      <c r="F695" s="36">
        <f t="shared" si="145"/>
        <v>7.9931999999999999</v>
      </c>
      <c r="G695" s="37">
        <f t="shared" si="146"/>
        <v>0</v>
      </c>
      <c r="H695" s="38">
        <f t="shared" si="147"/>
        <v>0</v>
      </c>
      <c r="I695" s="37">
        <f t="shared" si="148"/>
        <v>0</v>
      </c>
      <c r="J695" s="38">
        <v>0</v>
      </c>
      <c r="K695" s="37">
        <f t="shared" si="149"/>
        <v>0</v>
      </c>
      <c r="L695" s="38">
        <v>0</v>
      </c>
    </row>
    <row r="696" spans="1:12" s="39" customFormat="1" ht="43.5" customHeight="1" outlineLevel="1" x14ac:dyDescent="0.25">
      <c r="A696" s="33">
        <v>56</v>
      </c>
      <c r="B696" s="34" t="s">
        <v>535</v>
      </c>
      <c r="C696" s="35" t="s">
        <v>55</v>
      </c>
      <c r="D696" s="36">
        <v>1</v>
      </c>
      <c r="E696" s="36">
        <v>31.788</v>
      </c>
      <c r="F696" s="36">
        <f t="shared" si="145"/>
        <v>31.788</v>
      </c>
      <c r="G696" s="37">
        <f t="shared" si="146"/>
        <v>0</v>
      </c>
      <c r="H696" s="38">
        <f t="shared" si="147"/>
        <v>0</v>
      </c>
      <c r="I696" s="37">
        <f t="shared" si="148"/>
        <v>0</v>
      </c>
      <c r="J696" s="38">
        <v>0</v>
      </c>
      <c r="K696" s="37">
        <f t="shared" si="149"/>
        <v>0</v>
      </c>
      <c r="L696" s="38">
        <v>0</v>
      </c>
    </row>
    <row r="697" spans="1:12" s="39" customFormat="1" ht="15.45" customHeight="1" outlineLevel="1" x14ac:dyDescent="0.25">
      <c r="A697" s="33">
        <v>57</v>
      </c>
      <c r="B697" s="34" t="s">
        <v>536</v>
      </c>
      <c r="C697" s="35" t="s">
        <v>50</v>
      </c>
      <c r="D697" s="36">
        <v>0.5</v>
      </c>
      <c r="E697" s="36">
        <v>7.6</v>
      </c>
      <c r="F697" s="36">
        <f t="shared" si="145"/>
        <v>3.8</v>
      </c>
      <c r="G697" s="37">
        <f t="shared" si="146"/>
        <v>0</v>
      </c>
      <c r="H697" s="38">
        <f t="shared" si="147"/>
        <v>0</v>
      </c>
      <c r="I697" s="37">
        <f t="shared" si="148"/>
        <v>0</v>
      </c>
      <c r="J697" s="38">
        <v>0</v>
      </c>
      <c r="K697" s="37">
        <f t="shared" si="149"/>
        <v>0</v>
      </c>
      <c r="L697" s="38">
        <v>0</v>
      </c>
    </row>
    <row r="698" spans="1:12" s="45" customFormat="1" ht="28.95" customHeight="1" x14ac:dyDescent="0.3">
      <c r="A698" s="33">
        <v>58</v>
      </c>
      <c r="B698" s="34" t="s">
        <v>537</v>
      </c>
      <c r="C698" s="35" t="s">
        <v>55</v>
      </c>
      <c r="D698" s="36">
        <v>1</v>
      </c>
      <c r="E698" s="36">
        <v>5.3921999999999999</v>
      </c>
      <c r="F698" s="36">
        <f t="shared" si="145"/>
        <v>5.3921999999999999</v>
      </c>
      <c r="G698" s="37">
        <f t="shared" si="146"/>
        <v>0</v>
      </c>
      <c r="H698" s="38">
        <f t="shared" si="147"/>
        <v>0</v>
      </c>
      <c r="I698" s="37">
        <f t="shared" si="148"/>
        <v>0</v>
      </c>
      <c r="J698" s="38">
        <v>0</v>
      </c>
      <c r="K698" s="37">
        <f t="shared" si="149"/>
        <v>0</v>
      </c>
      <c r="L698" s="38">
        <v>0</v>
      </c>
    </row>
    <row r="699" spans="1:12" s="39" customFormat="1" ht="28.95" customHeight="1" outlineLevel="1" x14ac:dyDescent="0.25">
      <c r="A699" s="33">
        <v>59</v>
      </c>
      <c r="B699" s="34" t="s">
        <v>521</v>
      </c>
      <c r="C699" s="35" t="s">
        <v>55</v>
      </c>
      <c r="D699" s="36">
        <v>1</v>
      </c>
      <c r="E699" s="36">
        <v>36.418799999999997</v>
      </c>
      <c r="F699" s="36">
        <f t="shared" si="145"/>
        <v>36.418799999999997</v>
      </c>
      <c r="G699" s="37">
        <f t="shared" si="146"/>
        <v>0</v>
      </c>
      <c r="H699" s="38">
        <f t="shared" si="147"/>
        <v>0</v>
      </c>
      <c r="I699" s="37">
        <f t="shared" si="148"/>
        <v>0</v>
      </c>
      <c r="J699" s="38">
        <v>0</v>
      </c>
      <c r="K699" s="37">
        <f t="shared" si="149"/>
        <v>0</v>
      </c>
      <c r="L699" s="38">
        <v>0</v>
      </c>
    </row>
    <row r="700" spans="1:12" s="39" customFormat="1" ht="15.45" customHeight="1" outlineLevel="1" x14ac:dyDescent="0.25">
      <c r="A700" s="33">
        <v>60</v>
      </c>
      <c r="B700" s="34" t="s">
        <v>506</v>
      </c>
      <c r="C700" s="35" t="s">
        <v>55</v>
      </c>
      <c r="D700" s="36">
        <v>1</v>
      </c>
      <c r="E700" s="36">
        <v>21.498000000000001</v>
      </c>
      <c r="F700" s="36">
        <f t="shared" si="145"/>
        <v>21.498000000000001</v>
      </c>
      <c r="G700" s="37">
        <f t="shared" si="146"/>
        <v>0</v>
      </c>
      <c r="H700" s="38">
        <f t="shared" si="147"/>
        <v>0</v>
      </c>
      <c r="I700" s="37">
        <f t="shared" si="148"/>
        <v>0</v>
      </c>
      <c r="J700" s="38">
        <v>0</v>
      </c>
      <c r="K700" s="37">
        <f t="shared" si="149"/>
        <v>0</v>
      </c>
      <c r="L700" s="38">
        <v>0</v>
      </c>
    </row>
    <row r="701" spans="1:12" s="39" customFormat="1" ht="15.45" customHeight="1" outlineLevel="1" x14ac:dyDescent="0.25">
      <c r="A701" s="33">
        <v>61</v>
      </c>
      <c r="B701" s="34" t="s">
        <v>512</v>
      </c>
      <c r="C701" s="35" t="s">
        <v>55</v>
      </c>
      <c r="D701" s="36">
        <v>1</v>
      </c>
      <c r="E701" s="36">
        <v>5.3921999999999999</v>
      </c>
      <c r="F701" s="36">
        <f t="shared" si="145"/>
        <v>5.3921999999999999</v>
      </c>
      <c r="G701" s="37">
        <f t="shared" si="146"/>
        <v>0</v>
      </c>
      <c r="H701" s="38">
        <f t="shared" si="147"/>
        <v>0</v>
      </c>
      <c r="I701" s="37">
        <f t="shared" si="148"/>
        <v>0</v>
      </c>
      <c r="J701" s="38">
        <v>0</v>
      </c>
      <c r="K701" s="37">
        <f t="shared" si="149"/>
        <v>0</v>
      </c>
      <c r="L701" s="38">
        <v>0</v>
      </c>
    </row>
    <row r="702" spans="1:12" s="39" customFormat="1" ht="15.45" customHeight="1" outlineLevel="1" x14ac:dyDescent="0.25">
      <c r="A702" s="33">
        <v>62</v>
      </c>
      <c r="B702" s="34" t="s">
        <v>527</v>
      </c>
      <c r="C702" s="35" t="s">
        <v>55</v>
      </c>
      <c r="D702" s="36">
        <v>1</v>
      </c>
      <c r="E702" s="36">
        <v>425.9</v>
      </c>
      <c r="F702" s="36">
        <f t="shared" si="145"/>
        <v>425.9</v>
      </c>
      <c r="G702" s="37">
        <f t="shared" si="146"/>
        <v>0</v>
      </c>
      <c r="H702" s="38">
        <f t="shared" si="147"/>
        <v>0</v>
      </c>
      <c r="I702" s="37">
        <f t="shared" si="148"/>
        <v>0</v>
      </c>
      <c r="J702" s="38">
        <v>0</v>
      </c>
      <c r="K702" s="37">
        <f t="shared" si="149"/>
        <v>0</v>
      </c>
      <c r="L702" s="38">
        <v>0</v>
      </c>
    </row>
    <row r="703" spans="1:12" s="39" customFormat="1" ht="15.45" customHeight="1" outlineLevel="1" x14ac:dyDescent="0.25">
      <c r="A703" s="33">
        <v>63</v>
      </c>
      <c r="B703" s="34" t="s">
        <v>531</v>
      </c>
      <c r="C703" s="35" t="s">
        <v>55</v>
      </c>
      <c r="D703" s="36">
        <v>4</v>
      </c>
      <c r="E703" s="36">
        <v>21.79</v>
      </c>
      <c r="F703" s="36">
        <f t="shared" si="145"/>
        <v>87.16</v>
      </c>
      <c r="G703" s="37">
        <f t="shared" si="146"/>
        <v>0</v>
      </c>
      <c r="H703" s="38">
        <f t="shared" si="147"/>
        <v>0</v>
      </c>
      <c r="I703" s="37">
        <f t="shared" si="148"/>
        <v>0</v>
      </c>
      <c r="J703" s="38">
        <v>0</v>
      </c>
      <c r="K703" s="37">
        <f t="shared" si="149"/>
        <v>0</v>
      </c>
      <c r="L703" s="38">
        <v>0</v>
      </c>
    </row>
    <row r="704" spans="1:12" s="46" customFormat="1" ht="15.45" customHeight="1" outlineLevel="1" x14ac:dyDescent="0.35">
      <c r="A704" s="33">
        <v>64</v>
      </c>
      <c r="B704" s="34" t="s">
        <v>528</v>
      </c>
      <c r="C704" s="35" t="s">
        <v>55</v>
      </c>
      <c r="D704" s="36">
        <v>20</v>
      </c>
      <c r="E704" s="36">
        <v>21.498000000000001</v>
      </c>
      <c r="F704" s="36">
        <f t="shared" si="145"/>
        <v>429.96000000000004</v>
      </c>
      <c r="G704" s="37">
        <f t="shared" si="146"/>
        <v>0</v>
      </c>
      <c r="H704" s="38">
        <f t="shared" si="147"/>
        <v>0</v>
      </c>
      <c r="I704" s="37">
        <f t="shared" si="148"/>
        <v>0</v>
      </c>
      <c r="J704" s="38">
        <v>0</v>
      </c>
      <c r="K704" s="37">
        <f t="shared" si="149"/>
        <v>0</v>
      </c>
      <c r="L704" s="38">
        <v>0</v>
      </c>
    </row>
    <row r="705" spans="1:12" s="39" customFormat="1" ht="15.45" customHeight="1" outlineLevel="1" x14ac:dyDescent="0.25">
      <c r="A705" s="33">
        <v>65</v>
      </c>
      <c r="B705" s="34" t="s">
        <v>523</v>
      </c>
      <c r="C705" s="35" t="s">
        <v>55</v>
      </c>
      <c r="D705" s="36">
        <v>6</v>
      </c>
      <c r="E705" s="36">
        <v>5.3921999999999999</v>
      </c>
      <c r="F705" s="36">
        <f t="shared" ref="F705:F736" si="150">+E705*D705</f>
        <v>32.353200000000001</v>
      </c>
      <c r="G705" s="37">
        <f t="shared" ref="G705:G736" si="151">I705+K705</f>
        <v>0</v>
      </c>
      <c r="H705" s="38">
        <f t="shared" ref="H705:H736" si="152">J705+L705</f>
        <v>0</v>
      </c>
      <c r="I705" s="37">
        <f t="shared" ref="I705:I736" si="153">J705/F705</f>
        <v>0</v>
      </c>
      <c r="J705" s="38">
        <v>0</v>
      </c>
      <c r="K705" s="37">
        <f t="shared" ref="K705:K736" si="154">L705/F705</f>
        <v>0</v>
      </c>
      <c r="L705" s="38">
        <v>0</v>
      </c>
    </row>
    <row r="706" spans="1:12" s="39" customFormat="1" ht="15.45" customHeight="1" outlineLevel="1" x14ac:dyDescent="0.25">
      <c r="A706" s="33">
        <v>66</v>
      </c>
      <c r="B706" s="34" t="s">
        <v>513</v>
      </c>
      <c r="C706" s="35" t="s">
        <v>55</v>
      </c>
      <c r="D706" s="36">
        <v>33</v>
      </c>
      <c r="E706" s="36">
        <v>12.656599999999999</v>
      </c>
      <c r="F706" s="36">
        <f t="shared" si="150"/>
        <v>417.6678</v>
      </c>
      <c r="G706" s="37">
        <f t="shared" si="151"/>
        <v>0</v>
      </c>
      <c r="H706" s="38">
        <f t="shared" si="152"/>
        <v>0</v>
      </c>
      <c r="I706" s="37">
        <f t="shared" si="153"/>
        <v>0</v>
      </c>
      <c r="J706" s="38">
        <v>0</v>
      </c>
      <c r="K706" s="37">
        <f t="shared" si="154"/>
        <v>0</v>
      </c>
      <c r="L706" s="38">
        <v>0</v>
      </c>
    </row>
    <row r="707" spans="1:12" s="39" customFormat="1" ht="15.45" customHeight="1" outlineLevel="1" x14ac:dyDescent="0.25">
      <c r="A707" s="33">
        <v>67</v>
      </c>
      <c r="B707" s="34" t="s">
        <v>532</v>
      </c>
      <c r="C707" s="35" t="s">
        <v>55</v>
      </c>
      <c r="D707" s="36">
        <v>1</v>
      </c>
      <c r="E707" s="36">
        <v>21.79</v>
      </c>
      <c r="F707" s="36">
        <f t="shared" si="150"/>
        <v>21.79</v>
      </c>
      <c r="G707" s="37">
        <f t="shared" si="151"/>
        <v>0</v>
      </c>
      <c r="H707" s="38">
        <f t="shared" si="152"/>
        <v>0</v>
      </c>
      <c r="I707" s="37">
        <f t="shared" si="153"/>
        <v>0</v>
      </c>
      <c r="J707" s="38">
        <v>0</v>
      </c>
      <c r="K707" s="37">
        <f t="shared" si="154"/>
        <v>0</v>
      </c>
      <c r="L707" s="38">
        <v>0</v>
      </c>
    </row>
    <row r="708" spans="1:12" s="39" customFormat="1" ht="28.95" customHeight="1" outlineLevel="1" x14ac:dyDescent="0.25">
      <c r="A708" s="33">
        <v>68</v>
      </c>
      <c r="B708" s="34" t="s">
        <v>533</v>
      </c>
      <c r="C708" s="35" t="s">
        <v>55</v>
      </c>
      <c r="D708" s="36">
        <v>1</v>
      </c>
      <c r="E708" s="36">
        <v>35.392400000000002</v>
      </c>
      <c r="F708" s="36">
        <f t="shared" si="150"/>
        <v>35.392400000000002</v>
      </c>
      <c r="G708" s="37">
        <f t="shared" si="151"/>
        <v>0</v>
      </c>
      <c r="H708" s="38">
        <f t="shared" si="152"/>
        <v>0</v>
      </c>
      <c r="I708" s="37">
        <f t="shared" si="153"/>
        <v>0</v>
      </c>
      <c r="J708" s="38">
        <v>0</v>
      </c>
      <c r="K708" s="37">
        <f t="shared" si="154"/>
        <v>0</v>
      </c>
      <c r="L708" s="38">
        <v>0</v>
      </c>
    </row>
    <row r="709" spans="1:12" s="39" customFormat="1" ht="15.45" customHeight="1" outlineLevel="1" x14ac:dyDescent="0.25">
      <c r="A709" s="33">
        <v>69</v>
      </c>
      <c r="B709" s="34" t="s">
        <v>534</v>
      </c>
      <c r="C709" s="35" t="s">
        <v>55</v>
      </c>
      <c r="D709" s="36">
        <v>1</v>
      </c>
      <c r="E709" s="36">
        <v>5.3921999999999999</v>
      </c>
      <c r="F709" s="36">
        <f t="shared" si="150"/>
        <v>5.3921999999999999</v>
      </c>
      <c r="G709" s="37">
        <f t="shared" si="151"/>
        <v>0</v>
      </c>
      <c r="H709" s="38">
        <f t="shared" si="152"/>
        <v>0</v>
      </c>
      <c r="I709" s="37">
        <f t="shared" si="153"/>
        <v>0</v>
      </c>
      <c r="J709" s="38">
        <v>0</v>
      </c>
      <c r="K709" s="37">
        <f t="shared" si="154"/>
        <v>0</v>
      </c>
      <c r="L709" s="38">
        <v>0</v>
      </c>
    </row>
    <row r="710" spans="1:12" s="39" customFormat="1" ht="43.5" customHeight="1" outlineLevel="1" x14ac:dyDescent="0.25">
      <c r="A710" s="33">
        <v>70</v>
      </c>
      <c r="B710" s="34" t="s">
        <v>535</v>
      </c>
      <c r="C710" s="35" t="s">
        <v>55</v>
      </c>
      <c r="D710" s="36">
        <v>1</v>
      </c>
      <c r="E710" s="36">
        <v>15.3902</v>
      </c>
      <c r="F710" s="36">
        <f t="shared" si="150"/>
        <v>15.3902</v>
      </c>
      <c r="G710" s="37">
        <f t="shared" si="151"/>
        <v>0</v>
      </c>
      <c r="H710" s="38">
        <f t="shared" si="152"/>
        <v>0</v>
      </c>
      <c r="I710" s="37">
        <f t="shared" si="153"/>
        <v>0</v>
      </c>
      <c r="J710" s="38">
        <v>0</v>
      </c>
      <c r="K710" s="37">
        <f t="shared" si="154"/>
        <v>0</v>
      </c>
      <c r="L710" s="38">
        <v>0</v>
      </c>
    </row>
    <row r="711" spans="1:12" s="39" customFormat="1" ht="15.45" customHeight="1" outlineLevel="1" x14ac:dyDescent="0.25">
      <c r="A711" s="33">
        <v>71</v>
      </c>
      <c r="B711" s="34" t="s">
        <v>536</v>
      </c>
      <c r="C711" s="35" t="s">
        <v>50</v>
      </c>
      <c r="D711" s="36">
        <v>0.5</v>
      </c>
      <c r="E711" s="36">
        <v>7.6</v>
      </c>
      <c r="F711" s="36">
        <f t="shared" si="150"/>
        <v>3.8</v>
      </c>
      <c r="G711" s="37">
        <f t="shared" si="151"/>
        <v>0</v>
      </c>
      <c r="H711" s="38">
        <f t="shared" si="152"/>
        <v>0</v>
      </c>
      <c r="I711" s="37">
        <f t="shared" si="153"/>
        <v>0</v>
      </c>
      <c r="J711" s="38">
        <v>0</v>
      </c>
      <c r="K711" s="37">
        <f t="shared" si="154"/>
        <v>0</v>
      </c>
      <c r="L711" s="38">
        <v>0</v>
      </c>
    </row>
    <row r="712" spans="1:12" s="39" customFormat="1" ht="28.95" customHeight="1" outlineLevel="1" x14ac:dyDescent="0.25">
      <c r="A712" s="33">
        <v>72</v>
      </c>
      <c r="B712" s="34" t="s">
        <v>520</v>
      </c>
      <c r="C712" s="35" t="s">
        <v>55</v>
      </c>
      <c r="D712" s="36">
        <v>1</v>
      </c>
      <c r="E712" s="36">
        <v>51.811999999999998</v>
      </c>
      <c r="F712" s="36">
        <f t="shared" si="150"/>
        <v>51.811999999999998</v>
      </c>
      <c r="G712" s="37">
        <f t="shared" si="151"/>
        <v>0</v>
      </c>
      <c r="H712" s="38">
        <f t="shared" si="152"/>
        <v>0</v>
      </c>
      <c r="I712" s="37">
        <f t="shared" si="153"/>
        <v>0</v>
      </c>
      <c r="J712" s="38">
        <v>0</v>
      </c>
      <c r="K712" s="37">
        <f t="shared" si="154"/>
        <v>0</v>
      </c>
      <c r="L712" s="38">
        <v>0</v>
      </c>
    </row>
    <row r="713" spans="1:12" s="39" customFormat="1" ht="28.95" customHeight="1" outlineLevel="1" x14ac:dyDescent="0.25">
      <c r="A713" s="33">
        <v>73</v>
      </c>
      <c r="B713" s="34" t="s">
        <v>521</v>
      </c>
      <c r="C713" s="35" t="s">
        <v>55</v>
      </c>
      <c r="D713" s="36">
        <v>1</v>
      </c>
      <c r="E713" s="36">
        <v>36.422199999999997</v>
      </c>
      <c r="F713" s="36">
        <f t="shared" si="150"/>
        <v>36.422199999999997</v>
      </c>
      <c r="G713" s="37">
        <f t="shared" si="151"/>
        <v>0</v>
      </c>
      <c r="H713" s="38">
        <f t="shared" si="152"/>
        <v>0</v>
      </c>
      <c r="I713" s="37">
        <f t="shared" si="153"/>
        <v>0</v>
      </c>
      <c r="J713" s="38">
        <v>0</v>
      </c>
      <c r="K713" s="37">
        <f t="shared" si="154"/>
        <v>0</v>
      </c>
      <c r="L713" s="38">
        <v>0</v>
      </c>
    </row>
    <row r="714" spans="1:12" s="39" customFormat="1" ht="15.45" customHeight="1" outlineLevel="1" x14ac:dyDescent="0.25">
      <c r="A714" s="33">
        <v>74</v>
      </c>
      <c r="B714" s="34" t="s">
        <v>511</v>
      </c>
      <c r="C714" s="35" t="s">
        <v>55</v>
      </c>
      <c r="D714" s="36">
        <v>1</v>
      </c>
      <c r="E714" s="36">
        <v>20.79</v>
      </c>
      <c r="F714" s="36">
        <f t="shared" si="150"/>
        <v>20.79</v>
      </c>
      <c r="G714" s="37">
        <f t="shared" si="151"/>
        <v>0</v>
      </c>
      <c r="H714" s="38">
        <f t="shared" si="152"/>
        <v>0</v>
      </c>
      <c r="I714" s="37">
        <f t="shared" si="153"/>
        <v>0</v>
      </c>
      <c r="J714" s="38">
        <v>0</v>
      </c>
      <c r="K714" s="37">
        <f t="shared" si="154"/>
        <v>0</v>
      </c>
      <c r="L714" s="38">
        <v>0</v>
      </c>
    </row>
    <row r="715" spans="1:12" s="39" customFormat="1" ht="15.45" customHeight="1" outlineLevel="1" x14ac:dyDescent="0.25">
      <c r="A715" s="33">
        <v>75</v>
      </c>
      <c r="B715" s="34" t="s">
        <v>512</v>
      </c>
      <c r="C715" s="35" t="s">
        <v>55</v>
      </c>
      <c r="D715" s="36">
        <v>1</v>
      </c>
      <c r="E715" s="36">
        <v>20.498000000000001</v>
      </c>
      <c r="F715" s="36">
        <f t="shared" si="150"/>
        <v>20.498000000000001</v>
      </c>
      <c r="G715" s="37">
        <f t="shared" si="151"/>
        <v>0</v>
      </c>
      <c r="H715" s="38">
        <f t="shared" si="152"/>
        <v>0</v>
      </c>
      <c r="I715" s="37">
        <f t="shared" si="153"/>
        <v>0</v>
      </c>
      <c r="J715" s="38">
        <v>0</v>
      </c>
      <c r="K715" s="37">
        <f t="shared" si="154"/>
        <v>0</v>
      </c>
      <c r="L715" s="38">
        <v>0</v>
      </c>
    </row>
    <row r="716" spans="1:12" s="39" customFormat="1" ht="15.45" customHeight="1" outlineLevel="1" x14ac:dyDescent="0.25">
      <c r="A716" s="33">
        <v>76</v>
      </c>
      <c r="B716" s="34" t="s">
        <v>528</v>
      </c>
      <c r="C716" s="35" t="s">
        <v>55</v>
      </c>
      <c r="D716" s="36">
        <v>6</v>
      </c>
      <c r="E716" s="36">
        <v>4.3921999999999999</v>
      </c>
      <c r="F716" s="36">
        <f t="shared" si="150"/>
        <v>26.353200000000001</v>
      </c>
      <c r="G716" s="37">
        <f t="shared" si="151"/>
        <v>0</v>
      </c>
      <c r="H716" s="38">
        <f t="shared" si="152"/>
        <v>0</v>
      </c>
      <c r="I716" s="37">
        <f t="shared" si="153"/>
        <v>0</v>
      </c>
      <c r="J716" s="38">
        <v>0</v>
      </c>
      <c r="K716" s="37">
        <f t="shared" si="154"/>
        <v>0</v>
      </c>
      <c r="L716" s="38">
        <v>0</v>
      </c>
    </row>
    <row r="717" spans="1:12" s="39" customFormat="1" ht="15.45" customHeight="1" outlineLevel="1" x14ac:dyDescent="0.25">
      <c r="A717" s="33">
        <v>77</v>
      </c>
      <c r="B717" s="34" t="s">
        <v>523</v>
      </c>
      <c r="C717" s="35" t="s">
        <v>55</v>
      </c>
      <c r="D717" s="36">
        <v>11</v>
      </c>
      <c r="E717" s="36">
        <v>4.3921999999999999</v>
      </c>
      <c r="F717" s="36">
        <f t="shared" si="150"/>
        <v>48.3142</v>
      </c>
      <c r="G717" s="37">
        <f t="shared" si="151"/>
        <v>0</v>
      </c>
      <c r="H717" s="38">
        <f t="shared" si="152"/>
        <v>0</v>
      </c>
      <c r="I717" s="37">
        <f t="shared" si="153"/>
        <v>0</v>
      </c>
      <c r="J717" s="38">
        <v>0</v>
      </c>
      <c r="K717" s="37">
        <f t="shared" si="154"/>
        <v>0</v>
      </c>
      <c r="L717" s="38">
        <v>0</v>
      </c>
    </row>
    <row r="718" spans="1:12" s="39" customFormat="1" ht="15.45" customHeight="1" outlineLevel="1" x14ac:dyDescent="0.25">
      <c r="A718" s="33">
        <v>78</v>
      </c>
      <c r="B718" s="34" t="s">
        <v>513</v>
      </c>
      <c r="C718" s="35" t="s">
        <v>55</v>
      </c>
      <c r="D718" s="36">
        <v>19</v>
      </c>
      <c r="E718" s="36">
        <v>14.879799999999999</v>
      </c>
      <c r="F718" s="36">
        <f t="shared" si="150"/>
        <v>282.71620000000001</v>
      </c>
      <c r="G718" s="37">
        <f t="shared" si="151"/>
        <v>0</v>
      </c>
      <c r="H718" s="38">
        <f t="shared" si="152"/>
        <v>0</v>
      </c>
      <c r="I718" s="37">
        <f t="shared" si="153"/>
        <v>0</v>
      </c>
      <c r="J718" s="38">
        <v>0</v>
      </c>
      <c r="K718" s="37">
        <f t="shared" si="154"/>
        <v>0</v>
      </c>
      <c r="L718" s="38">
        <v>0</v>
      </c>
    </row>
    <row r="719" spans="1:12" s="39" customFormat="1" ht="15.45" customHeight="1" outlineLevel="1" x14ac:dyDescent="0.25">
      <c r="A719" s="33">
        <v>79</v>
      </c>
      <c r="B719" s="34" t="s">
        <v>532</v>
      </c>
      <c r="C719" s="35" t="s">
        <v>55</v>
      </c>
      <c r="D719" s="36">
        <v>1</v>
      </c>
      <c r="E719" s="36">
        <v>15.887600000000001</v>
      </c>
      <c r="F719" s="36">
        <f t="shared" si="150"/>
        <v>15.887600000000001</v>
      </c>
      <c r="G719" s="37">
        <f t="shared" si="151"/>
        <v>0</v>
      </c>
      <c r="H719" s="38">
        <f t="shared" si="152"/>
        <v>0</v>
      </c>
      <c r="I719" s="37">
        <f t="shared" si="153"/>
        <v>0</v>
      </c>
      <c r="J719" s="38">
        <v>0</v>
      </c>
      <c r="K719" s="37">
        <f t="shared" si="154"/>
        <v>0</v>
      </c>
      <c r="L719" s="38">
        <v>0</v>
      </c>
    </row>
    <row r="720" spans="1:12" s="45" customFormat="1" ht="28.95" customHeight="1" x14ac:dyDescent="0.3">
      <c r="A720" s="33">
        <v>80</v>
      </c>
      <c r="B720" s="34" t="s">
        <v>533</v>
      </c>
      <c r="C720" s="35" t="s">
        <v>55</v>
      </c>
      <c r="D720" s="36">
        <v>1</v>
      </c>
      <c r="E720" s="36">
        <v>29.629000000000001</v>
      </c>
      <c r="F720" s="36">
        <f t="shared" si="150"/>
        <v>29.629000000000001</v>
      </c>
      <c r="G720" s="37">
        <f t="shared" si="151"/>
        <v>0</v>
      </c>
      <c r="H720" s="38">
        <f t="shared" si="152"/>
        <v>0</v>
      </c>
      <c r="I720" s="37">
        <f t="shared" si="153"/>
        <v>0</v>
      </c>
      <c r="J720" s="38">
        <v>0</v>
      </c>
      <c r="K720" s="37">
        <f t="shared" si="154"/>
        <v>0</v>
      </c>
      <c r="L720" s="38">
        <v>0</v>
      </c>
    </row>
    <row r="721" spans="1:12" s="39" customFormat="1" ht="15.45" customHeight="1" outlineLevel="1" x14ac:dyDescent="0.25">
      <c r="A721" s="33">
        <v>81</v>
      </c>
      <c r="B721" s="34" t="s">
        <v>538</v>
      </c>
      <c r="C721" s="35" t="s">
        <v>55</v>
      </c>
      <c r="D721" s="36">
        <v>1</v>
      </c>
      <c r="E721" s="36">
        <v>13.990399999999999</v>
      </c>
      <c r="F721" s="36">
        <f t="shared" si="150"/>
        <v>13.990399999999999</v>
      </c>
      <c r="G721" s="37">
        <f t="shared" si="151"/>
        <v>0</v>
      </c>
      <c r="H721" s="38">
        <f t="shared" si="152"/>
        <v>0</v>
      </c>
      <c r="I721" s="37">
        <f t="shared" si="153"/>
        <v>0</v>
      </c>
      <c r="J721" s="38">
        <v>0</v>
      </c>
      <c r="K721" s="37">
        <f t="shared" si="154"/>
        <v>0</v>
      </c>
      <c r="L721" s="38">
        <v>0</v>
      </c>
    </row>
    <row r="722" spans="1:12" s="39" customFormat="1" ht="43.5" customHeight="1" outlineLevel="1" x14ac:dyDescent="0.25">
      <c r="A722" s="33">
        <v>82</v>
      </c>
      <c r="B722" s="34" t="s">
        <v>535</v>
      </c>
      <c r="C722" s="35" t="s">
        <v>55</v>
      </c>
      <c r="D722" s="36">
        <v>1</v>
      </c>
      <c r="E722" s="36">
        <v>21.203800000000001</v>
      </c>
      <c r="F722" s="36">
        <f t="shared" si="150"/>
        <v>21.203800000000001</v>
      </c>
      <c r="G722" s="37">
        <f t="shared" si="151"/>
        <v>0</v>
      </c>
      <c r="H722" s="38">
        <f t="shared" si="152"/>
        <v>0</v>
      </c>
      <c r="I722" s="37">
        <f t="shared" si="153"/>
        <v>0</v>
      </c>
      <c r="J722" s="38">
        <v>0</v>
      </c>
      <c r="K722" s="37">
        <f t="shared" si="154"/>
        <v>0</v>
      </c>
      <c r="L722" s="38">
        <v>0</v>
      </c>
    </row>
    <row r="723" spans="1:12" s="39" customFormat="1" ht="15.45" customHeight="1" outlineLevel="1" x14ac:dyDescent="0.25">
      <c r="A723" s="33">
        <v>83</v>
      </c>
      <c r="B723" s="34" t="s">
        <v>536</v>
      </c>
      <c r="C723" s="35" t="s">
        <v>50</v>
      </c>
      <c r="D723" s="36">
        <v>0.5</v>
      </c>
      <c r="E723" s="36">
        <v>7.6</v>
      </c>
      <c r="F723" s="36">
        <f t="shared" si="150"/>
        <v>3.8</v>
      </c>
      <c r="G723" s="37">
        <f t="shared" si="151"/>
        <v>0</v>
      </c>
      <c r="H723" s="38">
        <f t="shared" si="152"/>
        <v>0</v>
      </c>
      <c r="I723" s="37">
        <f t="shared" si="153"/>
        <v>0</v>
      </c>
      <c r="J723" s="38">
        <v>0</v>
      </c>
      <c r="K723" s="37">
        <f t="shared" si="154"/>
        <v>0</v>
      </c>
      <c r="L723" s="38">
        <v>0</v>
      </c>
    </row>
    <row r="724" spans="1:12" s="39" customFormat="1" ht="28.95" customHeight="1" outlineLevel="1" x14ac:dyDescent="0.25">
      <c r="A724" s="33">
        <v>84</v>
      </c>
      <c r="B724" s="34" t="s">
        <v>539</v>
      </c>
      <c r="C724" s="35" t="s">
        <v>55</v>
      </c>
      <c r="D724" s="36">
        <v>1</v>
      </c>
      <c r="E724" s="36">
        <v>51.811999999999998</v>
      </c>
      <c r="F724" s="36">
        <f t="shared" si="150"/>
        <v>51.811999999999998</v>
      </c>
      <c r="G724" s="37">
        <f t="shared" si="151"/>
        <v>0</v>
      </c>
      <c r="H724" s="38">
        <f t="shared" si="152"/>
        <v>0</v>
      </c>
      <c r="I724" s="37">
        <f t="shared" si="153"/>
        <v>0</v>
      </c>
      <c r="J724" s="38">
        <v>0</v>
      </c>
      <c r="K724" s="37">
        <f t="shared" si="154"/>
        <v>0</v>
      </c>
      <c r="L724" s="38">
        <v>0</v>
      </c>
    </row>
    <row r="725" spans="1:12" s="39" customFormat="1" ht="28.95" customHeight="1" outlineLevel="1" x14ac:dyDescent="0.25">
      <c r="A725" s="33">
        <v>85</v>
      </c>
      <c r="B725" s="34" t="s">
        <v>521</v>
      </c>
      <c r="C725" s="35" t="s">
        <v>55</v>
      </c>
      <c r="D725" s="36">
        <v>1</v>
      </c>
      <c r="E725" s="36">
        <v>36.422199999999997</v>
      </c>
      <c r="F725" s="36">
        <f t="shared" si="150"/>
        <v>36.422199999999997</v>
      </c>
      <c r="G725" s="37">
        <f t="shared" si="151"/>
        <v>0</v>
      </c>
      <c r="H725" s="38">
        <f t="shared" si="152"/>
        <v>0</v>
      </c>
      <c r="I725" s="37">
        <f t="shared" si="153"/>
        <v>0</v>
      </c>
      <c r="J725" s="38">
        <v>0</v>
      </c>
      <c r="K725" s="37">
        <f t="shared" si="154"/>
        <v>0</v>
      </c>
      <c r="L725" s="38">
        <v>0</v>
      </c>
    </row>
    <row r="726" spans="1:12" s="39" customFormat="1" ht="15.45" customHeight="1" outlineLevel="1" x14ac:dyDescent="0.25">
      <c r="A726" s="33">
        <v>86</v>
      </c>
      <c r="B726" s="34" t="s">
        <v>508</v>
      </c>
      <c r="C726" s="35" t="s">
        <v>55</v>
      </c>
      <c r="D726" s="36">
        <v>1</v>
      </c>
      <c r="E726" s="36">
        <v>31.45</v>
      </c>
      <c r="F726" s="36">
        <f t="shared" si="150"/>
        <v>31.45</v>
      </c>
      <c r="G726" s="37">
        <f t="shared" si="151"/>
        <v>0</v>
      </c>
      <c r="H726" s="38">
        <f t="shared" si="152"/>
        <v>0</v>
      </c>
      <c r="I726" s="37">
        <f t="shared" si="153"/>
        <v>0</v>
      </c>
      <c r="J726" s="38">
        <v>0</v>
      </c>
      <c r="K726" s="37">
        <f t="shared" si="154"/>
        <v>0</v>
      </c>
      <c r="L726" s="38">
        <v>0</v>
      </c>
    </row>
    <row r="727" spans="1:12" s="39" customFormat="1" ht="15.45" customHeight="1" outlineLevel="1" x14ac:dyDescent="0.25">
      <c r="A727" s="33">
        <v>87</v>
      </c>
      <c r="B727" s="34" t="s">
        <v>510</v>
      </c>
      <c r="C727" s="35" t="s">
        <v>55</v>
      </c>
      <c r="D727" s="36">
        <v>2</v>
      </c>
      <c r="E727" s="36">
        <v>21.5</v>
      </c>
      <c r="F727" s="36">
        <f t="shared" si="150"/>
        <v>43</v>
      </c>
      <c r="G727" s="37">
        <f t="shared" si="151"/>
        <v>0</v>
      </c>
      <c r="H727" s="38">
        <f t="shared" si="152"/>
        <v>0</v>
      </c>
      <c r="I727" s="37">
        <f t="shared" si="153"/>
        <v>0</v>
      </c>
      <c r="J727" s="38">
        <v>0</v>
      </c>
      <c r="K727" s="37">
        <f t="shared" si="154"/>
        <v>0</v>
      </c>
      <c r="L727" s="38">
        <v>0</v>
      </c>
    </row>
    <row r="728" spans="1:12" s="39" customFormat="1" ht="15.45" customHeight="1" outlineLevel="1" x14ac:dyDescent="0.25">
      <c r="A728" s="33">
        <v>88</v>
      </c>
      <c r="B728" s="34" t="s">
        <v>527</v>
      </c>
      <c r="C728" s="35" t="s">
        <v>55</v>
      </c>
      <c r="D728" s="36">
        <v>1</v>
      </c>
      <c r="E728" s="36">
        <v>4.3411999999999988</v>
      </c>
      <c r="F728" s="36">
        <f t="shared" si="150"/>
        <v>4.3411999999999988</v>
      </c>
      <c r="G728" s="37">
        <f t="shared" si="151"/>
        <v>0</v>
      </c>
      <c r="H728" s="38">
        <f t="shared" si="152"/>
        <v>0</v>
      </c>
      <c r="I728" s="37">
        <f t="shared" si="153"/>
        <v>0</v>
      </c>
      <c r="J728" s="38">
        <v>0</v>
      </c>
      <c r="K728" s="37">
        <f t="shared" si="154"/>
        <v>0</v>
      </c>
      <c r="L728" s="38">
        <v>0</v>
      </c>
    </row>
    <row r="729" spans="1:12" s="39" customFormat="1" ht="15.45" customHeight="1" outlineLevel="1" x14ac:dyDescent="0.25">
      <c r="A729" s="33">
        <v>89</v>
      </c>
      <c r="B729" s="34" t="s">
        <v>528</v>
      </c>
      <c r="C729" s="35" t="s">
        <v>55</v>
      </c>
      <c r="D729" s="36">
        <v>1</v>
      </c>
      <c r="E729" s="36">
        <v>4.3921999999999999</v>
      </c>
      <c r="F729" s="36">
        <f t="shared" si="150"/>
        <v>4.3921999999999999</v>
      </c>
      <c r="G729" s="37">
        <f t="shared" si="151"/>
        <v>0</v>
      </c>
      <c r="H729" s="38">
        <f t="shared" si="152"/>
        <v>0</v>
      </c>
      <c r="I729" s="37">
        <f t="shared" si="153"/>
        <v>0</v>
      </c>
      <c r="J729" s="38">
        <v>0</v>
      </c>
      <c r="K729" s="37">
        <f t="shared" si="154"/>
        <v>0</v>
      </c>
      <c r="L729" s="38">
        <v>0</v>
      </c>
    </row>
    <row r="730" spans="1:12" s="39" customFormat="1" ht="15.45" customHeight="1" outlineLevel="1" x14ac:dyDescent="0.25">
      <c r="A730" s="33">
        <v>90</v>
      </c>
      <c r="B730" s="34" t="s">
        <v>523</v>
      </c>
      <c r="C730" s="35" t="s">
        <v>55</v>
      </c>
      <c r="D730" s="36">
        <v>1</v>
      </c>
      <c r="E730" s="36">
        <v>4.3921999999999999</v>
      </c>
      <c r="F730" s="36">
        <f t="shared" si="150"/>
        <v>4.3921999999999999</v>
      </c>
      <c r="G730" s="37">
        <f t="shared" si="151"/>
        <v>0</v>
      </c>
      <c r="H730" s="38">
        <f t="shared" si="152"/>
        <v>0</v>
      </c>
      <c r="I730" s="37">
        <f t="shared" si="153"/>
        <v>0</v>
      </c>
      <c r="J730" s="38">
        <v>0</v>
      </c>
      <c r="K730" s="37">
        <f t="shared" si="154"/>
        <v>0</v>
      </c>
      <c r="L730" s="38">
        <v>0</v>
      </c>
    </row>
    <row r="731" spans="1:12" s="39" customFormat="1" ht="15.45" customHeight="1" outlineLevel="1" x14ac:dyDescent="0.25">
      <c r="A731" s="33">
        <v>91</v>
      </c>
      <c r="B731" s="34" t="s">
        <v>513</v>
      </c>
      <c r="C731" s="35" t="s">
        <v>55</v>
      </c>
      <c r="D731" s="36">
        <v>6</v>
      </c>
      <c r="E731" s="36">
        <v>14.879799999999999</v>
      </c>
      <c r="F731" s="36">
        <f t="shared" si="150"/>
        <v>89.27879999999999</v>
      </c>
      <c r="G731" s="37">
        <f t="shared" si="151"/>
        <v>0</v>
      </c>
      <c r="H731" s="38">
        <f t="shared" si="152"/>
        <v>0</v>
      </c>
      <c r="I731" s="37">
        <f t="shared" si="153"/>
        <v>0</v>
      </c>
      <c r="J731" s="38">
        <v>0</v>
      </c>
      <c r="K731" s="37">
        <f t="shared" si="154"/>
        <v>0</v>
      </c>
      <c r="L731" s="38">
        <v>0</v>
      </c>
    </row>
    <row r="732" spans="1:12" s="39" customFormat="1" ht="28.95" customHeight="1" outlineLevel="1" x14ac:dyDescent="0.25">
      <c r="A732" s="33">
        <v>92</v>
      </c>
      <c r="B732" s="34" t="s">
        <v>540</v>
      </c>
      <c r="C732" s="35" t="s">
        <v>55</v>
      </c>
      <c r="D732" s="36">
        <v>1</v>
      </c>
      <c r="E732" s="36">
        <v>51.811999999999998</v>
      </c>
      <c r="F732" s="36">
        <f t="shared" si="150"/>
        <v>51.811999999999998</v>
      </c>
      <c r="G732" s="37">
        <f t="shared" si="151"/>
        <v>0</v>
      </c>
      <c r="H732" s="38">
        <f t="shared" si="152"/>
        <v>0</v>
      </c>
      <c r="I732" s="37">
        <f t="shared" si="153"/>
        <v>0</v>
      </c>
      <c r="J732" s="38">
        <v>0</v>
      </c>
      <c r="K732" s="37">
        <f t="shared" si="154"/>
        <v>0</v>
      </c>
      <c r="L732" s="38">
        <v>0</v>
      </c>
    </row>
    <row r="733" spans="1:12" s="39" customFormat="1" ht="28.95" customHeight="1" outlineLevel="1" x14ac:dyDescent="0.25">
      <c r="A733" s="33">
        <v>93</v>
      </c>
      <c r="B733" s="34" t="s">
        <v>521</v>
      </c>
      <c r="C733" s="35" t="s">
        <v>55</v>
      </c>
      <c r="D733" s="36">
        <v>1</v>
      </c>
      <c r="E733" s="36">
        <v>36.422199999999997</v>
      </c>
      <c r="F733" s="36">
        <f t="shared" si="150"/>
        <v>36.422199999999997</v>
      </c>
      <c r="G733" s="37">
        <f t="shared" si="151"/>
        <v>0</v>
      </c>
      <c r="H733" s="38">
        <f t="shared" si="152"/>
        <v>0</v>
      </c>
      <c r="I733" s="37">
        <f t="shared" si="153"/>
        <v>0</v>
      </c>
      <c r="J733" s="38">
        <v>0</v>
      </c>
      <c r="K733" s="37">
        <f t="shared" si="154"/>
        <v>0</v>
      </c>
      <c r="L733" s="38">
        <v>0</v>
      </c>
    </row>
    <row r="734" spans="1:12" s="39" customFormat="1" ht="15.45" customHeight="1" outlineLevel="1" x14ac:dyDescent="0.25">
      <c r="A734" s="33">
        <v>94</v>
      </c>
      <c r="B734" s="34" t="s">
        <v>508</v>
      </c>
      <c r="C734" s="35" t="s">
        <v>55</v>
      </c>
      <c r="D734" s="36">
        <v>1</v>
      </c>
      <c r="E734" s="36">
        <v>31.45</v>
      </c>
      <c r="F734" s="36">
        <f t="shared" si="150"/>
        <v>31.45</v>
      </c>
      <c r="G734" s="37">
        <f t="shared" si="151"/>
        <v>0</v>
      </c>
      <c r="H734" s="38">
        <f t="shared" si="152"/>
        <v>0</v>
      </c>
      <c r="I734" s="37">
        <f t="shared" si="153"/>
        <v>0</v>
      </c>
      <c r="J734" s="38">
        <v>0</v>
      </c>
      <c r="K734" s="37">
        <f t="shared" si="154"/>
        <v>0</v>
      </c>
      <c r="L734" s="38">
        <v>0</v>
      </c>
    </row>
    <row r="735" spans="1:12" s="39" customFormat="1" ht="15.45" customHeight="1" outlineLevel="1" x14ac:dyDescent="0.25">
      <c r="A735" s="33">
        <v>95</v>
      </c>
      <c r="B735" s="34" t="s">
        <v>541</v>
      </c>
      <c r="C735" s="35" t="s">
        <v>55</v>
      </c>
      <c r="D735" s="36">
        <v>1</v>
      </c>
      <c r="E735" s="36">
        <v>6.9931999999999999</v>
      </c>
      <c r="F735" s="36">
        <f t="shared" si="150"/>
        <v>6.9931999999999999</v>
      </c>
      <c r="G735" s="37">
        <f t="shared" si="151"/>
        <v>0</v>
      </c>
      <c r="H735" s="38">
        <f t="shared" si="152"/>
        <v>0</v>
      </c>
      <c r="I735" s="37">
        <f t="shared" si="153"/>
        <v>0</v>
      </c>
      <c r="J735" s="38">
        <v>0</v>
      </c>
      <c r="K735" s="37">
        <f t="shared" si="154"/>
        <v>0</v>
      </c>
      <c r="L735" s="38">
        <v>0</v>
      </c>
    </row>
    <row r="736" spans="1:12" s="39" customFormat="1" ht="15.45" customHeight="1" outlineLevel="1" x14ac:dyDescent="0.25">
      <c r="A736" s="33">
        <v>96</v>
      </c>
      <c r="B736" s="34" t="s">
        <v>527</v>
      </c>
      <c r="C736" s="35" t="s">
        <v>55</v>
      </c>
      <c r="D736" s="36">
        <v>1</v>
      </c>
      <c r="E736" s="36">
        <v>4.3411999999999988</v>
      </c>
      <c r="F736" s="36">
        <f t="shared" si="150"/>
        <v>4.3411999999999988</v>
      </c>
      <c r="G736" s="37">
        <f t="shared" si="151"/>
        <v>0</v>
      </c>
      <c r="H736" s="38">
        <f t="shared" si="152"/>
        <v>0</v>
      </c>
      <c r="I736" s="37">
        <f t="shared" si="153"/>
        <v>0</v>
      </c>
      <c r="J736" s="38">
        <v>0</v>
      </c>
      <c r="K736" s="37">
        <f t="shared" si="154"/>
        <v>0</v>
      </c>
      <c r="L736" s="38">
        <v>0</v>
      </c>
    </row>
    <row r="737" spans="1:12" s="39" customFormat="1" ht="15.45" customHeight="1" outlineLevel="1" x14ac:dyDescent="0.25">
      <c r="A737" s="33">
        <v>97</v>
      </c>
      <c r="B737" s="34" t="s">
        <v>528</v>
      </c>
      <c r="C737" s="35" t="s">
        <v>55</v>
      </c>
      <c r="D737" s="36">
        <v>8</v>
      </c>
      <c r="E737" s="36">
        <v>4.3921999999999999</v>
      </c>
      <c r="F737" s="36">
        <f t="shared" ref="F737:F768" si="155">+E737*D737</f>
        <v>35.137599999999999</v>
      </c>
      <c r="G737" s="37">
        <f t="shared" ref="G737:G768" si="156">I737+K737</f>
        <v>0</v>
      </c>
      <c r="H737" s="38">
        <f t="shared" ref="H737:H768" si="157">J737+L737</f>
        <v>0</v>
      </c>
      <c r="I737" s="37">
        <f t="shared" ref="I737:I768" si="158">J737/F737</f>
        <v>0</v>
      </c>
      <c r="J737" s="38">
        <v>0</v>
      </c>
      <c r="K737" s="37">
        <f t="shared" ref="K737:K768" si="159">L737/F737</f>
        <v>0</v>
      </c>
      <c r="L737" s="38">
        <v>0</v>
      </c>
    </row>
    <row r="738" spans="1:12" s="39" customFormat="1" ht="15.45" customHeight="1" outlineLevel="1" x14ac:dyDescent="0.25">
      <c r="A738" s="33">
        <v>98</v>
      </c>
      <c r="B738" s="34" t="s">
        <v>523</v>
      </c>
      <c r="C738" s="35" t="s">
        <v>55</v>
      </c>
      <c r="D738" s="36">
        <v>1</v>
      </c>
      <c r="E738" s="36">
        <v>4.3921999999999999</v>
      </c>
      <c r="F738" s="36">
        <f t="shared" si="155"/>
        <v>4.3921999999999999</v>
      </c>
      <c r="G738" s="37">
        <f t="shared" si="156"/>
        <v>0</v>
      </c>
      <c r="H738" s="38">
        <f t="shared" si="157"/>
        <v>0</v>
      </c>
      <c r="I738" s="37">
        <f t="shared" si="158"/>
        <v>0</v>
      </c>
      <c r="J738" s="38">
        <v>0</v>
      </c>
      <c r="K738" s="37">
        <f t="shared" si="159"/>
        <v>0</v>
      </c>
      <c r="L738" s="38">
        <v>0</v>
      </c>
    </row>
    <row r="739" spans="1:12" s="39" customFormat="1" ht="15.45" customHeight="1" outlineLevel="1" x14ac:dyDescent="0.25">
      <c r="A739" s="33">
        <v>99</v>
      </c>
      <c r="B739" s="34" t="s">
        <v>513</v>
      </c>
      <c r="C739" s="35" t="s">
        <v>55</v>
      </c>
      <c r="D739" s="36">
        <v>12</v>
      </c>
      <c r="E739" s="36">
        <v>14.879799999999999</v>
      </c>
      <c r="F739" s="36">
        <f t="shared" si="155"/>
        <v>178.55759999999998</v>
      </c>
      <c r="G739" s="37">
        <f t="shared" si="156"/>
        <v>0</v>
      </c>
      <c r="H739" s="38">
        <f t="shared" si="157"/>
        <v>0</v>
      </c>
      <c r="I739" s="37">
        <f t="shared" si="158"/>
        <v>0</v>
      </c>
      <c r="J739" s="38">
        <v>0</v>
      </c>
      <c r="K739" s="37">
        <f t="shared" si="159"/>
        <v>0</v>
      </c>
      <c r="L739" s="38">
        <v>0</v>
      </c>
    </row>
    <row r="740" spans="1:12" s="39" customFormat="1" ht="28.95" customHeight="1" outlineLevel="1" x14ac:dyDescent="0.25">
      <c r="A740" s="33">
        <v>100</v>
      </c>
      <c r="B740" s="34" t="s">
        <v>542</v>
      </c>
      <c r="C740" s="35" t="s">
        <v>55</v>
      </c>
      <c r="D740" s="36">
        <v>125</v>
      </c>
      <c r="E740" s="36">
        <v>3.9434</v>
      </c>
      <c r="F740" s="36">
        <f t="shared" si="155"/>
        <v>492.92500000000001</v>
      </c>
      <c r="G740" s="37">
        <f t="shared" si="156"/>
        <v>0</v>
      </c>
      <c r="H740" s="38">
        <f t="shared" si="157"/>
        <v>0</v>
      </c>
      <c r="I740" s="37">
        <f t="shared" si="158"/>
        <v>0</v>
      </c>
      <c r="J740" s="38">
        <v>0</v>
      </c>
      <c r="K740" s="37">
        <f t="shared" si="159"/>
        <v>0</v>
      </c>
      <c r="L740" s="38">
        <v>0</v>
      </c>
    </row>
    <row r="741" spans="1:12" s="39" customFormat="1" ht="28.95" customHeight="1" outlineLevel="1" x14ac:dyDescent="0.25">
      <c r="A741" s="33">
        <v>101</v>
      </c>
      <c r="B741" s="34" t="s">
        <v>543</v>
      </c>
      <c r="C741" s="35" t="s">
        <v>55</v>
      </c>
      <c r="D741" s="36">
        <v>24</v>
      </c>
      <c r="E741" s="36">
        <v>4.4125999999999994</v>
      </c>
      <c r="F741" s="36">
        <f t="shared" si="155"/>
        <v>105.90239999999999</v>
      </c>
      <c r="G741" s="37">
        <f t="shared" si="156"/>
        <v>0</v>
      </c>
      <c r="H741" s="38">
        <f t="shared" si="157"/>
        <v>0</v>
      </c>
      <c r="I741" s="37">
        <f t="shared" si="158"/>
        <v>0</v>
      </c>
      <c r="J741" s="38">
        <v>0</v>
      </c>
      <c r="K741" s="37">
        <f t="shared" si="159"/>
        <v>0</v>
      </c>
      <c r="L741" s="38">
        <v>0</v>
      </c>
    </row>
    <row r="742" spans="1:12" s="39" customFormat="1" ht="28.95" customHeight="1" outlineLevel="1" x14ac:dyDescent="0.25">
      <c r="A742" s="33">
        <v>102</v>
      </c>
      <c r="B742" s="34" t="s">
        <v>544</v>
      </c>
      <c r="C742" s="35" t="s">
        <v>55</v>
      </c>
      <c r="D742" s="36">
        <v>10</v>
      </c>
      <c r="E742" s="36">
        <v>5.1980000000000004</v>
      </c>
      <c r="F742" s="36">
        <f t="shared" si="155"/>
        <v>51.980000000000004</v>
      </c>
      <c r="G742" s="37">
        <f t="shared" si="156"/>
        <v>0</v>
      </c>
      <c r="H742" s="38">
        <f t="shared" si="157"/>
        <v>0</v>
      </c>
      <c r="I742" s="37">
        <f t="shared" si="158"/>
        <v>0</v>
      </c>
      <c r="J742" s="38">
        <v>0</v>
      </c>
      <c r="K742" s="37">
        <f t="shared" si="159"/>
        <v>0</v>
      </c>
      <c r="L742" s="38">
        <v>0</v>
      </c>
    </row>
    <row r="743" spans="1:12" s="39" customFormat="1" ht="28.95" customHeight="1" outlineLevel="1" x14ac:dyDescent="0.25">
      <c r="A743" s="33">
        <v>103</v>
      </c>
      <c r="B743" s="34" t="s">
        <v>545</v>
      </c>
      <c r="C743" s="35" t="s">
        <v>55</v>
      </c>
      <c r="D743" s="36">
        <v>159</v>
      </c>
      <c r="E743" s="36">
        <v>4.5064000000000002</v>
      </c>
      <c r="F743" s="36">
        <f t="shared" si="155"/>
        <v>716.51760000000002</v>
      </c>
      <c r="G743" s="37">
        <f t="shared" si="156"/>
        <v>0</v>
      </c>
      <c r="H743" s="38">
        <f t="shared" si="157"/>
        <v>0</v>
      </c>
      <c r="I743" s="37">
        <f t="shared" si="158"/>
        <v>0</v>
      </c>
      <c r="J743" s="38">
        <v>0</v>
      </c>
      <c r="K743" s="37">
        <f t="shared" si="159"/>
        <v>0</v>
      </c>
      <c r="L743" s="38">
        <v>0</v>
      </c>
    </row>
    <row r="744" spans="1:12" s="39" customFormat="1" ht="15.45" customHeight="1" outlineLevel="1" x14ac:dyDescent="0.25">
      <c r="A744" s="33">
        <v>104</v>
      </c>
      <c r="B744" s="34" t="s">
        <v>546</v>
      </c>
      <c r="C744" s="35" t="s">
        <v>55</v>
      </c>
      <c r="D744" s="36">
        <v>30</v>
      </c>
      <c r="E744" s="36">
        <v>5.1877999999999993</v>
      </c>
      <c r="F744" s="36">
        <f t="shared" si="155"/>
        <v>155.63399999999999</v>
      </c>
      <c r="G744" s="37">
        <f t="shared" si="156"/>
        <v>0</v>
      </c>
      <c r="H744" s="38">
        <f t="shared" si="157"/>
        <v>0</v>
      </c>
      <c r="I744" s="37">
        <f t="shared" si="158"/>
        <v>0</v>
      </c>
      <c r="J744" s="38">
        <v>0</v>
      </c>
      <c r="K744" s="37">
        <f t="shared" si="159"/>
        <v>0</v>
      </c>
      <c r="L744" s="38">
        <v>0</v>
      </c>
    </row>
    <row r="745" spans="1:12" s="45" customFormat="1" ht="15.45" customHeight="1" x14ac:dyDescent="0.3">
      <c r="A745" s="33">
        <v>105</v>
      </c>
      <c r="B745" s="34" t="s">
        <v>547</v>
      </c>
      <c r="C745" s="35" t="s">
        <v>55</v>
      </c>
      <c r="D745" s="36">
        <v>30</v>
      </c>
      <c r="E745" s="36">
        <v>9.1780000000000008</v>
      </c>
      <c r="F745" s="36">
        <f t="shared" si="155"/>
        <v>275.34000000000003</v>
      </c>
      <c r="G745" s="37">
        <f t="shared" si="156"/>
        <v>0</v>
      </c>
      <c r="H745" s="38">
        <f t="shared" si="157"/>
        <v>0</v>
      </c>
      <c r="I745" s="37">
        <f t="shared" si="158"/>
        <v>0</v>
      </c>
      <c r="J745" s="38">
        <v>0</v>
      </c>
      <c r="K745" s="37">
        <f t="shared" si="159"/>
        <v>0</v>
      </c>
      <c r="L745" s="38">
        <v>0</v>
      </c>
    </row>
    <row r="746" spans="1:12" s="39" customFormat="1" ht="15.45" customHeight="1" outlineLevel="1" x14ac:dyDescent="0.25">
      <c r="A746" s="33">
        <v>106</v>
      </c>
      <c r="B746" s="34" t="s">
        <v>548</v>
      </c>
      <c r="C746" s="35" t="s">
        <v>55</v>
      </c>
      <c r="D746" s="36">
        <v>189</v>
      </c>
      <c r="E746" s="36">
        <v>0.9</v>
      </c>
      <c r="F746" s="36">
        <f t="shared" si="155"/>
        <v>170.1</v>
      </c>
      <c r="G746" s="37">
        <f t="shared" si="156"/>
        <v>0</v>
      </c>
      <c r="H746" s="38">
        <f t="shared" si="157"/>
        <v>0</v>
      </c>
      <c r="I746" s="37">
        <f t="shared" si="158"/>
        <v>0</v>
      </c>
      <c r="J746" s="38">
        <v>0</v>
      </c>
      <c r="K746" s="37">
        <f t="shared" si="159"/>
        <v>0</v>
      </c>
      <c r="L746" s="38">
        <v>0</v>
      </c>
    </row>
    <row r="747" spans="1:12" s="39" customFormat="1" ht="15.45" customHeight="1" outlineLevel="1" x14ac:dyDescent="0.25">
      <c r="A747" s="33">
        <v>107</v>
      </c>
      <c r="B747" s="34" t="s">
        <v>549</v>
      </c>
      <c r="C747" s="35" t="s">
        <v>55</v>
      </c>
      <c r="D747" s="36">
        <v>70</v>
      </c>
      <c r="E747" s="36">
        <v>0.9</v>
      </c>
      <c r="F747" s="36">
        <f t="shared" si="155"/>
        <v>63</v>
      </c>
      <c r="G747" s="37">
        <f t="shared" si="156"/>
        <v>0</v>
      </c>
      <c r="H747" s="38">
        <f t="shared" si="157"/>
        <v>0</v>
      </c>
      <c r="I747" s="37">
        <f t="shared" si="158"/>
        <v>0</v>
      </c>
      <c r="J747" s="38">
        <v>0</v>
      </c>
      <c r="K747" s="37">
        <f t="shared" si="159"/>
        <v>0</v>
      </c>
      <c r="L747" s="38">
        <v>0</v>
      </c>
    </row>
    <row r="748" spans="1:12" s="39" customFormat="1" ht="15.45" customHeight="1" outlineLevel="1" x14ac:dyDescent="0.25">
      <c r="A748" s="33">
        <v>108</v>
      </c>
      <c r="B748" s="34" t="s">
        <v>550</v>
      </c>
      <c r="C748" s="35" t="s">
        <v>55</v>
      </c>
      <c r="D748" s="36">
        <v>2</v>
      </c>
      <c r="E748" s="36">
        <v>21.5</v>
      </c>
      <c r="F748" s="36">
        <f t="shared" si="155"/>
        <v>43</v>
      </c>
      <c r="G748" s="37">
        <f t="shared" si="156"/>
        <v>0</v>
      </c>
      <c r="H748" s="38">
        <f t="shared" si="157"/>
        <v>0</v>
      </c>
      <c r="I748" s="37">
        <f t="shared" si="158"/>
        <v>0</v>
      </c>
      <c r="J748" s="38">
        <v>0</v>
      </c>
      <c r="K748" s="37">
        <f t="shared" si="159"/>
        <v>0</v>
      </c>
      <c r="L748" s="38">
        <v>0</v>
      </c>
    </row>
    <row r="749" spans="1:12" s="39" customFormat="1" ht="15.45" customHeight="1" outlineLevel="1" x14ac:dyDescent="0.25">
      <c r="A749" s="33">
        <v>109</v>
      </c>
      <c r="B749" s="34" t="s">
        <v>551</v>
      </c>
      <c r="C749" s="35" t="s">
        <v>55</v>
      </c>
      <c r="D749" s="36">
        <v>1</v>
      </c>
      <c r="E749" s="36">
        <v>6.9931999999999999</v>
      </c>
      <c r="F749" s="36">
        <f t="shared" si="155"/>
        <v>6.9931999999999999</v>
      </c>
      <c r="G749" s="37">
        <f t="shared" si="156"/>
        <v>0</v>
      </c>
      <c r="H749" s="38">
        <f t="shared" si="157"/>
        <v>0</v>
      </c>
      <c r="I749" s="37">
        <f t="shared" si="158"/>
        <v>0</v>
      </c>
      <c r="J749" s="38">
        <v>0</v>
      </c>
      <c r="K749" s="37">
        <f t="shared" si="159"/>
        <v>0</v>
      </c>
      <c r="L749" s="38">
        <v>0</v>
      </c>
    </row>
    <row r="750" spans="1:12" s="39" customFormat="1" ht="15.45" customHeight="1" outlineLevel="1" x14ac:dyDescent="0.25">
      <c r="A750" s="33">
        <v>110</v>
      </c>
      <c r="B750" s="34" t="s">
        <v>513</v>
      </c>
      <c r="C750" s="35" t="s">
        <v>55</v>
      </c>
      <c r="D750" s="36">
        <v>3</v>
      </c>
      <c r="E750" s="36">
        <v>14.879799999999999</v>
      </c>
      <c r="F750" s="36">
        <f t="shared" si="155"/>
        <v>44.639399999999995</v>
      </c>
      <c r="G750" s="37">
        <f t="shared" si="156"/>
        <v>0</v>
      </c>
      <c r="H750" s="38">
        <f t="shared" si="157"/>
        <v>0</v>
      </c>
      <c r="I750" s="37">
        <f t="shared" si="158"/>
        <v>0</v>
      </c>
      <c r="J750" s="38">
        <v>0</v>
      </c>
      <c r="K750" s="37">
        <f t="shared" si="159"/>
        <v>0</v>
      </c>
      <c r="L750" s="38">
        <v>0</v>
      </c>
    </row>
    <row r="751" spans="1:12" s="39" customFormat="1" ht="15.45" customHeight="1" outlineLevel="1" x14ac:dyDescent="0.25">
      <c r="A751" s="33">
        <v>111</v>
      </c>
      <c r="B751" s="34" t="s">
        <v>552</v>
      </c>
      <c r="C751" s="35" t="s">
        <v>55</v>
      </c>
      <c r="D751" s="36">
        <v>2</v>
      </c>
      <c r="E751" s="36">
        <v>4.9735999999999994</v>
      </c>
      <c r="F751" s="36">
        <f t="shared" si="155"/>
        <v>9.9471999999999987</v>
      </c>
      <c r="G751" s="37">
        <f t="shared" si="156"/>
        <v>0</v>
      </c>
      <c r="H751" s="38">
        <f t="shared" si="157"/>
        <v>0</v>
      </c>
      <c r="I751" s="37">
        <f t="shared" si="158"/>
        <v>0</v>
      </c>
      <c r="J751" s="38">
        <v>0</v>
      </c>
      <c r="K751" s="37">
        <f t="shared" si="159"/>
        <v>0</v>
      </c>
      <c r="L751" s="38">
        <v>0</v>
      </c>
    </row>
    <row r="752" spans="1:12" s="39" customFormat="1" ht="15.45" customHeight="1" outlineLevel="1" x14ac:dyDescent="0.25">
      <c r="A752" s="33">
        <v>112</v>
      </c>
      <c r="B752" s="34" t="s">
        <v>513</v>
      </c>
      <c r="C752" s="35" t="s">
        <v>55</v>
      </c>
      <c r="D752" s="36">
        <v>2</v>
      </c>
      <c r="E752" s="36">
        <v>14.879799999999999</v>
      </c>
      <c r="F752" s="36">
        <f t="shared" si="155"/>
        <v>29.759599999999999</v>
      </c>
      <c r="G752" s="37">
        <f t="shared" si="156"/>
        <v>0</v>
      </c>
      <c r="H752" s="38">
        <f t="shared" si="157"/>
        <v>0</v>
      </c>
      <c r="I752" s="37">
        <f t="shared" si="158"/>
        <v>0</v>
      </c>
      <c r="J752" s="38">
        <v>0</v>
      </c>
      <c r="K752" s="37">
        <f t="shared" si="159"/>
        <v>0</v>
      </c>
      <c r="L752" s="38">
        <v>0</v>
      </c>
    </row>
    <row r="753" spans="1:12" s="39" customFormat="1" ht="15.45" customHeight="1" outlineLevel="1" x14ac:dyDescent="0.25">
      <c r="A753" s="33">
        <v>113</v>
      </c>
      <c r="B753" s="34" t="s">
        <v>553</v>
      </c>
      <c r="C753" s="35" t="s">
        <v>50</v>
      </c>
      <c r="D753" s="36">
        <v>2510</v>
      </c>
      <c r="E753" s="36">
        <v>0.9</v>
      </c>
      <c r="F753" s="36">
        <f t="shared" si="155"/>
        <v>2259</v>
      </c>
      <c r="G753" s="37">
        <f t="shared" si="156"/>
        <v>0</v>
      </c>
      <c r="H753" s="38">
        <f t="shared" si="157"/>
        <v>0</v>
      </c>
      <c r="I753" s="37">
        <f t="shared" si="158"/>
        <v>0</v>
      </c>
      <c r="J753" s="38">
        <v>0</v>
      </c>
      <c r="K753" s="37">
        <f t="shared" si="159"/>
        <v>0</v>
      </c>
      <c r="L753" s="38">
        <v>0</v>
      </c>
    </row>
    <row r="754" spans="1:12" s="39" customFormat="1" ht="28.95" customHeight="1" outlineLevel="1" x14ac:dyDescent="0.25">
      <c r="A754" s="33">
        <v>114</v>
      </c>
      <c r="B754" s="34" t="s">
        <v>554</v>
      </c>
      <c r="C754" s="35" t="s">
        <v>50</v>
      </c>
      <c r="D754" s="36">
        <v>2510</v>
      </c>
      <c r="E754" s="36">
        <v>2.242</v>
      </c>
      <c r="F754" s="36">
        <f t="shared" si="155"/>
        <v>5627.42</v>
      </c>
      <c r="G754" s="37">
        <f t="shared" si="156"/>
        <v>0</v>
      </c>
      <c r="H754" s="38">
        <f t="shared" si="157"/>
        <v>0</v>
      </c>
      <c r="I754" s="37">
        <f t="shared" si="158"/>
        <v>0</v>
      </c>
      <c r="J754" s="38">
        <v>0</v>
      </c>
      <c r="K754" s="37">
        <f t="shared" si="159"/>
        <v>0</v>
      </c>
      <c r="L754" s="38">
        <v>0</v>
      </c>
    </row>
    <row r="755" spans="1:12" s="39" customFormat="1" ht="43.5" customHeight="1" outlineLevel="1" x14ac:dyDescent="0.25">
      <c r="A755" s="33">
        <v>115</v>
      </c>
      <c r="B755" s="34" t="s">
        <v>555</v>
      </c>
      <c r="C755" s="35" t="s">
        <v>50</v>
      </c>
      <c r="D755" s="36">
        <v>232</v>
      </c>
      <c r="E755" s="36">
        <v>1.2098</v>
      </c>
      <c r="F755" s="36">
        <f t="shared" si="155"/>
        <v>280.67360000000002</v>
      </c>
      <c r="G755" s="37">
        <f t="shared" si="156"/>
        <v>0</v>
      </c>
      <c r="H755" s="38">
        <f t="shared" si="157"/>
        <v>0</v>
      </c>
      <c r="I755" s="37">
        <f t="shared" si="158"/>
        <v>0</v>
      </c>
      <c r="J755" s="38">
        <v>0</v>
      </c>
      <c r="K755" s="37">
        <f t="shared" si="159"/>
        <v>0</v>
      </c>
      <c r="L755" s="38">
        <v>0</v>
      </c>
    </row>
    <row r="756" spans="1:12" s="39" customFormat="1" ht="43.5" customHeight="1" outlineLevel="1" x14ac:dyDescent="0.25">
      <c r="A756" s="33">
        <v>116</v>
      </c>
      <c r="B756" s="34" t="s">
        <v>556</v>
      </c>
      <c r="C756" s="35" t="s">
        <v>50</v>
      </c>
      <c r="D756" s="36">
        <v>50</v>
      </c>
      <c r="E756" s="36">
        <v>1.8728</v>
      </c>
      <c r="F756" s="36">
        <f t="shared" si="155"/>
        <v>93.64</v>
      </c>
      <c r="G756" s="37">
        <f t="shared" si="156"/>
        <v>0</v>
      </c>
      <c r="H756" s="38">
        <f t="shared" si="157"/>
        <v>0</v>
      </c>
      <c r="I756" s="37">
        <f t="shared" si="158"/>
        <v>0</v>
      </c>
      <c r="J756" s="38">
        <v>0</v>
      </c>
      <c r="K756" s="37">
        <f t="shared" si="159"/>
        <v>0</v>
      </c>
      <c r="L756" s="38">
        <v>0</v>
      </c>
    </row>
    <row r="757" spans="1:12" s="39" customFormat="1" ht="28.95" customHeight="1" outlineLevel="1" x14ac:dyDescent="0.25">
      <c r="A757" s="33">
        <v>117</v>
      </c>
      <c r="B757" s="34" t="s">
        <v>557</v>
      </c>
      <c r="C757" s="35" t="s">
        <v>50</v>
      </c>
      <c r="D757" s="36">
        <v>282</v>
      </c>
      <c r="E757" s="36">
        <v>2.548</v>
      </c>
      <c r="F757" s="36">
        <f t="shared" si="155"/>
        <v>718.53600000000006</v>
      </c>
      <c r="G757" s="37">
        <f t="shared" si="156"/>
        <v>0</v>
      </c>
      <c r="H757" s="38">
        <f t="shared" si="157"/>
        <v>0</v>
      </c>
      <c r="I757" s="37">
        <f t="shared" si="158"/>
        <v>0</v>
      </c>
      <c r="J757" s="38">
        <v>0</v>
      </c>
      <c r="K757" s="37">
        <f t="shared" si="159"/>
        <v>0</v>
      </c>
      <c r="L757" s="38">
        <v>0</v>
      </c>
    </row>
    <row r="758" spans="1:12" s="39" customFormat="1" ht="15.45" customHeight="1" outlineLevel="1" x14ac:dyDescent="0.25">
      <c r="A758" s="33">
        <v>118</v>
      </c>
      <c r="B758" s="34" t="s">
        <v>558</v>
      </c>
      <c r="C758" s="35" t="s">
        <v>50</v>
      </c>
      <c r="D758" s="36">
        <v>60</v>
      </c>
      <c r="E758" s="36">
        <v>2.7704</v>
      </c>
      <c r="F758" s="36">
        <f t="shared" si="155"/>
        <v>166.22399999999999</v>
      </c>
      <c r="G758" s="37">
        <f t="shared" si="156"/>
        <v>0</v>
      </c>
      <c r="H758" s="38">
        <f t="shared" si="157"/>
        <v>0</v>
      </c>
      <c r="I758" s="37">
        <f t="shared" si="158"/>
        <v>0</v>
      </c>
      <c r="J758" s="38">
        <v>0</v>
      </c>
      <c r="K758" s="37">
        <f t="shared" si="159"/>
        <v>0</v>
      </c>
      <c r="L758" s="38">
        <v>0</v>
      </c>
    </row>
    <row r="759" spans="1:12" s="39" customFormat="1" ht="28.95" customHeight="1" outlineLevel="1" x14ac:dyDescent="0.25">
      <c r="A759" s="33">
        <v>119</v>
      </c>
      <c r="B759" s="34" t="s">
        <v>559</v>
      </c>
      <c r="C759" s="35" t="s">
        <v>50</v>
      </c>
      <c r="D759" s="36">
        <v>60</v>
      </c>
      <c r="E759" s="36">
        <v>2.5581999999999998</v>
      </c>
      <c r="F759" s="36">
        <f t="shared" si="155"/>
        <v>153.49199999999999</v>
      </c>
      <c r="G759" s="37">
        <f t="shared" si="156"/>
        <v>0</v>
      </c>
      <c r="H759" s="38">
        <f t="shared" si="157"/>
        <v>0</v>
      </c>
      <c r="I759" s="37">
        <f t="shared" si="158"/>
        <v>0</v>
      </c>
      <c r="J759" s="38">
        <v>0</v>
      </c>
      <c r="K759" s="37">
        <f t="shared" si="159"/>
        <v>0</v>
      </c>
      <c r="L759" s="38">
        <v>0</v>
      </c>
    </row>
    <row r="760" spans="1:12" s="39" customFormat="1" ht="15.45" customHeight="1" outlineLevel="1" x14ac:dyDescent="0.25">
      <c r="A760" s="33">
        <v>120</v>
      </c>
      <c r="B760" s="34" t="s">
        <v>560</v>
      </c>
      <c r="C760" s="35" t="s">
        <v>50</v>
      </c>
      <c r="D760" s="36">
        <v>90</v>
      </c>
      <c r="E760" s="36">
        <v>5.0999999999999996</v>
      </c>
      <c r="F760" s="36">
        <f t="shared" si="155"/>
        <v>458.99999999999994</v>
      </c>
      <c r="G760" s="37">
        <f t="shared" si="156"/>
        <v>0</v>
      </c>
      <c r="H760" s="38">
        <f t="shared" si="157"/>
        <v>0</v>
      </c>
      <c r="I760" s="37">
        <f t="shared" si="158"/>
        <v>0</v>
      </c>
      <c r="J760" s="38">
        <v>0</v>
      </c>
      <c r="K760" s="37">
        <f t="shared" si="159"/>
        <v>0</v>
      </c>
      <c r="L760" s="38">
        <v>0</v>
      </c>
    </row>
    <row r="761" spans="1:12" s="39" customFormat="1" ht="15.45" customHeight="1" outlineLevel="1" x14ac:dyDescent="0.25">
      <c r="A761" s="33">
        <v>121</v>
      </c>
      <c r="B761" s="34" t="s">
        <v>561</v>
      </c>
      <c r="C761" s="35" t="s">
        <v>50</v>
      </c>
      <c r="D761" s="36">
        <v>2140</v>
      </c>
      <c r="E761" s="36">
        <v>6.1</v>
      </c>
      <c r="F761" s="36">
        <f t="shared" si="155"/>
        <v>13054</v>
      </c>
      <c r="G761" s="37">
        <f t="shared" si="156"/>
        <v>0</v>
      </c>
      <c r="H761" s="38">
        <f t="shared" si="157"/>
        <v>0</v>
      </c>
      <c r="I761" s="37">
        <f t="shared" si="158"/>
        <v>0</v>
      </c>
      <c r="J761" s="38">
        <v>0</v>
      </c>
      <c r="K761" s="37">
        <f t="shared" si="159"/>
        <v>0</v>
      </c>
      <c r="L761" s="38">
        <v>0</v>
      </c>
    </row>
    <row r="762" spans="1:12" s="39" customFormat="1" ht="15.45" customHeight="1" outlineLevel="1" x14ac:dyDescent="0.25">
      <c r="A762" s="33">
        <v>122</v>
      </c>
      <c r="B762" s="34" t="s">
        <v>562</v>
      </c>
      <c r="C762" s="35" t="s">
        <v>50</v>
      </c>
      <c r="D762" s="36">
        <v>25</v>
      </c>
      <c r="E762" s="36">
        <v>9.1</v>
      </c>
      <c r="F762" s="36">
        <f t="shared" si="155"/>
        <v>227.5</v>
      </c>
      <c r="G762" s="37">
        <f t="shared" si="156"/>
        <v>0</v>
      </c>
      <c r="H762" s="38">
        <f t="shared" si="157"/>
        <v>0</v>
      </c>
      <c r="I762" s="37">
        <f t="shared" si="158"/>
        <v>0</v>
      </c>
      <c r="J762" s="38">
        <v>0</v>
      </c>
      <c r="K762" s="37">
        <f t="shared" si="159"/>
        <v>0</v>
      </c>
      <c r="L762" s="38">
        <v>0</v>
      </c>
    </row>
    <row r="763" spans="1:12" s="39" customFormat="1" ht="15.45" customHeight="1" outlineLevel="1" x14ac:dyDescent="0.25">
      <c r="A763" s="33">
        <v>123</v>
      </c>
      <c r="B763" s="34" t="s">
        <v>563</v>
      </c>
      <c r="C763" s="35" t="s">
        <v>50</v>
      </c>
      <c r="D763" s="36">
        <v>60</v>
      </c>
      <c r="E763" s="36">
        <v>5.0999999999999996</v>
      </c>
      <c r="F763" s="36">
        <f t="shared" si="155"/>
        <v>306</v>
      </c>
      <c r="G763" s="37">
        <f t="shared" si="156"/>
        <v>0</v>
      </c>
      <c r="H763" s="38">
        <f t="shared" si="157"/>
        <v>0</v>
      </c>
      <c r="I763" s="37">
        <f t="shared" si="158"/>
        <v>0</v>
      </c>
      <c r="J763" s="38">
        <v>0</v>
      </c>
      <c r="K763" s="37">
        <f t="shared" si="159"/>
        <v>0</v>
      </c>
      <c r="L763" s="38">
        <v>0</v>
      </c>
    </row>
    <row r="764" spans="1:12" s="39" customFormat="1" ht="15.45" customHeight="1" outlineLevel="1" x14ac:dyDescent="0.25">
      <c r="A764" s="33">
        <v>124</v>
      </c>
      <c r="B764" s="34" t="s">
        <v>536</v>
      </c>
      <c r="C764" s="35" t="s">
        <v>50</v>
      </c>
      <c r="D764" s="36">
        <v>30</v>
      </c>
      <c r="E764" s="36">
        <v>7.6</v>
      </c>
      <c r="F764" s="36">
        <f t="shared" si="155"/>
        <v>228</v>
      </c>
      <c r="G764" s="37">
        <f t="shared" si="156"/>
        <v>0</v>
      </c>
      <c r="H764" s="38">
        <f t="shared" si="157"/>
        <v>0</v>
      </c>
      <c r="I764" s="37">
        <f t="shared" si="158"/>
        <v>0</v>
      </c>
      <c r="J764" s="38">
        <v>0</v>
      </c>
      <c r="K764" s="37">
        <f t="shared" si="159"/>
        <v>0</v>
      </c>
      <c r="L764" s="38">
        <v>0</v>
      </c>
    </row>
    <row r="765" spans="1:12" s="45" customFormat="1" ht="15.45" customHeight="1" x14ac:dyDescent="0.3">
      <c r="A765" s="33">
        <v>125</v>
      </c>
      <c r="B765" s="34" t="s">
        <v>564</v>
      </c>
      <c r="C765" s="35" t="s">
        <v>50</v>
      </c>
      <c r="D765" s="36">
        <v>60</v>
      </c>
      <c r="E765" s="36">
        <v>2.2999999999999998</v>
      </c>
      <c r="F765" s="36">
        <f t="shared" si="155"/>
        <v>138</v>
      </c>
      <c r="G765" s="37">
        <f t="shared" si="156"/>
        <v>0</v>
      </c>
      <c r="H765" s="38">
        <f t="shared" si="157"/>
        <v>0</v>
      </c>
      <c r="I765" s="37">
        <f t="shared" si="158"/>
        <v>0</v>
      </c>
      <c r="J765" s="38">
        <v>0</v>
      </c>
      <c r="K765" s="37">
        <f t="shared" si="159"/>
        <v>0</v>
      </c>
      <c r="L765" s="38">
        <v>0</v>
      </c>
    </row>
    <row r="766" spans="1:12" s="39" customFormat="1" ht="15.45" customHeight="1" outlineLevel="1" x14ac:dyDescent="0.25">
      <c r="A766" s="33">
        <v>126</v>
      </c>
      <c r="B766" s="34" t="s">
        <v>565</v>
      </c>
      <c r="C766" s="35" t="s">
        <v>50</v>
      </c>
      <c r="D766" s="36">
        <v>105</v>
      </c>
      <c r="E766" s="36">
        <v>5.4099999999999993</v>
      </c>
      <c r="F766" s="36">
        <f t="shared" si="155"/>
        <v>568.04999999999995</v>
      </c>
      <c r="G766" s="37">
        <f t="shared" si="156"/>
        <v>0</v>
      </c>
      <c r="H766" s="38">
        <f t="shared" si="157"/>
        <v>0</v>
      </c>
      <c r="I766" s="37">
        <f t="shared" si="158"/>
        <v>0</v>
      </c>
      <c r="J766" s="38">
        <v>0</v>
      </c>
      <c r="K766" s="37">
        <f t="shared" si="159"/>
        <v>0</v>
      </c>
      <c r="L766" s="38">
        <v>0</v>
      </c>
    </row>
    <row r="767" spans="1:12" s="39" customFormat="1" ht="15.45" customHeight="1" outlineLevel="1" x14ac:dyDescent="0.25">
      <c r="A767" s="33">
        <v>127</v>
      </c>
      <c r="B767" s="34" t="s">
        <v>566</v>
      </c>
      <c r="C767" s="35" t="s">
        <v>50</v>
      </c>
      <c r="D767" s="36">
        <v>60</v>
      </c>
      <c r="E767" s="36">
        <v>6.2209999999999992</v>
      </c>
      <c r="F767" s="36">
        <f t="shared" si="155"/>
        <v>373.25999999999993</v>
      </c>
      <c r="G767" s="37">
        <f t="shared" si="156"/>
        <v>0</v>
      </c>
      <c r="H767" s="38">
        <f t="shared" si="157"/>
        <v>0</v>
      </c>
      <c r="I767" s="37">
        <f t="shared" si="158"/>
        <v>0</v>
      </c>
      <c r="J767" s="38">
        <v>0</v>
      </c>
      <c r="K767" s="37">
        <f t="shared" si="159"/>
        <v>0</v>
      </c>
      <c r="L767" s="38">
        <v>0</v>
      </c>
    </row>
    <row r="768" spans="1:12" s="39" customFormat="1" ht="15.45" customHeight="1" outlineLevel="1" x14ac:dyDescent="0.25">
      <c r="A768" s="33">
        <v>128</v>
      </c>
      <c r="B768" s="34" t="s">
        <v>567</v>
      </c>
      <c r="C768" s="35" t="s">
        <v>50</v>
      </c>
      <c r="D768" s="36">
        <v>70</v>
      </c>
      <c r="E768" s="36">
        <v>10.210000000000001</v>
      </c>
      <c r="F768" s="36">
        <f t="shared" si="155"/>
        <v>714.7</v>
      </c>
      <c r="G768" s="37">
        <f t="shared" si="156"/>
        <v>0</v>
      </c>
      <c r="H768" s="38">
        <f t="shared" si="157"/>
        <v>0</v>
      </c>
      <c r="I768" s="37">
        <f t="shared" si="158"/>
        <v>0</v>
      </c>
      <c r="J768" s="38">
        <v>0</v>
      </c>
      <c r="K768" s="37">
        <f t="shared" si="159"/>
        <v>0</v>
      </c>
      <c r="L768" s="38">
        <v>0</v>
      </c>
    </row>
    <row r="769" spans="1:12" s="39" customFormat="1" ht="15.45" customHeight="1" outlineLevel="1" x14ac:dyDescent="0.25">
      <c r="A769" s="33">
        <v>129</v>
      </c>
      <c r="B769" s="34" t="s">
        <v>568</v>
      </c>
      <c r="C769" s="35" t="s">
        <v>50</v>
      </c>
      <c r="D769" s="36">
        <v>162</v>
      </c>
      <c r="E769" s="36">
        <v>15.41</v>
      </c>
      <c r="F769" s="36">
        <f t="shared" ref="F769:F800" si="160">+E769*D769</f>
        <v>2496.42</v>
      </c>
      <c r="G769" s="37">
        <f t="shared" ref="G769:G779" si="161">I769+K769</f>
        <v>0</v>
      </c>
      <c r="H769" s="38">
        <f t="shared" ref="H769:H779" si="162">J769+L769</f>
        <v>0</v>
      </c>
      <c r="I769" s="37">
        <f t="shared" ref="I769:I800" si="163">J769/F769</f>
        <v>0</v>
      </c>
      <c r="J769" s="38">
        <v>0</v>
      </c>
      <c r="K769" s="37">
        <f t="shared" ref="K769:K800" si="164">L769/F769</f>
        <v>0</v>
      </c>
      <c r="L769" s="38">
        <v>0</v>
      </c>
    </row>
    <row r="770" spans="1:12" s="39" customFormat="1" ht="15.45" customHeight="1" outlineLevel="1" x14ac:dyDescent="0.25">
      <c r="A770" s="33">
        <v>130</v>
      </c>
      <c r="B770" s="34" t="s">
        <v>569</v>
      </c>
      <c r="C770" s="35" t="s">
        <v>50</v>
      </c>
      <c r="D770" s="36">
        <v>50</v>
      </c>
      <c r="E770" s="36">
        <v>42.2</v>
      </c>
      <c r="F770" s="36">
        <f t="shared" si="160"/>
        <v>2110</v>
      </c>
      <c r="G770" s="37">
        <f t="shared" si="161"/>
        <v>0</v>
      </c>
      <c r="H770" s="38">
        <f t="shared" si="162"/>
        <v>0</v>
      </c>
      <c r="I770" s="37">
        <f t="shared" si="163"/>
        <v>0</v>
      </c>
      <c r="J770" s="38">
        <v>0</v>
      </c>
      <c r="K770" s="37">
        <f t="shared" si="164"/>
        <v>0</v>
      </c>
      <c r="L770" s="38">
        <v>0</v>
      </c>
    </row>
    <row r="771" spans="1:12" s="39" customFormat="1" ht="28.95" customHeight="1" outlineLevel="1" x14ac:dyDescent="0.25">
      <c r="A771" s="33">
        <v>131</v>
      </c>
      <c r="B771" s="34" t="s">
        <v>570</v>
      </c>
      <c r="C771" s="35" t="s">
        <v>50</v>
      </c>
      <c r="D771" s="36">
        <v>2852</v>
      </c>
      <c r="E771" s="36">
        <v>1.4119999999999999</v>
      </c>
      <c r="F771" s="36">
        <f t="shared" si="160"/>
        <v>4027.0239999999999</v>
      </c>
      <c r="G771" s="37">
        <f t="shared" si="161"/>
        <v>0</v>
      </c>
      <c r="H771" s="38">
        <f t="shared" si="162"/>
        <v>0</v>
      </c>
      <c r="I771" s="37">
        <f t="shared" si="163"/>
        <v>0</v>
      </c>
      <c r="J771" s="38">
        <v>0</v>
      </c>
      <c r="K771" s="37">
        <f t="shared" si="164"/>
        <v>0</v>
      </c>
      <c r="L771" s="38">
        <v>0</v>
      </c>
    </row>
    <row r="772" spans="1:12" s="39" customFormat="1" ht="15.45" customHeight="1" outlineLevel="1" x14ac:dyDescent="0.25">
      <c r="A772" s="33">
        <v>132</v>
      </c>
      <c r="B772" s="34" t="s">
        <v>571</v>
      </c>
      <c r="C772" s="35" t="s">
        <v>50</v>
      </c>
      <c r="D772" s="36">
        <v>4</v>
      </c>
      <c r="E772" s="36">
        <v>70.099999999999994</v>
      </c>
      <c r="F772" s="36">
        <f t="shared" si="160"/>
        <v>280.39999999999998</v>
      </c>
      <c r="G772" s="37">
        <f t="shared" si="161"/>
        <v>0</v>
      </c>
      <c r="H772" s="38">
        <f t="shared" si="162"/>
        <v>0</v>
      </c>
      <c r="I772" s="37">
        <f t="shared" si="163"/>
        <v>0</v>
      </c>
      <c r="J772" s="38">
        <v>0</v>
      </c>
      <c r="K772" s="37">
        <f t="shared" si="164"/>
        <v>0</v>
      </c>
      <c r="L772" s="38">
        <v>0</v>
      </c>
    </row>
    <row r="773" spans="1:12" s="39" customFormat="1" ht="28.95" customHeight="1" outlineLevel="1" x14ac:dyDescent="0.25">
      <c r="A773" s="33">
        <v>133</v>
      </c>
      <c r="B773" s="34" t="s">
        <v>572</v>
      </c>
      <c r="C773" s="35" t="s">
        <v>50</v>
      </c>
      <c r="D773" s="36">
        <v>4</v>
      </c>
      <c r="E773" s="36">
        <v>1.9461999999999999</v>
      </c>
      <c r="F773" s="36">
        <f t="shared" si="160"/>
        <v>7.7847999999999997</v>
      </c>
      <c r="G773" s="37">
        <f t="shared" si="161"/>
        <v>0</v>
      </c>
      <c r="H773" s="38">
        <f t="shared" si="162"/>
        <v>0</v>
      </c>
      <c r="I773" s="37">
        <f t="shared" si="163"/>
        <v>0</v>
      </c>
      <c r="J773" s="38">
        <v>0</v>
      </c>
      <c r="K773" s="37">
        <f t="shared" si="164"/>
        <v>0</v>
      </c>
      <c r="L773" s="38">
        <v>0</v>
      </c>
    </row>
    <row r="774" spans="1:12" s="39" customFormat="1" ht="15.45" customHeight="1" outlineLevel="1" x14ac:dyDescent="0.25">
      <c r="A774" s="33">
        <v>134</v>
      </c>
      <c r="B774" s="34" t="s">
        <v>573</v>
      </c>
      <c r="C774" s="35" t="s">
        <v>289</v>
      </c>
      <c r="D774" s="36">
        <v>14.5</v>
      </c>
      <c r="E774" s="36">
        <v>1.4239999999999999</v>
      </c>
      <c r="F774" s="36">
        <f t="shared" si="160"/>
        <v>20.648</v>
      </c>
      <c r="G774" s="37">
        <f t="shared" si="161"/>
        <v>0</v>
      </c>
      <c r="H774" s="38">
        <f t="shared" si="162"/>
        <v>0</v>
      </c>
      <c r="I774" s="37">
        <f t="shared" si="163"/>
        <v>0</v>
      </c>
      <c r="J774" s="38">
        <v>0</v>
      </c>
      <c r="K774" s="37">
        <f t="shared" si="164"/>
        <v>0</v>
      </c>
      <c r="L774" s="38">
        <v>0</v>
      </c>
    </row>
    <row r="775" spans="1:12" s="39" customFormat="1" ht="15.45" customHeight="1" outlineLevel="1" x14ac:dyDescent="0.25">
      <c r="A775" s="33">
        <v>135</v>
      </c>
      <c r="B775" s="34" t="s">
        <v>574</v>
      </c>
      <c r="C775" s="35" t="s">
        <v>55</v>
      </c>
      <c r="D775" s="36">
        <v>3</v>
      </c>
      <c r="E775" s="36">
        <v>11.116</v>
      </c>
      <c r="F775" s="36">
        <f t="shared" si="160"/>
        <v>33.347999999999999</v>
      </c>
      <c r="G775" s="37">
        <f t="shared" si="161"/>
        <v>0</v>
      </c>
      <c r="H775" s="38">
        <f t="shared" si="162"/>
        <v>0</v>
      </c>
      <c r="I775" s="37">
        <f t="shared" si="163"/>
        <v>0</v>
      </c>
      <c r="J775" s="38">
        <v>0</v>
      </c>
      <c r="K775" s="37">
        <f t="shared" si="164"/>
        <v>0</v>
      </c>
      <c r="L775" s="38">
        <v>0</v>
      </c>
    </row>
    <row r="776" spans="1:12" s="39" customFormat="1" ht="15.45" customHeight="1" outlineLevel="1" x14ac:dyDescent="0.25">
      <c r="A776" s="33">
        <v>136</v>
      </c>
      <c r="B776" s="34" t="s">
        <v>575</v>
      </c>
      <c r="C776" s="35" t="s">
        <v>50</v>
      </c>
      <c r="D776" s="36">
        <v>5</v>
      </c>
      <c r="E776" s="36">
        <v>4.9429999999999996</v>
      </c>
      <c r="F776" s="36">
        <f t="shared" si="160"/>
        <v>24.714999999999996</v>
      </c>
      <c r="G776" s="37">
        <f t="shared" si="161"/>
        <v>0</v>
      </c>
      <c r="H776" s="38">
        <f t="shared" si="162"/>
        <v>0</v>
      </c>
      <c r="I776" s="37">
        <f t="shared" si="163"/>
        <v>0</v>
      </c>
      <c r="J776" s="38">
        <v>0</v>
      </c>
      <c r="K776" s="37">
        <f t="shared" si="164"/>
        <v>0</v>
      </c>
      <c r="L776" s="38">
        <v>0</v>
      </c>
    </row>
    <row r="777" spans="1:12" s="39" customFormat="1" ht="28.95" customHeight="1" outlineLevel="1" x14ac:dyDescent="0.25">
      <c r="A777" s="33">
        <v>137</v>
      </c>
      <c r="B777" s="34" t="s">
        <v>576</v>
      </c>
      <c r="C777" s="35" t="s">
        <v>50</v>
      </c>
      <c r="D777" s="36">
        <v>5</v>
      </c>
      <c r="E777" s="36">
        <v>2.2726000000000002</v>
      </c>
      <c r="F777" s="36">
        <f t="shared" si="160"/>
        <v>11.363000000000001</v>
      </c>
      <c r="G777" s="37">
        <f t="shared" si="161"/>
        <v>0</v>
      </c>
      <c r="H777" s="38">
        <f t="shared" si="162"/>
        <v>0</v>
      </c>
      <c r="I777" s="37">
        <f t="shared" si="163"/>
        <v>0</v>
      </c>
      <c r="J777" s="38">
        <v>0</v>
      </c>
      <c r="K777" s="37">
        <f t="shared" si="164"/>
        <v>0</v>
      </c>
      <c r="L777" s="38">
        <v>0</v>
      </c>
    </row>
    <row r="778" spans="1:12" s="39" customFormat="1" ht="15.45" customHeight="1" outlineLevel="1" x14ac:dyDescent="0.25">
      <c r="A778" s="33">
        <v>138</v>
      </c>
      <c r="B778" s="34" t="s">
        <v>577</v>
      </c>
      <c r="C778" s="35" t="s">
        <v>50</v>
      </c>
      <c r="D778" s="36">
        <v>15</v>
      </c>
      <c r="E778" s="36">
        <v>7.3807999999999998</v>
      </c>
      <c r="F778" s="36">
        <f t="shared" si="160"/>
        <v>110.712</v>
      </c>
      <c r="G778" s="37">
        <f t="shared" si="161"/>
        <v>0</v>
      </c>
      <c r="H778" s="38">
        <f t="shared" si="162"/>
        <v>0</v>
      </c>
      <c r="I778" s="37">
        <f t="shared" si="163"/>
        <v>0</v>
      </c>
      <c r="J778" s="38">
        <v>0</v>
      </c>
      <c r="K778" s="37">
        <f t="shared" si="164"/>
        <v>0</v>
      </c>
      <c r="L778" s="38">
        <v>0</v>
      </c>
    </row>
    <row r="779" spans="1:12" s="39" customFormat="1" ht="15.45" customHeight="1" outlineLevel="1" x14ac:dyDescent="0.25">
      <c r="A779" s="33">
        <v>139</v>
      </c>
      <c r="B779" s="34" t="s">
        <v>578</v>
      </c>
      <c r="C779" s="35" t="s">
        <v>50</v>
      </c>
      <c r="D779" s="36">
        <v>15</v>
      </c>
      <c r="E779" s="36">
        <v>2.242</v>
      </c>
      <c r="F779" s="36">
        <f t="shared" si="160"/>
        <v>33.630000000000003</v>
      </c>
      <c r="G779" s="37">
        <f t="shared" si="161"/>
        <v>0</v>
      </c>
      <c r="H779" s="38">
        <f t="shared" si="162"/>
        <v>0</v>
      </c>
      <c r="I779" s="37">
        <f t="shared" si="163"/>
        <v>0</v>
      </c>
      <c r="J779" s="38">
        <v>0</v>
      </c>
      <c r="K779" s="37">
        <f t="shared" si="164"/>
        <v>0</v>
      </c>
      <c r="L779" s="38">
        <v>0</v>
      </c>
    </row>
    <row r="780" spans="1:12" s="39" customFormat="1" ht="15.45" customHeight="1" outlineLevel="1" x14ac:dyDescent="0.25">
      <c r="A780" s="31" t="s">
        <v>579</v>
      </c>
      <c r="B780" s="40" t="s">
        <v>580</v>
      </c>
      <c r="C780" s="41">
        <v>0</v>
      </c>
      <c r="D780" s="42"/>
      <c r="E780" s="42"/>
      <c r="F780" s="42"/>
      <c r="G780" s="43"/>
      <c r="H780" s="44"/>
      <c r="I780" s="43"/>
      <c r="J780" s="44"/>
      <c r="K780" s="43"/>
      <c r="L780" s="44">
        <v>0</v>
      </c>
    </row>
    <row r="781" spans="1:12" s="39" customFormat="1" ht="28.95" customHeight="1" outlineLevel="1" x14ac:dyDescent="0.25">
      <c r="A781" s="33">
        <v>1</v>
      </c>
      <c r="B781" s="34" t="s">
        <v>581</v>
      </c>
      <c r="C781" s="35" t="s">
        <v>55</v>
      </c>
      <c r="D781" s="36">
        <v>179</v>
      </c>
      <c r="E781" s="36">
        <v>34.431199999999997</v>
      </c>
      <c r="F781" s="36">
        <f t="shared" ref="F781:F821" si="165">+E781*D781</f>
        <v>6163.1847999999991</v>
      </c>
      <c r="G781" s="37">
        <f t="shared" ref="G781:G821" si="166">I781+K781</f>
        <v>0</v>
      </c>
      <c r="H781" s="38">
        <f t="shared" ref="H781:H821" si="167">J781+L781</f>
        <v>0</v>
      </c>
      <c r="I781" s="37">
        <f t="shared" ref="I781:I821" si="168">J781/F781</f>
        <v>0</v>
      </c>
      <c r="J781" s="38">
        <v>0</v>
      </c>
      <c r="K781" s="37">
        <f t="shared" ref="K781:K821" si="169">L781/F781</f>
        <v>0</v>
      </c>
      <c r="L781" s="38">
        <v>0</v>
      </c>
    </row>
    <row r="782" spans="1:12" s="39" customFormat="1" ht="15.45" customHeight="1" outlineLevel="1" x14ac:dyDescent="0.25">
      <c r="A782" s="33">
        <v>2</v>
      </c>
      <c r="B782" s="34" t="s">
        <v>582</v>
      </c>
      <c r="C782" s="35" t="s">
        <v>55</v>
      </c>
      <c r="D782" s="36">
        <v>43</v>
      </c>
      <c r="E782" s="36">
        <v>29.851400000000009</v>
      </c>
      <c r="F782" s="36">
        <f t="shared" si="165"/>
        <v>1283.6102000000003</v>
      </c>
      <c r="G782" s="37">
        <f t="shared" si="166"/>
        <v>0</v>
      </c>
      <c r="H782" s="38">
        <f t="shared" si="167"/>
        <v>0</v>
      </c>
      <c r="I782" s="37">
        <f t="shared" si="168"/>
        <v>0</v>
      </c>
      <c r="J782" s="38">
        <v>0</v>
      </c>
      <c r="K782" s="37">
        <f t="shared" si="169"/>
        <v>0</v>
      </c>
      <c r="L782" s="38">
        <v>0</v>
      </c>
    </row>
    <row r="783" spans="1:12" s="45" customFormat="1" ht="15.45" customHeight="1" x14ac:dyDescent="0.3">
      <c r="A783" s="33">
        <v>3</v>
      </c>
      <c r="B783" s="34" t="s">
        <v>583</v>
      </c>
      <c r="C783" s="35" t="s">
        <v>55</v>
      </c>
      <c r="D783" s="36">
        <v>28</v>
      </c>
      <c r="E783" s="36">
        <v>26.21</v>
      </c>
      <c r="F783" s="36">
        <f t="shared" si="165"/>
        <v>733.88</v>
      </c>
      <c r="G783" s="37">
        <f t="shared" si="166"/>
        <v>0</v>
      </c>
      <c r="H783" s="38">
        <f t="shared" si="167"/>
        <v>0</v>
      </c>
      <c r="I783" s="37">
        <f t="shared" si="168"/>
        <v>0</v>
      </c>
      <c r="J783" s="38">
        <v>0</v>
      </c>
      <c r="K783" s="37">
        <f t="shared" si="169"/>
        <v>0</v>
      </c>
      <c r="L783" s="38">
        <v>0</v>
      </c>
    </row>
    <row r="784" spans="1:12" s="39" customFormat="1" ht="15.45" customHeight="1" outlineLevel="1" x14ac:dyDescent="0.25">
      <c r="A784" s="33">
        <v>4</v>
      </c>
      <c r="B784" s="34" t="s">
        <v>584</v>
      </c>
      <c r="C784" s="35" t="s">
        <v>55</v>
      </c>
      <c r="D784" s="36">
        <v>14</v>
      </c>
      <c r="E784" s="36">
        <v>45.68180000000001</v>
      </c>
      <c r="F784" s="36">
        <f t="shared" si="165"/>
        <v>639.54520000000014</v>
      </c>
      <c r="G784" s="37">
        <f t="shared" si="166"/>
        <v>0</v>
      </c>
      <c r="H784" s="38">
        <f t="shared" si="167"/>
        <v>0</v>
      </c>
      <c r="I784" s="37">
        <f t="shared" si="168"/>
        <v>0</v>
      </c>
      <c r="J784" s="38">
        <v>0</v>
      </c>
      <c r="K784" s="37">
        <f t="shared" si="169"/>
        <v>0</v>
      </c>
      <c r="L784" s="38">
        <v>0</v>
      </c>
    </row>
    <row r="785" spans="1:12" s="39" customFormat="1" ht="28.95" customHeight="1" outlineLevel="1" x14ac:dyDescent="0.25">
      <c r="A785" s="33">
        <v>5</v>
      </c>
      <c r="B785" s="34" t="s">
        <v>585</v>
      </c>
      <c r="C785" s="35" t="s">
        <v>55</v>
      </c>
      <c r="D785" s="36">
        <v>12</v>
      </c>
      <c r="E785" s="36">
        <v>22.884799999999998</v>
      </c>
      <c r="F785" s="36">
        <f t="shared" si="165"/>
        <v>274.61759999999998</v>
      </c>
      <c r="G785" s="37">
        <f t="shared" si="166"/>
        <v>0</v>
      </c>
      <c r="H785" s="38">
        <f t="shared" si="167"/>
        <v>0</v>
      </c>
      <c r="I785" s="37">
        <f t="shared" si="168"/>
        <v>0</v>
      </c>
      <c r="J785" s="38">
        <v>0</v>
      </c>
      <c r="K785" s="37">
        <f t="shared" si="169"/>
        <v>0</v>
      </c>
      <c r="L785" s="38">
        <v>0</v>
      </c>
    </row>
    <row r="786" spans="1:12" s="39" customFormat="1" ht="15.45" customHeight="1" outlineLevel="1" x14ac:dyDescent="0.25">
      <c r="A786" s="33">
        <v>6</v>
      </c>
      <c r="B786" s="34" t="s">
        <v>586</v>
      </c>
      <c r="C786" s="35" t="s">
        <v>55</v>
      </c>
      <c r="D786" s="36">
        <v>22</v>
      </c>
      <c r="E786" s="36">
        <v>90.714799999999983</v>
      </c>
      <c r="F786" s="36">
        <f t="shared" si="165"/>
        <v>1995.7255999999995</v>
      </c>
      <c r="G786" s="37">
        <f t="shared" si="166"/>
        <v>0</v>
      </c>
      <c r="H786" s="38">
        <f t="shared" si="167"/>
        <v>0</v>
      </c>
      <c r="I786" s="37">
        <f t="shared" si="168"/>
        <v>0</v>
      </c>
      <c r="J786" s="38">
        <v>0</v>
      </c>
      <c r="K786" s="37">
        <f t="shared" si="169"/>
        <v>0</v>
      </c>
      <c r="L786" s="38">
        <v>0</v>
      </c>
    </row>
    <row r="787" spans="1:12" s="39" customFormat="1" ht="15.45" customHeight="1" outlineLevel="1" x14ac:dyDescent="0.25">
      <c r="A787" s="33">
        <v>7</v>
      </c>
      <c r="B787" s="34" t="s">
        <v>587</v>
      </c>
      <c r="C787" s="35" t="s">
        <v>55</v>
      </c>
      <c r="D787" s="36">
        <v>37</v>
      </c>
      <c r="E787" s="36">
        <v>23.9252</v>
      </c>
      <c r="F787" s="36">
        <f t="shared" si="165"/>
        <v>885.23239999999998</v>
      </c>
      <c r="G787" s="37">
        <f t="shared" si="166"/>
        <v>0</v>
      </c>
      <c r="H787" s="38">
        <f t="shared" si="167"/>
        <v>0</v>
      </c>
      <c r="I787" s="37">
        <f t="shared" si="168"/>
        <v>0</v>
      </c>
      <c r="J787" s="38">
        <v>0</v>
      </c>
      <c r="K787" s="37">
        <f t="shared" si="169"/>
        <v>0</v>
      </c>
      <c r="L787" s="38">
        <v>0</v>
      </c>
    </row>
    <row r="788" spans="1:12" s="39" customFormat="1" ht="28.95" customHeight="1" outlineLevel="1" x14ac:dyDescent="0.25">
      <c r="A788" s="33">
        <v>8</v>
      </c>
      <c r="B788" s="34" t="s">
        <v>588</v>
      </c>
      <c r="C788" s="35" t="s">
        <v>55</v>
      </c>
      <c r="D788" s="36">
        <v>4</v>
      </c>
      <c r="E788" s="36">
        <v>18.305</v>
      </c>
      <c r="F788" s="36">
        <f t="shared" si="165"/>
        <v>73.22</v>
      </c>
      <c r="G788" s="37">
        <f t="shared" si="166"/>
        <v>0</v>
      </c>
      <c r="H788" s="38">
        <f t="shared" si="167"/>
        <v>0</v>
      </c>
      <c r="I788" s="37">
        <f t="shared" si="168"/>
        <v>0</v>
      </c>
      <c r="J788" s="38">
        <v>0</v>
      </c>
      <c r="K788" s="37">
        <f t="shared" si="169"/>
        <v>0</v>
      </c>
      <c r="L788" s="38">
        <v>0</v>
      </c>
    </row>
    <row r="789" spans="1:12" s="39" customFormat="1" ht="15.45" customHeight="1" outlineLevel="1" x14ac:dyDescent="0.25">
      <c r="A789" s="33">
        <v>9</v>
      </c>
      <c r="B789" s="34" t="s">
        <v>589</v>
      </c>
      <c r="C789" s="35" t="s">
        <v>55</v>
      </c>
      <c r="D789" s="36">
        <v>140</v>
      </c>
      <c r="E789" s="36">
        <v>51.312199999999997</v>
      </c>
      <c r="F789" s="36">
        <f t="shared" si="165"/>
        <v>7183.7079999999996</v>
      </c>
      <c r="G789" s="37">
        <f t="shared" si="166"/>
        <v>0</v>
      </c>
      <c r="H789" s="38">
        <f t="shared" si="167"/>
        <v>0</v>
      </c>
      <c r="I789" s="37">
        <f t="shared" si="168"/>
        <v>0</v>
      </c>
      <c r="J789" s="38">
        <v>0</v>
      </c>
      <c r="K789" s="37">
        <f t="shared" si="169"/>
        <v>0</v>
      </c>
      <c r="L789" s="38">
        <v>0</v>
      </c>
    </row>
    <row r="790" spans="1:12" s="39" customFormat="1" ht="15.45" customHeight="1" outlineLevel="1" x14ac:dyDescent="0.25">
      <c r="A790" s="33">
        <v>10</v>
      </c>
      <c r="B790" s="34" t="s">
        <v>590</v>
      </c>
      <c r="C790" s="35" t="s">
        <v>55</v>
      </c>
      <c r="D790" s="36">
        <v>9</v>
      </c>
      <c r="E790" s="36">
        <v>34.706600000000002</v>
      </c>
      <c r="F790" s="36">
        <f t="shared" si="165"/>
        <v>312.35939999999999</v>
      </c>
      <c r="G790" s="37">
        <f t="shared" si="166"/>
        <v>0</v>
      </c>
      <c r="H790" s="38">
        <f t="shared" si="167"/>
        <v>0</v>
      </c>
      <c r="I790" s="37">
        <f t="shared" si="168"/>
        <v>0</v>
      </c>
      <c r="J790" s="38">
        <v>0</v>
      </c>
      <c r="K790" s="37">
        <f t="shared" si="169"/>
        <v>0</v>
      </c>
      <c r="L790" s="38">
        <v>0</v>
      </c>
    </row>
    <row r="791" spans="1:12" s="39" customFormat="1" ht="28.95" customHeight="1" outlineLevel="1" x14ac:dyDescent="0.25">
      <c r="A791" s="33">
        <v>11</v>
      </c>
      <c r="B791" s="34" t="s">
        <v>591</v>
      </c>
      <c r="C791" s="35" t="s">
        <v>55</v>
      </c>
      <c r="D791" s="36">
        <v>3</v>
      </c>
      <c r="E791" s="36">
        <v>100.58839999999999</v>
      </c>
      <c r="F791" s="36">
        <f t="shared" si="165"/>
        <v>301.76519999999999</v>
      </c>
      <c r="G791" s="37">
        <f t="shared" si="166"/>
        <v>0</v>
      </c>
      <c r="H791" s="38">
        <f t="shared" si="167"/>
        <v>0</v>
      </c>
      <c r="I791" s="37">
        <f t="shared" si="168"/>
        <v>0</v>
      </c>
      <c r="J791" s="38">
        <v>0</v>
      </c>
      <c r="K791" s="37">
        <f t="shared" si="169"/>
        <v>0</v>
      </c>
      <c r="L791" s="38">
        <v>0</v>
      </c>
    </row>
    <row r="792" spans="1:12" s="39" customFormat="1" ht="28.95" customHeight="1" outlineLevel="1" x14ac:dyDescent="0.25">
      <c r="A792" s="33">
        <v>12</v>
      </c>
      <c r="B792" s="34" t="s">
        <v>592</v>
      </c>
      <c r="C792" s="35" t="s">
        <v>55</v>
      </c>
      <c r="D792" s="36">
        <v>4</v>
      </c>
      <c r="E792" s="36">
        <v>54.698600000000013</v>
      </c>
      <c r="F792" s="36">
        <f t="shared" si="165"/>
        <v>218.79440000000005</v>
      </c>
      <c r="G792" s="37">
        <f t="shared" si="166"/>
        <v>0</v>
      </c>
      <c r="H792" s="38">
        <f t="shared" si="167"/>
        <v>0</v>
      </c>
      <c r="I792" s="37">
        <f t="shared" si="168"/>
        <v>0</v>
      </c>
      <c r="J792" s="38">
        <v>0</v>
      </c>
      <c r="K792" s="37">
        <f t="shared" si="169"/>
        <v>0</v>
      </c>
      <c r="L792" s="38">
        <v>0</v>
      </c>
    </row>
    <row r="793" spans="1:12" s="39" customFormat="1" ht="15.45" customHeight="1" outlineLevel="1" x14ac:dyDescent="0.25">
      <c r="A793" s="33">
        <v>13</v>
      </c>
      <c r="B793" s="34" t="s">
        <v>593</v>
      </c>
      <c r="C793" s="35" t="s">
        <v>55</v>
      </c>
      <c r="D793" s="36">
        <v>11</v>
      </c>
      <c r="E793" s="36">
        <v>45.68180000000001</v>
      </c>
      <c r="F793" s="36">
        <f t="shared" si="165"/>
        <v>502.49980000000011</v>
      </c>
      <c r="G793" s="37">
        <f t="shared" si="166"/>
        <v>0</v>
      </c>
      <c r="H793" s="38">
        <f t="shared" si="167"/>
        <v>0</v>
      </c>
      <c r="I793" s="37">
        <f t="shared" si="168"/>
        <v>0</v>
      </c>
      <c r="J793" s="38">
        <v>0</v>
      </c>
      <c r="K793" s="37">
        <f t="shared" si="169"/>
        <v>0</v>
      </c>
      <c r="L793" s="38">
        <v>0</v>
      </c>
    </row>
    <row r="794" spans="1:12" s="39" customFormat="1" ht="28.95" customHeight="1" outlineLevel="1" x14ac:dyDescent="0.25">
      <c r="A794" s="33">
        <v>14</v>
      </c>
      <c r="B794" s="34" t="s">
        <v>594</v>
      </c>
      <c r="C794" s="35" t="s">
        <v>55</v>
      </c>
      <c r="D794" s="36">
        <v>506</v>
      </c>
      <c r="E794" s="36">
        <v>14.002599999999999</v>
      </c>
      <c r="F794" s="36">
        <f t="shared" si="165"/>
        <v>7085.3155999999999</v>
      </c>
      <c r="G794" s="37">
        <f t="shared" si="166"/>
        <v>0</v>
      </c>
      <c r="H794" s="38">
        <f t="shared" si="167"/>
        <v>0</v>
      </c>
      <c r="I794" s="37">
        <f t="shared" si="168"/>
        <v>0</v>
      </c>
      <c r="J794" s="38">
        <v>0</v>
      </c>
      <c r="K794" s="37">
        <f t="shared" si="169"/>
        <v>0</v>
      </c>
      <c r="L794" s="38">
        <v>0</v>
      </c>
    </row>
    <row r="795" spans="1:12" s="39" customFormat="1" ht="28.95" customHeight="1" outlineLevel="1" x14ac:dyDescent="0.25">
      <c r="A795" s="33">
        <v>15</v>
      </c>
      <c r="B795" s="34" t="s">
        <v>595</v>
      </c>
      <c r="C795" s="35" t="s">
        <v>55</v>
      </c>
      <c r="D795" s="36">
        <v>11</v>
      </c>
      <c r="E795" s="36">
        <v>18.305</v>
      </c>
      <c r="F795" s="36">
        <f t="shared" si="165"/>
        <v>201.35499999999999</v>
      </c>
      <c r="G795" s="37">
        <f t="shared" si="166"/>
        <v>0</v>
      </c>
      <c r="H795" s="38">
        <f t="shared" si="167"/>
        <v>0</v>
      </c>
      <c r="I795" s="37">
        <f t="shared" si="168"/>
        <v>0</v>
      </c>
      <c r="J795" s="38">
        <v>0</v>
      </c>
      <c r="K795" s="37">
        <f t="shared" si="169"/>
        <v>0</v>
      </c>
      <c r="L795" s="38">
        <v>0</v>
      </c>
    </row>
    <row r="796" spans="1:12" s="39" customFormat="1" ht="15.45" customHeight="1" outlineLevel="1" x14ac:dyDescent="0.25">
      <c r="A796" s="33">
        <v>16</v>
      </c>
      <c r="B796" s="34" t="s">
        <v>596</v>
      </c>
      <c r="C796" s="35" t="s">
        <v>55</v>
      </c>
      <c r="D796" s="36">
        <v>11</v>
      </c>
      <c r="E796" s="36">
        <v>14.6044</v>
      </c>
      <c r="F796" s="36">
        <f t="shared" si="165"/>
        <v>160.64840000000001</v>
      </c>
      <c r="G796" s="37">
        <f t="shared" si="166"/>
        <v>0</v>
      </c>
      <c r="H796" s="38">
        <f t="shared" si="167"/>
        <v>0</v>
      </c>
      <c r="I796" s="37">
        <f t="shared" si="168"/>
        <v>0</v>
      </c>
      <c r="J796" s="38">
        <v>0</v>
      </c>
      <c r="K796" s="37">
        <f t="shared" si="169"/>
        <v>0</v>
      </c>
      <c r="L796" s="38">
        <v>0</v>
      </c>
    </row>
    <row r="797" spans="1:12" s="39" customFormat="1" ht="15.45" customHeight="1" outlineLevel="1" x14ac:dyDescent="0.25">
      <c r="A797" s="33">
        <v>17</v>
      </c>
      <c r="B797" s="34" t="s">
        <v>597</v>
      </c>
      <c r="C797" s="35" t="s">
        <v>55</v>
      </c>
      <c r="D797" s="36">
        <v>7</v>
      </c>
      <c r="E797" s="36">
        <v>12.929600000000001</v>
      </c>
      <c r="F797" s="36">
        <f t="shared" si="165"/>
        <v>90.507200000000012</v>
      </c>
      <c r="G797" s="37">
        <f t="shared" si="166"/>
        <v>0</v>
      </c>
      <c r="H797" s="38">
        <f t="shared" si="167"/>
        <v>0</v>
      </c>
      <c r="I797" s="37">
        <f t="shared" si="168"/>
        <v>0</v>
      </c>
      <c r="J797" s="38">
        <v>0</v>
      </c>
      <c r="K797" s="37">
        <f t="shared" si="169"/>
        <v>0</v>
      </c>
      <c r="L797" s="38">
        <v>0</v>
      </c>
    </row>
    <row r="798" spans="1:12" s="39" customFormat="1" ht="15.45" customHeight="1" outlineLevel="1" x14ac:dyDescent="0.25">
      <c r="A798" s="33">
        <v>18</v>
      </c>
      <c r="B798" s="34" t="s">
        <v>598</v>
      </c>
      <c r="C798" s="35" t="s">
        <v>55</v>
      </c>
      <c r="D798" s="36">
        <v>7</v>
      </c>
      <c r="E798" s="36">
        <v>10.045</v>
      </c>
      <c r="F798" s="36">
        <f t="shared" si="165"/>
        <v>70.314999999999998</v>
      </c>
      <c r="G798" s="37">
        <f t="shared" si="166"/>
        <v>0</v>
      </c>
      <c r="H798" s="38">
        <f t="shared" si="167"/>
        <v>0</v>
      </c>
      <c r="I798" s="37">
        <f t="shared" si="168"/>
        <v>0</v>
      </c>
      <c r="J798" s="38">
        <v>0</v>
      </c>
      <c r="K798" s="37">
        <f t="shared" si="169"/>
        <v>0</v>
      </c>
      <c r="L798" s="38">
        <v>0</v>
      </c>
    </row>
    <row r="799" spans="1:12" s="39" customFormat="1" ht="15.45" customHeight="1" outlineLevel="1" x14ac:dyDescent="0.25">
      <c r="A799" s="33">
        <v>19</v>
      </c>
      <c r="B799" s="34" t="s">
        <v>599</v>
      </c>
      <c r="C799" s="35" t="s">
        <v>55</v>
      </c>
      <c r="D799" s="36">
        <v>18</v>
      </c>
      <c r="E799" s="36">
        <v>21.007999999999999</v>
      </c>
      <c r="F799" s="36">
        <f t="shared" si="165"/>
        <v>378.14400000000001</v>
      </c>
      <c r="G799" s="37">
        <f t="shared" si="166"/>
        <v>0</v>
      </c>
      <c r="H799" s="38">
        <f t="shared" si="167"/>
        <v>0</v>
      </c>
      <c r="I799" s="37">
        <f t="shared" si="168"/>
        <v>0</v>
      </c>
      <c r="J799" s="38">
        <v>0</v>
      </c>
      <c r="K799" s="37">
        <f t="shared" si="169"/>
        <v>0</v>
      </c>
      <c r="L799" s="38">
        <v>0</v>
      </c>
    </row>
    <row r="800" spans="1:12" s="39" customFormat="1" ht="15.45" customHeight="1" outlineLevel="1" x14ac:dyDescent="0.25">
      <c r="A800" s="33">
        <v>20</v>
      </c>
      <c r="B800" s="34" t="s">
        <v>600</v>
      </c>
      <c r="C800" s="35" t="s">
        <v>55</v>
      </c>
      <c r="D800" s="36">
        <v>18</v>
      </c>
      <c r="E800" s="36">
        <v>11.8504</v>
      </c>
      <c r="F800" s="36">
        <f t="shared" si="165"/>
        <v>213.30720000000002</v>
      </c>
      <c r="G800" s="37">
        <f t="shared" si="166"/>
        <v>0</v>
      </c>
      <c r="H800" s="38">
        <f t="shared" si="167"/>
        <v>0</v>
      </c>
      <c r="I800" s="37">
        <f t="shared" si="168"/>
        <v>0</v>
      </c>
      <c r="J800" s="38">
        <v>0</v>
      </c>
      <c r="K800" s="37">
        <f t="shared" si="169"/>
        <v>0</v>
      </c>
      <c r="L800" s="38">
        <v>0</v>
      </c>
    </row>
    <row r="801" spans="1:12" s="39" customFormat="1" ht="15.45" customHeight="1" outlineLevel="1" x14ac:dyDescent="0.25">
      <c r="A801" s="33">
        <v>21</v>
      </c>
      <c r="B801" s="34" t="s">
        <v>601</v>
      </c>
      <c r="C801" s="35" t="s">
        <v>55</v>
      </c>
      <c r="D801" s="36">
        <v>10</v>
      </c>
      <c r="E801" s="36">
        <v>1.4443999999999999</v>
      </c>
      <c r="F801" s="36">
        <f t="shared" si="165"/>
        <v>14.443999999999999</v>
      </c>
      <c r="G801" s="37">
        <f t="shared" si="166"/>
        <v>0</v>
      </c>
      <c r="H801" s="38">
        <f t="shared" si="167"/>
        <v>0</v>
      </c>
      <c r="I801" s="37">
        <f t="shared" si="168"/>
        <v>0</v>
      </c>
      <c r="J801" s="38">
        <v>0</v>
      </c>
      <c r="K801" s="37">
        <f t="shared" si="169"/>
        <v>0</v>
      </c>
      <c r="L801" s="38">
        <v>0</v>
      </c>
    </row>
    <row r="802" spans="1:12" s="39" customFormat="1" ht="15.45" customHeight="1" outlineLevel="1" x14ac:dyDescent="0.25">
      <c r="A802" s="33">
        <v>22</v>
      </c>
      <c r="B802" s="34" t="s">
        <v>602</v>
      </c>
      <c r="C802" s="35" t="s">
        <v>55</v>
      </c>
      <c r="D802" s="36">
        <v>8</v>
      </c>
      <c r="E802" s="36">
        <v>1.6177999999999999</v>
      </c>
      <c r="F802" s="36">
        <f t="shared" si="165"/>
        <v>12.942399999999999</v>
      </c>
      <c r="G802" s="37">
        <f t="shared" si="166"/>
        <v>0</v>
      </c>
      <c r="H802" s="38">
        <f t="shared" si="167"/>
        <v>0</v>
      </c>
      <c r="I802" s="37">
        <f t="shared" si="168"/>
        <v>0</v>
      </c>
      <c r="J802" s="38">
        <v>0</v>
      </c>
      <c r="K802" s="37">
        <f t="shared" si="169"/>
        <v>0</v>
      </c>
      <c r="L802" s="38">
        <v>0</v>
      </c>
    </row>
    <row r="803" spans="1:12" s="39" customFormat="1" ht="15.45" customHeight="1" outlineLevel="1" x14ac:dyDescent="0.25">
      <c r="A803" s="33">
        <v>23</v>
      </c>
      <c r="B803" s="34" t="s">
        <v>603</v>
      </c>
      <c r="C803" s="35" t="s">
        <v>55</v>
      </c>
      <c r="D803" s="36">
        <v>7</v>
      </c>
      <c r="E803" s="36">
        <v>1.4443999999999999</v>
      </c>
      <c r="F803" s="36">
        <f t="shared" si="165"/>
        <v>10.110799999999999</v>
      </c>
      <c r="G803" s="37">
        <f t="shared" si="166"/>
        <v>0</v>
      </c>
      <c r="H803" s="38">
        <f t="shared" si="167"/>
        <v>0</v>
      </c>
      <c r="I803" s="37">
        <f t="shared" si="168"/>
        <v>0</v>
      </c>
      <c r="J803" s="38">
        <v>0</v>
      </c>
      <c r="K803" s="37">
        <f t="shared" si="169"/>
        <v>0</v>
      </c>
      <c r="L803" s="38">
        <v>0</v>
      </c>
    </row>
    <row r="804" spans="1:12" s="39" customFormat="1" ht="15.45" customHeight="1" outlineLevel="1" x14ac:dyDescent="0.25">
      <c r="A804" s="33">
        <v>24</v>
      </c>
      <c r="B804" s="34" t="s">
        <v>604</v>
      </c>
      <c r="C804" s="35" t="s">
        <v>115</v>
      </c>
      <c r="D804" s="36">
        <v>2</v>
      </c>
      <c r="E804" s="36">
        <v>134.3912</v>
      </c>
      <c r="F804" s="36">
        <f t="shared" si="165"/>
        <v>268.7824</v>
      </c>
      <c r="G804" s="37">
        <f t="shared" si="166"/>
        <v>0</v>
      </c>
      <c r="H804" s="38">
        <f t="shared" si="167"/>
        <v>0</v>
      </c>
      <c r="I804" s="37">
        <f t="shared" si="168"/>
        <v>0</v>
      </c>
      <c r="J804" s="38">
        <v>0</v>
      </c>
      <c r="K804" s="37">
        <f t="shared" si="169"/>
        <v>0</v>
      </c>
      <c r="L804" s="38">
        <v>0</v>
      </c>
    </row>
    <row r="805" spans="1:12" s="39" customFormat="1" ht="15.45" customHeight="1" outlineLevel="1" x14ac:dyDescent="0.25">
      <c r="A805" s="33">
        <v>25</v>
      </c>
      <c r="B805" s="34" t="s">
        <v>605</v>
      </c>
      <c r="C805" s="35" t="s">
        <v>55</v>
      </c>
      <c r="D805" s="36">
        <v>2</v>
      </c>
      <c r="E805" s="36">
        <v>16.807600000000001</v>
      </c>
      <c r="F805" s="36">
        <f t="shared" si="165"/>
        <v>33.615200000000002</v>
      </c>
      <c r="G805" s="37">
        <f t="shared" si="166"/>
        <v>0</v>
      </c>
      <c r="H805" s="38">
        <f t="shared" si="167"/>
        <v>0</v>
      </c>
      <c r="I805" s="37">
        <f t="shared" si="168"/>
        <v>0</v>
      </c>
      <c r="J805" s="38">
        <v>0</v>
      </c>
      <c r="K805" s="37">
        <f t="shared" si="169"/>
        <v>0</v>
      </c>
      <c r="L805" s="38">
        <v>0</v>
      </c>
    </row>
    <row r="806" spans="1:12" s="39" customFormat="1" ht="28.95" customHeight="1" outlineLevel="1" x14ac:dyDescent="0.25">
      <c r="A806" s="33">
        <v>26</v>
      </c>
      <c r="B806" s="34" t="s">
        <v>606</v>
      </c>
      <c r="C806" s="35" t="s">
        <v>55</v>
      </c>
      <c r="D806" s="36">
        <v>7</v>
      </c>
      <c r="E806" s="36">
        <v>3.9434</v>
      </c>
      <c r="F806" s="36">
        <f t="shared" si="165"/>
        <v>27.6038</v>
      </c>
      <c r="G806" s="37">
        <f t="shared" si="166"/>
        <v>0</v>
      </c>
      <c r="H806" s="38">
        <f t="shared" si="167"/>
        <v>0</v>
      </c>
      <c r="I806" s="37">
        <f t="shared" si="168"/>
        <v>0</v>
      </c>
      <c r="J806" s="38">
        <v>0</v>
      </c>
      <c r="K806" s="37">
        <f t="shared" si="169"/>
        <v>0</v>
      </c>
      <c r="L806" s="38">
        <v>0</v>
      </c>
    </row>
    <row r="807" spans="1:12" s="39" customFormat="1" ht="28.95" customHeight="1" outlineLevel="1" x14ac:dyDescent="0.25">
      <c r="A807" s="33">
        <v>27</v>
      </c>
      <c r="B807" s="34" t="s">
        <v>607</v>
      </c>
      <c r="C807" s="35" t="s">
        <v>55</v>
      </c>
      <c r="D807" s="36">
        <v>7</v>
      </c>
      <c r="E807" s="36">
        <v>3.7924000000000002</v>
      </c>
      <c r="F807" s="36">
        <f t="shared" si="165"/>
        <v>26.546800000000001</v>
      </c>
      <c r="G807" s="37">
        <f t="shared" si="166"/>
        <v>0</v>
      </c>
      <c r="H807" s="38">
        <f t="shared" si="167"/>
        <v>0</v>
      </c>
      <c r="I807" s="37">
        <f t="shared" si="168"/>
        <v>0</v>
      </c>
      <c r="J807" s="38">
        <v>0</v>
      </c>
      <c r="K807" s="37">
        <f t="shared" si="169"/>
        <v>0</v>
      </c>
      <c r="L807" s="38">
        <v>0</v>
      </c>
    </row>
    <row r="808" spans="1:12" s="39" customFormat="1" ht="28.95" customHeight="1" outlineLevel="1" x14ac:dyDescent="0.25">
      <c r="A808" s="33">
        <v>28</v>
      </c>
      <c r="B808" s="34" t="s">
        <v>608</v>
      </c>
      <c r="C808" s="35" t="s">
        <v>55</v>
      </c>
      <c r="D808" s="36">
        <v>61</v>
      </c>
      <c r="E808" s="36">
        <v>4.1576000000000004</v>
      </c>
      <c r="F808" s="36">
        <f t="shared" si="165"/>
        <v>253.61360000000002</v>
      </c>
      <c r="G808" s="37">
        <f t="shared" si="166"/>
        <v>0</v>
      </c>
      <c r="H808" s="38">
        <f t="shared" si="167"/>
        <v>0</v>
      </c>
      <c r="I808" s="37">
        <f t="shared" si="168"/>
        <v>0</v>
      </c>
      <c r="J808" s="38">
        <v>0</v>
      </c>
      <c r="K808" s="37">
        <f t="shared" si="169"/>
        <v>0</v>
      </c>
      <c r="L808" s="38">
        <v>0</v>
      </c>
    </row>
    <row r="809" spans="1:12" s="39" customFormat="1" ht="28.95" customHeight="1" outlineLevel="1" x14ac:dyDescent="0.25">
      <c r="A809" s="33">
        <v>29</v>
      </c>
      <c r="B809" s="34" t="s">
        <v>609</v>
      </c>
      <c r="C809" s="35" t="s">
        <v>55</v>
      </c>
      <c r="D809" s="36">
        <v>14</v>
      </c>
      <c r="E809" s="36">
        <v>4.4635999999999987</v>
      </c>
      <c r="F809" s="36">
        <f t="shared" si="165"/>
        <v>62.49039999999998</v>
      </c>
      <c r="G809" s="37">
        <f t="shared" si="166"/>
        <v>0</v>
      </c>
      <c r="H809" s="38">
        <f t="shared" si="167"/>
        <v>0</v>
      </c>
      <c r="I809" s="37">
        <f t="shared" si="168"/>
        <v>0</v>
      </c>
      <c r="J809" s="38">
        <v>0</v>
      </c>
      <c r="K809" s="37">
        <f t="shared" si="169"/>
        <v>0</v>
      </c>
      <c r="L809" s="38">
        <v>0</v>
      </c>
    </row>
    <row r="810" spans="1:12" s="39" customFormat="1" ht="28.95" customHeight="1" outlineLevel="1" x14ac:dyDescent="0.25">
      <c r="A810" s="33">
        <v>30</v>
      </c>
      <c r="B810" s="34" t="s">
        <v>610</v>
      </c>
      <c r="C810" s="35" t="s">
        <v>55</v>
      </c>
      <c r="D810" s="36">
        <v>75</v>
      </c>
      <c r="E810" s="36">
        <v>3.8536000000000001</v>
      </c>
      <c r="F810" s="36">
        <f t="shared" si="165"/>
        <v>289.02</v>
      </c>
      <c r="G810" s="37">
        <f t="shared" si="166"/>
        <v>0</v>
      </c>
      <c r="H810" s="38">
        <f t="shared" si="167"/>
        <v>0</v>
      </c>
      <c r="I810" s="37">
        <f t="shared" si="168"/>
        <v>0</v>
      </c>
      <c r="J810" s="38">
        <v>0</v>
      </c>
      <c r="K810" s="37">
        <f t="shared" si="169"/>
        <v>0</v>
      </c>
      <c r="L810" s="38">
        <v>0</v>
      </c>
    </row>
    <row r="811" spans="1:12" s="39" customFormat="1" ht="28.95" customHeight="1" outlineLevel="1" x14ac:dyDescent="0.25">
      <c r="A811" s="33">
        <v>31</v>
      </c>
      <c r="B811" s="34" t="s">
        <v>611</v>
      </c>
      <c r="C811" s="35" t="s">
        <v>55</v>
      </c>
      <c r="D811" s="36">
        <v>10</v>
      </c>
      <c r="E811" s="36">
        <v>6.5444000000000004</v>
      </c>
      <c r="F811" s="36">
        <f t="shared" si="165"/>
        <v>65.444000000000003</v>
      </c>
      <c r="G811" s="37">
        <f t="shared" si="166"/>
        <v>0</v>
      </c>
      <c r="H811" s="38">
        <f t="shared" si="167"/>
        <v>0</v>
      </c>
      <c r="I811" s="37">
        <f t="shared" si="168"/>
        <v>0</v>
      </c>
      <c r="J811" s="38">
        <v>0</v>
      </c>
      <c r="K811" s="37">
        <f t="shared" si="169"/>
        <v>0</v>
      </c>
      <c r="L811" s="38">
        <v>0</v>
      </c>
    </row>
    <row r="812" spans="1:12" s="39" customFormat="1" ht="15.45" customHeight="1" outlineLevel="1" x14ac:dyDescent="0.25">
      <c r="A812" s="33">
        <v>32</v>
      </c>
      <c r="B812" s="34" t="s">
        <v>612</v>
      </c>
      <c r="C812" s="35" t="s">
        <v>55</v>
      </c>
      <c r="D812" s="36">
        <v>10</v>
      </c>
      <c r="E812" s="36">
        <v>9.1882000000000001</v>
      </c>
      <c r="F812" s="36">
        <f t="shared" si="165"/>
        <v>91.882000000000005</v>
      </c>
      <c r="G812" s="37">
        <f t="shared" si="166"/>
        <v>0</v>
      </c>
      <c r="H812" s="38">
        <f t="shared" si="167"/>
        <v>0</v>
      </c>
      <c r="I812" s="37">
        <f t="shared" si="168"/>
        <v>0</v>
      </c>
      <c r="J812" s="38">
        <v>0</v>
      </c>
      <c r="K812" s="37">
        <f t="shared" si="169"/>
        <v>0</v>
      </c>
      <c r="L812" s="38">
        <v>0</v>
      </c>
    </row>
    <row r="813" spans="1:12" s="39" customFormat="1" ht="15.45" customHeight="1" outlineLevel="1" x14ac:dyDescent="0.25">
      <c r="A813" s="33">
        <v>33</v>
      </c>
      <c r="B813" s="34" t="s">
        <v>613</v>
      </c>
      <c r="C813" s="35" t="s">
        <v>55</v>
      </c>
      <c r="D813" s="36">
        <v>92</v>
      </c>
      <c r="E813" s="36">
        <v>0.9</v>
      </c>
      <c r="F813" s="36">
        <f t="shared" si="165"/>
        <v>82.8</v>
      </c>
      <c r="G813" s="37">
        <f t="shared" si="166"/>
        <v>0</v>
      </c>
      <c r="H813" s="38">
        <f t="shared" si="167"/>
        <v>0</v>
      </c>
      <c r="I813" s="37">
        <f t="shared" si="168"/>
        <v>0</v>
      </c>
      <c r="J813" s="38">
        <v>0</v>
      </c>
      <c r="K813" s="37">
        <f t="shared" si="169"/>
        <v>0</v>
      </c>
      <c r="L813" s="38">
        <v>0</v>
      </c>
    </row>
    <row r="814" spans="1:12" s="39" customFormat="1" ht="15.45" customHeight="1" outlineLevel="1" x14ac:dyDescent="0.25">
      <c r="A814" s="33">
        <v>34</v>
      </c>
      <c r="B814" s="34" t="s">
        <v>549</v>
      </c>
      <c r="C814" s="35" t="s">
        <v>55</v>
      </c>
      <c r="D814" s="36">
        <v>50</v>
      </c>
      <c r="E814" s="36">
        <v>0.9</v>
      </c>
      <c r="F814" s="36">
        <f t="shared" si="165"/>
        <v>45</v>
      </c>
      <c r="G814" s="37">
        <f t="shared" si="166"/>
        <v>0</v>
      </c>
      <c r="H814" s="38">
        <f t="shared" si="167"/>
        <v>0</v>
      </c>
      <c r="I814" s="37">
        <f t="shared" si="168"/>
        <v>0</v>
      </c>
      <c r="J814" s="38">
        <v>0</v>
      </c>
      <c r="K814" s="37">
        <f t="shared" si="169"/>
        <v>0</v>
      </c>
      <c r="L814" s="38">
        <v>0</v>
      </c>
    </row>
    <row r="815" spans="1:12" s="39" customFormat="1" ht="15.45" customHeight="1" outlineLevel="1" x14ac:dyDescent="0.25">
      <c r="A815" s="33">
        <v>35</v>
      </c>
      <c r="B815" s="34" t="s">
        <v>614</v>
      </c>
      <c r="C815" s="35" t="s">
        <v>50</v>
      </c>
      <c r="D815" s="36">
        <v>5480</v>
      </c>
      <c r="E815" s="36">
        <v>0.9</v>
      </c>
      <c r="F815" s="36">
        <f t="shared" si="165"/>
        <v>4932</v>
      </c>
      <c r="G815" s="37">
        <f t="shared" si="166"/>
        <v>0</v>
      </c>
      <c r="H815" s="38">
        <f t="shared" si="167"/>
        <v>0</v>
      </c>
      <c r="I815" s="37">
        <f t="shared" si="168"/>
        <v>0</v>
      </c>
      <c r="J815" s="38">
        <v>0</v>
      </c>
      <c r="K815" s="37">
        <f t="shared" si="169"/>
        <v>0</v>
      </c>
      <c r="L815" s="38">
        <v>0</v>
      </c>
    </row>
    <row r="816" spans="1:12" s="39" customFormat="1" ht="28.95" customHeight="1" outlineLevel="1" x14ac:dyDescent="0.25">
      <c r="A816" s="33">
        <v>36</v>
      </c>
      <c r="B816" s="34" t="s">
        <v>554</v>
      </c>
      <c r="C816" s="35" t="s">
        <v>50</v>
      </c>
      <c r="D816" s="36">
        <v>5480</v>
      </c>
      <c r="E816" s="36">
        <v>2.242</v>
      </c>
      <c r="F816" s="36">
        <f t="shared" si="165"/>
        <v>12286.16</v>
      </c>
      <c r="G816" s="37">
        <f t="shared" si="166"/>
        <v>0</v>
      </c>
      <c r="H816" s="38">
        <f t="shared" si="167"/>
        <v>0</v>
      </c>
      <c r="I816" s="37">
        <f t="shared" si="168"/>
        <v>0</v>
      </c>
      <c r="J816" s="38">
        <v>0</v>
      </c>
      <c r="K816" s="37">
        <f t="shared" si="169"/>
        <v>0</v>
      </c>
      <c r="L816" s="38">
        <v>0</v>
      </c>
    </row>
    <row r="817" spans="1:12" s="39" customFormat="1" ht="15.45" customHeight="1" outlineLevel="1" x14ac:dyDescent="0.25">
      <c r="A817" s="33">
        <v>37</v>
      </c>
      <c r="B817" s="34" t="s">
        <v>560</v>
      </c>
      <c r="C817" s="35" t="s">
        <v>50</v>
      </c>
      <c r="D817" s="36">
        <v>4900</v>
      </c>
      <c r="E817" s="36">
        <v>5.0999999999999996</v>
      </c>
      <c r="F817" s="36">
        <f t="shared" si="165"/>
        <v>24990</v>
      </c>
      <c r="G817" s="37">
        <f t="shared" si="166"/>
        <v>0</v>
      </c>
      <c r="H817" s="38">
        <f t="shared" si="167"/>
        <v>0</v>
      </c>
      <c r="I817" s="37">
        <f t="shared" si="168"/>
        <v>0</v>
      </c>
      <c r="J817" s="38">
        <v>0</v>
      </c>
      <c r="K817" s="37">
        <f t="shared" si="169"/>
        <v>0</v>
      </c>
      <c r="L817" s="38">
        <v>0</v>
      </c>
    </row>
    <row r="818" spans="1:12" s="39" customFormat="1" ht="15.45" customHeight="1" outlineLevel="1" x14ac:dyDescent="0.25">
      <c r="A818" s="33">
        <v>38</v>
      </c>
      <c r="B818" s="34" t="s">
        <v>561</v>
      </c>
      <c r="C818" s="35" t="s">
        <v>50</v>
      </c>
      <c r="D818" s="36">
        <v>80</v>
      </c>
      <c r="E818" s="36">
        <v>6.1</v>
      </c>
      <c r="F818" s="36">
        <f t="shared" si="165"/>
        <v>488</v>
      </c>
      <c r="G818" s="37">
        <f t="shared" si="166"/>
        <v>0</v>
      </c>
      <c r="H818" s="38">
        <f t="shared" si="167"/>
        <v>0</v>
      </c>
      <c r="I818" s="37">
        <f t="shared" si="168"/>
        <v>0</v>
      </c>
      <c r="J818" s="38">
        <v>0</v>
      </c>
      <c r="K818" s="37">
        <f t="shared" si="169"/>
        <v>0</v>
      </c>
      <c r="L818" s="38">
        <v>0</v>
      </c>
    </row>
    <row r="819" spans="1:12" s="39" customFormat="1" ht="15.45" customHeight="1" outlineLevel="1" x14ac:dyDescent="0.25">
      <c r="A819" s="33">
        <v>39</v>
      </c>
      <c r="B819" s="34" t="s">
        <v>615</v>
      </c>
      <c r="C819" s="35" t="s">
        <v>50</v>
      </c>
      <c r="D819" s="36">
        <v>200</v>
      </c>
      <c r="E819" s="36">
        <v>2.88</v>
      </c>
      <c r="F819" s="36">
        <f t="shared" si="165"/>
        <v>576</v>
      </c>
      <c r="G819" s="37">
        <f t="shared" si="166"/>
        <v>0</v>
      </c>
      <c r="H819" s="38">
        <f t="shared" si="167"/>
        <v>0</v>
      </c>
      <c r="I819" s="37">
        <f t="shared" si="168"/>
        <v>0</v>
      </c>
      <c r="J819" s="38">
        <v>0</v>
      </c>
      <c r="K819" s="37">
        <f t="shared" si="169"/>
        <v>0</v>
      </c>
      <c r="L819" s="38">
        <v>0</v>
      </c>
    </row>
    <row r="820" spans="1:12" s="39" customFormat="1" ht="15.45" customHeight="1" outlineLevel="1" x14ac:dyDescent="0.25">
      <c r="A820" s="33">
        <v>40</v>
      </c>
      <c r="B820" s="34" t="s">
        <v>616</v>
      </c>
      <c r="C820" s="35" t="s">
        <v>50</v>
      </c>
      <c r="D820" s="36">
        <v>300</v>
      </c>
      <c r="E820" s="36">
        <v>4.4499999999999993</v>
      </c>
      <c r="F820" s="36">
        <f t="shared" si="165"/>
        <v>1334.9999999999998</v>
      </c>
      <c r="G820" s="37">
        <f t="shared" si="166"/>
        <v>0</v>
      </c>
      <c r="H820" s="38">
        <f t="shared" si="167"/>
        <v>0</v>
      </c>
      <c r="I820" s="37">
        <f t="shared" si="168"/>
        <v>0</v>
      </c>
      <c r="J820" s="38">
        <v>0</v>
      </c>
      <c r="K820" s="37">
        <f t="shared" si="169"/>
        <v>0</v>
      </c>
      <c r="L820" s="38">
        <v>0</v>
      </c>
    </row>
    <row r="821" spans="1:12" s="39" customFormat="1" ht="28.95" customHeight="1" outlineLevel="1" x14ac:dyDescent="0.25">
      <c r="A821" s="33">
        <v>41</v>
      </c>
      <c r="B821" s="34" t="s">
        <v>617</v>
      </c>
      <c r="C821" s="35" t="s">
        <v>50</v>
      </c>
      <c r="D821" s="36">
        <v>5480</v>
      </c>
      <c r="E821" s="36">
        <v>2.0379999999999998</v>
      </c>
      <c r="F821" s="36">
        <f t="shared" si="165"/>
        <v>11168.24</v>
      </c>
      <c r="G821" s="37">
        <f t="shared" si="166"/>
        <v>0</v>
      </c>
      <c r="H821" s="38">
        <f t="shared" si="167"/>
        <v>0</v>
      </c>
      <c r="I821" s="37">
        <f t="shared" si="168"/>
        <v>0</v>
      </c>
      <c r="J821" s="38">
        <v>0</v>
      </c>
      <c r="K821" s="37">
        <f t="shared" si="169"/>
        <v>0</v>
      </c>
      <c r="L821" s="38">
        <v>0</v>
      </c>
    </row>
    <row r="822" spans="1:12" s="39" customFormat="1" ht="15.45" customHeight="1" outlineLevel="1" x14ac:dyDescent="0.25">
      <c r="A822" s="31" t="s">
        <v>618</v>
      </c>
      <c r="B822" s="40" t="s">
        <v>619</v>
      </c>
      <c r="C822" s="41">
        <v>0</v>
      </c>
      <c r="D822" s="42"/>
      <c r="E822" s="42"/>
      <c r="F822" s="42"/>
      <c r="G822" s="43"/>
      <c r="H822" s="44"/>
      <c r="I822" s="43"/>
      <c r="J822" s="44"/>
      <c r="K822" s="43"/>
      <c r="L822" s="44">
        <v>0</v>
      </c>
    </row>
    <row r="823" spans="1:12" s="39" customFormat="1" ht="15.45" customHeight="1" outlineLevel="1" x14ac:dyDescent="0.25">
      <c r="A823" s="33">
        <v>1</v>
      </c>
      <c r="B823" s="34" t="s">
        <v>620</v>
      </c>
      <c r="C823" s="35" t="s">
        <v>55</v>
      </c>
      <c r="D823" s="36">
        <v>1</v>
      </c>
      <c r="E823" s="36">
        <v>2219.5160000000001</v>
      </c>
      <c r="F823" s="36">
        <f t="shared" ref="F823:F844" si="170">+E823*D823</f>
        <v>2219.5160000000001</v>
      </c>
      <c r="G823" s="37">
        <f t="shared" ref="G823:G844" si="171">I823+K823</f>
        <v>0</v>
      </c>
      <c r="H823" s="38">
        <f t="shared" ref="H823:H844" si="172">J823+L823</f>
        <v>0</v>
      </c>
      <c r="I823" s="37">
        <f t="shared" ref="I823:I844" si="173">J823/F823</f>
        <v>0</v>
      </c>
      <c r="J823" s="38">
        <v>0</v>
      </c>
      <c r="K823" s="37">
        <f t="shared" ref="K823:K844" si="174">L823/F823</f>
        <v>0</v>
      </c>
      <c r="L823" s="38">
        <v>0</v>
      </c>
    </row>
    <row r="824" spans="1:12" s="39" customFormat="1" ht="28.95" customHeight="1" outlineLevel="1" x14ac:dyDescent="0.25">
      <c r="A824" s="33">
        <v>2</v>
      </c>
      <c r="B824" s="34" t="s">
        <v>621</v>
      </c>
      <c r="C824" s="35" t="s">
        <v>55</v>
      </c>
      <c r="D824" s="36">
        <v>1</v>
      </c>
      <c r="E824" s="36">
        <v>172.60239999999999</v>
      </c>
      <c r="F824" s="36">
        <f t="shared" si="170"/>
        <v>172.60239999999999</v>
      </c>
      <c r="G824" s="37">
        <f t="shared" si="171"/>
        <v>0</v>
      </c>
      <c r="H824" s="38">
        <f t="shared" si="172"/>
        <v>0</v>
      </c>
      <c r="I824" s="37">
        <f t="shared" si="173"/>
        <v>0</v>
      </c>
      <c r="J824" s="38">
        <v>0</v>
      </c>
      <c r="K824" s="37">
        <f t="shared" si="174"/>
        <v>0</v>
      </c>
      <c r="L824" s="38">
        <v>0</v>
      </c>
    </row>
    <row r="825" spans="1:12" s="39" customFormat="1" ht="15.45" customHeight="1" outlineLevel="1" x14ac:dyDescent="0.25">
      <c r="A825" s="33">
        <v>3</v>
      </c>
      <c r="B825" s="34" t="s">
        <v>622</v>
      </c>
      <c r="C825" s="35" t="s">
        <v>55</v>
      </c>
      <c r="D825" s="36">
        <v>1</v>
      </c>
      <c r="E825" s="36">
        <v>1310.0534</v>
      </c>
      <c r="F825" s="36">
        <f t="shared" si="170"/>
        <v>1310.0534</v>
      </c>
      <c r="G825" s="37">
        <f t="shared" si="171"/>
        <v>0</v>
      </c>
      <c r="H825" s="38">
        <f t="shared" si="172"/>
        <v>0</v>
      </c>
      <c r="I825" s="37">
        <f t="shared" si="173"/>
        <v>0</v>
      </c>
      <c r="J825" s="38">
        <v>0</v>
      </c>
      <c r="K825" s="37">
        <f t="shared" si="174"/>
        <v>0</v>
      </c>
      <c r="L825" s="38">
        <v>0</v>
      </c>
    </row>
    <row r="826" spans="1:12" s="39" customFormat="1" ht="28.95" customHeight="1" outlineLevel="1" x14ac:dyDescent="0.25">
      <c r="A826" s="33">
        <v>4</v>
      </c>
      <c r="B826" s="34" t="s">
        <v>623</v>
      </c>
      <c r="C826" s="35" t="s">
        <v>55</v>
      </c>
      <c r="D826" s="36">
        <v>1</v>
      </c>
      <c r="E826" s="36">
        <v>120.63339999999999</v>
      </c>
      <c r="F826" s="36">
        <f t="shared" si="170"/>
        <v>120.63339999999999</v>
      </c>
      <c r="G826" s="37">
        <f t="shared" si="171"/>
        <v>0</v>
      </c>
      <c r="H826" s="38">
        <f t="shared" si="172"/>
        <v>0</v>
      </c>
      <c r="I826" s="37">
        <f t="shared" si="173"/>
        <v>0</v>
      </c>
      <c r="J826" s="38">
        <v>0</v>
      </c>
      <c r="K826" s="37">
        <f t="shared" si="174"/>
        <v>0</v>
      </c>
      <c r="L826" s="38">
        <v>0</v>
      </c>
    </row>
    <row r="827" spans="1:12" s="39" customFormat="1" ht="28.95" customHeight="1" outlineLevel="1" x14ac:dyDescent="0.25">
      <c r="A827" s="33">
        <v>5</v>
      </c>
      <c r="B827" s="34" t="s">
        <v>624</v>
      </c>
      <c r="C827" s="35" t="s">
        <v>55</v>
      </c>
      <c r="D827" s="36">
        <v>140</v>
      </c>
      <c r="E827" s="36">
        <v>18.784400000000002</v>
      </c>
      <c r="F827" s="36">
        <f t="shared" si="170"/>
        <v>2629.8160000000003</v>
      </c>
      <c r="G827" s="37">
        <f t="shared" si="171"/>
        <v>0</v>
      </c>
      <c r="H827" s="38">
        <f t="shared" si="172"/>
        <v>0</v>
      </c>
      <c r="I827" s="37">
        <f t="shared" si="173"/>
        <v>0</v>
      </c>
      <c r="J827" s="38">
        <v>0</v>
      </c>
      <c r="K827" s="37">
        <f t="shared" si="174"/>
        <v>0</v>
      </c>
      <c r="L827" s="38">
        <v>0</v>
      </c>
    </row>
    <row r="828" spans="1:12" s="39" customFormat="1" ht="28.95" customHeight="1" outlineLevel="1" x14ac:dyDescent="0.25">
      <c r="A828" s="33">
        <v>6</v>
      </c>
      <c r="B828" s="34" t="s">
        <v>625</v>
      </c>
      <c r="C828" s="35" t="s">
        <v>55</v>
      </c>
      <c r="D828" s="36">
        <v>4</v>
      </c>
      <c r="E828" s="36">
        <v>22.905200000000001</v>
      </c>
      <c r="F828" s="36">
        <f t="shared" si="170"/>
        <v>91.620800000000003</v>
      </c>
      <c r="G828" s="37">
        <f t="shared" si="171"/>
        <v>0</v>
      </c>
      <c r="H828" s="38">
        <f t="shared" si="172"/>
        <v>0</v>
      </c>
      <c r="I828" s="37">
        <f t="shared" si="173"/>
        <v>0</v>
      </c>
      <c r="J828" s="38">
        <v>0</v>
      </c>
      <c r="K828" s="37">
        <f t="shared" si="174"/>
        <v>0</v>
      </c>
      <c r="L828" s="38">
        <v>0</v>
      </c>
    </row>
    <row r="829" spans="1:12" s="39" customFormat="1" ht="28.95" customHeight="1" outlineLevel="1" x14ac:dyDescent="0.25">
      <c r="A829" s="33">
        <v>7</v>
      </c>
      <c r="B829" s="34" t="s">
        <v>626</v>
      </c>
      <c r="C829" s="35" t="s">
        <v>55</v>
      </c>
      <c r="D829" s="36">
        <v>144</v>
      </c>
      <c r="E829" s="36">
        <v>28.1602</v>
      </c>
      <c r="F829" s="36">
        <f t="shared" si="170"/>
        <v>4055.0688</v>
      </c>
      <c r="G829" s="37">
        <f t="shared" si="171"/>
        <v>0</v>
      </c>
      <c r="H829" s="38">
        <f t="shared" si="172"/>
        <v>0</v>
      </c>
      <c r="I829" s="37">
        <f t="shared" si="173"/>
        <v>0</v>
      </c>
      <c r="J829" s="38">
        <v>0</v>
      </c>
      <c r="K829" s="37">
        <f t="shared" si="174"/>
        <v>0</v>
      </c>
      <c r="L829" s="38">
        <v>0</v>
      </c>
    </row>
    <row r="830" spans="1:12" s="39" customFormat="1" ht="28.95" customHeight="1" outlineLevel="1" x14ac:dyDescent="0.25">
      <c r="A830" s="33">
        <v>8</v>
      </c>
      <c r="B830" s="34" t="s">
        <v>627</v>
      </c>
      <c r="C830" s="35" t="s">
        <v>55</v>
      </c>
      <c r="D830" s="36">
        <v>5</v>
      </c>
      <c r="E830" s="36">
        <v>22.905200000000001</v>
      </c>
      <c r="F830" s="36">
        <f t="shared" si="170"/>
        <v>114.52600000000001</v>
      </c>
      <c r="G830" s="37">
        <f t="shared" si="171"/>
        <v>0</v>
      </c>
      <c r="H830" s="38">
        <f t="shared" si="172"/>
        <v>0</v>
      </c>
      <c r="I830" s="37">
        <f t="shared" si="173"/>
        <v>0</v>
      </c>
      <c r="J830" s="38">
        <v>0</v>
      </c>
      <c r="K830" s="37">
        <f t="shared" si="174"/>
        <v>0</v>
      </c>
      <c r="L830" s="38">
        <v>0</v>
      </c>
    </row>
    <row r="831" spans="1:12" s="39" customFormat="1" ht="28.95" customHeight="1" outlineLevel="1" x14ac:dyDescent="0.25">
      <c r="A831" s="33">
        <v>9</v>
      </c>
      <c r="B831" s="34" t="s">
        <v>628</v>
      </c>
      <c r="C831" s="35" t="s">
        <v>55</v>
      </c>
      <c r="D831" s="36">
        <v>5</v>
      </c>
      <c r="E831" s="36">
        <v>12.186999999999999</v>
      </c>
      <c r="F831" s="36">
        <f t="shared" si="170"/>
        <v>60.934999999999995</v>
      </c>
      <c r="G831" s="37">
        <f t="shared" si="171"/>
        <v>0</v>
      </c>
      <c r="H831" s="38">
        <f t="shared" si="172"/>
        <v>0</v>
      </c>
      <c r="I831" s="37">
        <f t="shared" si="173"/>
        <v>0</v>
      </c>
      <c r="J831" s="38">
        <v>0</v>
      </c>
      <c r="K831" s="37">
        <f t="shared" si="174"/>
        <v>0</v>
      </c>
      <c r="L831" s="38">
        <v>0</v>
      </c>
    </row>
    <row r="832" spans="1:12" s="39" customFormat="1" ht="15.45" customHeight="1" outlineLevel="1" x14ac:dyDescent="0.25">
      <c r="A832" s="33">
        <v>10</v>
      </c>
      <c r="B832" s="34" t="s">
        <v>629</v>
      </c>
      <c r="C832" s="35" t="s">
        <v>50</v>
      </c>
      <c r="D832" s="36">
        <v>1330</v>
      </c>
      <c r="E832" s="36">
        <v>0.9</v>
      </c>
      <c r="F832" s="36">
        <f t="shared" si="170"/>
        <v>1197</v>
      </c>
      <c r="G832" s="37">
        <f t="shared" si="171"/>
        <v>0</v>
      </c>
      <c r="H832" s="38">
        <f t="shared" si="172"/>
        <v>0</v>
      </c>
      <c r="I832" s="37">
        <f t="shared" si="173"/>
        <v>0</v>
      </c>
      <c r="J832" s="38">
        <v>0</v>
      </c>
      <c r="K832" s="37">
        <f t="shared" si="174"/>
        <v>0</v>
      </c>
      <c r="L832" s="38">
        <v>0</v>
      </c>
    </row>
    <row r="833" spans="1:12" s="39" customFormat="1" ht="28.95" customHeight="1" outlineLevel="1" x14ac:dyDescent="0.25">
      <c r="A833" s="33">
        <v>11</v>
      </c>
      <c r="B833" s="34" t="s">
        <v>617</v>
      </c>
      <c r="C833" s="35" t="s">
        <v>50</v>
      </c>
      <c r="D833" s="36">
        <v>420</v>
      </c>
      <c r="E833" s="36">
        <v>2.0379999999999998</v>
      </c>
      <c r="F833" s="36">
        <f t="shared" si="170"/>
        <v>855.95999999999992</v>
      </c>
      <c r="G833" s="37">
        <f t="shared" si="171"/>
        <v>0</v>
      </c>
      <c r="H833" s="38">
        <f t="shared" si="172"/>
        <v>0</v>
      </c>
      <c r="I833" s="37">
        <f t="shared" si="173"/>
        <v>0</v>
      </c>
      <c r="J833" s="38">
        <v>0</v>
      </c>
      <c r="K833" s="37">
        <f t="shared" si="174"/>
        <v>0</v>
      </c>
      <c r="L833" s="38">
        <v>0</v>
      </c>
    </row>
    <row r="834" spans="1:12" s="39" customFormat="1" ht="28.95" customHeight="1" outlineLevel="1" x14ac:dyDescent="0.25">
      <c r="A834" s="33">
        <v>12</v>
      </c>
      <c r="B834" s="34" t="s">
        <v>572</v>
      </c>
      <c r="C834" s="35" t="s">
        <v>50</v>
      </c>
      <c r="D834" s="36">
        <v>910</v>
      </c>
      <c r="E834" s="36">
        <v>1.9461999999999999</v>
      </c>
      <c r="F834" s="36">
        <f t="shared" si="170"/>
        <v>1771.0419999999999</v>
      </c>
      <c r="G834" s="37">
        <f t="shared" si="171"/>
        <v>0</v>
      </c>
      <c r="H834" s="38">
        <f t="shared" si="172"/>
        <v>0</v>
      </c>
      <c r="I834" s="37">
        <f t="shared" si="173"/>
        <v>0</v>
      </c>
      <c r="J834" s="38">
        <v>0</v>
      </c>
      <c r="K834" s="37">
        <f t="shared" si="174"/>
        <v>0</v>
      </c>
      <c r="L834" s="38">
        <v>0</v>
      </c>
    </row>
    <row r="835" spans="1:12" s="39" customFormat="1" ht="28.95" customHeight="1" outlineLevel="1" x14ac:dyDescent="0.25">
      <c r="A835" s="33">
        <v>13</v>
      </c>
      <c r="B835" s="34" t="s">
        <v>630</v>
      </c>
      <c r="C835" s="35" t="s">
        <v>55</v>
      </c>
      <c r="D835" s="36">
        <v>1</v>
      </c>
      <c r="E835" s="36">
        <v>39.429200000000002</v>
      </c>
      <c r="F835" s="36">
        <f t="shared" si="170"/>
        <v>39.429200000000002</v>
      </c>
      <c r="G835" s="37">
        <f t="shared" si="171"/>
        <v>0</v>
      </c>
      <c r="H835" s="38">
        <f t="shared" si="172"/>
        <v>0</v>
      </c>
      <c r="I835" s="37">
        <f t="shared" si="173"/>
        <v>0</v>
      </c>
      <c r="J835" s="38">
        <v>0</v>
      </c>
      <c r="K835" s="37">
        <f t="shared" si="174"/>
        <v>0</v>
      </c>
      <c r="L835" s="38">
        <v>0</v>
      </c>
    </row>
    <row r="836" spans="1:12" s="45" customFormat="1" ht="15.45" customHeight="1" x14ac:dyDescent="0.3">
      <c r="A836" s="33">
        <v>14</v>
      </c>
      <c r="B836" s="34" t="s">
        <v>631</v>
      </c>
      <c r="C836" s="35" t="s">
        <v>55</v>
      </c>
      <c r="D836" s="36">
        <v>1</v>
      </c>
      <c r="E836" s="36">
        <v>53.782600000000002</v>
      </c>
      <c r="F836" s="36">
        <f t="shared" si="170"/>
        <v>53.782600000000002</v>
      </c>
      <c r="G836" s="37">
        <f t="shared" si="171"/>
        <v>0</v>
      </c>
      <c r="H836" s="38">
        <f t="shared" si="172"/>
        <v>0</v>
      </c>
      <c r="I836" s="37">
        <f t="shared" si="173"/>
        <v>0</v>
      </c>
      <c r="J836" s="38">
        <v>0</v>
      </c>
      <c r="K836" s="37">
        <f t="shared" si="174"/>
        <v>0</v>
      </c>
      <c r="L836" s="38">
        <v>0</v>
      </c>
    </row>
    <row r="837" spans="1:12" s="39" customFormat="1" ht="15.45" customHeight="1" outlineLevel="1" x14ac:dyDescent="0.25">
      <c r="A837" s="33">
        <v>15</v>
      </c>
      <c r="B837" s="34" t="s">
        <v>632</v>
      </c>
      <c r="C837" s="35" t="s">
        <v>55</v>
      </c>
      <c r="D837" s="36">
        <v>140</v>
      </c>
      <c r="E837" s="36">
        <v>2.6785999999999999</v>
      </c>
      <c r="F837" s="36">
        <f t="shared" si="170"/>
        <v>375.00399999999996</v>
      </c>
      <c r="G837" s="37">
        <f t="shared" si="171"/>
        <v>0</v>
      </c>
      <c r="H837" s="38">
        <f t="shared" si="172"/>
        <v>0</v>
      </c>
      <c r="I837" s="37">
        <f t="shared" si="173"/>
        <v>0</v>
      </c>
      <c r="J837" s="38">
        <v>0</v>
      </c>
      <c r="K837" s="37">
        <f t="shared" si="174"/>
        <v>0</v>
      </c>
      <c r="L837" s="38">
        <v>0</v>
      </c>
    </row>
    <row r="838" spans="1:12" s="39" customFormat="1" ht="15.45" customHeight="1" outlineLevel="1" x14ac:dyDescent="0.25">
      <c r="A838" s="33">
        <v>16</v>
      </c>
      <c r="B838" s="34" t="s">
        <v>633</v>
      </c>
      <c r="C838" s="35" t="s">
        <v>50</v>
      </c>
      <c r="D838" s="36">
        <v>25</v>
      </c>
      <c r="E838" s="36">
        <v>0.9</v>
      </c>
      <c r="F838" s="36">
        <f t="shared" si="170"/>
        <v>22.5</v>
      </c>
      <c r="G838" s="37">
        <f t="shared" si="171"/>
        <v>0</v>
      </c>
      <c r="H838" s="38">
        <f t="shared" si="172"/>
        <v>0</v>
      </c>
      <c r="I838" s="37">
        <f t="shared" si="173"/>
        <v>0</v>
      </c>
      <c r="J838" s="38">
        <v>0</v>
      </c>
      <c r="K838" s="37">
        <f t="shared" si="174"/>
        <v>0</v>
      </c>
      <c r="L838" s="38">
        <v>0</v>
      </c>
    </row>
    <row r="839" spans="1:12" s="39" customFormat="1" ht="28.95" customHeight="1" outlineLevel="1" x14ac:dyDescent="0.25">
      <c r="A839" s="33">
        <v>17</v>
      </c>
      <c r="B839" s="34" t="s">
        <v>617</v>
      </c>
      <c r="C839" s="35" t="s">
        <v>50</v>
      </c>
      <c r="D839" s="36">
        <v>25</v>
      </c>
      <c r="E839" s="36">
        <v>2.0379999999999998</v>
      </c>
      <c r="F839" s="36">
        <f t="shared" si="170"/>
        <v>50.949999999999996</v>
      </c>
      <c r="G839" s="37">
        <f t="shared" si="171"/>
        <v>0</v>
      </c>
      <c r="H839" s="38">
        <f t="shared" si="172"/>
        <v>0</v>
      </c>
      <c r="I839" s="37">
        <f t="shared" si="173"/>
        <v>0</v>
      </c>
      <c r="J839" s="38">
        <v>0</v>
      </c>
      <c r="K839" s="37">
        <f t="shared" si="174"/>
        <v>0</v>
      </c>
      <c r="L839" s="38">
        <v>0</v>
      </c>
    </row>
    <row r="840" spans="1:12" s="46" customFormat="1" ht="28.95" customHeight="1" outlineLevel="1" x14ac:dyDescent="0.35">
      <c r="A840" s="33">
        <v>18</v>
      </c>
      <c r="B840" s="34" t="s">
        <v>634</v>
      </c>
      <c r="C840" s="35" t="s">
        <v>50</v>
      </c>
      <c r="D840" s="36">
        <v>20</v>
      </c>
      <c r="E840" s="36">
        <v>0.9</v>
      </c>
      <c r="F840" s="36">
        <f t="shared" si="170"/>
        <v>18</v>
      </c>
      <c r="G840" s="37">
        <f t="shared" si="171"/>
        <v>0</v>
      </c>
      <c r="H840" s="38">
        <f t="shared" si="172"/>
        <v>0</v>
      </c>
      <c r="I840" s="37">
        <f t="shared" si="173"/>
        <v>0</v>
      </c>
      <c r="J840" s="38">
        <v>0</v>
      </c>
      <c r="K840" s="37">
        <f t="shared" si="174"/>
        <v>0</v>
      </c>
      <c r="L840" s="38">
        <v>0</v>
      </c>
    </row>
    <row r="841" spans="1:12" s="39" customFormat="1" ht="15.45" customHeight="1" outlineLevel="1" x14ac:dyDescent="0.25">
      <c r="A841" s="33">
        <v>19</v>
      </c>
      <c r="B841" s="34" t="s">
        <v>614</v>
      </c>
      <c r="C841" s="35" t="s">
        <v>50</v>
      </c>
      <c r="D841" s="36">
        <v>400</v>
      </c>
      <c r="E841" s="36">
        <v>0.9</v>
      </c>
      <c r="F841" s="36">
        <f t="shared" si="170"/>
        <v>360</v>
      </c>
      <c r="G841" s="37">
        <f t="shared" si="171"/>
        <v>0</v>
      </c>
      <c r="H841" s="38">
        <f t="shared" si="172"/>
        <v>0</v>
      </c>
      <c r="I841" s="37">
        <f t="shared" si="173"/>
        <v>0</v>
      </c>
      <c r="J841" s="38">
        <v>0</v>
      </c>
      <c r="K841" s="37">
        <f t="shared" si="174"/>
        <v>0</v>
      </c>
      <c r="L841" s="38">
        <v>0</v>
      </c>
    </row>
    <row r="842" spans="1:12" s="39" customFormat="1" ht="28.95" customHeight="1" outlineLevel="1" x14ac:dyDescent="0.25">
      <c r="A842" s="33">
        <v>20</v>
      </c>
      <c r="B842" s="34" t="s">
        <v>554</v>
      </c>
      <c r="C842" s="35" t="s">
        <v>50</v>
      </c>
      <c r="D842" s="36">
        <v>420</v>
      </c>
      <c r="E842" s="36">
        <v>2.242</v>
      </c>
      <c r="F842" s="36">
        <f t="shared" si="170"/>
        <v>941.64</v>
      </c>
      <c r="G842" s="37">
        <f t="shared" si="171"/>
        <v>0</v>
      </c>
      <c r="H842" s="38">
        <f t="shared" si="172"/>
        <v>0</v>
      </c>
      <c r="I842" s="37">
        <f t="shared" si="173"/>
        <v>0</v>
      </c>
      <c r="J842" s="38">
        <v>0</v>
      </c>
      <c r="K842" s="37">
        <f t="shared" si="174"/>
        <v>0</v>
      </c>
      <c r="L842" s="38">
        <v>0</v>
      </c>
    </row>
    <row r="843" spans="1:12" s="39" customFormat="1" ht="87.15" customHeight="1" outlineLevel="1" x14ac:dyDescent="0.25">
      <c r="A843" s="33">
        <v>21</v>
      </c>
      <c r="B843" s="34" t="s">
        <v>635</v>
      </c>
      <c r="C843" s="35" t="s">
        <v>55</v>
      </c>
      <c r="D843" s="36">
        <v>12</v>
      </c>
      <c r="E843" s="36">
        <v>423.66320000000007</v>
      </c>
      <c r="F843" s="36">
        <f t="shared" si="170"/>
        <v>5083.9584000000013</v>
      </c>
      <c r="G843" s="37">
        <f t="shared" si="171"/>
        <v>0</v>
      </c>
      <c r="H843" s="38">
        <f t="shared" si="172"/>
        <v>0</v>
      </c>
      <c r="I843" s="37">
        <f t="shared" si="173"/>
        <v>0</v>
      </c>
      <c r="J843" s="38">
        <v>0</v>
      </c>
      <c r="K843" s="37">
        <f t="shared" si="174"/>
        <v>0</v>
      </c>
      <c r="L843" s="38">
        <v>0</v>
      </c>
    </row>
    <row r="844" spans="1:12" s="39" customFormat="1" ht="15.45" customHeight="1" outlineLevel="1" x14ac:dyDescent="0.25">
      <c r="A844" s="33">
        <v>22</v>
      </c>
      <c r="B844" s="34" t="s">
        <v>636</v>
      </c>
      <c r="C844" s="35" t="s">
        <v>55</v>
      </c>
      <c r="D844" s="36">
        <v>12</v>
      </c>
      <c r="E844" s="36">
        <v>25.538799999999998</v>
      </c>
      <c r="F844" s="36">
        <f t="shared" si="170"/>
        <v>306.46559999999999</v>
      </c>
      <c r="G844" s="37">
        <f t="shared" si="171"/>
        <v>0</v>
      </c>
      <c r="H844" s="38">
        <f t="shared" si="172"/>
        <v>0</v>
      </c>
      <c r="I844" s="37">
        <f t="shared" si="173"/>
        <v>0</v>
      </c>
      <c r="J844" s="38">
        <v>0</v>
      </c>
      <c r="K844" s="37">
        <f t="shared" si="174"/>
        <v>0</v>
      </c>
      <c r="L844" s="38">
        <v>0</v>
      </c>
    </row>
    <row r="845" spans="1:12" s="39" customFormat="1" ht="15.45" customHeight="1" outlineLevel="1" x14ac:dyDescent="0.25">
      <c r="A845" s="31" t="s">
        <v>637</v>
      </c>
      <c r="B845" s="40" t="s">
        <v>638</v>
      </c>
      <c r="C845" s="41">
        <v>0</v>
      </c>
      <c r="D845" s="42"/>
      <c r="E845" s="42"/>
      <c r="F845" s="42"/>
      <c r="G845" s="43"/>
      <c r="H845" s="44"/>
      <c r="I845" s="43"/>
      <c r="J845" s="44"/>
      <c r="K845" s="43"/>
      <c r="L845" s="44">
        <v>0</v>
      </c>
    </row>
    <row r="846" spans="1:12" s="39" customFormat="1" ht="15.45" customHeight="1" outlineLevel="1" x14ac:dyDescent="0.25">
      <c r="A846" s="33">
        <v>1</v>
      </c>
      <c r="B846" s="34" t="s">
        <v>639</v>
      </c>
      <c r="C846" s="35" t="s">
        <v>55</v>
      </c>
      <c r="D846" s="36">
        <v>1</v>
      </c>
      <c r="E846" s="36">
        <v>505.99759999999998</v>
      </c>
      <c r="F846" s="36">
        <f t="shared" ref="F846:F865" si="175">+E846*D846</f>
        <v>505.99759999999998</v>
      </c>
      <c r="G846" s="37">
        <f t="shared" ref="G846:G865" si="176">I846+K846</f>
        <v>0</v>
      </c>
      <c r="H846" s="38">
        <f t="shared" ref="H846:H865" si="177">J846+L846</f>
        <v>0</v>
      </c>
      <c r="I846" s="37">
        <f t="shared" ref="I846:I865" si="178">J846/F846</f>
        <v>0</v>
      </c>
      <c r="J846" s="38">
        <v>0</v>
      </c>
      <c r="K846" s="37">
        <f t="shared" ref="K846:K865" si="179">L846/F846</f>
        <v>0</v>
      </c>
      <c r="L846" s="38">
        <v>0</v>
      </c>
    </row>
    <row r="847" spans="1:12" s="39" customFormat="1" ht="15.45" customHeight="1" outlineLevel="1" x14ac:dyDescent="0.25">
      <c r="A847" s="33">
        <v>2</v>
      </c>
      <c r="B847" s="34" t="s">
        <v>640</v>
      </c>
      <c r="C847" s="35" t="s">
        <v>55</v>
      </c>
      <c r="D847" s="36">
        <v>1</v>
      </c>
      <c r="E847" s="36">
        <v>31.2712</v>
      </c>
      <c r="F847" s="36">
        <f t="shared" si="175"/>
        <v>31.2712</v>
      </c>
      <c r="G847" s="37">
        <f t="shared" si="176"/>
        <v>0</v>
      </c>
      <c r="H847" s="38">
        <f t="shared" si="177"/>
        <v>0</v>
      </c>
      <c r="I847" s="37">
        <f t="shared" si="178"/>
        <v>0</v>
      </c>
      <c r="J847" s="38">
        <v>0</v>
      </c>
      <c r="K847" s="37">
        <f t="shared" si="179"/>
        <v>0</v>
      </c>
      <c r="L847" s="38">
        <v>0</v>
      </c>
    </row>
    <row r="848" spans="1:12" s="39" customFormat="1" ht="28.95" customHeight="1" outlineLevel="1" x14ac:dyDescent="0.25">
      <c r="A848" s="33">
        <v>3</v>
      </c>
      <c r="B848" s="34" t="s">
        <v>641</v>
      </c>
      <c r="C848" s="35" t="s">
        <v>115</v>
      </c>
      <c r="D848" s="36">
        <v>5</v>
      </c>
      <c r="E848" s="36">
        <v>93.101599999999991</v>
      </c>
      <c r="F848" s="36">
        <f t="shared" si="175"/>
        <v>465.50799999999992</v>
      </c>
      <c r="G848" s="37">
        <f t="shared" si="176"/>
        <v>0</v>
      </c>
      <c r="H848" s="38">
        <f t="shared" si="177"/>
        <v>0</v>
      </c>
      <c r="I848" s="37">
        <f t="shared" si="178"/>
        <v>0</v>
      </c>
      <c r="J848" s="38">
        <v>0</v>
      </c>
      <c r="K848" s="37">
        <f t="shared" si="179"/>
        <v>0</v>
      </c>
      <c r="L848" s="38">
        <v>0</v>
      </c>
    </row>
    <row r="849" spans="1:12" s="39" customFormat="1" ht="28.95" customHeight="1" outlineLevel="1" x14ac:dyDescent="0.25">
      <c r="A849" s="33">
        <v>4</v>
      </c>
      <c r="B849" s="34" t="s">
        <v>642</v>
      </c>
      <c r="C849" s="35" t="s">
        <v>115</v>
      </c>
      <c r="D849" s="36">
        <v>13</v>
      </c>
      <c r="E849" s="36">
        <v>82.779199999999989</v>
      </c>
      <c r="F849" s="36">
        <f t="shared" si="175"/>
        <v>1076.1295999999998</v>
      </c>
      <c r="G849" s="37">
        <f t="shared" si="176"/>
        <v>0</v>
      </c>
      <c r="H849" s="38">
        <f t="shared" si="177"/>
        <v>0</v>
      </c>
      <c r="I849" s="37">
        <f t="shared" si="178"/>
        <v>0</v>
      </c>
      <c r="J849" s="38">
        <v>0</v>
      </c>
      <c r="K849" s="37">
        <f t="shared" si="179"/>
        <v>0</v>
      </c>
      <c r="L849" s="38">
        <v>0</v>
      </c>
    </row>
    <row r="850" spans="1:12" s="39" customFormat="1" ht="15.45" customHeight="1" outlineLevel="1" x14ac:dyDescent="0.25">
      <c r="A850" s="33">
        <v>5</v>
      </c>
      <c r="B850" s="34" t="s">
        <v>643</v>
      </c>
      <c r="C850" s="35" t="s">
        <v>55</v>
      </c>
      <c r="D850" s="36">
        <v>4</v>
      </c>
      <c r="E850" s="36">
        <v>47.105680000000007</v>
      </c>
      <c r="F850" s="36">
        <f t="shared" si="175"/>
        <v>188.42272000000003</v>
      </c>
      <c r="G850" s="37">
        <f t="shared" si="176"/>
        <v>0</v>
      </c>
      <c r="H850" s="38">
        <f t="shared" si="177"/>
        <v>0</v>
      </c>
      <c r="I850" s="37">
        <f t="shared" si="178"/>
        <v>0</v>
      </c>
      <c r="J850" s="38">
        <v>0</v>
      </c>
      <c r="K850" s="37">
        <f t="shared" si="179"/>
        <v>0</v>
      </c>
      <c r="L850" s="38">
        <v>0</v>
      </c>
    </row>
    <row r="851" spans="1:12" s="39" customFormat="1" ht="15.45" customHeight="1" outlineLevel="1" x14ac:dyDescent="0.25">
      <c r="A851" s="33">
        <v>6</v>
      </c>
      <c r="B851" s="34" t="s">
        <v>644</v>
      </c>
      <c r="C851" s="35" t="s">
        <v>55</v>
      </c>
      <c r="D851" s="36">
        <v>14</v>
      </c>
      <c r="E851" s="36">
        <v>41.124400000000001</v>
      </c>
      <c r="F851" s="36">
        <f t="shared" si="175"/>
        <v>575.74160000000006</v>
      </c>
      <c r="G851" s="37">
        <f t="shared" si="176"/>
        <v>0</v>
      </c>
      <c r="H851" s="38">
        <f t="shared" si="177"/>
        <v>0</v>
      </c>
      <c r="I851" s="37">
        <f t="shared" si="178"/>
        <v>0</v>
      </c>
      <c r="J851" s="38">
        <v>0</v>
      </c>
      <c r="K851" s="37">
        <f t="shared" si="179"/>
        <v>0</v>
      </c>
      <c r="L851" s="38">
        <v>0</v>
      </c>
    </row>
    <row r="852" spans="1:12" s="39" customFormat="1" ht="15.45" customHeight="1" outlineLevel="1" x14ac:dyDescent="0.25">
      <c r="A852" s="33">
        <v>7</v>
      </c>
      <c r="B852" s="34" t="s">
        <v>645</v>
      </c>
      <c r="C852" s="35" t="s">
        <v>55</v>
      </c>
      <c r="D852" s="36">
        <v>1</v>
      </c>
      <c r="E852" s="36">
        <v>579.28460000000007</v>
      </c>
      <c r="F852" s="36">
        <f t="shared" si="175"/>
        <v>579.28460000000007</v>
      </c>
      <c r="G852" s="37">
        <f t="shared" si="176"/>
        <v>0</v>
      </c>
      <c r="H852" s="38">
        <f t="shared" si="177"/>
        <v>0</v>
      </c>
      <c r="I852" s="37">
        <f t="shared" si="178"/>
        <v>0</v>
      </c>
      <c r="J852" s="38">
        <v>0</v>
      </c>
      <c r="K852" s="37">
        <f t="shared" si="179"/>
        <v>0</v>
      </c>
      <c r="L852" s="38">
        <v>0</v>
      </c>
    </row>
    <row r="853" spans="1:12" s="39" customFormat="1" ht="15.45" customHeight="1" outlineLevel="1" x14ac:dyDescent="0.25">
      <c r="A853" s="33">
        <v>8</v>
      </c>
      <c r="B853" s="34" t="s">
        <v>646</v>
      </c>
      <c r="C853" s="35" t="s">
        <v>55</v>
      </c>
      <c r="D853" s="36">
        <v>1</v>
      </c>
      <c r="E853" s="36">
        <v>42.052599999999998</v>
      </c>
      <c r="F853" s="36">
        <f t="shared" si="175"/>
        <v>42.052599999999998</v>
      </c>
      <c r="G853" s="37">
        <f t="shared" si="176"/>
        <v>0</v>
      </c>
      <c r="H853" s="38">
        <f t="shared" si="177"/>
        <v>0</v>
      </c>
      <c r="I853" s="37">
        <f t="shared" si="178"/>
        <v>0</v>
      </c>
      <c r="J853" s="38">
        <v>0</v>
      </c>
      <c r="K853" s="37">
        <f t="shared" si="179"/>
        <v>0</v>
      </c>
      <c r="L853" s="38">
        <v>0</v>
      </c>
    </row>
    <row r="854" spans="1:12" s="39" customFormat="1" ht="15.45" customHeight="1" outlineLevel="1" x14ac:dyDescent="0.25">
      <c r="A854" s="33">
        <v>9</v>
      </c>
      <c r="B854" s="34" t="s">
        <v>647</v>
      </c>
      <c r="C854" s="35" t="s">
        <v>55</v>
      </c>
      <c r="D854" s="36">
        <v>2</v>
      </c>
      <c r="E854" s="36">
        <v>72.364999999999995</v>
      </c>
      <c r="F854" s="36">
        <f t="shared" si="175"/>
        <v>144.72999999999999</v>
      </c>
      <c r="G854" s="37">
        <f t="shared" si="176"/>
        <v>0</v>
      </c>
      <c r="H854" s="38">
        <f t="shared" si="177"/>
        <v>0</v>
      </c>
      <c r="I854" s="37">
        <f t="shared" si="178"/>
        <v>0</v>
      </c>
      <c r="J854" s="38">
        <v>0</v>
      </c>
      <c r="K854" s="37">
        <f t="shared" si="179"/>
        <v>0</v>
      </c>
      <c r="L854" s="38">
        <v>0</v>
      </c>
    </row>
    <row r="855" spans="1:12" s="39" customFormat="1" ht="15.45" customHeight="1" outlineLevel="1" x14ac:dyDescent="0.25">
      <c r="A855" s="33">
        <v>10</v>
      </c>
      <c r="B855" s="34" t="s">
        <v>648</v>
      </c>
      <c r="C855" s="35" t="s">
        <v>55</v>
      </c>
      <c r="D855" s="36">
        <v>36</v>
      </c>
      <c r="E855" s="36">
        <v>0.9</v>
      </c>
      <c r="F855" s="36">
        <f t="shared" si="175"/>
        <v>32.4</v>
      </c>
      <c r="G855" s="37">
        <f t="shared" si="176"/>
        <v>0</v>
      </c>
      <c r="H855" s="38">
        <f t="shared" si="177"/>
        <v>0</v>
      </c>
      <c r="I855" s="37">
        <f t="shared" si="178"/>
        <v>0</v>
      </c>
      <c r="J855" s="38">
        <v>0</v>
      </c>
      <c r="K855" s="37">
        <f t="shared" si="179"/>
        <v>0</v>
      </c>
      <c r="L855" s="38">
        <v>0</v>
      </c>
    </row>
    <row r="856" spans="1:12" s="39" customFormat="1" ht="28.95" customHeight="1" outlineLevel="1" x14ac:dyDescent="0.25">
      <c r="A856" s="33">
        <v>11</v>
      </c>
      <c r="B856" s="34" t="s">
        <v>649</v>
      </c>
      <c r="C856" s="35" t="s">
        <v>50</v>
      </c>
      <c r="D856" s="36">
        <v>320</v>
      </c>
      <c r="E856" s="36">
        <v>0.9</v>
      </c>
      <c r="F856" s="36">
        <f t="shared" si="175"/>
        <v>288</v>
      </c>
      <c r="G856" s="37">
        <f t="shared" si="176"/>
        <v>0</v>
      </c>
      <c r="H856" s="38">
        <f t="shared" si="177"/>
        <v>0</v>
      </c>
      <c r="I856" s="37">
        <f t="shared" si="178"/>
        <v>0</v>
      </c>
      <c r="J856" s="38">
        <v>0</v>
      </c>
      <c r="K856" s="37">
        <f t="shared" si="179"/>
        <v>0</v>
      </c>
      <c r="L856" s="38">
        <v>0</v>
      </c>
    </row>
    <row r="857" spans="1:12" s="39" customFormat="1" ht="28.95" customHeight="1" outlineLevel="1" x14ac:dyDescent="0.25">
      <c r="A857" s="33">
        <v>12</v>
      </c>
      <c r="B857" s="34" t="s">
        <v>554</v>
      </c>
      <c r="C857" s="35" t="s">
        <v>50</v>
      </c>
      <c r="D857" s="36">
        <v>320</v>
      </c>
      <c r="E857" s="36">
        <v>2.242</v>
      </c>
      <c r="F857" s="36">
        <f t="shared" si="175"/>
        <v>717.44</v>
      </c>
      <c r="G857" s="37">
        <f t="shared" si="176"/>
        <v>0</v>
      </c>
      <c r="H857" s="38">
        <f t="shared" si="177"/>
        <v>0</v>
      </c>
      <c r="I857" s="37">
        <f t="shared" si="178"/>
        <v>0</v>
      </c>
      <c r="J857" s="38">
        <v>0</v>
      </c>
      <c r="K857" s="37">
        <f t="shared" si="179"/>
        <v>0</v>
      </c>
      <c r="L857" s="38">
        <v>0</v>
      </c>
    </row>
    <row r="858" spans="1:12" s="39" customFormat="1" ht="15.45" customHeight="1" outlineLevel="1" x14ac:dyDescent="0.25">
      <c r="A858" s="33">
        <v>13</v>
      </c>
      <c r="B858" s="34" t="s">
        <v>650</v>
      </c>
      <c r="C858" s="35" t="s">
        <v>55</v>
      </c>
      <c r="D858" s="36">
        <v>1</v>
      </c>
      <c r="E858" s="36">
        <v>1499.0083999999999</v>
      </c>
      <c r="F858" s="36">
        <f t="shared" si="175"/>
        <v>1499.0083999999999</v>
      </c>
      <c r="G858" s="37">
        <f t="shared" si="176"/>
        <v>0</v>
      </c>
      <c r="H858" s="38">
        <f t="shared" si="177"/>
        <v>0</v>
      </c>
      <c r="I858" s="37">
        <f t="shared" si="178"/>
        <v>0</v>
      </c>
      <c r="J858" s="38">
        <v>0</v>
      </c>
      <c r="K858" s="37">
        <f t="shared" si="179"/>
        <v>0</v>
      </c>
      <c r="L858" s="38">
        <v>0</v>
      </c>
    </row>
    <row r="859" spans="1:12" s="39" customFormat="1" ht="15.45" customHeight="1" outlineLevel="1" x14ac:dyDescent="0.25">
      <c r="A859" s="33">
        <v>14</v>
      </c>
      <c r="B859" s="34" t="s">
        <v>651</v>
      </c>
      <c r="C859" s="35" t="s">
        <v>55</v>
      </c>
      <c r="D859" s="36">
        <v>1</v>
      </c>
      <c r="E859" s="36">
        <v>56.618200000000002</v>
      </c>
      <c r="F859" s="36">
        <f t="shared" si="175"/>
        <v>56.618200000000002</v>
      </c>
      <c r="G859" s="37">
        <f t="shared" si="176"/>
        <v>0</v>
      </c>
      <c r="H859" s="38">
        <f t="shared" si="177"/>
        <v>0</v>
      </c>
      <c r="I859" s="37">
        <f t="shared" si="178"/>
        <v>0</v>
      </c>
      <c r="J859" s="38">
        <v>0</v>
      </c>
      <c r="K859" s="37">
        <f t="shared" si="179"/>
        <v>0</v>
      </c>
      <c r="L859" s="38">
        <v>0</v>
      </c>
    </row>
    <row r="860" spans="1:12" s="39" customFormat="1" ht="15.45" customHeight="1" outlineLevel="1" x14ac:dyDescent="0.25">
      <c r="A860" s="33">
        <v>15</v>
      </c>
      <c r="B860" s="34" t="s">
        <v>652</v>
      </c>
      <c r="C860" s="35" t="s">
        <v>55</v>
      </c>
      <c r="D860" s="36">
        <v>4</v>
      </c>
      <c r="E860" s="36">
        <v>125.048</v>
      </c>
      <c r="F860" s="36">
        <f t="shared" si="175"/>
        <v>500.19200000000001</v>
      </c>
      <c r="G860" s="37">
        <f t="shared" si="176"/>
        <v>0</v>
      </c>
      <c r="H860" s="38">
        <f t="shared" si="177"/>
        <v>0</v>
      </c>
      <c r="I860" s="37">
        <f t="shared" si="178"/>
        <v>0</v>
      </c>
      <c r="J860" s="38">
        <v>0</v>
      </c>
      <c r="K860" s="37">
        <f t="shared" si="179"/>
        <v>0</v>
      </c>
      <c r="L860" s="38">
        <v>0</v>
      </c>
    </row>
    <row r="861" spans="1:12" s="39" customFormat="1" ht="15.45" customHeight="1" outlineLevel="1" x14ac:dyDescent="0.25">
      <c r="A861" s="33">
        <v>16</v>
      </c>
      <c r="B861" s="34" t="s">
        <v>653</v>
      </c>
      <c r="C861" s="35" t="s">
        <v>55</v>
      </c>
      <c r="D861" s="36">
        <v>4</v>
      </c>
      <c r="E861" s="36">
        <v>13.411</v>
      </c>
      <c r="F861" s="36">
        <f t="shared" si="175"/>
        <v>53.643999999999998</v>
      </c>
      <c r="G861" s="37">
        <f t="shared" si="176"/>
        <v>0</v>
      </c>
      <c r="H861" s="38">
        <f t="shared" si="177"/>
        <v>0</v>
      </c>
      <c r="I861" s="37">
        <f t="shared" si="178"/>
        <v>0</v>
      </c>
      <c r="J861" s="38">
        <v>0</v>
      </c>
      <c r="K861" s="37">
        <f t="shared" si="179"/>
        <v>0</v>
      </c>
      <c r="L861" s="38">
        <v>0</v>
      </c>
    </row>
    <row r="862" spans="1:12" s="39" customFormat="1" ht="15.45" customHeight="1" outlineLevel="1" x14ac:dyDescent="0.25">
      <c r="A862" s="33">
        <v>17</v>
      </c>
      <c r="B862" s="34" t="s">
        <v>654</v>
      </c>
      <c r="C862" s="35" t="s">
        <v>50</v>
      </c>
      <c r="D862" s="36">
        <v>880</v>
      </c>
      <c r="E862" s="36">
        <v>1.2709999999999999</v>
      </c>
      <c r="F862" s="36">
        <f t="shared" si="175"/>
        <v>1118.48</v>
      </c>
      <c r="G862" s="37">
        <f t="shared" si="176"/>
        <v>0</v>
      </c>
      <c r="H862" s="38">
        <f t="shared" si="177"/>
        <v>0</v>
      </c>
      <c r="I862" s="37">
        <f t="shared" si="178"/>
        <v>0</v>
      </c>
      <c r="J862" s="38">
        <v>0</v>
      </c>
      <c r="K862" s="37">
        <f t="shared" si="179"/>
        <v>0</v>
      </c>
      <c r="L862" s="38">
        <v>0</v>
      </c>
    </row>
    <row r="863" spans="1:12" s="46" customFormat="1" ht="28.95" customHeight="1" outlineLevel="1" x14ac:dyDescent="0.35">
      <c r="A863" s="33">
        <v>18</v>
      </c>
      <c r="B863" s="34" t="s">
        <v>617</v>
      </c>
      <c r="C863" s="35" t="s">
        <v>50</v>
      </c>
      <c r="D863" s="36">
        <v>320</v>
      </c>
      <c r="E863" s="36">
        <v>2.0379999999999998</v>
      </c>
      <c r="F863" s="36">
        <f t="shared" si="175"/>
        <v>652.16</v>
      </c>
      <c r="G863" s="37">
        <f t="shared" si="176"/>
        <v>0</v>
      </c>
      <c r="H863" s="38">
        <f t="shared" si="177"/>
        <v>0</v>
      </c>
      <c r="I863" s="37">
        <f t="shared" si="178"/>
        <v>0</v>
      </c>
      <c r="J863" s="38">
        <v>0</v>
      </c>
      <c r="K863" s="37">
        <f t="shared" si="179"/>
        <v>0</v>
      </c>
      <c r="L863" s="38">
        <v>0</v>
      </c>
    </row>
    <row r="864" spans="1:12" s="39" customFormat="1" ht="28.95" customHeight="1" outlineLevel="1" x14ac:dyDescent="0.25">
      <c r="A864" s="33">
        <v>19</v>
      </c>
      <c r="B864" s="34" t="s">
        <v>572</v>
      </c>
      <c r="C864" s="35" t="s">
        <v>50</v>
      </c>
      <c r="D864" s="36">
        <v>560</v>
      </c>
      <c r="E864" s="36">
        <v>1.9461999999999999</v>
      </c>
      <c r="F864" s="36">
        <f t="shared" si="175"/>
        <v>1089.8720000000001</v>
      </c>
      <c r="G864" s="37">
        <f t="shared" si="176"/>
        <v>0</v>
      </c>
      <c r="H864" s="38">
        <f t="shared" si="177"/>
        <v>0</v>
      </c>
      <c r="I864" s="37">
        <f t="shared" si="178"/>
        <v>0</v>
      </c>
      <c r="J864" s="38">
        <v>0</v>
      </c>
      <c r="K864" s="37">
        <f t="shared" si="179"/>
        <v>0</v>
      </c>
      <c r="L864" s="38">
        <v>0</v>
      </c>
    </row>
    <row r="865" spans="1:12" s="39" customFormat="1" ht="15.45" customHeight="1" outlineLevel="1" x14ac:dyDescent="0.25">
      <c r="A865" s="33">
        <v>20</v>
      </c>
      <c r="B865" s="34" t="s">
        <v>655</v>
      </c>
      <c r="C865" s="35" t="s">
        <v>55</v>
      </c>
      <c r="D865" s="36">
        <v>2</v>
      </c>
      <c r="E865" s="36">
        <v>103.4342</v>
      </c>
      <c r="F865" s="36">
        <f t="shared" si="175"/>
        <v>206.86840000000001</v>
      </c>
      <c r="G865" s="37">
        <f t="shared" si="176"/>
        <v>0</v>
      </c>
      <c r="H865" s="38">
        <f t="shared" si="177"/>
        <v>0</v>
      </c>
      <c r="I865" s="37">
        <f t="shared" si="178"/>
        <v>0</v>
      </c>
      <c r="J865" s="38">
        <v>0</v>
      </c>
      <c r="K865" s="37">
        <f t="shared" si="179"/>
        <v>0</v>
      </c>
      <c r="L865" s="38">
        <v>0</v>
      </c>
    </row>
    <row r="866" spans="1:12" s="39" customFormat="1" ht="15.45" customHeight="1" outlineLevel="1" x14ac:dyDescent="0.25">
      <c r="A866" s="31" t="s">
        <v>656</v>
      </c>
      <c r="B866" s="40" t="s">
        <v>657</v>
      </c>
      <c r="C866" s="41">
        <v>0</v>
      </c>
      <c r="D866" s="42"/>
      <c r="E866" s="42"/>
      <c r="F866" s="42"/>
      <c r="G866" s="43"/>
      <c r="H866" s="44"/>
      <c r="I866" s="43"/>
      <c r="J866" s="44"/>
      <c r="K866" s="43"/>
      <c r="L866" s="44">
        <v>0</v>
      </c>
    </row>
    <row r="867" spans="1:12" s="39" customFormat="1" ht="28.95" customHeight="1" outlineLevel="1" x14ac:dyDescent="0.25">
      <c r="A867" s="33">
        <v>1</v>
      </c>
      <c r="B867" s="34" t="s">
        <v>658</v>
      </c>
      <c r="C867" s="35" t="s">
        <v>55</v>
      </c>
      <c r="D867" s="36">
        <v>1</v>
      </c>
      <c r="E867" s="36">
        <v>6381.2281999999996</v>
      </c>
      <c r="F867" s="36">
        <f t="shared" ref="F867:F887" si="180">+E867*D867</f>
        <v>6381.2281999999996</v>
      </c>
      <c r="G867" s="37">
        <f t="shared" ref="G867:G887" si="181">I867+K867</f>
        <v>0</v>
      </c>
      <c r="H867" s="38">
        <f t="shared" ref="H867:H887" si="182">J867+L867</f>
        <v>0</v>
      </c>
      <c r="I867" s="37">
        <f t="shared" ref="I867:I887" si="183">J867/F867</f>
        <v>0</v>
      </c>
      <c r="J867" s="38">
        <v>0</v>
      </c>
      <c r="K867" s="37">
        <f t="shared" ref="K867:K887" si="184">L867/F867</f>
        <v>0</v>
      </c>
      <c r="L867" s="38">
        <v>0</v>
      </c>
    </row>
    <row r="868" spans="1:12" s="39" customFormat="1" ht="15.45" customHeight="1" outlineLevel="1" x14ac:dyDescent="0.25">
      <c r="A868" s="33">
        <v>2</v>
      </c>
      <c r="B868" s="34" t="s">
        <v>659</v>
      </c>
      <c r="C868" s="35" t="s">
        <v>55</v>
      </c>
      <c r="D868" s="36">
        <v>1</v>
      </c>
      <c r="E868" s="36">
        <v>206.648</v>
      </c>
      <c r="F868" s="36">
        <f t="shared" si="180"/>
        <v>206.648</v>
      </c>
      <c r="G868" s="37">
        <f t="shared" si="181"/>
        <v>0</v>
      </c>
      <c r="H868" s="38">
        <f t="shared" si="182"/>
        <v>0</v>
      </c>
      <c r="I868" s="37">
        <f t="shared" si="183"/>
        <v>0</v>
      </c>
      <c r="J868" s="38">
        <v>0</v>
      </c>
      <c r="K868" s="37">
        <f t="shared" si="184"/>
        <v>0</v>
      </c>
      <c r="L868" s="38">
        <v>0</v>
      </c>
    </row>
    <row r="869" spans="1:12" s="39" customFormat="1" ht="15.45" customHeight="1" outlineLevel="1" x14ac:dyDescent="0.25">
      <c r="A869" s="33">
        <v>3</v>
      </c>
      <c r="B869" s="34" t="s">
        <v>660</v>
      </c>
      <c r="C869" s="35" t="s">
        <v>55</v>
      </c>
      <c r="D869" s="36">
        <v>2</v>
      </c>
      <c r="E869" s="36">
        <v>112.4</v>
      </c>
      <c r="F869" s="36">
        <f t="shared" si="180"/>
        <v>224.8</v>
      </c>
      <c r="G869" s="37">
        <f t="shared" si="181"/>
        <v>0</v>
      </c>
      <c r="H869" s="38">
        <f t="shared" si="182"/>
        <v>0</v>
      </c>
      <c r="I869" s="37">
        <f t="shared" si="183"/>
        <v>0</v>
      </c>
      <c r="J869" s="38">
        <v>0</v>
      </c>
      <c r="K869" s="37">
        <f t="shared" si="184"/>
        <v>0</v>
      </c>
      <c r="L869" s="38">
        <v>0</v>
      </c>
    </row>
    <row r="870" spans="1:12" s="46" customFormat="1" ht="15.45" customHeight="1" outlineLevel="1" x14ac:dyDescent="0.35">
      <c r="A870" s="33">
        <v>4</v>
      </c>
      <c r="B870" s="34" t="s">
        <v>631</v>
      </c>
      <c r="C870" s="35" t="s">
        <v>55</v>
      </c>
      <c r="D870" s="36">
        <v>2</v>
      </c>
      <c r="E870" s="36">
        <v>53.782600000000002</v>
      </c>
      <c r="F870" s="36">
        <f t="shared" si="180"/>
        <v>107.5652</v>
      </c>
      <c r="G870" s="37">
        <f t="shared" si="181"/>
        <v>0</v>
      </c>
      <c r="H870" s="38">
        <f t="shared" si="182"/>
        <v>0</v>
      </c>
      <c r="I870" s="37">
        <f t="shared" si="183"/>
        <v>0</v>
      </c>
      <c r="J870" s="38">
        <v>0</v>
      </c>
      <c r="K870" s="37">
        <f t="shared" si="184"/>
        <v>0</v>
      </c>
      <c r="L870" s="38">
        <v>0</v>
      </c>
    </row>
    <row r="871" spans="1:12" s="39" customFormat="1" ht="28.95" customHeight="1" outlineLevel="1" x14ac:dyDescent="0.25">
      <c r="A871" s="33">
        <v>5</v>
      </c>
      <c r="B871" s="34" t="s">
        <v>661</v>
      </c>
      <c r="C871" s="35" t="s">
        <v>55</v>
      </c>
      <c r="D871" s="36">
        <v>36</v>
      </c>
      <c r="E871" s="36">
        <v>30.035</v>
      </c>
      <c r="F871" s="36">
        <f t="shared" si="180"/>
        <v>1081.26</v>
      </c>
      <c r="G871" s="37">
        <f t="shared" si="181"/>
        <v>0</v>
      </c>
      <c r="H871" s="38">
        <f t="shared" si="182"/>
        <v>0</v>
      </c>
      <c r="I871" s="37">
        <f t="shared" si="183"/>
        <v>0</v>
      </c>
      <c r="J871" s="38">
        <v>0</v>
      </c>
      <c r="K871" s="37">
        <f t="shared" si="184"/>
        <v>0</v>
      </c>
      <c r="L871" s="38">
        <v>0</v>
      </c>
    </row>
    <row r="872" spans="1:12" s="45" customFormat="1" ht="28.95" customHeight="1" x14ac:dyDescent="0.3">
      <c r="A872" s="33">
        <v>6</v>
      </c>
      <c r="B872" s="34" t="s">
        <v>662</v>
      </c>
      <c r="C872" s="35" t="s">
        <v>115</v>
      </c>
      <c r="D872" s="36">
        <v>19</v>
      </c>
      <c r="E872" s="36">
        <v>39.429200000000002</v>
      </c>
      <c r="F872" s="36">
        <f t="shared" si="180"/>
        <v>749.15480000000002</v>
      </c>
      <c r="G872" s="37">
        <f t="shared" si="181"/>
        <v>0</v>
      </c>
      <c r="H872" s="38">
        <f t="shared" si="182"/>
        <v>0</v>
      </c>
      <c r="I872" s="37">
        <f t="shared" si="183"/>
        <v>0</v>
      </c>
      <c r="J872" s="38">
        <v>0</v>
      </c>
      <c r="K872" s="37">
        <f t="shared" si="184"/>
        <v>0</v>
      </c>
      <c r="L872" s="38">
        <v>0</v>
      </c>
    </row>
    <row r="873" spans="1:12" s="39" customFormat="1" ht="28.95" customHeight="1" outlineLevel="1" x14ac:dyDescent="0.25">
      <c r="A873" s="33">
        <v>7</v>
      </c>
      <c r="B873" s="34" t="s">
        <v>663</v>
      </c>
      <c r="C873" s="35" t="s">
        <v>55</v>
      </c>
      <c r="D873" s="36">
        <v>55</v>
      </c>
      <c r="E873" s="36">
        <v>62.207800000000013</v>
      </c>
      <c r="F873" s="36">
        <f t="shared" si="180"/>
        <v>3421.4290000000005</v>
      </c>
      <c r="G873" s="37">
        <f t="shared" si="181"/>
        <v>0</v>
      </c>
      <c r="H873" s="38">
        <f t="shared" si="182"/>
        <v>0</v>
      </c>
      <c r="I873" s="37">
        <f t="shared" si="183"/>
        <v>0</v>
      </c>
      <c r="J873" s="38">
        <v>0</v>
      </c>
      <c r="K873" s="37">
        <f t="shared" si="184"/>
        <v>0</v>
      </c>
      <c r="L873" s="38">
        <v>0</v>
      </c>
    </row>
    <row r="874" spans="1:12" s="39" customFormat="1" ht="15.45" customHeight="1" outlineLevel="1" x14ac:dyDescent="0.25">
      <c r="A874" s="33">
        <v>8</v>
      </c>
      <c r="B874" s="34" t="s">
        <v>664</v>
      </c>
      <c r="C874" s="35" t="s">
        <v>115</v>
      </c>
      <c r="D874" s="36">
        <v>1</v>
      </c>
      <c r="E874" s="36">
        <v>77.617999999999995</v>
      </c>
      <c r="F874" s="36">
        <f t="shared" si="180"/>
        <v>77.617999999999995</v>
      </c>
      <c r="G874" s="37">
        <f t="shared" si="181"/>
        <v>0</v>
      </c>
      <c r="H874" s="38">
        <f t="shared" si="182"/>
        <v>0</v>
      </c>
      <c r="I874" s="37">
        <f t="shared" si="183"/>
        <v>0</v>
      </c>
      <c r="J874" s="38">
        <v>0</v>
      </c>
      <c r="K874" s="37">
        <f t="shared" si="184"/>
        <v>0</v>
      </c>
      <c r="L874" s="38">
        <v>0</v>
      </c>
    </row>
    <row r="875" spans="1:12" s="39" customFormat="1" ht="15.45" customHeight="1" outlineLevel="1" x14ac:dyDescent="0.25">
      <c r="A875" s="33">
        <v>9</v>
      </c>
      <c r="B875" s="34" t="s">
        <v>665</v>
      </c>
      <c r="C875" s="35" t="s">
        <v>55</v>
      </c>
      <c r="D875" s="36">
        <v>1</v>
      </c>
      <c r="E875" s="36">
        <v>38.166400000000003</v>
      </c>
      <c r="F875" s="36">
        <f t="shared" si="180"/>
        <v>38.166400000000003</v>
      </c>
      <c r="G875" s="37">
        <f t="shared" si="181"/>
        <v>0</v>
      </c>
      <c r="H875" s="38">
        <f t="shared" si="182"/>
        <v>0</v>
      </c>
      <c r="I875" s="37">
        <f t="shared" si="183"/>
        <v>0</v>
      </c>
      <c r="J875" s="38">
        <v>0</v>
      </c>
      <c r="K875" s="37">
        <f t="shared" si="184"/>
        <v>0</v>
      </c>
      <c r="L875" s="38">
        <v>0</v>
      </c>
    </row>
    <row r="876" spans="1:12" s="39" customFormat="1" ht="15.45" customHeight="1" outlineLevel="1" x14ac:dyDescent="0.25">
      <c r="A876" s="33">
        <v>10</v>
      </c>
      <c r="B876" s="34" t="s">
        <v>666</v>
      </c>
      <c r="C876" s="35" t="s">
        <v>55</v>
      </c>
      <c r="D876" s="36">
        <v>1</v>
      </c>
      <c r="E876" s="36">
        <v>210.779</v>
      </c>
      <c r="F876" s="36">
        <f t="shared" si="180"/>
        <v>210.779</v>
      </c>
      <c r="G876" s="37">
        <f t="shared" si="181"/>
        <v>0</v>
      </c>
      <c r="H876" s="38">
        <f t="shared" si="182"/>
        <v>0</v>
      </c>
      <c r="I876" s="37">
        <f t="shared" si="183"/>
        <v>0</v>
      </c>
      <c r="J876" s="38">
        <v>0</v>
      </c>
      <c r="K876" s="37">
        <f t="shared" si="184"/>
        <v>0</v>
      </c>
      <c r="L876" s="38">
        <v>0</v>
      </c>
    </row>
    <row r="877" spans="1:12" s="39" customFormat="1" ht="43.5" customHeight="1" outlineLevel="1" x14ac:dyDescent="0.25">
      <c r="A877" s="33">
        <v>11</v>
      </c>
      <c r="B877" s="34" t="s">
        <v>667</v>
      </c>
      <c r="C877" s="35" t="s">
        <v>55</v>
      </c>
      <c r="D877" s="36">
        <v>1</v>
      </c>
      <c r="E877" s="36">
        <v>364.58480000000009</v>
      </c>
      <c r="F877" s="36">
        <f t="shared" si="180"/>
        <v>364.58480000000009</v>
      </c>
      <c r="G877" s="37">
        <f t="shared" si="181"/>
        <v>0</v>
      </c>
      <c r="H877" s="38">
        <f t="shared" si="182"/>
        <v>0</v>
      </c>
      <c r="I877" s="37">
        <f t="shared" si="183"/>
        <v>0</v>
      </c>
      <c r="J877" s="38">
        <v>0</v>
      </c>
      <c r="K877" s="37">
        <f t="shared" si="184"/>
        <v>0</v>
      </c>
      <c r="L877" s="38">
        <v>0</v>
      </c>
    </row>
    <row r="878" spans="1:12" s="45" customFormat="1" ht="28.95" customHeight="1" x14ac:dyDescent="0.3">
      <c r="A878" s="33">
        <v>12</v>
      </c>
      <c r="B878" s="34" t="s">
        <v>668</v>
      </c>
      <c r="C878" s="35" t="s">
        <v>55</v>
      </c>
      <c r="D878" s="36">
        <v>1</v>
      </c>
      <c r="E878" s="36">
        <v>62.207800000000013</v>
      </c>
      <c r="F878" s="36">
        <f t="shared" si="180"/>
        <v>62.207800000000013</v>
      </c>
      <c r="G878" s="37">
        <f t="shared" si="181"/>
        <v>0</v>
      </c>
      <c r="H878" s="38">
        <f t="shared" si="182"/>
        <v>0</v>
      </c>
      <c r="I878" s="37">
        <f t="shared" si="183"/>
        <v>0</v>
      </c>
      <c r="J878" s="38">
        <v>0</v>
      </c>
      <c r="K878" s="37">
        <f t="shared" si="184"/>
        <v>0</v>
      </c>
      <c r="L878" s="38">
        <v>0</v>
      </c>
    </row>
    <row r="879" spans="1:12" s="39" customFormat="1" ht="15.45" customHeight="1" outlineLevel="1" x14ac:dyDescent="0.25">
      <c r="A879" s="33">
        <v>13</v>
      </c>
      <c r="B879" s="34" t="s">
        <v>669</v>
      </c>
      <c r="C879" s="35" t="s">
        <v>50</v>
      </c>
      <c r="D879" s="36">
        <v>740</v>
      </c>
      <c r="E879" s="36">
        <v>1.3526</v>
      </c>
      <c r="F879" s="36">
        <f t="shared" si="180"/>
        <v>1000.924</v>
      </c>
      <c r="G879" s="37">
        <f t="shared" si="181"/>
        <v>0</v>
      </c>
      <c r="H879" s="38">
        <f t="shared" si="182"/>
        <v>0</v>
      </c>
      <c r="I879" s="37">
        <f t="shared" si="183"/>
        <v>0</v>
      </c>
      <c r="J879" s="38">
        <v>0</v>
      </c>
      <c r="K879" s="37">
        <f t="shared" si="184"/>
        <v>0</v>
      </c>
      <c r="L879" s="38">
        <v>0</v>
      </c>
    </row>
    <row r="880" spans="1:12" s="39" customFormat="1" ht="15.45" customHeight="1" outlineLevel="1" x14ac:dyDescent="0.25">
      <c r="A880" s="33">
        <v>14</v>
      </c>
      <c r="B880" s="34" t="s">
        <v>670</v>
      </c>
      <c r="C880" s="35" t="s">
        <v>50</v>
      </c>
      <c r="D880" s="36">
        <v>40</v>
      </c>
      <c r="E880" s="36">
        <v>0.9</v>
      </c>
      <c r="F880" s="36">
        <f t="shared" si="180"/>
        <v>36</v>
      </c>
      <c r="G880" s="37">
        <f t="shared" si="181"/>
        <v>0</v>
      </c>
      <c r="H880" s="38">
        <f t="shared" si="182"/>
        <v>0</v>
      </c>
      <c r="I880" s="37">
        <f t="shared" si="183"/>
        <v>0</v>
      </c>
      <c r="J880" s="38">
        <v>0</v>
      </c>
      <c r="K880" s="37">
        <f t="shared" si="184"/>
        <v>0</v>
      </c>
      <c r="L880" s="38">
        <v>0</v>
      </c>
    </row>
    <row r="881" spans="1:12" s="39" customFormat="1" ht="15.45" customHeight="1" outlineLevel="1" x14ac:dyDescent="0.25">
      <c r="A881" s="33">
        <v>15</v>
      </c>
      <c r="B881" s="34" t="s">
        <v>671</v>
      </c>
      <c r="C881" s="35" t="s">
        <v>50</v>
      </c>
      <c r="D881" s="36">
        <v>40</v>
      </c>
      <c r="E881" s="36">
        <v>2.4847999999999999</v>
      </c>
      <c r="F881" s="36">
        <f t="shared" si="180"/>
        <v>99.391999999999996</v>
      </c>
      <c r="G881" s="37">
        <f t="shared" si="181"/>
        <v>0</v>
      </c>
      <c r="H881" s="38">
        <f t="shared" si="182"/>
        <v>0</v>
      </c>
      <c r="I881" s="37">
        <f t="shared" si="183"/>
        <v>0</v>
      </c>
      <c r="J881" s="38">
        <v>0</v>
      </c>
      <c r="K881" s="37">
        <f t="shared" si="184"/>
        <v>0</v>
      </c>
      <c r="L881" s="38">
        <v>0</v>
      </c>
    </row>
    <row r="882" spans="1:12" s="39" customFormat="1" ht="28.95" customHeight="1" outlineLevel="1" x14ac:dyDescent="0.25">
      <c r="A882" s="33">
        <v>16</v>
      </c>
      <c r="B882" s="34" t="s">
        <v>617</v>
      </c>
      <c r="C882" s="35" t="s">
        <v>50</v>
      </c>
      <c r="D882" s="36">
        <v>400</v>
      </c>
      <c r="E882" s="36">
        <v>2.0379999999999998</v>
      </c>
      <c r="F882" s="36">
        <f t="shared" si="180"/>
        <v>815.19999999999993</v>
      </c>
      <c r="G882" s="37">
        <f t="shared" si="181"/>
        <v>0</v>
      </c>
      <c r="H882" s="38">
        <f t="shared" si="182"/>
        <v>0</v>
      </c>
      <c r="I882" s="37">
        <f t="shared" si="183"/>
        <v>0</v>
      </c>
      <c r="J882" s="38">
        <v>0</v>
      </c>
      <c r="K882" s="37">
        <f t="shared" si="184"/>
        <v>0</v>
      </c>
      <c r="L882" s="38">
        <v>0</v>
      </c>
    </row>
    <row r="883" spans="1:12" s="39" customFormat="1" ht="28.95" customHeight="1" outlineLevel="1" x14ac:dyDescent="0.25">
      <c r="A883" s="33">
        <v>17</v>
      </c>
      <c r="B883" s="34" t="s">
        <v>572</v>
      </c>
      <c r="C883" s="35" t="s">
        <v>50</v>
      </c>
      <c r="D883" s="36">
        <v>420</v>
      </c>
      <c r="E883" s="36">
        <v>1.9461999999999999</v>
      </c>
      <c r="F883" s="36">
        <f t="shared" si="180"/>
        <v>817.404</v>
      </c>
      <c r="G883" s="37">
        <f t="shared" si="181"/>
        <v>0</v>
      </c>
      <c r="H883" s="38">
        <f t="shared" si="182"/>
        <v>0</v>
      </c>
      <c r="I883" s="37">
        <f t="shared" si="183"/>
        <v>0</v>
      </c>
      <c r="J883" s="38">
        <v>0</v>
      </c>
      <c r="K883" s="37">
        <f t="shared" si="184"/>
        <v>0</v>
      </c>
      <c r="L883" s="38">
        <v>0</v>
      </c>
    </row>
    <row r="884" spans="1:12" s="39" customFormat="1" ht="15.45" customHeight="1" outlineLevel="1" x14ac:dyDescent="0.25">
      <c r="A884" s="33">
        <v>18</v>
      </c>
      <c r="B884" s="34" t="s">
        <v>614</v>
      </c>
      <c r="C884" s="35" t="s">
        <v>50</v>
      </c>
      <c r="D884" s="36">
        <v>400</v>
      </c>
      <c r="E884" s="36">
        <v>0.9</v>
      </c>
      <c r="F884" s="36">
        <f t="shared" si="180"/>
        <v>360</v>
      </c>
      <c r="G884" s="37">
        <f t="shared" si="181"/>
        <v>0</v>
      </c>
      <c r="H884" s="38">
        <f t="shared" si="182"/>
        <v>0</v>
      </c>
      <c r="I884" s="37">
        <f t="shared" si="183"/>
        <v>0</v>
      </c>
      <c r="J884" s="38">
        <v>0</v>
      </c>
      <c r="K884" s="37">
        <f t="shared" si="184"/>
        <v>0</v>
      </c>
      <c r="L884" s="38">
        <v>0</v>
      </c>
    </row>
    <row r="885" spans="1:12" s="39" customFormat="1" ht="28.95" customHeight="1" outlineLevel="1" x14ac:dyDescent="0.25">
      <c r="A885" s="33">
        <v>19</v>
      </c>
      <c r="B885" s="34" t="s">
        <v>554</v>
      </c>
      <c r="C885" s="35" t="s">
        <v>50</v>
      </c>
      <c r="D885" s="36">
        <v>400</v>
      </c>
      <c r="E885" s="36">
        <v>2.242</v>
      </c>
      <c r="F885" s="36">
        <f t="shared" si="180"/>
        <v>896.8</v>
      </c>
      <c r="G885" s="37">
        <f t="shared" si="181"/>
        <v>0</v>
      </c>
      <c r="H885" s="38">
        <f t="shared" si="182"/>
        <v>0</v>
      </c>
      <c r="I885" s="37">
        <f t="shared" si="183"/>
        <v>0</v>
      </c>
      <c r="J885" s="38">
        <v>0</v>
      </c>
      <c r="K885" s="37">
        <f t="shared" si="184"/>
        <v>0</v>
      </c>
      <c r="L885" s="38">
        <v>0</v>
      </c>
    </row>
    <row r="886" spans="1:12" s="39" customFormat="1" ht="15.45" customHeight="1" outlineLevel="1" x14ac:dyDescent="0.25">
      <c r="A886" s="33">
        <v>20</v>
      </c>
      <c r="B886" s="34" t="s">
        <v>672</v>
      </c>
      <c r="C886" s="35" t="s">
        <v>55</v>
      </c>
      <c r="D886" s="36">
        <v>1</v>
      </c>
      <c r="E886" s="36">
        <v>743.41280000000006</v>
      </c>
      <c r="F886" s="36">
        <f t="shared" si="180"/>
        <v>743.41280000000006</v>
      </c>
      <c r="G886" s="37">
        <f t="shared" si="181"/>
        <v>0</v>
      </c>
      <c r="H886" s="38">
        <f t="shared" si="182"/>
        <v>0</v>
      </c>
      <c r="I886" s="37">
        <f t="shared" si="183"/>
        <v>0</v>
      </c>
      <c r="J886" s="38">
        <v>0</v>
      </c>
      <c r="K886" s="37">
        <f t="shared" si="184"/>
        <v>0</v>
      </c>
      <c r="L886" s="38">
        <v>0</v>
      </c>
    </row>
    <row r="887" spans="1:12" s="39" customFormat="1" ht="15.45" customHeight="1" outlineLevel="1" x14ac:dyDescent="0.25">
      <c r="A887" s="33">
        <v>21</v>
      </c>
      <c r="B887" s="34" t="s">
        <v>631</v>
      </c>
      <c r="C887" s="35" t="s">
        <v>55</v>
      </c>
      <c r="D887" s="36">
        <v>1</v>
      </c>
      <c r="E887" s="36">
        <v>53.782600000000002</v>
      </c>
      <c r="F887" s="36">
        <f t="shared" si="180"/>
        <v>53.782600000000002</v>
      </c>
      <c r="G887" s="37">
        <f t="shared" si="181"/>
        <v>0</v>
      </c>
      <c r="H887" s="38">
        <f t="shared" si="182"/>
        <v>0</v>
      </c>
      <c r="I887" s="37">
        <f t="shared" si="183"/>
        <v>0</v>
      </c>
      <c r="J887" s="38">
        <v>0</v>
      </c>
      <c r="K887" s="37">
        <f t="shared" si="184"/>
        <v>0</v>
      </c>
      <c r="L887" s="38">
        <v>0</v>
      </c>
    </row>
    <row r="888" spans="1:12" s="39" customFormat="1" ht="28.95" customHeight="1" outlineLevel="1" x14ac:dyDescent="0.25">
      <c r="A888" s="31" t="s">
        <v>673</v>
      </c>
      <c r="B888" s="40" t="s">
        <v>674</v>
      </c>
      <c r="C888" s="41">
        <v>0</v>
      </c>
      <c r="D888" s="42"/>
      <c r="E888" s="42"/>
      <c r="F888" s="42"/>
      <c r="G888" s="43"/>
      <c r="H888" s="44"/>
      <c r="I888" s="43"/>
      <c r="J888" s="44"/>
      <c r="K888" s="43"/>
      <c r="L888" s="44">
        <v>0</v>
      </c>
    </row>
    <row r="889" spans="1:12" s="45" customFormat="1" ht="15.45" customHeight="1" x14ac:dyDescent="0.3">
      <c r="A889" s="33">
        <v>1</v>
      </c>
      <c r="B889" s="34" t="s">
        <v>675</v>
      </c>
      <c r="C889" s="35" t="s">
        <v>55</v>
      </c>
      <c r="D889" s="36">
        <v>1</v>
      </c>
      <c r="E889" s="36">
        <v>131.29040000000001</v>
      </c>
      <c r="F889" s="36">
        <f t="shared" ref="F889:F912" si="185">+E889*D889</f>
        <v>131.29040000000001</v>
      </c>
      <c r="G889" s="37">
        <f t="shared" ref="G889:G912" si="186">I889+K889</f>
        <v>0</v>
      </c>
      <c r="H889" s="38">
        <f t="shared" ref="H889:H912" si="187">J889+L889</f>
        <v>0</v>
      </c>
      <c r="I889" s="37">
        <f t="shared" ref="I889:I912" si="188">J889/F889</f>
        <v>0</v>
      </c>
      <c r="J889" s="38">
        <v>0</v>
      </c>
      <c r="K889" s="37">
        <f t="shared" ref="K889:K912" si="189">L889/F889</f>
        <v>0</v>
      </c>
      <c r="L889" s="38">
        <v>0</v>
      </c>
    </row>
    <row r="890" spans="1:12" s="39" customFormat="1" ht="28.95" customHeight="1" outlineLevel="1" x14ac:dyDescent="0.25">
      <c r="A890" s="33">
        <v>2</v>
      </c>
      <c r="B890" s="34" t="s">
        <v>676</v>
      </c>
      <c r="C890" s="35" t="s">
        <v>55</v>
      </c>
      <c r="D890" s="36">
        <v>1</v>
      </c>
      <c r="E890" s="36">
        <v>884.82560000000001</v>
      </c>
      <c r="F890" s="36">
        <f t="shared" si="185"/>
        <v>884.82560000000001</v>
      </c>
      <c r="G890" s="37">
        <f t="shared" si="186"/>
        <v>0</v>
      </c>
      <c r="H890" s="38">
        <f t="shared" si="187"/>
        <v>0</v>
      </c>
      <c r="I890" s="37">
        <f t="shared" si="188"/>
        <v>0</v>
      </c>
      <c r="J890" s="38">
        <v>0</v>
      </c>
      <c r="K890" s="37">
        <f t="shared" si="189"/>
        <v>0</v>
      </c>
      <c r="L890" s="38">
        <v>0</v>
      </c>
    </row>
    <row r="891" spans="1:12" s="39" customFormat="1" ht="15.45" customHeight="1" outlineLevel="1" x14ac:dyDescent="0.25">
      <c r="A891" s="33">
        <v>3</v>
      </c>
      <c r="B891" s="34" t="s">
        <v>677</v>
      </c>
      <c r="C891" s="35" t="s">
        <v>55</v>
      </c>
      <c r="D891" s="36">
        <v>1</v>
      </c>
      <c r="E891" s="36">
        <v>139.54419999999999</v>
      </c>
      <c r="F891" s="36">
        <f t="shared" si="185"/>
        <v>139.54419999999999</v>
      </c>
      <c r="G891" s="37">
        <f t="shared" si="186"/>
        <v>0</v>
      </c>
      <c r="H891" s="38">
        <f t="shared" si="187"/>
        <v>0</v>
      </c>
      <c r="I891" s="37">
        <f t="shared" si="188"/>
        <v>0</v>
      </c>
      <c r="J891" s="38">
        <v>0</v>
      </c>
      <c r="K891" s="37">
        <f t="shared" si="189"/>
        <v>0</v>
      </c>
      <c r="L891" s="38">
        <v>0</v>
      </c>
    </row>
    <row r="892" spans="1:12" s="39" customFormat="1" ht="15.45" customHeight="1" outlineLevel="1" x14ac:dyDescent="0.25">
      <c r="A892" s="33">
        <v>4</v>
      </c>
      <c r="B892" s="34" t="s">
        <v>678</v>
      </c>
      <c r="C892" s="35" t="s">
        <v>55</v>
      </c>
      <c r="D892" s="36">
        <v>2</v>
      </c>
      <c r="E892" s="36">
        <v>279.93500000000012</v>
      </c>
      <c r="F892" s="36">
        <f t="shared" si="185"/>
        <v>559.87000000000023</v>
      </c>
      <c r="G892" s="37">
        <f t="shared" si="186"/>
        <v>0</v>
      </c>
      <c r="H892" s="38">
        <f t="shared" si="187"/>
        <v>0</v>
      </c>
      <c r="I892" s="37">
        <f t="shared" si="188"/>
        <v>0</v>
      </c>
      <c r="J892" s="38">
        <v>0</v>
      </c>
      <c r="K892" s="37">
        <f t="shared" si="189"/>
        <v>0</v>
      </c>
      <c r="L892" s="38">
        <v>0</v>
      </c>
    </row>
    <row r="893" spans="1:12" s="39" customFormat="1" ht="15.45" customHeight="1" outlineLevel="1" x14ac:dyDescent="0.25">
      <c r="A893" s="33">
        <v>5</v>
      </c>
      <c r="B893" s="34" t="s">
        <v>646</v>
      </c>
      <c r="C893" s="35" t="s">
        <v>55</v>
      </c>
      <c r="D893" s="36">
        <v>2</v>
      </c>
      <c r="E893" s="36">
        <v>42.052599999999998</v>
      </c>
      <c r="F893" s="36">
        <f t="shared" si="185"/>
        <v>84.105199999999996</v>
      </c>
      <c r="G893" s="37">
        <f t="shared" si="186"/>
        <v>0</v>
      </c>
      <c r="H893" s="38">
        <f t="shared" si="187"/>
        <v>0</v>
      </c>
      <c r="I893" s="37">
        <f t="shared" si="188"/>
        <v>0</v>
      </c>
      <c r="J893" s="38">
        <v>0</v>
      </c>
      <c r="K893" s="37">
        <f t="shared" si="189"/>
        <v>0</v>
      </c>
      <c r="L893" s="38">
        <v>0</v>
      </c>
    </row>
    <row r="894" spans="1:12" s="39" customFormat="1" ht="28.95" customHeight="1" outlineLevel="1" x14ac:dyDescent="0.25">
      <c r="A894" s="33">
        <v>6</v>
      </c>
      <c r="B894" s="34" t="s">
        <v>679</v>
      </c>
      <c r="C894" s="35" t="s">
        <v>55</v>
      </c>
      <c r="D894" s="36">
        <v>1</v>
      </c>
      <c r="E894" s="36">
        <v>159.167</v>
      </c>
      <c r="F894" s="36">
        <f t="shared" si="185"/>
        <v>159.167</v>
      </c>
      <c r="G894" s="37">
        <f t="shared" si="186"/>
        <v>0</v>
      </c>
      <c r="H894" s="38">
        <f t="shared" si="187"/>
        <v>0</v>
      </c>
      <c r="I894" s="37">
        <f t="shared" si="188"/>
        <v>0</v>
      </c>
      <c r="J894" s="38">
        <v>0</v>
      </c>
      <c r="K894" s="37">
        <f t="shared" si="189"/>
        <v>0</v>
      </c>
      <c r="L894" s="38">
        <v>0</v>
      </c>
    </row>
    <row r="895" spans="1:12" s="39" customFormat="1" ht="15.45" customHeight="1" outlineLevel="1" x14ac:dyDescent="0.25">
      <c r="A895" s="33">
        <v>7</v>
      </c>
      <c r="B895" s="34" t="s">
        <v>677</v>
      </c>
      <c r="C895" s="35" t="s">
        <v>55</v>
      </c>
      <c r="D895" s="36">
        <v>1</v>
      </c>
      <c r="E895" s="36">
        <v>139.54419999999999</v>
      </c>
      <c r="F895" s="36">
        <f t="shared" si="185"/>
        <v>139.54419999999999</v>
      </c>
      <c r="G895" s="37">
        <f t="shared" si="186"/>
        <v>0</v>
      </c>
      <c r="H895" s="38">
        <f t="shared" si="187"/>
        <v>0</v>
      </c>
      <c r="I895" s="37">
        <f t="shared" si="188"/>
        <v>0</v>
      </c>
      <c r="J895" s="38">
        <v>0</v>
      </c>
      <c r="K895" s="37">
        <f t="shared" si="189"/>
        <v>0</v>
      </c>
      <c r="L895" s="38">
        <v>0</v>
      </c>
    </row>
    <row r="896" spans="1:12" s="39" customFormat="1" ht="28.95" customHeight="1" outlineLevel="1" x14ac:dyDescent="0.25">
      <c r="A896" s="33">
        <v>8</v>
      </c>
      <c r="B896" s="34" t="s">
        <v>680</v>
      </c>
      <c r="C896" s="35" t="s">
        <v>55</v>
      </c>
      <c r="D896" s="36">
        <v>1</v>
      </c>
      <c r="E896" s="36">
        <v>199.4264</v>
      </c>
      <c r="F896" s="36">
        <f t="shared" si="185"/>
        <v>199.4264</v>
      </c>
      <c r="G896" s="37">
        <f t="shared" si="186"/>
        <v>0</v>
      </c>
      <c r="H896" s="38">
        <f t="shared" si="187"/>
        <v>0</v>
      </c>
      <c r="I896" s="37">
        <f t="shared" si="188"/>
        <v>0</v>
      </c>
      <c r="J896" s="38">
        <v>0</v>
      </c>
      <c r="K896" s="37">
        <f t="shared" si="189"/>
        <v>0</v>
      </c>
      <c r="L896" s="38">
        <v>0</v>
      </c>
    </row>
    <row r="897" spans="1:12" s="39" customFormat="1" ht="28.95" customHeight="1" outlineLevel="1" x14ac:dyDescent="0.25">
      <c r="A897" s="33">
        <v>9</v>
      </c>
      <c r="B897" s="34" t="s">
        <v>681</v>
      </c>
      <c r="C897" s="35" t="s">
        <v>55</v>
      </c>
      <c r="D897" s="36">
        <v>1</v>
      </c>
      <c r="E897" s="36">
        <v>13.2478</v>
      </c>
      <c r="F897" s="36">
        <f t="shared" si="185"/>
        <v>13.2478</v>
      </c>
      <c r="G897" s="37">
        <f t="shared" si="186"/>
        <v>0</v>
      </c>
      <c r="H897" s="38">
        <f t="shared" si="187"/>
        <v>0</v>
      </c>
      <c r="I897" s="37">
        <f t="shared" si="188"/>
        <v>0</v>
      </c>
      <c r="J897" s="38">
        <v>0</v>
      </c>
      <c r="K897" s="37">
        <f t="shared" si="189"/>
        <v>0</v>
      </c>
      <c r="L897" s="38">
        <v>0</v>
      </c>
    </row>
    <row r="898" spans="1:12" s="39" customFormat="1" ht="15.45" customHeight="1" outlineLevel="1" x14ac:dyDescent="0.25">
      <c r="A898" s="33">
        <v>10</v>
      </c>
      <c r="B898" s="34" t="s">
        <v>682</v>
      </c>
      <c r="C898" s="35" t="s">
        <v>55</v>
      </c>
      <c r="D898" s="36">
        <v>13</v>
      </c>
      <c r="E898" s="36">
        <v>10.1858</v>
      </c>
      <c r="F898" s="36">
        <f t="shared" si="185"/>
        <v>132.41540000000001</v>
      </c>
      <c r="G898" s="37">
        <f t="shared" si="186"/>
        <v>0</v>
      </c>
      <c r="H898" s="38">
        <f t="shared" si="187"/>
        <v>0</v>
      </c>
      <c r="I898" s="37">
        <f t="shared" si="188"/>
        <v>0</v>
      </c>
      <c r="J898" s="38">
        <v>0</v>
      </c>
      <c r="K898" s="37">
        <f t="shared" si="189"/>
        <v>0</v>
      </c>
      <c r="L898" s="38">
        <v>0</v>
      </c>
    </row>
    <row r="899" spans="1:12" s="39" customFormat="1" ht="15.45" customHeight="1" outlineLevel="1" x14ac:dyDescent="0.25">
      <c r="A899" s="33">
        <v>11</v>
      </c>
      <c r="B899" s="34" t="s">
        <v>683</v>
      </c>
      <c r="C899" s="35" t="s">
        <v>55</v>
      </c>
      <c r="D899" s="36">
        <v>13</v>
      </c>
      <c r="E899" s="36">
        <v>12.676600000000001</v>
      </c>
      <c r="F899" s="36">
        <f t="shared" si="185"/>
        <v>164.79580000000001</v>
      </c>
      <c r="G899" s="37">
        <f t="shared" si="186"/>
        <v>0</v>
      </c>
      <c r="H899" s="38">
        <f t="shared" si="187"/>
        <v>0</v>
      </c>
      <c r="I899" s="37">
        <f t="shared" si="188"/>
        <v>0</v>
      </c>
      <c r="J899" s="38">
        <v>0</v>
      </c>
      <c r="K899" s="37">
        <f t="shared" si="189"/>
        <v>0</v>
      </c>
      <c r="L899" s="38">
        <v>0</v>
      </c>
    </row>
    <row r="900" spans="1:12" s="39" customFormat="1" ht="15.45" customHeight="1" outlineLevel="1" x14ac:dyDescent="0.25">
      <c r="A900" s="33">
        <v>12</v>
      </c>
      <c r="B900" s="34" t="s">
        <v>684</v>
      </c>
      <c r="C900" s="35" t="s">
        <v>55</v>
      </c>
      <c r="D900" s="36">
        <v>23</v>
      </c>
      <c r="E900" s="36">
        <v>9.4615999999999989</v>
      </c>
      <c r="F900" s="36">
        <f t="shared" si="185"/>
        <v>217.61679999999998</v>
      </c>
      <c r="G900" s="37">
        <f t="shared" si="186"/>
        <v>0</v>
      </c>
      <c r="H900" s="38">
        <f t="shared" si="187"/>
        <v>0</v>
      </c>
      <c r="I900" s="37">
        <f t="shared" si="188"/>
        <v>0</v>
      </c>
      <c r="J900" s="38">
        <v>0</v>
      </c>
      <c r="K900" s="37">
        <f t="shared" si="189"/>
        <v>0</v>
      </c>
      <c r="L900" s="38">
        <v>0</v>
      </c>
    </row>
    <row r="901" spans="1:12" s="39" customFormat="1" ht="15.45" customHeight="1" outlineLevel="1" x14ac:dyDescent="0.25">
      <c r="A901" s="33">
        <v>13</v>
      </c>
      <c r="B901" s="34" t="s">
        <v>683</v>
      </c>
      <c r="C901" s="35" t="s">
        <v>55</v>
      </c>
      <c r="D901" s="36">
        <v>23</v>
      </c>
      <c r="E901" s="36">
        <v>12.676600000000001</v>
      </c>
      <c r="F901" s="36">
        <f t="shared" si="185"/>
        <v>291.56180000000001</v>
      </c>
      <c r="G901" s="37">
        <f t="shared" si="186"/>
        <v>0</v>
      </c>
      <c r="H901" s="38">
        <f t="shared" si="187"/>
        <v>0</v>
      </c>
      <c r="I901" s="37">
        <f t="shared" si="188"/>
        <v>0</v>
      </c>
      <c r="J901" s="38">
        <v>0</v>
      </c>
      <c r="K901" s="37">
        <f t="shared" si="189"/>
        <v>0</v>
      </c>
      <c r="L901" s="38">
        <v>0</v>
      </c>
    </row>
    <row r="902" spans="1:12" s="39" customFormat="1" ht="15.45" customHeight="1" outlineLevel="1" x14ac:dyDescent="0.25">
      <c r="A902" s="33">
        <v>14</v>
      </c>
      <c r="B902" s="34" t="s">
        <v>685</v>
      </c>
      <c r="C902" s="35" t="s">
        <v>55</v>
      </c>
      <c r="D902" s="36">
        <v>1</v>
      </c>
      <c r="E902" s="36">
        <v>98.262799999999984</v>
      </c>
      <c r="F902" s="36">
        <f t="shared" si="185"/>
        <v>98.262799999999984</v>
      </c>
      <c r="G902" s="37">
        <f t="shared" si="186"/>
        <v>0</v>
      </c>
      <c r="H902" s="38">
        <f t="shared" si="187"/>
        <v>0</v>
      </c>
      <c r="I902" s="37">
        <f t="shared" si="188"/>
        <v>0</v>
      </c>
      <c r="J902" s="38">
        <v>0</v>
      </c>
      <c r="K902" s="37">
        <f t="shared" si="189"/>
        <v>0</v>
      </c>
      <c r="L902" s="38">
        <v>0</v>
      </c>
    </row>
    <row r="903" spans="1:12" s="39" customFormat="1" ht="28.95" customHeight="1" outlineLevel="1" x14ac:dyDescent="0.25">
      <c r="A903" s="33">
        <v>15</v>
      </c>
      <c r="B903" s="34" t="s">
        <v>681</v>
      </c>
      <c r="C903" s="35" t="s">
        <v>55</v>
      </c>
      <c r="D903" s="36">
        <v>1</v>
      </c>
      <c r="E903" s="36">
        <v>13.2478</v>
      </c>
      <c r="F903" s="36">
        <f t="shared" si="185"/>
        <v>13.2478</v>
      </c>
      <c r="G903" s="37">
        <f t="shared" si="186"/>
        <v>0</v>
      </c>
      <c r="H903" s="38">
        <f t="shared" si="187"/>
        <v>0</v>
      </c>
      <c r="I903" s="37">
        <f t="shared" si="188"/>
        <v>0</v>
      </c>
      <c r="J903" s="38">
        <v>0</v>
      </c>
      <c r="K903" s="37">
        <f t="shared" si="189"/>
        <v>0</v>
      </c>
      <c r="L903" s="38">
        <v>0</v>
      </c>
    </row>
    <row r="904" spans="1:12" s="39" customFormat="1" ht="15.45" customHeight="1" outlineLevel="1" x14ac:dyDescent="0.25">
      <c r="A904" s="33">
        <v>16</v>
      </c>
      <c r="B904" s="34" t="s">
        <v>686</v>
      </c>
      <c r="C904" s="35" t="s">
        <v>55</v>
      </c>
      <c r="D904" s="36">
        <v>2</v>
      </c>
      <c r="E904" s="36">
        <v>16.122199999999999</v>
      </c>
      <c r="F904" s="36">
        <f t="shared" si="185"/>
        <v>32.244399999999999</v>
      </c>
      <c r="G904" s="37">
        <f t="shared" si="186"/>
        <v>0</v>
      </c>
      <c r="H904" s="38">
        <f t="shared" si="187"/>
        <v>0</v>
      </c>
      <c r="I904" s="37">
        <f t="shared" si="188"/>
        <v>0</v>
      </c>
      <c r="J904" s="38">
        <v>0</v>
      </c>
      <c r="K904" s="37">
        <f t="shared" si="189"/>
        <v>0</v>
      </c>
      <c r="L904" s="38">
        <v>0</v>
      </c>
    </row>
    <row r="905" spans="1:12" s="45" customFormat="1" ht="28.95" customHeight="1" x14ac:dyDescent="0.3">
      <c r="A905" s="33">
        <v>17</v>
      </c>
      <c r="B905" s="34" t="s">
        <v>687</v>
      </c>
      <c r="C905" s="35" t="s">
        <v>55</v>
      </c>
      <c r="D905" s="36">
        <v>1</v>
      </c>
      <c r="E905" s="36">
        <v>70.396399999999986</v>
      </c>
      <c r="F905" s="36">
        <f t="shared" si="185"/>
        <v>70.396399999999986</v>
      </c>
      <c r="G905" s="37">
        <f t="shared" si="186"/>
        <v>0</v>
      </c>
      <c r="H905" s="38">
        <f t="shared" si="187"/>
        <v>0</v>
      </c>
      <c r="I905" s="37">
        <f t="shared" si="188"/>
        <v>0</v>
      </c>
      <c r="J905" s="38">
        <v>0</v>
      </c>
      <c r="K905" s="37">
        <f t="shared" si="189"/>
        <v>0</v>
      </c>
      <c r="L905" s="38">
        <v>0</v>
      </c>
    </row>
    <row r="906" spans="1:12" s="39" customFormat="1" ht="15.45" customHeight="1" outlineLevel="1" x14ac:dyDescent="0.25">
      <c r="A906" s="33">
        <v>18</v>
      </c>
      <c r="B906" s="34" t="s">
        <v>688</v>
      </c>
      <c r="C906" s="35" t="s">
        <v>55</v>
      </c>
      <c r="D906" s="36">
        <v>1</v>
      </c>
      <c r="E906" s="36">
        <v>15.950799999999999</v>
      </c>
      <c r="F906" s="36">
        <f t="shared" si="185"/>
        <v>15.950799999999999</v>
      </c>
      <c r="G906" s="37">
        <f t="shared" si="186"/>
        <v>0</v>
      </c>
      <c r="H906" s="38">
        <f t="shared" si="187"/>
        <v>0</v>
      </c>
      <c r="I906" s="37">
        <f t="shared" si="188"/>
        <v>0</v>
      </c>
      <c r="J906" s="38">
        <v>0</v>
      </c>
      <c r="K906" s="37">
        <f t="shared" si="189"/>
        <v>0</v>
      </c>
      <c r="L906" s="38">
        <v>0</v>
      </c>
    </row>
    <row r="907" spans="1:12" s="39" customFormat="1" ht="15.45" customHeight="1" outlineLevel="1" x14ac:dyDescent="0.25">
      <c r="A907" s="33">
        <v>19</v>
      </c>
      <c r="B907" s="34" t="s">
        <v>689</v>
      </c>
      <c r="C907" s="35" t="s">
        <v>50</v>
      </c>
      <c r="D907" s="36">
        <v>50</v>
      </c>
      <c r="E907" s="36">
        <v>1.4750000000000001</v>
      </c>
      <c r="F907" s="36">
        <f t="shared" si="185"/>
        <v>73.75</v>
      </c>
      <c r="G907" s="37">
        <f t="shared" si="186"/>
        <v>0</v>
      </c>
      <c r="H907" s="38">
        <f t="shared" si="187"/>
        <v>0</v>
      </c>
      <c r="I907" s="37">
        <f t="shared" si="188"/>
        <v>0</v>
      </c>
      <c r="J907" s="38">
        <v>0</v>
      </c>
      <c r="K907" s="37">
        <f t="shared" si="189"/>
        <v>0</v>
      </c>
      <c r="L907" s="38">
        <v>0</v>
      </c>
    </row>
    <row r="908" spans="1:12" s="45" customFormat="1" ht="15.45" customHeight="1" x14ac:dyDescent="0.3">
      <c r="A908" s="33">
        <v>20</v>
      </c>
      <c r="B908" s="34" t="s">
        <v>690</v>
      </c>
      <c r="C908" s="35" t="s">
        <v>50</v>
      </c>
      <c r="D908" s="36">
        <v>1580</v>
      </c>
      <c r="E908" s="36">
        <v>1.1894</v>
      </c>
      <c r="F908" s="36">
        <f t="shared" si="185"/>
        <v>1879.252</v>
      </c>
      <c r="G908" s="37">
        <f t="shared" si="186"/>
        <v>0</v>
      </c>
      <c r="H908" s="38">
        <f t="shared" si="187"/>
        <v>0</v>
      </c>
      <c r="I908" s="37">
        <f t="shared" si="188"/>
        <v>0</v>
      </c>
      <c r="J908" s="38">
        <v>0</v>
      </c>
      <c r="K908" s="37">
        <f t="shared" si="189"/>
        <v>0</v>
      </c>
      <c r="L908" s="38">
        <v>0</v>
      </c>
    </row>
    <row r="909" spans="1:12" s="39" customFormat="1" ht="28.95" customHeight="1" outlineLevel="1" x14ac:dyDescent="0.25">
      <c r="A909" s="33">
        <v>21</v>
      </c>
      <c r="B909" s="34" t="s">
        <v>572</v>
      </c>
      <c r="C909" s="35" t="s">
        <v>50</v>
      </c>
      <c r="D909" s="36">
        <v>1630</v>
      </c>
      <c r="E909" s="36">
        <v>1.9461999999999999</v>
      </c>
      <c r="F909" s="36">
        <f t="shared" si="185"/>
        <v>3172.306</v>
      </c>
      <c r="G909" s="37">
        <f t="shared" si="186"/>
        <v>0</v>
      </c>
      <c r="H909" s="38">
        <f t="shared" si="187"/>
        <v>0</v>
      </c>
      <c r="I909" s="37">
        <f t="shared" si="188"/>
        <v>0</v>
      </c>
      <c r="J909" s="38">
        <v>0</v>
      </c>
      <c r="K909" s="37">
        <f t="shared" si="189"/>
        <v>0</v>
      </c>
      <c r="L909" s="38">
        <v>0</v>
      </c>
    </row>
    <row r="910" spans="1:12" s="39" customFormat="1" ht="15.45" customHeight="1" outlineLevel="1" x14ac:dyDescent="0.25">
      <c r="A910" s="33">
        <v>22</v>
      </c>
      <c r="B910" s="34" t="s">
        <v>691</v>
      </c>
      <c r="C910" s="35" t="s">
        <v>55</v>
      </c>
      <c r="D910" s="36">
        <v>1</v>
      </c>
      <c r="E910" s="36">
        <v>420.31760000000003</v>
      </c>
      <c r="F910" s="36">
        <f t="shared" si="185"/>
        <v>420.31760000000003</v>
      </c>
      <c r="G910" s="37">
        <f t="shared" si="186"/>
        <v>0</v>
      </c>
      <c r="H910" s="38">
        <f t="shared" si="187"/>
        <v>0</v>
      </c>
      <c r="I910" s="37">
        <f t="shared" si="188"/>
        <v>0</v>
      </c>
      <c r="J910" s="38">
        <v>0</v>
      </c>
      <c r="K910" s="37">
        <f t="shared" si="189"/>
        <v>0</v>
      </c>
      <c r="L910" s="38">
        <v>0</v>
      </c>
    </row>
    <row r="911" spans="1:12" s="39" customFormat="1" ht="15.45" customHeight="1" outlineLevel="1" x14ac:dyDescent="0.25">
      <c r="A911" s="33">
        <v>23</v>
      </c>
      <c r="B911" s="34" t="s">
        <v>692</v>
      </c>
      <c r="C911" s="35" t="s">
        <v>55</v>
      </c>
      <c r="D911" s="36">
        <v>1</v>
      </c>
      <c r="E911" s="36">
        <v>451.03179999999998</v>
      </c>
      <c r="F911" s="36">
        <f t="shared" si="185"/>
        <v>451.03179999999998</v>
      </c>
      <c r="G911" s="37">
        <f t="shared" si="186"/>
        <v>0</v>
      </c>
      <c r="H911" s="38">
        <f t="shared" si="187"/>
        <v>0</v>
      </c>
      <c r="I911" s="37">
        <f t="shared" si="188"/>
        <v>0</v>
      </c>
      <c r="J911" s="38">
        <v>0</v>
      </c>
      <c r="K911" s="37">
        <f t="shared" si="189"/>
        <v>0</v>
      </c>
      <c r="L911" s="38">
        <v>0</v>
      </c>
    </row>
    <row r="912" spans="1:12" s="39" customFormat="1" ht="15.45" customHeight="1" outlineLevel="1" x14ac:dyDescent="0.25">
      <c r="A912" s="33">
        <v>24</v>
      </c>
      <c r="B912" s="34" t="s">
        <v>693</v>
      </c>
      <c r="C912" s="35" t="s">
        <v>55</v>
      </c>
      <c r="D912" s="36">
        <v>1</v>
      </c>
      <c r="E912" s="36">
        <v>10.1776</v>
      </c>
      <c r="F912" s="36">
        <f t="shared" si="185"/>
        <v>10.1776</v>
      </c>
      <c r="G912" s="37">
        <f t="shared" si="186"/>
        <v>0</v>
      </c>
      <c r="H912" s="38">
        <f t="shared" si="187"/>
        <v>0</v>
      </c>
      <c r="I912" s="37">
        <f t="shared" si="188"/>
        <v>0</v>
      </c>
      <c r="J912" s="38">
        <v>0</v>
      </c>
      <c r="K912" s="37">
        <f t="shared" si="189"/>
        <v>0</v>
      </c>
      <c r="L912" s="38">
        <v>0</v>
      </c>
    </row>
    <row r="913" spans="1:12" s="39" customFormat="1" ht="28.95" customHeight="1" outlineLevel="1" x14ac:dyDescent="0.25">
      <c r="A913" s="31" t="s">
        <v>694</v>
      </c>
      <c r="B913" s="40" t="s">
        <v>695</v>
      </c>
      <c r="C913" s="41">
        <v>0</v>
      </c>
      <c r="D913" s="42"/>
      <c r="E913" s="42"/>
      <c r="F913" s="42"/>
      <c r="G913" s="43"/>
      <c r="H913" s="44"/>
      <c r="I913" s="43"/>
      <c r="J913" s="44"/>
      <c r="K913" s="43"/>
      <c r="L913" s="44">
        <v>0</v>
      </c>
    </row>
    <row r="914" spans="1:12" s="39" customFormat="1" ht="15.45" customHeight="1" outlineLevel="1" x14ac:dyDescent="0.25">
      <c r="A914" s="33">
        <v>1</v>
      </c>
      <c r="B914" s="34" t="s">
        <v>696</v>
      </c>
      <c r="C914" s="35" t="s">
        <v>55</v>
      </c>
      <c r="D914" s="36">
        <v>2</v>
      </c>
      <c r="E914" s="36">
        <v>45.620600000000003</v>
      </c>
      <c r="F914" s="36">
        <f t="shared" ref="F914:F932" si="190">+E914*D914</f>
        <v>91.241200000000006</v>
      </c>
      <c r="G914" s="37">
        <f t="shared" ref="G914:G932" si="191">I914+K914</f>
        <v>0</v>
      </c>
      <c r="H914" s="38">
        <f t="shared" ref="H914:H932" si="192">J914+L914</f>
        <v>0</v>
      </c>
      <c r="I914" s="37">
        <f t="shared" ref="I914:I932" si="193">J914/F914</f>
        <v>0</v>
      </c>
      <c r="J914" s="38">
        <v>0</v>
      </c>
      <c r="K914" s="37">
        <f t="shared" ref="K914:K932" si="194">L914/F914</f>
        <v>0</v>
      </c>
      <c r="L914" s="38">
        <v>0</v>
      </c>
    </row>
    <row r="915" spans="1:12" s="39" customFormat="1" ht="15.45" customHeight="1" outlineLevel="1" x14ac:dyDescent="0.25">
      <c r="A915" s="33">
        <v>2</v>
      </c>
      <c r="B915" s="34" t="s">
        <v>697</v>
      </c>
      <c r="C915" s="35" t="s">
        <v>55</v>
      </c>
      <c r="D915" s="36">
        <v>1</v>
      </c>
      <c r="E915" s="36">
        <v>82.779199999999989</v>
      </c>
      <c r="F915" s="36">
        <f t="shared" si="190"/>
        <v>82.779199999999989</v>
      </c>
      <c r="G915" s="37">
        <f t="shared" si="191"/>
        <v>0</v>
      </c>
      <c r="H915" s="38">
        <f t="shared" si="192"/>
        <v>0</v>
      </c>
      <c r="I915" s="37">
        <f t="shared" si="193"/>
        <v>0</v>
      </c>
      <c r="J915" s="38">
        <v>0</v>
      </c>
      <c r="K915" s="37">
        <f t="shared" si="194"/>
        <v>0</v>
      </c>
      <c r="L915" s="38">
        <v>0</v>
      </c>
    </row>
    <row r="916" spans="1:12" s="39" customFormat="1" ht="28.95" customHeight="1" outlineLevel="1" x14ac:dyDescent="0.25">
      <c r="A916" s="33">
        <v>3</v>
      </c>
      <c r="B916" s="34" t="s">
        <v>698</v>
      </c>
      <c r="C916" s="35" t="s">
        <v>55</v>
      </c>
      <c r="D916" s="36">
        <v>1</v>
      </c>
      <c r="E916" s="36">
        <v>18.867999999999991</v>
      </c>
      <c r="F916" s="36">
        <f t="shared" si="190"/>
        <v>18.867999999999991</v>
      </c>
      <c r="G916" s="37">
        <f t="shared" si="191"/>
        <v>0</v>
      </c>
      <c r="H916" s="38">
        <f t="shared" si="192"/>
        <v>0</v>
      </c>
      <c r="I916" s="37">
        <f t="shared" si="193"/>
        <v>0</v>
      </c>
      <c r="J916" s="38">
        <v>0</v>
      </c>
      <c r="K916" s="37">
        <f t="shared" si="194"/>
        <v>0</v>
      </c>
      <c r="L916" s="38">
        <v>0</v>
      </c>
    </row>
    <row r="917" spans="1:12" s="39" customFormat="1" ht="28.95" customHeight="1" outlineLevel="1" x14ac:dyDescent="0.25">
      <c r="A917" s="33">
        <v>4</v>
      </c>
      <c r="B917" s="34" t="s">
        <v>699</v>
      </c>
      <c r="C917" s="35" t="s">
        <v>115</v>
      </c>
      <c r="D917" s="36">
        <v>1</v>
      </c>
      <c r="E917" s="36">
        <v>184.17939999999999</v>
      </c>
      <c r="F917" s="36">
        <f t="shared" si="190"/>
        <v>184.17939999999999</v>
      </c>
      <c r="G917" s="37">
        <f t="shared" si="191"/>
        <v>0</v>
      </c>
      <c r="H917" s="38">
        <f t="shared" si="192"/>
        <v>0</v>
      </c>
      <c r="I917" s="37">
        <f t="shared" si="193"/>
        <v>0</v>
      </c>
      <c r="J917" s="38">
        <v>0</v>
      </c>
      <c r="K917" s="37">
        <f t="shared" si="194"/>
        <v>0</v>
      </c>
      <c r="L917" s="38">
        <v>0</v>
      </c>
    </row>
    <row r="918" spans="1:12" s="45" customFormat="1" ht="15.45" customHeight="1" x14ac:dyDescent="0.3">
      <c r="A918" s="33">
        <v>5</v>
      </c>
      <c r="B918" s="34" t="s">
        <v>700</v>
      </c>
      <c r="C918" s="35" t="s">
        <v>55</v>
      </c>
      <c r="D918" s="36">
        <v>1</v>
      </c>
      <c r="E918" s="36">
        <v>144.71360000000001</v>
      </c>
      <c r="F918" s="36">
        <f t="shared" si="190"/>
        <v>144.71360000000001</v>
      </c>
      <c r="G918" s="37">
        <f t="shared" si="191"/>
        <v>0</v>
      </c>
      <c r="H918" s="38">
        <f t="shared" si="192"/>
        <v>0</v>
      </c>
      <c r="I918" s="37">
        <f t="shared" si="193"/>
        <v>0</v>
      </c>
      <c r="J918" s="38">
        <v>0</v>
      </c>
      <c r="K918" s="37">
        <f t="shared" si="194"/>
        <v>0</v>
      </c>
      <c r="L918" s="38">
        <v>0</v>
      </c>
    </row>
    <row r="919" spans="1:12" s="39" customFormat="1" ht="15.45" customHeight="1" outlineLevel="1" x14ac:dyDescent="0.25">
      <c r="A919" s="33">
        <v>6</v>
      </c>
      <c r="B919" s="34" t="s">
        <v>701</v>
      </c>
      <c r="C919" s="35" t="s">
        <v>55</v>
      </c>
      <c r="D919" s="36">
        <v>1</v>
      </c>
      <c r="E919" s="36">
        <v>206.648</v>
      </c>
      <c r="F919" s="36">
        <f t="shared" si="190"/>
        <v>206.648</v>
      </c>
      <c r="G919" s="37">
        <f t="shared" si="191"/>
        <v>0</v>
      </c>
      <c r="H919" s="38">
        <f t="shared" si="192"/>
        <v>0</v>
      </c>
      <c r="I919" s="37">
        <f t="shared" si="193"/>
        <v>0</v>
      </c>
      <c r="J919" s="38">
        <v>0</v>
      </c>
      <c r="K919" s="37">
        <f t="shared" si="194"/>
        <v>0</v>
      </c>
      <c r="L919" s="38">
        <v>0</v>
      </c>
    </row>
    <row r="920" spans="1:12" s="39" customFormat="1" ht="15.45" customHeight="1" outlineLevel="1" x14ac:dyDescent="0.25">
      <c r="A920" s="33">
        <v>7</v>
      </c>
      <c r="B920" s="34" t="s">
        <v>702</v>
      </c>
      <c r="C920" s="35" t="s">
        <v>55</v>
      </c>
      <c r="D920" s="36">
        <v>2</v>
      </c>
      <c r="E920" s="36">
        <v>62.134399999999999</v>
      </c>
      <c r="F920" s="36">
        <f t="shared" si="190"/>
        <v>124.2688</v>
      </c>
      <c r="G920" s="37">
        <f t="shared" si="191"/>
        <v>0</v>
      </c>
      <c r="H920" s="38">
        <f t="shared" si="192"/>
        <v>0</v>
      </c>
      <c r="I920" s="37">
        <f t="shared" si="193"/>
        <v>0</v>
      </c>
      <c r="J920" s="38">
        <v>0</v>
      </c>
      <c r="K920" s="37">
        <f t="shared" si="194"/>
        <v>0</v>
      </c>
      <c r="L920" s="38">
        <v>0</v>
      </c>
    </row>
    <row r="921" spans="1:12" s="39" customFormat="1" ht="15.45" customHeight="1" outlineLevel="1" x14ac:dyDescent="0.25">
      <c r="A921" s="33">
        <v>8</v>
      </c>
      <c r="B921" s="34" t="s">
        <v>703</v>
      </c>
      <c r="C921" s="35" t="s">
        <v>55</v>
      </c>
      <c r="D921" s="36">
        <v>2</v>
      </c>
      <c r="E921" s="36">
        <v>42.052599999999998</v>
      </c>
      <c r="F921" s="36">
        <f t="shared" si="190"/>
        <v>84.105199999999996</v>
      </c>
      <c r="G921" s="37">
        <f t="shared" si="191"/>
        <v>0</v>
      </c>
      <c r="H921" s="38">
        <f t="shared" si="192"/>
        <v>0</v>
      </c>
      <c r="I921" s="37">
        <f t="shared" si="193"/>
        <v>0</v>
      </c>
      <c r="J921" s="38">
        <v>0</v>
      </c>
      <c r="K921" s="37">
        <f t="shared" si="194"/>
        <v>0</v>
      </c>
      <c r="L921" s="38">
        <v>0</v>
      </c>
    </row>
    <row r="922" spans="1:12" s="39" customFormat="1" ht="15.45" customHeight="1" outlineLevel="1" x14ac:dyDescent="0.25">
      <c r="A922" s="33">
        <v>9</v>
      </c>
      <c r="B922" s="34" t="s">
        <v>704</v>
      </c>
      <c r="C922" s="35" t="s">
        <v>50</v>
      </c>
      <c r="D922" s="36">
        <v>40</v>
      </c>
      <c r="E922" s="36">
        <v>0.9</v>
      </c>
      <c r="F922" s="36">
        <f t="shared" si="190"/>
        <v>36</v>
      </c>
      <c r="G922" s="37">
        <f t="shared" si="191"/>
        <v>0</v>
      </c>
      <c r="H922" s="38">
        <f t="shared" si="192"/>
        <v>0</v>
      </c>
      <c r="I922" s="37">
        <f t="shared" si="193"/>
        <v>0</v>
      </c>
      <c r="J922" s="38">
        <v>0</v>
      </c>
      <c r="K922" s="37">
        <f t="shared" si="194"/>
        <v>0</v>
      </c>
      <c r="L922" s="38">
        <v>0</v>
      </c>
    </row>
    <row r="923" spans="1:12" s="45" customFormat="1" ht="15.45" customHeight="1" x14ac:dyDescent="0.3">
      <c r="A923" s="33">
        <v>10</v>
      </c>
      <c r="B923" s="34" t="s">
        <v>705</v>
      </c>
      <c r="C923" s="35" t="s">
        <v>50</v>
      </c>
      <c r="D923" s="36">
        <v>400</v>
      </c>
      <c r="E923" s="36">
        <v>2.8315999999999999</v>
      </c>
      <c r="F923" s="36">
        <f t="shared" si="190"/>
        <v>1132.6399999999999</v>
      </c>
      <c r="G923" s="37">
        <f t="shared" si="191"/>
        <v>0</v>
      </c>
      <c r="H923" s="38">
        <f t="shared" si="192"/>
        <v>0</v>
      </c>
      <c r="I923" s="37">
        <f t="shared" si="193"/>
        <v>0</v>
      </c>
      <c r="J923" s="38">
        <v>0</v>
      </c>
      <c r="K923" s="37">
        <f t="shared" si="194"/>
        <v>0</v>
      </c>
      <c r="L923" s="38">
        <v>0</v>
      </c>
    </row>
    <row r="924" spans="1:12" s="39" customFormat="1" ht="28.95" customHeight="1" outlineLevel="1" x14ac:dyDescent="0.25">
      <c r="A924" s="33">
        <v>11</v>
      </c>
      <c r="B924" s="34" t="s">
        <v>572</v>
      </c>
      <c r="C924" s="35" t="s">
        <v>50</v>
      </c>
      <c r="D924" s="36">
        <v>440</v>
      </c>
      <c r="E924" s="36">
        <v>1.9461999999999999</v>
      </c>
      <c r="F924" s="36">
        <f t="shared" si="190"/>
        <v>856.32799999999997</v>
      </c>
      <c r="G924" s="37">
        <f t="shared" si="191"/>
        <v>0</v>
      </c>
      <c r="H924" s="38">
        <f t="shared" si="192"/>
        <v>0</v>
      </c>
      <c r="I924" s="37">
        <f t="shared" si="193"/>
        <v>0</v>
      </c>
      <c r="J924" s="38">
        <v>0</v>
      </c>
      <c r="K924" s="37">
        <f t="shared" si="194"/>
        <v>0</v>
      </c>
      <c r="L924" s="38">
        <v>0</v>
      </c>
    </row>
    <row r="925" spans="1:12" s="39" customFormat="1" ht="28.95" customHeight="1" outlineLevel="1" x14ac:dyDescent="0.25">
      <c r="A925" s="33">
        <v>12</v>
      </c>
      <c r="B925" s="34" t="s">
        <v>706</v>
      </c>
      <c r="C925" s="35" t="s">
        <v>55</v>
      </c>
      <c r="D925" s="36">
        <v>2</v>
      </c>
      <c r="E925" s="36">
        <v>35.298200000000001</v>
      </c>
      <c r="F925" s="36">
        <f t="shared" si="190"/>
        <v>70.596400000000003</v>
      </c>
      <c r="G925" s="37">
        <f t="shared" si="191"/>
        <v>0</v>
      </c>
      <c r="H925" s="38">
        <f t="shared" si="192"/>
        <v>0</v>
      </c>
      <c r="I925" s="37">
        <f t="shared" si="193"/>
        <v>0</v>
      </c>
      <c r="J925" s="38">
        <v>0</v>
      </c>
      <c r="K925" s="37">
        <f t="shared" si="194"/>
        <v>0</v>
      </c>
      <c r="L925" s="38">
        <v>0</v>
      </c>
    </row>
    <row r="926" spans="1:12" s="39" customFormat="1" ht="15.45" customHeight="1" outlineLevel="1" x14ac:dyDescent="0.25">
      <c r="A926" s="33">
        <v>13</v>
      </c>
      <c r="B926" s="34" t="s">
        <v>707</v>
      </c>
      <c r="C926" s="35" t="s">
        <v>55</v>
      </c>
      <c r="D926" s="36">
        <v>10</v>
      </c>
      <c r="E926" s="36">
        <v>1.1894</v>
      </c>
      <c r="F926" s="36">
        <f t="shared" si="190"/>
        <v>11.894</v>
      </c>
      <c r="G926" s="37">
        <f t="shared" si="191"/>
        <v>0</v>
      </c>
      <c r="H926" s="38">
        <f t="shared" si="192"/>
        <v>0</v>
      </c>
      <c r="I926" s="37">
        <f t="shared" si="193"/>
        <v>0</v>
      </c>
      <c r="J926" s="38">
        <v>0</v>
      </c>
      <c r="K926" s="37">
        <f t="shared" si="194"/>
        <v>0</v>
      </c>
      <c r="L926" s="38">
        <v>0</v>
      </c>
    </row>
    <row r="927" spans="1:12" s="45" customFormat="1" ht="15.45" customHeight="1" x14ac:dyDescent="0.3">
      <c r="A927" s="33">
        <v>14</v>
      </c>
      <c r="B927" s="34" t="s">
        <v>683</v>
      </c>
      <c r="C927" s="35" t="s">
        <v>55</v>
      </c>
      <c r="D927" s="36">
        <v>10</v>
      </c>
      <c r="E927" s="36">
        <v>1.4221999999999999</v>
      </c>
      <c r="F927" s="36">
        <f t="shared" si="190"/>
        <v>14.222</v>
      </c>
      <c r="G927" s="37">
        <f t="shared" si="191"/>
        <v>0</v>
      </c>
      <c r="H927" s="38">
        <f t="shared" si="192"/>
        <v>0</v>
      </c>
      <c r="I927" s="37">
        <f t="shared" si="193"/>
        <v>0</v>
      </c>
      <c r="J927" s="38">
        <v>0</v>
      </c>
      <c r="K927" s="37">
        <f t="shared" si="194"/>
        <v>0</v>
      </c>
      <c r="L927" s="38">
        <v>0</v>
      </c>
    </row>
    <row r="928" spans="1:12" s="39" customFormat="1" ht="15.45" customHeight="1" outlineLevel="1" x14ac:dyDescent="0.25">
      <c r="A928" s="33">
        <v>15</v>
      </c>
      <c r="B928" s="34" t="s">
        <v>708</v>
      </c>
      <c r="C928" s="35" t="s">
        <v>289</v>
      </c>
      <c r="D928" s="36">
        <v>12</v>
      </c>
      <c r="E928" s="36">
        <v>1.526</v>
      </c>
      <c r="F928" s="36">
        <f t="shared" si="190"/>
        <v>18.312000000000001</v>
      </c>
      <c r="G928" s="37">
        <f t="shared" si="191"/>
        <v>0</v>
      </c>
      <c r="H928" s="38">
        <f t="shared" si="192"/>
        <v>0</v>
      </c>
      <c r="I928" s="37">
        <f t="shared" si="193"/>
        <v>0</v>
      </c>
      <c r="J928" s="38">
        <v>0</v>
      </c>
      <c r="K928" s="37">
        <f t="shared" si="194"/>
        <v>0</v>
      </c>
      <c r="L928" s="38">
        <v>0</v>
      </c>
    </row>
    <row r="929" spans="1:12" s="39" customFormat="1" ht="15.45" customHeight="1" outlineLevel="1" x14ac:dyDescent="0.25">
      <c r="A929" s="33">
        <v>16</v>
      </c>
      <c r="B929" s="34" t="s">
        <v>577</v>
      </c>
      <c r="C929" s="35" t="s">
        <v>50</v>
      </c>
      <c r="D929" s="36">
        <v>20</v>
      </c>
      <c r="E929" s="36">
        <v>7.3807999999999998</v>
      </c>
      <c r="F929" s="36">
        <f t="shared" si="190"/>
        <v>147.61599999999999</v>
      </c>
      <c r="G929" s="37">
        <f t="shared" si="191"/>
        <v>0</v>
      </c>
      <c r="H929" s="38">
        <f t="shared" si="192"/>
        <v>0</v>
      </c>
      <c r="I929" s="37">
        <f t="shared" si="193"/>
        <v>0</v>
      </c>
      <c r="J929" s="38">
        <v>0</v>
      </c>
      <c r="K929" s="37">
        <f t="shared" si="194"/>
        <v>0</v>
      </c>
      <c r="L929" s="38">
        <v>0</v>
      </c>
    </row>
    <row r="930" spans="1:12" s="45" customFormat="1" ht="15.45" customHeight="1" x14ac:dyDescent="0.3">
      <c r="A930" s="33">
        <v>17</v>
      </c>
      <c r="B930" s="34" t="s">
        <v>578</v>
      </c>
      <c r="C930" s="35" t="s">
        <v>50</v>
      </c>
      <c r="D930" s="36">
        <v>20</v>
      </c>
      <c r="E930" s="36">
        <v>2.242</v>
      </c>
      <c r="F930" s="36">
        <f t="shared" si="190"/>
        <v>44.84</v>
      </c>
      <c r="G930" s="37">
        <f t="shared" si="191"/>
        <v>0</v>
      </c>
      <c r="H930" s="38">
        <f t="shared" si="192"/>
        <v>0</v>
      </c>
      <c r="I930" s="37">
        <f t="shared" si="193"/>
        <v>0</v>
      </c>
      <c r="J930" s="38">
        <v>0</v>
      </c>
      <c r="K930" s="37">
        <f t="shared" si="194"/>
        <v>0</v>
      </c>
      <c r="L930" s="38">
        <v>0</v>
      </c>
    </row>
    <row r="931" spans="1:12" s="39" customFormat="1" ht="15.45" customHeight="1" outlineLevel="1" x14ac:dyDescent="0.25">
      <c r="A931" s="33">
        <v>18</v>
      </c>
      <c r="B931" s="34" t="s">
        <v>709</v>
      </c>
      <c r="C931" s="35" t="s">
        <v>289</v>
      </c>
      <c r="D931" s="36">
        <v>13.38</v>
      </c>
      <c r="E931" s="36">
        <v>1.4239999999999999</v>
      </c>
      <c r="F931" s="36">
        <f t="shared" si="190"/>
        <v>19.05312</v>
      </c>
      <c r="G931" s="37">
        <f t="shared" si="191"/>
        <v>0</v>
      </c>
      <c r="H931" s="38">
        <f t="shared" si="192"/>
        <v>0</v>
      </c>
      <c r="I931" s="37">
        <f t="shared" si="193"/>
        <v>0</v>
      </c>
      <c r="J931" s="38">
        <v>0</v>
      </c>
      <c r="K931" s="37">
        <f t="shared" si="194"/>
        <v>0</v>
      </c>
      <c r="L931" s="38">
        <v>0</v>
      </c>
    </row>
    <row r="932" spans="1:12" s="39" customFormat="1" ht="15.45" customHeight="1" outlineLevel="1" x14ac:dyDescent="0.25">
      <c r="A932" s="33">
        <v>19</v>
      </c>
      <c r="B932" s="34" t="s">
        <v>710</v>
      </c>
      <c r="C932" s="35" t="s">
        <v>50</v>
      </c>
      <c r="D932" s="36">
        <v>15</v>
      </c>
      <c r="E932" s="36">
        <v>2.4664000000000001</v>
      </c>
      <c r="F932" s="36">
        <f t="shared" si="190"/>
        <v>36.996000000000002</v>
      </c>
      <c r="G932" s="37">
        <f t="shared" si="191"/>
        <v>0</v>
      </c>
      <c r="H932" s="38">
        <f t="shared" si="192"/>
        <v>0</v>
      </c>
      <c r="I932" s="37">
        <f t="shared" si="193"/>
        <v>0</v>
      </c>
      <c r="J932" s="38">
        <v>0</v>
      </c>
      <c r="K932" s="37">
        <f t="shared" si="194"/>
        <v>0</v>
      </c>
      <c r="L932" s="38">
        <v>0</v>
      </c>
    </row>
    <row r="933" spans="1:12" s="39" customFormat="1" ht="28.95" customHeight="1" outlineLevel="1" x14ac:dyDescent="0.25">
      <c r="A933" s="31" t="s">
        <v>711</v>
      </c>
      <c r="B933" s="40" t="s">
        <v>712</v>
      </c>
      <c r="C933" s="41">
        <v>0</v>
      </c>
      <c r="D933" s="42"/>
      <c r="E933" s="42"/>
      <c r="F933" s="42"/>
      <c r="G933" s="43"/>
      <c r="H933" s="44"/>
      <c r="I933" s="43"/>
      <c r="J933" s="44"/>
      <c r="K933" s="43"/>
      <c r="L933" s="44">
        <v>0</v>
      </c>
    </row>
    <row r="934" spans="1:12" s="39" customFormat="1" ht="15.45" customHeight="1" outlineLevel="1" x14ac:dyDescent="0.25">
      <c r="A934" s="33">
        <v>1</v>
      </c>
      <c r="B934" s="34" t="s">
        <v>713</v>
      </c>
      <c r="C934" s="35" t="s">
        <v>55</v>
      </c>
      <c r="D934" s="36">
        <v>1</v>
      </c>
      <c r="E934" s="36">
        <v>180.84200000000001</v>
      </c>
      <c r="F934" s="36">
        <f t="shared" ref="F934:F950" si="195">+E934*D934</f>
        <v>180.84200000000001</v>
      </c>
      <c r="G934" s="37">
        <f t="shared" ref="G934:G950" si="196">I934+K934</f>
        <v>0</v>
      </c>
      <c r="H934" s="38">
        <f t="shared" ref="H934:H950" si="197">J934+L934</f>
        <v>0</v>
      </c>
      <c r="I934" s="37">
        <f t="shared" ref="I934:I950" si="198">J934/F934</f>
        <v>0</v>
      </c>
      <c r="J934" s="38">
        <v>0</v>
      </c>
      <c r="K934" s="37">
        <f t="shared" ref="K934:K950" si="199">L934/F934</f>
        <v>0</v>
      </c>
      <c r="L934" s="38">
        <v>0</v>
      </c>
    </row>
    <row r="935" spans="1:12" s="45" customFormat="1" ht="28.95" customHeight="1" x14ac:dyDescent="0.3">
      <c r="A935" s="33">
        <v>2</v>
      </c>
      <c r="B935" s="34" t="s">
        <v>663</v>
      </c>
      <c r="C935" s="35" t="s">
        <v>55</v>
      </c>
      <c r="D935" s="36">
        <v>1</v>
      </c>
      <c r="E935" s="36">
        <v>62.207800000000013</v>
      </c>
      <c r="F935" s="36">
        <f t="shared" si="195"/>
        <v>62.207800000000013</v>
      </c>
      <c r="G935" s="37">
        <f t="shared" si="196"/>
        <v>0</v>
      </c>
      <c r="H935" s="38">
        <f t="shared" si="197"/>
        <v>0</v>
      </c>
      <c r="I935" s="37">
        <f t="shared" si="198"/>
        <v>0</v>
      </c>
      <c r="J935" s="38">
        <v>0</v>
      </c>
      <c r="K935" s="37">
        <f t="shared" si="199"/>
        <v>0</v>
      </c>
      <c r="L935" s="38">
        <v>0</v>
      </c>
    </row>
    <row r="936" spans="1:12" s="39" customFormat="1" ht="15.45" customHeight="1" outlineLevel="1" x14ac:dyDescent="0.25">
      <c r="A936" s="33">
        <v>3</v>
      </c>
      <c r="B936" s="34" t="s">
        <v>714</v>
      </c>
      <c r="C936" s="35" t="s">
        <v>55</v>
      </c>
      <c r="D936" s="36">
        <v>1</v>
      </c>
      <c r="E936" s="36">
        <v>202.517</v>
      </c>
      <c r="F936" s="36">
        <f t="shared" si="195"/>
        <v>202.517</v>
      </c>
      <c r="G936" s="37">
        <f t="shared" si="196"/>
        <v>0</v>
      </c>
      <c r="H936" s="38">
        <f t="shared" si="197"/>
        <v>0</v>
      </c>
      <c r="I936" s="37">
        <f t="shared" si="198"/>
        <v>0</v>
      </c>
      <c r="J936" s="38">
        <v>0</v>
      </c>
      <c r="K936" s="37">
        <f t="shared" si="199"/>
        <v>0</v>
      </c>
      <c r="L936" s="38">
        <v>0</v>
      </c>
    </row>
    <row r="937" spans="1:12" s="39" customFormat="1" ht="15.45" customHeight="1" outlineLevel="1" x14ac:dyDescent="0.25">
      <c r="A937" s="33">
        <v>4</v>
      </c>
      <c r="B937" s="34" t="s">
        <v>715</v>
      </c>
      <c r="C937" s="35" t="s">
        <v>55</v>
      </c>
      <c r="D937" s="36">
        <v>1</v>
      </c>
      <c r="E937" s="36">
        <v>208.3126</v>
      </c>
      <c r="F937" s="36">
        <f t="shared" si="195"/>
        <v>208.3126</v>
      </c>
      <c r="G937" s="37">
        <f t="shared" si="196"/>
        <v>0</v>
      </c>
      <c r="H937" s="38">
        <f t="shared" si="197"/>
        <v>0</v>
      </c>
      <c r="I937" s="37">
        <f t="shared" si="198"/>
        <v>0</v>
      </c>
      <c r="J937" s="38">
        <v>0</v>
      </c>
      <c r="K937" s="37">
        <f t="shared" si="199"/>
        <v>0</v>
      </c>
      <c r="L937" s="38">
        <v>0</v>
      </c>
    </row>
    <row r="938" spans="1:12" s="45" customFormat="1" ht="15.45" customHeight="1" x14ac:dyDescent="0.3">
      <c r="A938" s="33">
        <v>5</v>
      </c>
      <c r="B938" s="34" t="s">
        <v>716</v>
      </c>
      <c r="C938" s="35" t="s">
        <v>55</v>
      </c>
      <c r="D938" s="36">
        <v>1</v>
      </c>
      <c r="E938" s="36">
        <v>523.54160000000013</v>
      </c>
      <c r="F938" s="36">
        <f t="shared" si="195"/>
        <v>523.54160000000013</v>
      </c>
      <c r="G938" s="37">
        <f t="shared" si="196"/>
        <v>0</v>
      </c>
      <c r="H938" s="38">
        <f t="shared" si="197"/>
        <v>0</v>
      </c>
      <c r="I938" s="37">
        <f t="shared" si="198"/>
        <v>0</v>
      </c>
      <c r="J938" s="38">
        <v>0</v>
      </c>
      <c r="K938" s="37">
        <f t="shared" si="199"/>
        <v>0</v>
      </c>
      <c r="L938" s="38">
        <v>0</v>
      </c>
    </row>
    <row r="939" spans="1:12" s="39" customFormat="1" ht="15.45" customHeight="1" outlineLevel="1" x14ac:dyDescent="0.25">
      <c r="A939" s="33">
        <v>6</v>
      </c>
      <c r="B939" s="34" t="s">
        <v>717</v>
      </c>
      <c r="C939" s="35" t="s">
        <v>55</v>
      </c>
      <c r="D939" s="36">
        <v>1</v>
      </c>
      <c r="E939" s="36">
        <v>949.95460000000003</v>
      </c>
      <c r="F939" s="36">
        <f t="shared" si="195"/>
        <v>949.95460000000003</v>
      </c>
      <c r="G939" s="37">
        <f t="shared" si="196"/>
        <v>0</v>
      </c>
      <c r="H939" s="38">
        <f t="shared" si="197"/>
        <v>0</v>
      </c>
      <c r="I939" s="37">
        <f t="shared" si="198"/>
        <v>0</v>
      </c>
      <c r="J939" s="38">
        <v>0</v>
      </c>
      <c r="K939" s="37">
        <f t="shared" si="199"/>
        <v>0</v>
      </c>
      <c r="L939" s="38">
        <v>0</v>
      </c>
    </row>
    <row r="940" spans="1:12" s="39" customFormat="1" ht="15.45" customHeight="1" outlineLevel="1" x14ac:dyDescent="0.25">
      <c r="A940" s="33">
        <v>7</v>
      </c>
      <c r="B940" s="34" t="s">
        <v>718</v>
      </c>
      <c r="C940" s="35" t="s">
        <v>55</v>
      </c>
      <c r="D940" s="36">
        <v>2</v>
      </c>
      <c r="E940" s="36">
        <v>149.87479999999999</v>
      </c>
      <c r="F940" s="36">
        <f t="shared" si="195"/>
        <v>299.74959999999999</v>
      </c>
      <c r="G940" s="37">
        <f t="shared" si="196"/>
        <v>0</v>
      </c>
      <c r="H940" s="38">
        <f t="shared" si="197"/>
        <v>0</v>
      </c>
      <c r="I940" s="37">
        <f t="shared" si="198"/>
        <v>0</v>
      </c>
      <c r="J940" s="38">
        <v>0</v>
      </c>
      <c r="K940" s="37">
        <f t="shared" si="199"/>
        <v>0</v>
      </c>
      <c r="L940" s="38">
        <v>0</v>
      </c>
    </row>
    <row r="941" spans="1:12" s="39" customFormat="1" ht="28.95" customHeight="1" outlineLevel="1" x14ac:dyDescent="0.25">
      <c r="A941" s="33">
        <v>8</v>
      </c>
      <c r="B941" s="34" t="s">
        <v>663</v>
      </c>
      <c r="C941" s="35" t="s">
        <v>55</v>
      </c>
      <c r="D941" s="36">
        <v>2</v>
      </c>
      <c r="E941" s="36">
        <v>62.207800000000013</v>
      </c>
      <c r="F941" s="36">
        <f t="shared" si="195"/>
        <v>124.41560000000003</v>
      </c>
      <c r="G941" s="37">
        <f t="shared" si="196"/>
        <v>0</v>
      </c>
      <c r="H941" s="38">
        <f t="shared" si="197"/>
        <v>0</v>
      </c>
      <c r="I941" s="37">
        <f t="shared" si="198"/>
        <v>0</v>
      </c>
      <c r="J941" s="38">
        <v>0</v>
      </c>
      <c r="K941" s="37">
        <f t="shared" si="199"/>
        <v>0</v>
      </c>
      <c r="L941" s="38">
        <v>0</v>
      </c>
    </row>
    <row r="942" spans="1:12" s="39" customFormat="1" ht="15.45" customHeight="1" outlineLevel="1" x14ac:dyDescent="0.25">
      <c r="A942" s="33">
        <v>9</v>
      </c>
      <c r="B942" s="34" t="s">
        <v>719</v>
      </c>
      <c r="C942" s="35" t="s">
        <v>50</v>
      </c>
      <c r="D942" s="36">
        <v>60</v>
      </c>
      <c r="E942" s="36">
        <v>2.4847999999999999</v>
      </c>
      <c r="F942" s="36">
        <f t="shared" si="195"/>
        <v>149.08799999999999</v>
      </c>
      <c r="G942" s="37">
        <f t="shared" si="196"/>
        <v>0</v>
      </c>
      <c r="H942" s="38">
        <f t="shared" si="197"/>
        <v>0</v>
      </c>
      <c r="I942" s="37">
        <f t="shared" si="198"/>
        <v>0</v>
      </c>
      <c r="J942" s="38">
        <v>0</v>
      </c>
      <c r="K942" s="37">
        <f t="shared" si="199"/>
        <v>0</v>
      </c>
      <c r="L942" s="38">
        <v>0</v>
      </c>
    </row>
    <row r="943" spans="1:12" s="39" customFormat="1" ht="28.95" customHeight="1" outlineLevel="1" x14ac:dyDescent="0.25">
      <c r="A943" s="33">
        <v>10</v>
      </c>
      <c r="B943" s="34" t="s">
        <v>720</v>
      </c>
      <c r="C943" s="35" t="s">
        <v>50</v>
      </c>
      <c r="D943" s="36">
        <v>100</v>
      </c>
      <c r="E943" s="36">
        <v>0.9</v>
      </c>
      <c r="F943" s="36">
        <f t="shared" si="195"/>
        <v>90</v>
      </c>
      <c r="G943" s="37">
        <f t="shared" si="196"/>
        <v>0</v>
      </c>
      <c r="H943" s="38">
        <f t="shared" si="197"/>
        <v>0</v>
      </c>
      <c r="I943" s="37">
        <f t="shared" si="198"/>
        <v>0</v>
      </c>
      <c r="J943" s="38">
        <v>0</v>
      </c>
      <c r="K943" s="37">
        <f t="shared" si="199"/>
        <v>0</v>
      </c>
      <c r="L943" s="38">
        <v>0</v>
      </c>
    </row>
    <row r="944" spans="1:12" s="39" customFormat="1" ht="28.95" customHeight="1" outlineLevel="1" x14ac:dyDescent="0.25">
      <c r="A944" s="33">
        <v>11</v>
      </c>
      <c r="B944" s="34" t="s">
        <v>617</v>
      </c>
      <c r="C944" s="35" t="s">
        <v>50</v>
      </c>
      <c r="D944" s="36">
        <v>55</v>
      </c>
      <c r="E944" s="36">
        <v>2.0379999999999998</v>
      </c>
      <c r="F944" s="36">
        <f t="shared" si="195"/>
        <v>112.08999999999999</v>
      </c>
      <c r="G944" s="37">
        <f t="shared" si="196"/>
        <v>0</v>
      </c>
      <c r="H944" s="38">
        <f t="shared" si="197"/>
        <v>0</v>
      </c>
      <c r="I944" s="37">
        <f t="shared" si="198"/>
        <v>0</v>
      </c>
      <c r="J944" s="38">
        <v>0</v>
      </c>
      <c r="K944" s="37">
        <f t="shared" si="199"/>
        <v>0</v>
      </c>
      <c r="L944" s="38">
        <v>0</v>
      </c>
    </row>
    <row r="945" spans="1:12" s="39" customFormat="1" ht="28.95" customHeight="1" outlineLevel="1" x14ac:dyDescent="0.25">
      <c r="A945" s="33">
        <v>12</v>
      </c>
      <c r="B945" s="34" t="s">
        <v>572</v>
      </c>
      <c r="C945" s="35" t="s">
        <v>50</v>
      </c>
      <c r="D945" s="36">
        <v>105</v>
      </c>
      <c r="E945" s="36">
        <v>1.9461999999999999</v>
      </c>
      <c r="F945" s="36">
        <f t="shared" si="195"/>
        <v>204.351</v>
      </c>
      <c r="G945" s="37">
        <f t="shared" si="196"/>
        <v>0</v>
      </c>
      <c r="H945" s="38">
        <f t="shared" si="197"/>
        <v>0</v>
      </c>
      <c r="I945" s="37">
        <f t="shared" si="198"/>
        <v>0</v>
      </c>
      <c r="J945" s="38">
        <v>0</v>
      </c>
      <c r="K945" s="37">
        <f t="shared" si="199"/>
        <v>0</v>
      </c>
      <c r="L945" s="38">
        <v>0</v>
      </c>
    </row>
    <row r="946" spans="1:12" s="39" customFormat="1" ht="15.45" customHeight="1" outlineLevel="1" x14ac:dyDescent="0.25">
      <c r="A946" s="33">
        <v>13</v>
      </c>
      <c r="B946" s="34" t="s">
        <v>721</v>
      </c>
      <c r="C946" s="35" t="s">
        <v>55</v>
      </c>
      <c r="D946" s="36">
        <v>1</v>
      </c>
      <c r="E946" s="36">
        <v>245.87719999999999</v>
      </c>
      <c r="F946" s="36">
        <f t="shared" si="195"/>
        <v>245.87719999999999</v>
      </c>
      <c r="G946" s="37">
        <f t="shared" si="196"/>
        <v>0</v>
      </c>
      <c r="H946" s="38">
        <f t="shared" si="197"/>
        <v>0</v>
      </c>
      <c r="I946" s="37">
        <f t="shared" si="198"/>
        <v>0</v>
      </c>
      <c r="J946" s="38">
        <v>0</v>
      </c>
      <c r="K946" s="37">
        <f t="shared" si="199"/>
        <v>0</v>
      </c>
      <c r="L946" s="38">
        <v>0</v>
      </c>
    </row>
    <row r="947" spans="1:12" s="39" customFormat="1" ht="15.45" customHeight="1" outlineLevel="1" x14ac:dyDescent="0.25">
      <c r="A947" s="33">
        <v>14</v>
      </c>
      <c r="B947" s="34" t="s">
        <v>665</v>
      </c>
      <c r="C947" s="35" t="s">
        <v>55</v>
      </c>
      <c r="D947" s="36">
        <v>1</v>
      </c>
      <c r="E947" s="36">
        <v>38.166400000000003</v>
      </c>
      <c r="F947" s="36">
        <f t="shared" si="195"/>
        <v>38.166400000000003</v>
      </c>
      <c r="G947" s="37">
        <f t="shared" si="196"/>
        <v>0</v>
      </c>
      <c r="H947" s="38">
        <f t="shared" si="197"/>
        <v>0</v>
      </c>
      <c r="I947" s="37">
        <f t="shared" si="198"/>
        <v>0</v>
      </c>
      <c r="J947" s="38">
        <v>0</v>
      </c>
      <c r="K947" s="37">
        <f t="shared" si="199"/>
        <v>0</v>
      </c>
      <c r="L947" s="38">
        <v>0</v>
      </c>
    </row>
    <row r="948" spans="1:12" s="39" customFormat="1" ht="15.45" customHeight="1" outlineLevel="1" x14ac:dyDescent="0.25">
      <c r="A948" s="33">
        <v>15</v>
      </c>
      <c r="B948" s="34" t="s">
        <v>722</v>
      </c>
      <c r="C948" s="35" t="s">
        <v>55</v>
      </c>
      <c r="D948" s="36">
        <v>1</v>
      </c>
      <c r="E948" s="36">
        <v>743.29040000000009</v>
      </c>
      <c r="F948" s="36">
        <f t="shared" si="195"/>
        <v>743.29040000000009</v>
      </c>
      <c r="G948" s="37">
        <f t="shared" si="196"/>
        <v>0</v>
      </c>
      <c r="H948" s="38">
        <f t="shared" si="197"/>
        <v>0</v>
      </c>
      <c r="I948" s="37">
        <f t="shared" si="198"/>
        <v>0</v>
      </c>
      <c r="J948" s="38">
        <v>0</v>
      </c>
      <c r="K948" s="37">
        <f t="shared" si="199"/>
        <v>0</v>
      </c>
      <c r="L948" s="38">
        <v>0</v>
      </c>
    </row>
    <row r="949" spans="1:12" s="39" customFormat="1" ht="28.95" customHeight="1" outlineLevel="1" x14ac:dyDescent="0.25">
      <c r="A949" s="33">
        <v>16</v>
      </c>
      <c r="B949" s="34" t="s">
        <v>723</v>
      </c>
      <c r="C949" s="35" t="s">
        <v>50</v>
      </c>
      <c r="D949" s="36">
        <v>55</v>
      </c>
      <c r="E949" s="36">
        <v>0.9</v>
      </c>
      <c r="F949" s="36">
        <f t="shared" si="195"/>
        <v>49.5</v>
      </c>
      <c r="G949" s="37">
        <f t="shared" si="196"/>
        <v>0</v>
      </c>
      <c r="H949" s="38">
        <f t="shared" si="197"/>
        <v>0</v>
      </c>
      <c r="I949" s="37">
        <f t="shared" si="198"/>
        <v>0</v>
      </c>
      <c r="J949" s="38">
        <v>0</v>
      </c>
      <c r="K949" s="37">
        <f t="shared" si="199"/>
        <v>0</v>
      </c>
      <c r="L949" s="38">
        <v>0</v>
      </c>
    </row>
    <row r="950" spans="1:12" s="39" customFormat="1" ht="28.95" customHeight="1" outlineLevel="1" x14ac:dyDescent="0.25">
      <c r="A950" s="33">
        <v>17</v>
      </c>
      <c r="B950" s="34" t="s">
        <v>554</v>
      </c>
      <c r="C950" s="35" t="s">
        <v>50</v>
      </c>
      <c r="D950" s="36">
        <v>55</v>
      </c>
      <c r="E950" s="36">
        <v>2.242</v>
      </c>
      <c r="F950" s="36">
        <f t="shared" si="195"/>
        <v>123.31</v>
      </c>
      <c r="G950" s="37">
        <f t="shared" si="196"/>
        <v>0</v>
      </c>
      <c r="H950" s="38">
        <f t="shared" si="197"/>
        <v>0</v>
      </c>
      <c r="I950" s="37">
        <f t="shared" si="198"/>
        <v>0</v>
      </c>
      <c r="J950" s="38">
        <v>0</v>
      </c>
      <c r="K950" s="37">
        <f t="shared" si="199"/>
        <v>0</v>
      </c>
      <c r="L950" s="38">
        <v>0</v>
      </c>
    </row>
    <row r="951" spans="1:12" s="39" customFormat="1" ht="15.45" customHeight="1" outlineLevel="1" x14ac:dyDescent="0.25">
      <c r="A951" s="31" t="s">
        <v>724</v>
      </c>
      <c r="B951" s="40" t="s">
        <v>725</v>
      </c>
      <c r="C951" s="41">
        <v>0</v>
      </c>
      <c r="D951" s="42"/>
      <c r="E951" s="42"/>
      <c r="F951" s="42"/>
      <c r="G951" s="43"/>
      <c r="H951" s="44"/>
      <c r="I951" s="43"/>
      <c r="J951" s="44"/>
      <c r="K951" s="43"/>
      <c r="L951" s="44">
        <v>0</v>
      </c>
    </row>
    <row r="952" spans="1:12" s="39" customFormat="1" ht="15.45" customHeight="1" outlineLevel="1" x14ac:dyDescent="0.25">
      <c r="A952" s="33">
        <v>1</v>
      </c>
      <c r="B952" s="34" t="s">
        <v>144</v>
      </c>
      <c r="C952" s="35" t="s">
        <v>726</v>
      </c>
      <c r="D952" s="36">
        <v>2</v>
      </c>
      <c r="E952" s="36">
        <v>247.9376</v>
      </c>
      <c r="F952" s="36">
        <f t="shared" ref="F952:F983" si="200">+E952*D952</f>
        <v>495.87520000000001</v>
      </c>
      <c r="G952" s="37">
        <f t="shared" ref="G952:G983" si="201">I952+K952</f>
        <v>0</v>
      </c>
      <c r="H952" s="38">
        <f t="shared" ref="H952:H983" si="202">J952+L952</f>
        <v>0</v>
      </c>
      <c r="I952" s="37">
        <f t="shared" ref="I952:I983" si="203">J952/F952</f>
        <v>0</v>
      </c>
      <c r="J952" s="38">
        <v>0</v>
      </c>
      <c r="K952" s="37">
        <f t="shared" ref="K952:K983" si="204">L952/F952</f>
        <v>0</v>
      </c>
      <c r="L952" s="38">
        <v>0</v>
      </c>
    </row>
    <row r="953" spans="1:12" s="39" customFormat="1" ht="15.45" customHeight="1" outlineLevel="1" x14ac:dyDescent="0.25">
      <c r="A953" s="33">
        <v>2</v>
      </c>
      <c r="B953" s="34" t="s">
        <v>146</v>
      </c>
      <c r="C953" s="35" t="s">
        <v>55</v>
      </c>
      <c r="D953" s="36">
        <v>1</v>
      </c>
      <c r="E953" s="36">
        <v>130.2602</v>
      </c>
      <c r="F953" s="36">
        <f t="shared" si="200"/>
        <v>130.2602</v>
      </c>
      <c r="G953" s="37">
        <f t="shared" si="201"/>
        <v>0</v>
      </c>
      <c r="H953" s="38">
        <f t="shared" si="202"/>
        <v>0</v>
      </c>
      <c r="I953" s="37">
        <f t="shared" si="203"/>
        <v>0</v>
      </c>
      <c r="J953" s="38">
        <v>0</v>
      </c>
      <c r="K953" s="37">
        <f t="shared" si="204"/>
        <v>0</v>
      </c>
      <c r="L953" s="38">
        <v>0</v>
      </c>
    </row>
    <row r="954" spans="1:12" s="39" customFormat="1" ht="15.45" customHeight="1" outlineLevel="1" x14ac:dyDescent="0.25">
      <c r="A954" s="33">
        <v>3</v>
      </c>
      <c r="B954" s="34" t="s">
        <v>147</v>
      </c>
      <c r="C954" s="35" t="s">
        <v>55</v>
      </c>
      <c r="D954" s="36">
        <v>1</v>
      </c>
      <c r="E954" s="36">
        <v>195.2954</v>
      </c>
      <c r="F954" s="36">
        <f t="shared" si="200"/>
        <v>195.2954</v>
      </c>
      <c r="G954" s="37">
        <f t="shared" si="201"/>
        <v>0</v>
      </c>
      <c r="H954" s="38">
        <f t="shared" si="202"/>
        <v>0</v>
      </c>
      <c r="I954" s="37">
        <f t="shared" si="203"/>
        <v>0</v>
      </c>
      <c r="J954" s="38">
        <v>0</v>
      </c>
      <c r="K954" s="37">
        <f t="shared" si="204"/>
        <v>0</v>
      </c>
      <c r="L954" s="38">
        <v>0</v>
      </c>
    </row>
    <row r="955" spans="1:12" s="39" customFormat="1" ht="15.45" customHeight="1" outlineLevel="1" x14ac:dyDescent="0.25">
      <c r="A955" s="33">
        <v>4</v>
      </c>
      <c r="B955" s="34" t="s">
        <v>148</v>
      </c>
      <c r="C955" s="35" t="s">
        <v>55</v>
      </c>
      <c r="D955" s="36">
        <v>1</v>
      </c>
      <c r="E955" s="36">
        <v>122.6</v>
      </c>
      <c r="F955" s="36">
        <f t="shared" si="200"/>
        <v>122.6</v>
      </c>
      <c r="G955" s="37">
        <f t="shared" si="201"/>
        <v>0</v>
      </c>
      <c r="H955" s="38">
        <f t="shared" si="202"/>
        <v>0</v>
      </c>
      <c r="I955" s="37">
        <f t="shared" si="203"/>
        <v>0</v>
      </c>
      <c r="J955" s="38">
        <v>0</v>
      </c>
      <c r="K955" s="37">
        <f t="shared" si="204"/>
        <v>0</v>
      </c>
      <c r="L955" s="38">
        <v>0</v>
      </c>
    </row>
    <row r="956" spans="1:12" s="39" customFormat="1" ht="28.95" customHeight="1" outlineLevel="1" x14ac:dyDescent="0.25">
      <c r="A956" s="33">
        <v>5</v>
      </c>
      <c r="B956" s="34" t="s">
        <v>149</v>
      </c>
      <c r="C956" s="35" t="s">
        <v>55</v>
      </c>
      <c r="D956" s="36">
        <v>1</v>
      </c>
      <c r="E956" s="36">
        <v>671.15600000000006</v>
      </c>
      <c r="F956" s="36">
        <f t="shared" si="200"/>
        <v>671.15600000000006</v>
      </c>
      <c r="G956" s="37">
        <f t="shared" si="201"/>
        <v>0</v>
      </c>
      <c r="H956" s="38">
        <f t="shared" si="202"/>
        <v>0</v>
      </c>
      <c r="I956" s="37">
        <f t="shared" si="203"/>
        <v>0</v>
      </c>
      <c r="J956" s="38">
        <v>0</v>
      </c>
      <c r="K956" s="37">
        <f t="shared" si="204"/>
        <v>0</v>
      </c>
      <c r="L956" s="38">
        <v>0</v>
      </c>
    </row>
    <row r="957" spans="1:12" s="39" customFormat="1" ht="15.45" customHeight="1" outlineLevel="1" x14ac:dyDescent="0.25">
      <c r="A957" s="33">
        <v>6</v>
      </c>
      <c r="B957" s="34" t="s">
        <v>727</v>
      </c>
      <c r="C957" s="35" t="s">
        <v>55</v>
      </c>
      <c r="D957" s="36">
        <v>1</v>
      </c>
      <c r="E957" s="36">
        <v>1672.4287999999999</v>
      </c>
      <c r="F957" s="36">
        <f t="shared" si="200"/>
        <v>1672.4287999999999</v>
      </c>
      <c r="G957" s="37">
        <f t="shared" si="201"/>
        <v>0</v>
      </c>
      <c r="H957" s="38">
        <f t="shared" si="202"/>
        <v>0</v>
      </c>
      <c r="I957" s="37">
        <f t="shared" si="203"/>
        <v>0</v>
      </c>
      <c r="J957" s="38">
        <v>0</v>
      </c>
      <c r="K957" s="37">
        <f t="shared" si="204"/>
        <v>0</v>
      </c>
      <c r="L957" s="38">
        <v>0</v>
      </c>
    </row>
    <row r="958" spans="1:12" s="39" customFormat="1" ht="15.45" customHeight="1" outlineLevel="1" x14ac:dyDescent="0.25">
      <c r="A958" s="33">
        <v>7</v>
      </c>
      <c r="B958" s="34" t="s">
        <v>728</v>
      </c>
      <c r="C958" s="35" t="s">
        <v>55</v>
      </c>
      <c r="D958" s="36">
        <v>1</v>
      </c>
      <c r="E958" s="36">
        <v>132.33080000000001</v>
      </c>
      <c r="F958" s="36">
        <f t="shared" si="200"/>
        <v>132.33080000000001</v>
      </c>
      <c r="G958" s="37">
        <f t="shared" si="201"/>
        <v>0</v>
      </c>
      <c r="H958" s="38">
        <f t="shared" si="202"/>
        <v>0</v>
      </c>
      <c r="I958" s="37">
        <f t="shared" si="203"/>
        <v>0</v>
      </c>
      <c r="J958" s="38">
        <v>0</v>
      </c>
      <c r="K958" s="37">
        <f t="shared" si="204"/>
        <v>0</v>
      </c>
      <c r="L958" s="38">
        <v>0</v>
      </c>
    </row>
    <row r="959" spans="1:12" s="39" customFormat="1" ht="15.45" customHeight="1" outlineLevel="1" x14ac:dyDescent="0.25">
      <c r="A959" s="33">
        <v>8</v>
      </c>
      <c r="B959" s="34" t="s">
        <v>729</v>
      </c>
      <c r="C959" s="35" t="s">
        <v>115</v>
      </c>
      <c r="D959" s="36">
        <v>1</v>
      </c>
      <c r="E959" s="36">
        <v>617.48360000000002</v>
      </c>
      <c r="F959" s="36">
        <f t="shared" si="200"/>
        <v>617.48360000000002</v>
      </c>
      <c r="G959" s="37">
        <f t="shared" si="201"/>
        <v>0</v>
      </c>
      <c r="H959" s="38">
        <f t="shared" si="202"/>
        <v>0</v>
      </c>
      <c r="I959" s="37">
        <f t="shared" si="203"/>
        <v>0</v>
      </c>
      <c r="J959" s="38">
        <v>0</v>
      </c>
      <c r="K959" s="37">
        <f t="shared" si="204"/>
        <v>0</v>
      </c>
      <c r="L959" s="38">
        <v>0</v>
      </c>
    </row>
    <row r="960" spans="1:12" s="39" customFormat="1" ht="15.45" customHeight="1" outlineLevel="1" x14ac:dyDescent="0.25">
      <c r="A960" s="33">
        <v>9</v>
      </c>
      <c r="B960" s="34" t="s">
        <v>730</v>
      </c>
      <c r="C960" s="35" t="s">
        <v>55</v>
      </c>
      <c r="D960" s="36">
        <v>1</v>
      </c>
      <c r="E960" s="36">
        <v>284.06600000000009</v>
      </c>
      <c r="F960" s="36">
        <f t="shared" si="200"/>
        <v>284.06600000000009</v>
      </c>
      <c r="G960" s="37">
        <f t="shared" si="201"/>
        <v>0</v>
      </c>
      <c r="H960" s="38">
        <f t="shared" si="202"/>
        <v>0</v>
      </c>
      <c r="I960" s="37">
        <f t="shared" si="203"/>
        <v>0</v>
      </c>
      <c r="J960" s="38">
        <v>0</v>
      </c>
      <c r="K960" s="37">
        <f t="shared" si="204"/>
        <v>0</v>
      </c>
      <c r="L960" s="38">
        <v>0</v>
      </c>
    </row>
    <row r="961" spans="1:12" s="39" customFormat="1" ht="15.45" customHeight="1" outlineLevel="1" x14ac:dyDescent="0.25">
      <c r="A961" s="33">
        <v>10</v>
      </c>
      <c r="B961" s="34" t="s">
        <v>731</v>
      </c>
      <c r="C961" s="35" t="s">
        <v>55</v>
      </c>
      <c r="D961" s="36">
        <v>1</v>
      </c>
      <c r="E961" s="36">
        <v>681.47839999999997</v>
      </c>
      <c r="F961" s="36">
        <f t="shared" si="200"/>
        <v>681.47839999999997</v>
      </c>
      <c r="G961" s="37">
        <f t="shared" si="201"/>
        <v>0</v>
      </c>
      <c r="H961" s="38">
        <f t="shared" si="202"/>
        <v>0</v>
      </c>
      <c r="I961" s="37">
        <f t="shared" si="203"/>
        <v>0</v>
      </c>
      <c r="J961" s="38">
        <v>0</v>
      </c>
      <c r="K961" s="37">
        <f t="shared" si="204"/>
        <v>0</v>
      </c>
      <c r="L961" s="38">
        <v>0</v>
      </c>
    </row>
    <row r="962" spans="1:12" s="39" customFormat="1" ht="15.45" customHeight="1" outlineLevel="1" x14ac:dyDescent="0.25">
      <c r="A962" s="33">
        <v>11</v>
      </c>
      <c r="B962" s="34" t="s">
        <v>732</v>
      </c>
      <c r="C962" s="35" t="s">
        <v>55</v>
      </c>
      <c r="D962" s="36">
        <v>1</v>
      </c>
      <c r="E962" s="36">
        <v>346.00040000000001</v>
      </c>
      <c r="F962" s="36">
        <f t="shared" si="200"/>
        <v>346.00040000000001</v>
      </c>
      <c r="G962" s="37">
        <f t="shared" si="201"/>
        <v>0</v>
      </c>
      <c r="H962" s="38">
        <f t="shared" si="202"/>
        <v>0</v>
      </c>
      <c r="I962" s="37">
        <f t="shared" si="203"/>
        <v>0</v>
      </c>
      <c r="J962" s="38">
        <v>0</v>
      </c>
      <c r="K962" s="37">
        <f t="shared" si="204"/>
        <v>0</v>
      </c>
      <c r="L962" s="38">
        <v>0</v>
      </c>
    </row>
    <row r="963" spans="1:12" s="39" customFormat="1" ht="15.45" customHeight="1" outlineLevel="1" x14ac:dyDescent="0.25">
      <c r="A963" s="33">
        <v>12</v>
      </c>
      <c r="B963" s="34" t="s">
        <v>733</v>
      </c>
      <c r="C963" s="35" t="s">
        <v>55</v>
      </c>
      <c r="D963" s="36">
        <v>2</v>
      </c>
      <c r="E963" s="36">
        <v>247.9376</v>
      </c>
      <c r="F963" s="36">
        <f t="shared" si="200"/>
        <v>495.87520000000001</v>
      </c>
      <c r="G963" s="37">
        <f t="shared" si="201"/>
        <v>0</v>
      </c>
      <c r="H963" s="38">
        <f t="shared" si="202"/>
        <v>0</v>
      </c>
      <c r="I963" s="37">
        <f t="shared" si="203"/>
        <v>0</v>
      </c>
      <c r="J963" s="38">
        <v>0</v>
      </c>
      <c r="K963" s="37">
        <f t="shared" si="204"/>
        <v>0</v>
      </c>
      <c r="L963" s="38">
        <v>0</v>
      </c>
    </row>
    <row r="964" spans="1:12" s="39" customFormat="1" ht="15.45" customHeight="1" outlineLevel="1" x14ac:dyDescent="0.25">
      <c r="A964" s="33">
        <v>13</v>
      </c>
      <c r="B964" s="34" t="s">
        <v>734</v>
      </c>
      <c r="C964" s="35" t="s">
        <v>115</v>
      </c>
      <c r="D964" s="36">
        <v>4</v>
      </c>
      <c r="E964" s="36">
        <v>351.16160000000002</v>
      </c>
      <c r="F964" s="36">
        <f t="shared" si="200"/>
        <v>1404.6464000000001</v>
      </c>
      <c r="G964" s="37">
        <f t="shared" si="201"/>
        <v>0</v>
      </c>
      <c r="H964" s="38">
        <f t="shared" si="202"/>
        <v>0</v>
      </c>
      <c r="I964" s="37">
        <f t="shared" si="203"/>
        <v>0</v>
      </c>
      <c r="J964" s="38">
        <v>0</v>
      </c>
      <c r="K964" s="37">
        <f t="shared" si="204"/>
        <v>0</v>
      </c>
      <c r="L964" s="38">
        <v>0</v>
      </c>
    </row>
    <row r="965" spans="1:12" s="39" customFormat="1" ht="15.45" customHeight="1" outlineLevel="1" x14ac:dyDescent="0.25">
      <c r="A965" s="33">
        <v>14</v>
      </c>
      <c r="B965" s="34" t="s">
        <v>143</v>
      </c>
      <c r="C965" s="35" t="s">
        <v>115</v>
      </c>
      <c r="D965" s="36">
        <v>2</v>
      </c>
      <c r="E965" s="36">
        <v>31.41200000000001</v>
      </c>
      <c r="F965" s="36">
        <f t="shared" si="200"/>
        <v>62.824000000000019</v>
      </c>
      <c r="G965" s="37">
        <f t="shared" si="201"/>
        <v>0</v>
      </c>
      <c r="H965" s="38">
        <f t="shared" si="202"/>
        <v>0</v>
      </c>
      <c r="I965" s="37">
        <f t="shared" si="203"/>
        <v>0</v>
      </c>
      <c r="J965" s="38">
        <v>0</v>
      </c>
      <c r="K965" s="37">
        <f t="shared" si="204"/>
        <v>0</v>
      </c>
      <c r="L965" s="38">
        <v>0</v>
      </c>
    </row>
    <row r="966" spans="1:12" s="39" customFormat="1" ht="15.45" customHeight="1" outlineLevel="1" x14ac:dyDescent="0.25">
      <c r="A966" s="33">
        <v>15</v>
      </c>
      <c r="B966" s="34" t="s">
        <v>735</v>
      </c>
      <c r="C966" s="35" t="s">
        <v>55</v>
      </c>
      <c r="D966" s="36">
        <v>17</v>
      </c>
      <c r="E966" s="36">
        <v>465.22820000000007</v>
      </c>
      <c r="F966" s="36">
        <f t="shared" si="200"/>
        <v>7908.8794000000016</v>
      </c>
      <c r="G966" s="37">
        <f t="shared" si="201"/>
        <v>0</v>
      </c>
      <c r="H966" s="38">
        <f t="shared" si="202"/>
        <v>0</v>
      </c>
      <c r="I966" s="37">
        <f t="shared" si="203"/>
        <v>0</v>
      </c>
      <c r="J966" s="38">
        <v>0</v>
      </c>
      <c r="K966" s="37">
        <f t="shared" si="204"/>
        <v>0</v>
      </c>
      <c r="L966" s="38">
        <v>0</v>
      </c>
    </row>
    <row r="967" spans="1:12" s="39" customFormat="1" ht="15.45" customHeight="1" outlineLevel="1" x14ac:dyDescent="0.25">
      <c r="A967" s="33">
        <v>16</v>
      </c>
      <c r="B967" s="34" t="s">
        <v>137</v>
      </c>
      <c r="C967" s="35" t="s">
        <v>55</v>
      </c>
      <c r="D967" s="36">
        <v>17</v>
      </c>
      <c r="E967" s="36">
        <v>35.267600000000009</v>
      </c>
      <c r="F967" s="36">
        <f t="shared" si="200"/>
        <v>599.54920000000016</v>
      </c>
      <c r="G967" s="37">
        <f t="shared" si="201"/>
        <v>0</v>
      </c>
      <c r="H967" s="38">
        <f t="shared" si="202"/>
        <v>0</v>
      </c>
      <c r="I967" s="37">
        <f t="shared" si="203"/>
        <v>0</v>
      </c>
      <c r="J967" s="38">
        <v>0</v>
      </c>
      <c r="K967" s="37">
        <f t="shared" si="204"/>
        <v>0</v>
      </c>
      <c r="L967" s="38">
        <v>0</v>
      </c>
    </row>
    <row r="968" spans="1:12" s="39" customFormat="1" ht="15.45" customHeight="1" outlineLevel="1" x14ac:dyDescent="0.25">
      <c r="A968" s="33">
        <v>17</v>
      </c>
      <c r="B968" s="34" t="s">
        <v>736</v>
      </c>
      <c r="C968" s="35" t="s">
        <v>55</v>
      </c>
      <c r="D968" s="36">
        <v>26</v>
      </c>
      <c r="E968" s="36">
        <v>46.1</v>
      </c>
      <c r="F968" s="36">
        <f t="shared" si="200"/>
        <v>1198.6000000000001</v>
      </c>
      <c r="G968" s="37">
        <f t="shared" si="201"/>
        <v>0</v>
      </c>
      <c r="H968" s="38">
        <f t="shared" si="202"/>
        <v>0</v>
      </c>
      <c r="I968" s="37">
        <f t="shared" si="203"/>
        <v>0</v>
      </c>
      <c r="J968" s="38">
        <v>0</v>
      </c>
      <c r="K968" s="37">
        <f t="shared" si="204"/>
        <v>0</v>
      </c>
      <c r="L968" s="38">
        <v>0</v>
      </c>
    </row>
    <row r="969" spans="1:12" s="39" customFormat="1" ht="28.95" customHeight="1" outlineLevel="1" x14ac:dyDescent="0.25">
      <c r="A969" s="33">
        <v>18</v>
      </c>
      <c r="B969" s="34" t="s">
        <v>737</v>
      </c>
      <c r="C969" s="35" t="s">
        <v>55</v>
      </c>
      <c r="D969" s="36">
        <v>5</v>
      </c>
      <c r="E969" s="36">
        <v>1133.6035999999999</v>
      </c>
      <c r="F969" s="36">
        <f t="shared" si="200"/>
        <v>5668.018</v>
      </c>
      <c r="G969" s="37">
        <f t="shared" si="201"/>
        <v>0</v>
      </c>
      <c r="H969" s="38">
        <f t="shared" si="202"/>
        <v>0</v>
      </c>
      <c r="I969" s="37">
        <f t="shared" si="203"/>
        <v>0</v>
      </c>
      <c r="J969" s="38">
        <v>0</v>
      </c>
      <c r="K969" s="37">
        <f t="shared" si="204"/>
        <v>0</v>
      </c>
      <c r="L969" s="38">
        <v>0</v>
      </c>
    </row>
    <row r="970" spans="1:12" s="45" customFormat="1" ht="15.45" customHeight="1" x14ac:dyDescent="0.3">
      <c r="A970" s="33">
        <v>19</v>
      </c>
      <c r="B970" s="34" t="s">
        <v>738</v>
      </c>
      <c r="C970" s="35" t="s">
        <v>55</v>
      </c>
      <c r="D970" s="36">
        <v>4</v>
      </c>
      <c r="E970" s="36">
        <v>306.77120000000008</v>
      </c>
      <c r="F970" s="36">
        <f t="shared" si="200"/>
        <v>1227.0848000000003</v>
      </c>
      <c r="G970" s="37">
        <f t="shared" si="201"/>
        <v>0</v>
      </c>
      <c r="H970" s="38">
        <f t="shared" si="202"/>
        <v>0</v>
      </c>
      <c r="I970" s="37">
        <f t="shared" si="203"/>
        <v>0</v>
      </c>
      <c r="J970" s="38">
        <v>0</v>
      </c>
      <c r="K970" s="37">
        <f t="shared" si="204"/>
        <v>0</v>
      </c>
      <c r="L970" s="38">
        <v>0</v>
      </c>
    </row>
    <row r="971" spans="1:12" s="39" customFormat="1" ht="15.45" customHeight="1" outlineLevel="1" x14ac:dyDescent="0.25">
      <c r="A971" s="33">
        <v>20</v>
      </c>
      <c r="B971" s="34" t="s">
        <v>739</v>
      </c>
      <c r="C971" s="35" t="s">
        <v>55</v>
      </c>
      <c r="D971" s="36">
        <v>8</v>
      </c>
      <c r="E971" s="36">
        <v>46.1</v>
      </c>
      <c r="F971" s="36">
        <f t="shared" si="200"/>
        <v>368.8</v>
      </c>
      <c r="G971" s="37">
        <f t="shared" si="201"/>
        <v>0</v>
      </c>
      <c r="H971" s="38">
        <f t="shared" si="202"/>
        <v>0</v>
      </c>
      <c r="I971" s="37">
        <f t="shared" si="203"/>
        <v>0</v>
      </c>
      <c r="J971" s="38">
        <v>0</v>
      </c>
      <c r="K971" s="37">
        <f t="shared" si="204"/>
        <v>0</v>
      </c>
      <c r="L971" s="38">
        <v>0</v>
      </c>
    </row>
    <row r="972" spans="1:12" s="39" customFormat="1" ht="15.45" customHeight="1" outlineLevel="1" x14ac:dyDescent="0.25">
      <c r="A972" s="33">
        <v>21</v>
      </c>
      <c r="B972" s="34" t="s">
        <v>119</v>
      </c>
      <c r="C972" s="35" t="s">
        <v>55</v>
      </c>
      <c r="D972" s="36">
        <v>5</v>
      </c>
      <c r="E972" s="36">
        <v>1364.8172</v>
      </c>
      <c r="F972" s="36">
        <f t="shared" si="200"/>
        <v>6824.0859999999993</v>
      </c>
      <c r="G972" s="37">
        <f t="shared" si="201"/>
        <v>0</v>
      </c>
      <c r="H972" s="38">
        <f t="shared" si="202"/>
        <v>0</v>
      </c>
      <c r="I972" s="37">
        <f t="shared" si="203"/>
        <v>0</v>
      </c>
      <c r="J972" s="38">
        <v>0</v>
      </c>
      <c r="K972" s="37">
        <f t="shared" si="204"/>
        <v>0</v>
      </c>
      <c r="L972" s="38">
        <v>0</v>
      </c>
    </row>
    <row r="973" spans="1:12" s="39" customFormat="1" ht="72.599999999999994" customHeight="1" outlineLevel="1" x14ac:dyDescent="0.25">
      <c r="A973" s="33">
        <v>22</v>
      </c>
      <c r="B973" s="34" t="s">
        <v>133</v>
      </c>
      <c r="C973" s="35" t="s">
        <v>55</v>
      </c>
      <c r="D973" s="36">
        <v>8</v>
      </c>
      <c r="E973" s="36">
        <v>301.92620000000011</v>
      </c>
      <c r="F973" s="36">
        <f t="shared" si="200"/>
        <v>2415.4096000000009</v>
      </c>
      <c r="G973" s="37">
        <f t="shared" si="201"/>
        <v>0</v>
      </c>
      <c r="H973" s="38">
        <f t="shared" si="202"/>
        <v>0</v>
      </c>
      <c r="I973" s="37">
        <f t="shared" si="203"/>
        <v>0</v>
      </c>
      <c r="J973" s="38">
        <v>0</v>
      </c>
      <c r="K973" s="37">
        <f t="shared" si="204"/>
        <v>0</v>
      </c>
      <c r="L973" s="38">
        <v>0</v>
      </c>
    </row>
    <row r="974" spans="1:12" s="39" customFormat="1" ht="15.45" customHeight="1" outlineLevel="1" x14ac:dyDescent="0.25">
      <c r="A974" s="33">
        <v>23</v>
      </c>
      <c r="B974" s="34" t="s">
        <v>134</v>
      </c>
      <c r="C974" s="35" t="s">
        <v>55</v>
      </c>
      <c r="D974" s="36">
        <v>4</v>
      </c>
      <c r="E974" s="36">
        <v>332.1794000000001</v>
      </c>
      <c r="F974" s="36">
        <f t="shared" si="200"/>
        <v>1328.7176000000004</v>
      </c>
      <c r="G974" s="37">
        <f t="shared" si="201"/>
        <v>0</v>
      </c>
      <c r="H974" s="38">
        <f t="shared" si="202"/>
        <v>0</v>
      </c>
      <c r="I974" s="37">
        <f t="shared" si="203"/>
        <v>0</v>
      </c>
      <c r="J974" s="38">
        <v>0</v>
      </c>
      <c r="K974" s="37">
        <f t="shared" si="204"/>
        <v>0</v>
      </c>
      <c r="L974" s="38">
        <v>0</v>
      </c>
    </row>
    <row r="975" spans="1:12" s="39" customFormat="1" ht="15.45" customHeight="1" outlineLevel="1" x14ac:dyDescent="0.25">
      <c r="A975" s="33">
        <v>24</v>
      </c>
      <c r="B975" s="34" t="s">
        <v>135</v>
      </c>
      <c r="C975" s="35" t="s">
        <v>55</v>
      </c>
      <c r="D975" s="36">
        <v>4</v>
      </c>
      <c r="E975" s="36">
        <v>247.9376</v>
      </c>
      <c r="F975" s="36">
        <f t="shared" si="200"/>
        <v>991.75040000000001</v>
      </c>
      <c r="G975" s="37">
        <f t="shared" si="201"/>
        <v>0</v>
      </c>
      <c r="H975" s="38">
        <f t="shared" si="202"/>
        <v>0</v>
      </c>
      <c r="I975" s="37">
        <f t="shared" si="203"/>
        <v>0</v>
      </c>
      <c r="J975" s="38">
        <v>0</v>
      </c>
      <c r="K975" s="37">
        <f t="shared" si="204"/>
        <v>0</v>
      </c>
      <c r="L975" s="38">
        <v>0</v>
      </c>
    </row>
    <row r="976" spans="1:12" s="39" customFormat="1" ht="15.45" customHeight="1" outlineLevel="1" x14ac:dyDescent="0.25">
      <c r="A976" s="33">
        <v>25</v>
      </c>
      <c r="B976" s="34" t="s">
        <v>740</v>
      </c>
      <c r="C976" s="35" t="s">
        <v>55</v>
      </c>
      <c r="D976" s="36">
        <v>2</v>
      </c>
      <c r="E976" s="36">
        <v>91.999999999999986</v>
      </c>
      <c r="F976" s="36">
        <f t="shared" si="200"/>
        <v>183.99999999999997</v>
      </c>
      <c r="G976" s="37">
        <f t="shared" si="201"/>
        <v>0</v>
      </c>
      <c r="H976" s="38">
        <f t="shared" si="202"/>
        <v>0</v>
      </c>
      <c r="I976" s="37">
        <f t="shared" si="203"/>
        <v>0</v>
      </c>
      <c r="J976" s="38">
        <v>0</v>
      </c>
      <c r="K976" s="37">
        <f t="shared" si="204"/>
        <v>0</v>
      </c>
      <c r="L976" s="38">
        <v>0</v>
      </c>
    </row>
    <row r="977" spans="1:12" s="39" customFormat="1" ht="28.95" customHeight="1" outlineLevel="1" x14ac:dyDescent="0.25">
      <c r="A977" s="33">
        <v>26</v>
      </c>
      <c r="B977" s="34" t="s">
        <v>114</v>
      </c>
      <c r="C977" s="35" t="s">
        <v>115</v>
      </c>
      <c r="D977" s="36">
        <v>1</v>
      </c>
      <c r="E977" s="36">
        <v>1574.366</v>
      </c>
      <c r="F977" s="36">
        <f t="shared" si="200"/>
        <v>1574.366</v>
      </c>
      <c r="G977" s="37">
        <f t="shared" si="201"/>
        <v>0</v>
      </c>
      <c r="H977" s="38">
        <f t="shared" si="202"/>
        <v>0</v>
      </c>
      <c r="I977" s="37">
        <f t="shared" si="203"/>
        <v>0</v>
      </c>
      <c r="J977" s="38">
        <v>0</v>
      </c>
      <c r="K977" s="37">
        <f t="shared" si="204"/>
        <v>0</v>
      </c>
      <c r="L977" s="38">
        <v>0</v>
      </c>
    </row>
    <row r="978" spans="1:12" s="39" customFormat="1" ht="15.45" customHeight="1" outlineLevel="1" x14ac:dyDescent="0.25">
      <c r="A978" s="33">
        <v>27</v>
      </c>
      <c r="B978" s="34" t="s">
        <v>741</v>
      </c>
      <c r="C978" s="35" t="s">
        <v>55</v>
      </c>
      <c r="D978" s="36">
        <v>2</v>
      </c>
      <c r="E978" s="36">
        <v>877.60400000000016</v>
      </c>
      <c r="F978" s="36">
        <f t="shared" si="200"/>
        <v>1755.2080000000003</v>
      </c>
      <c r="G978" s="37">
        <f t="shared" si="201"/>
        <v>0</v>
      </c>
      <c r="H978" s="38">
        <f t="shared" si="202"/>
        <v>0</v>
      </c>
      <c r="I978" s="37">
        <f t="shared" si="203"/>
        <v>0</v>
      </c>
      <c r="J978" s="38">
        <v>0</v>
      </c>
      <c r="K978" s="37">
        <f t="shared" si="204"/>
        <v>0</v>
      </c>
      <c r="L978" s="38">
        <v>0</v>
      </c>
    </row>
    <row r="979" spans="1:12" s="39" customFormat="1" ht="28.95" customHeight="1" outlineLevel="1" x14ac:dyDescent="0.25">
      <c r="A979" s="33">
        <v>28</v>
      </c>
      <c r="B979" s="34" t="s">
        <v>116</v>
      </c>
      <c r="C979" s="35" t="s">
        <v>55</v>
      </c>
      <c r="D979" s="36">
        <v>1</v>
      </c>
      <c r="E979" s="36">
        <v>567.93200000000013</v>
      </c>
      <c r="F979" s="36">
        <f t="shared" si="200"/>
        <v>567.93200000000013</v>
      </c>
      <c r="G979" s="37">
        <f t="shared" si="201"/>
        <v>0</v>
      </c>
      <c r="H979" s="38">
        <f t="shared" si="202"/>
        <v>0</v>
      </c>
      <c r="I979" s="37">
        <f t="shared" si="203"/>
        <v>0</v>
      </c>
      <c r="J979" s="38">
        <v>0</v>
      </c>
      <c r="K979" s="37">
        <f t="shared" si="204"/>
        <v>0</v>
      </c>
      <c r="L979" s="38">
        <v>0</v>
      </c>
    </row>
    <row r="980" spans="1:12" s="39" customFormat="1" ht="28.95" customHeight="1" outlineLevel="1" x14ac:dyDescent="0.25">
      <c r="A980" s="33">
        <v>29</v>
      </c>
      <c r="B980" s="34" t="s">
        <v>124</v>
      </c>
      <c r="C980" s="35" t="s">
        <v>55</v>
      </c>
      <c r="D980" s="36">
        <v>2</v>
      </c>
      <c r="E980" s="36">
        <v>198.386</v>
      </c>
      <c r="F980" s="36">
        <f t="shared" si="200"/>
        <v>396.77199999999999</v>
      </c>
      <c r="G980" s="37">
        <f t="shared" si="201"/>
        <v>0</v>
      </c>
      <c r="H980" s="38">
        <f t="shared" si="202"/>
        <v>0</v>
      </c>
      <c r="I980" s="37">
        <f t="shared" si="203"/>
        <v>0</v>
      </c>
      <c r="J980" s="38">
        <v>0</v>
      </c>
      <c r="K980" s="37">
        <f t="shared" si="204"/>
        <v>0</v>
      </c>
      <c r="L980" s="38">
        <v>0</v>
      </c>
    </row>
    <row r="981" spans="1:12" s="39" customFormat="1" ht="43.5" customHeight="1" outlineLevel="1" x14ac:dyDescent="0.25">
      <c r="A981" s="33">
        <v>30</v>
      </c>
      <c r="B981" s="34" t="s">
        <v>742</v>
      </c>
      <c r="C981" s="35" t="s">
        <v>55</v>
      </c>
      <c r="D981" s="36">
        <v>1</v>
      </c>
      <c r="E981" s="36">
        <v>350.13139999999999</v>
      </c>
      <c r="F981" s="36">
        <f t="shared" si="200"/>
        <v>350.13139999999999</v>
      </c>
      <c r="G981" s="37">
        <f t="shared" si="201"/>
        <v>0</v>
      </c>
      <c r="H981" s="38">
        <f t="shared" si="202"/>
        <v>0</v>
      </c>
      <c r="I981" s="37">
        <f t="shared" si="203"/>
        <v>0</v>
      </c>
      <c r="J981" s="38">
        <v>0</v>
      </c>
      <c r="K981" s="37">
        <f t="shared" si="204"/>
        <v>0</v>
      </c>
      <c r="L981" s="38">
        <v>0</v>
      </c>
    </row>
    <row r="982" spans="1:12" s="45" customFormat="1" ht="28.95" customHeight="1" x14ac:dyDescent="0.3">
      <c r="A982" s="33">
        <v>31</v>
      </c>
      <c r="B982" s="34" t="s">
        <v>743</v>
      </c>
      <c r="C982" s="35" t="s">
        <v>55</v>
      </c>
      <c r="D982" s="36">
        <v>1</v>
      </c>
      <c r="E982" s="36">
        <v>335.67800000000011</v>
      </c>
      <c r="F982" s="36">
        <f t="shared" si="200"/>
        <v>335.67800000000011</v>
      </c>
      <c r="G982" s="37">
        <f t="shared" si="201"/>
        <v>0</v>
      </c>
      <c r="H982" s="38">
        <f t="shared" si="202"/>
        <v>0</v>
      </c>
      <c r="I982" s="37">
        <f t="shared" si="203"/>
        <v>0</v>
      </c>
      <c r="J982" s="38">
        <v>0</v>
      </c>
      <c r="K982" s="37">
        <f t="shared" si="204"/>
        <v>0</v>
      </c>
      <c r="L982" s="38">
        <v>0</v>
      </c>
    </row>
    <row r="983" spans="1:12" s="39" customFormat="1" ht="15.45" customHeight="1" outlineLevel="1" x14ac:dyDescent="0.25">
      <c r="A983" s="33">
        <v>32</v>
      </c>
      <c r="B983" s="34" t="s">
        <v>120</v>
      </c>
      <c r="C983" s="35" t="s">
        <v>55</v>
      </c>
      <c r="D983" s="36">
        <v>68</v>
      </c>
      <c r="E983" s="36">
        <v>91.999999999999986</v>
      </c>
      <c r="F983" s="36">
        <f t="shared" si="200"/>
        <v>6255.9999999999991</v>
      </c>
      <c r="G983" s="37">
        <f t="shared" si="201"/>
        <v>0</v>
      </c>
      <c r="H983" s="38">
        <f t="shared" si="202"/>
        <v>0</v>
      </c>
      <c r="I983" s="37">
        <f t="shared" si="203"/>
        <v>0</v>
      </c>
      <c r="J983" s="38">
        <v>0</v>
      </c>
      <c r="K983" s="37">
        <f t="shared" si="204"/>
        <v>0</v>
      </c>
      <c r="L983" s="38">
        <v>0</v>
      </c>
    </row>
    <row r="984" spans="1:12" s="39" customFormat="1" ht="15.45" customHeight="1" outlineLevel="1" x14ac:dyDescent="0.25">
      <c r="A984" s="33">
        <v>33</v>
      </c>
      <c r="B984" s="34" t="s">
        <v>744</v>
      </c>
      <c r="C984" s="35" t="s">
        <v>55</v>
      </c>
      <c r="D984" s="36">
        <v>4</v>
      </c>
      <c r="E984" s="36">
        <v>126.4148</v>
      </c>
      <c r="F984" s="36">
        <f t="shared" ref="F984:F1015" si="205">+E984*D984</f>
        <v>505.6592</v>
      </c>
      <c r="G984" s="37">
        <f t="shared" ref="G984:G1003" si="206">I984+K984</f>
        <v>0</v>
      </c>
      <c r="H984" s="38">
        <f t="shared" ref="H984:H1003" si="207">J984+L984</f>
        <v>0</v>
      </c>
      <c r="I984" s="37">
        <f t="shared" ref="I984:I1015" si="208">J984/F984</f>
        <v>0</v>
      </c>
      <c r="J984" s="38">
        <v>0</v>
      </c>
      <c r="K984" s="37">
        <f t="shared" ref="K984:K1015" si="209">L984/F984</f>
        <v>0</v>
      </c>
      <c r="L984" s="38">
        <v>0</v>
      </c>
    </row>
    <row r="985" spans="1:12" s="39" customFormat="1" ht="28.95" customHeight="1" outlineLevel="1" x14ac:dyDescent="0.25">
      <c r="A985" s="33">
        <v>34</v>
      </c>
      <c r="B985" s="34" t="s">
        <v>745</v>
      </c>
      <c r="C985" s="35" t="s">
        <v>55</v>
      </c>
      <c r="D985" s="36">
        <v>1</v>
      </c>
      <c r="E985" s="36">
        <v>464.70800000000003</v>
      </c>
      <c r="F985" s="36">
        <f t="shared" si="205"/>
        <v>464.70800000000003</v>
      </c>
      <c r="G985" s="37">
        <f t="shared" si="206"/>
        <v>0</v>
      </c>
      <c r="H985" s="38">
        <f t="shared" si="207"/>
        <v>0</v>
      </c>
      <c r="I985" s="37">
        <f t="shared" si="208"/>
        <v>0</v>
      </c>
      <c r="J985" s="38">
        <v>0</v>
      </c>
      <c r="K985" s="37">
        <f t="shared" si="209"/>
        <v>0</v>
      </c>
      <c r="L985" s="38">
        <v>0</v>
      </c>
    </row>
    <row r="986" spans="1:12" s="39" customFormat="1" ht="28.95" customHeight="1" outlineLevel="1" x14ac:dyDescent="0.25">
      <c r="A986" s="33">
        <v>35</v>
      </c>
      <c r="B986" s="34" t="s">
        <v>746</v>
      </c>
      <c r="C986" s="35" t="s">
        <v>55</v>
      </c>
      <c r="D986" s="36">
        <v>15</v>
      </c>
      <c r="E986" s="36">
        <v>216.97040000000001</v>
      </c>
      <c r="F986" s="36">
        <f t="shared" si="205"/>
        <v>3254.556</v>
      </c>
      <c r="G986" s="37">
        <f t="shared" si="206"/>
        <v>0</v>
      </c>
      <c r="H986" s="38">
        <f t="shared" si="207"/>
        <v>0</v>
      </c>
      <c r="I986" s="37">
        <f t="shared" si="208"/>
        <v>0</v>
      </c>
      <c r="J986" s="38">
        <v>0</v>
      </c>
      <c r="K986" s="37">
        <f t="shared" si="209"/>
        <v>0</v>
      </c>
      <c r="L986" s="38">
        <v>0</v>
      </c>
    </row>
    <row r="987" spans="1:12" s="39" customFormat="1" ht="28.95" customHeight="1" outlineLevel="1" x14ac:dyDescent="0.25">
      <c r="A987" s="33">
        <v>36</v>
      </c>
      <c r="B987" s="34" t="s">
        <v>747</v>
      </c>
      <c r="C987" s="35" t="s">
        <v>55</v>
      </c>
      <c r="D987" s="36">
        <v>1</v>
      </c>
      <c r="E987" s="36">
        <v>71.426599999999993</v>
      </c>
      <c r="F987" s="36">
        <f t="shared" si="205"/>
        <v>71.426599999999993</v>
      </c>
      <c r="G987" s="37">
        <f t="shared" si="206"/>
        <v>0</v>
      </c>
      <c r="H987" s="38">
        <f t="shared" si="207"/>
        <v>0</v>
      </c>
      <c r="I987" s="37">
        <f t="shared" si="208"/>
        <v>0</v>
      </c>
      <c r="J987" s="38">
        <v>0</v>
      </c>
      <c r="K987" s="37">
        <f t="shared" si="209"/>
        <v>0</v>
      </c>
      <c r="L987" s="38">
        <v>0</v>
      </c>
    </row>
    <row r="988" spans="1:12" s="39" customFormat="1" ht="15.45" customHeight="1" outlineLevel="1" x14ac:dyDescent="0.25">
      <c r="A988" s="33">
        <v>37</v>
      </c>
      <c r="B988" s="34" t="s">
        <v>748</v>
      </c>
      <c r="C988" s="35" t="s">
        <v>55</v>
      </c>
      <c r="D988" s="36">
        <v>1</v>
      </c>
      <c r="E988" s="36">
        <v>145.44800000000001</v>
      </c>
      <c r="F988" s="36">
        <f t="shared" si="205"/>
        <v>145.44800000000001</v>
      </c>
      <c r="G988" s="37">
        <f t="shared" si="206"/>
        <v>0</v>
      </c>
      <c r="H988" s="38">
        <f t="shared" si="207"/>
        <v>0</v>
      </c>
      <c r="I988" s="37">
        <f t="shared" si="208"/>
        <v>0</v>
      </c>
      <c r="J988" s="38">
        <v>0</v>
      </c>
      <c r="K988" s="37">
        <f t="shared" si="209"/>
        <v>0</v>
      </c>
      <c r="L988" s="38">
        <v>0</v>
      </c>
    </row>
    <row r="989" spans="1:12" s="39" customFormat="1" ht="28.95" customHeight="1" outlineLevel="1" x14ac:dyDescent="0.25">
      <c r="A989" s="33">
        <v>38</v>
      </c>
      <c r="B989" s="34" t="s">
        <v>749</v>
      </c>
      <c r="C989" s="35" t="s">
        <v>55</v>
      </c>
      <c r="D989" s="36">
        <v>1</v>
      </c>
      <c r="E989" s="36">
        <v>937.47800000000007</v>
      </c>
      <c r="F989" s="36">
        <f t="shared" si="205"/>
        <v>937.47800000000007</v>
      </c>
      <c r="G989" s="37">
        <f t="shared" si="206"/>
        <v>0</v>
      </c>
      <c r="H989" s="38">
        <f t="shared" si="207"/>
        <v>0</v>
      </c>
      <c r="I989" s="37">
        <f t="shared" si="208"/>
        <v>0</v>
      </c>
      <c r="J989" s="38">
        <v>0</v>
      </c>
      <c r="K989" s="37">
        <f t="shared" si="209"/>
        <v>0</v>
      </c>
      <c r="L989" s="38">
        <v>0</v>
      </c>
    </row>
    <row r="990" spans="1:12" s="39" customFormat="1" ht="15.45" customHeight="1" outlineLevel="1" x14ac:dyDescent="0.25">
      <c r="A990" s="33">
        <v>39</v>
      </c>
      <c r="B990" s="34" t="s">
        <v>750</v>
      </c>
      <c r="C990" s="35" t="s">
        <v>55</v>
      </c>
      <c r="D990" s="36">
        <v>1</v>
      </c>
      <c r="E990" s="36">
        <v>263.42120000000011</v>
      </c>
      <c r="F990" s="36">
        <f t="shared" si="205"/>
        <v>263.42120000000011</v>
      </c>
      <c r="G990" s="37">
        <f t="shared" si="206"/>
        <v>0</v>
      </c>
      <c r="H990" s="38">
        <f t="shared" si="207"/>
        <v>0</v>
      </c>
      <c r="I990" s="37">
        <f t="shared" si="208"/>
        <v>0</v>
      </c>
      <c r="J990" s="38">
        <v>0</v>
      </c>
      <c r="K990" s="37">
        <f t="shared" si="209"/>
        <v>0</v>
      </c>
      <c r="L990" s="38">
        <v>0</v>
      </c>
    </row>
    <row r="991" spans="1:12" s="39" customFormat="1" ht="15.45" customHeight="1" outlineLevel="1" x14ac:dyDescent="0.25">
      <c r="A991" s="33">
        <v>40</v>
      </c>
      <c r="B991" s="34" t="s">
        <v>751</v>
      </c>
      <c r="C991" s="35" t="s">
        <v>55</v>
      </c>
      <c r="D991" s="36">
        <v>1</v>
      </c>
      <c r="E991" s="36">
        <v>62.216000000000001</v>
      </c>
      <c r="F991" s="36">
        <f t="shared" si="205"/>
        <v>62.216000000000001</v>
      </c>
      <c r="G991" s="37">
        <f t="shared" si="206"/>
        <v>0</v>
      </c>
      <c r="H991" s="38">
        <f t="shared" si="207"/>
        <v>0</v>
      </c>
      <c r="I991" s="37">
        <f t="shared" si="208"/>
        <v>0</v>
      </c>
      <c r="J991" s="38">
        <v>0</v>
      </c>
      <c r="K991" s="37">
        <f t="shared" si="209"/>
        <v>0</v>
      </c>
      <c r="L991" s="38">
        <v>0</v>
      </c>
    </row>
    <row r="992" spans="1:12" s="45" customFormat="1" ht="15.45" customHeight="1" x14ac:dyDescent="0.3">
      <c r="A992" s="33">
        <v>41</v>
      </c>
      <c r="B992" s="34" t="s">
        <v>752</v>
      </c>
      <c r="C992" s="35" t="s">
        <v>55</v>
      </c>
      <c r="D992" s="36">
        <v>1</v>
      </c>
      <c r="E992" s="36">
        <v>189.47120000000001</v>
      </c>
      <c r="F992" s="36">
        <f t="shared" si="205"/>
        <v>189.47120000000001</v>
      </c>
      <c r="G992" s="37">
        <f t="shared" si="206"/>
        <v>0</v>
      </c>
      <c r="H992" s="38">
        <f t="shared" si="207"/>
        <v>0</v>
      </c>
      <c r="I992" s="37">
        <f t="shared" si="208"/>
        <v>0</v>
      </c>
      <c r="J992" s="38">
        <v>0</v>
      </c>
      <c r="K992" s="37">
        <f t="shared" si="209"/>
        <v>0</v>
      </c>
      <c r="L992" s="38">
        <v>0</v>
      </c>
    </row>
    <row r="993" spans="1:12" s="39" customFormat="1" ht="28.95" customHeight="1" outlineLevel="1" x14ac:dyDescent="0.25">
      <c r="A993" s="33">
        <v>42</v>
      </c>
      <c r="B993" s="34" t="s">
        <v>753</v>
      </c>
      <c r="C993" s="35" t="s">
        <v>55</v>
      </c>
      <c r="D993" s="36">
        <v>3</v>
      </c>
      <c r="E993" s="36">
        <v>452.32520000000011</v>
      </c>
      <c r="F993" s="36">
        <f t="shared" si="205"/>
        <v>1356.9756000000002</v>
      </c>
      <c r="G993" s="37">
        <f t="shared" si="206"/>
        <v>0</v>
      </c>
      <c r="H993" s="38">
        <f t="shared" si="207"/>
        <v>0</v>
      </c>
      <c r="I993" s="37">
        <f t="shared" si="208"/>
        <v>0</v>
      </c>
      <c r="J993" s="38">
        <v>0</v>
      </c>
      <c r="K993" s="37">
        <f t="shared" si="209"/>
        <v>0</v>
      </c>
      <c r="L993" s="38">
        <v>0</v>
      </c>
    </row>
    <row r="994" spans="1:12" s="39" customFormat="1" ht="28.95" customHeight="1" outlineLevel="1" x14ac:dyDescent="0.25">
      <c r="A994" s="33">
        <v>43</v>
      </c>
      <c r="B994" s="34" t="s">
        <v>754</v>
      </c>
      <c r="C994" s="35" t="s">
        <v>55</v>
      </c>
      <c r="D994" s="36">
        <v>4</v>
      </c>
      <c r="E994" s="36">
        <v>122.5184</v>
      </c>
      <c r="F994" s="36">
        <f t="shared" si="205"/>
        <v>490.0736</v>
      </c>
      <c r="G994" s="37">
        <f t="shared" si="206"/>
        <v>0</v>
      </c>
      <c r="H994" s="38">
        <f t="shared" si="207"/>
        <v>0</v>
      </c>
      <c r="I994" s="37">
        <f t="shared" si="208"/>
        <v>0</v>
      </c>
      <c r="J994" s="38">
        <v>0</v>
      </c>
      <c r="K994" s="37">
        <f t="shared" si="209"/>
        <v>0</v>
      </c>
      <c r="L994" s="38">
        <v>0</v>
      </c>
    </row>
    <row r="995" spans="1:12" s="39" customFormat="1" ht="15.45" customHeight="1" outlineLevel="1" x14ac:dyDescent="0.25">
      <c r="A995" s="33">
        <v>44</v>
      </c>
      <c r="B995" s="34" t="s">
        <v>121</v>
      </c>
      <c r="C995" s="35" t="s">
        <v>55</v>
      </c>
      <c r="D995" s="36">
        <v>4</v>
      </c>
      <c r="E995" s="36">
        <v>517.35020000000009</v>
      </c>
      <c r="F995" s="36">
        <f t="shared" si="205"/>
        <v>2069.4008000000003</v>
      </c>
      <c r="G995" s="37">
        <f t="shared" si="206"/>
        <v>0</v>
      </c>
      <c r="H995" s="38">
        <f t="shared" si="207"/>
        <v>0</v>
      </c>
      <c r="I995" s="37">
        <f t="shared" si="208"/>
        <v>0</v>
      </c>
      <c r="J995" s="38">
        <v>0</v>
      </c>
      <c r="K995" s="37">
        <f t="shared" si="209"/>
        <v>0</v>
      </c>
      <c r="L995" s="38">
        <v>0</v>
      </c>
    </row>
    <row r="996" spans="1:12" s="39" customFormat="1" ht="15.45" customHeight="1" outlineLevel="1" x14ac:dyDescent="0.25">
      <c r="A996" s="33">
        <v>45</v>
      </c>
      <c r="B996" s="34" t="s">
        <v>755</v>
      </c>
      <c r="C996" s="35" t="s">
        <v>55</v>
      </c>
      <c r="D996" s="36">
        <v>4</v>
      </c>
      <c r="E996" s="36">
        <v>148.1</v>
      </c>
      <c r="F996" s="36">
        <f t="shared" si="205"/>
        <v>592.4</v>
      </c>
      <c r="G996" s="37">
        <f t="shared" si="206"/>
        <v>0</v>
      </c>
      <c r="H996" s="38">
        <f t="shared" si="207"/>
        <v>0</v>
      </c>
      <c r="I996" s="37">
        <f t="shared" si="208"/>
        <v>0</v>
      </c>
      <c r="J996" s="38">
        <v>0</v>
      </c>
      <c r="K996" s="37">
        <f t="shared" si="209"/>
        <v>0</v>
      </c>
      <c r="L996" s="38">
        <v>0</v>
      </c>
    </row>
    <row r="997" spans="1:12" s="39" customFormat="1" ht="15.45" customHeight="1" outlineLevel="1" x14ac:dyDescent="0.25">
      <c r="A997" s="33">
        <v>46</v>
      </c>
      <c r="B997" s="34" t="s">
        <v>756</v>
      </c>
      <c r="C997" s="35" t="s">
        <v>55</v>
      </c>
      <c r="D997" s="36">
        <v>2</v>
      </c>
      <c r="E997" s="36">
        <v>1578.4970000000001</v>
      </c>
      <c r="F997" s="36">
        <f t="shared" si="205"/>
        <v>3156.9940000000001</v>
      </c>
      <c r="G997" s="37">
        <f t="shared" si="206"/>
        <v>0</v>
      </c>
      <c r="H997" s="38">
        <f t="shared" si="207"/>
        <v>0</v>
      </c>
      <c r="I997" s="37">
        <f t="shared" si="208"/>
        <v>0</v>
      </c>
      <c r="J997" s="38">
        <v>0</v>
      </c>
      <c r="K997" s="37">
        <f t="shared" si="209"/>
        <v>0</v>
      </c>
      <c r="L997" s="38">
        <v>0</v>
      </c>
    </row>
    <row r="998" spans="1:12" s="39" customFormat="1" ht="28.95" customHeight="1" outlineLevel="1" x14ac:dyDescent="0.25">
      <c r="A998" s="33">
        <v>47</v>
      </c>
      <c r="B998" s="34" t="s">
        <v>757</v>
      </c>
      <c r="C998" s="35" t="s">
        <v>55</v>
      </c>
      <c r="D998" s="36">
        <v>2</v>
      </c>
      <c r="E998" s="36">
        <v>28.290800000000001</v>
      </c>
      <c r="F998" s="36">
        <f t="shared" si="205"/>
        <v>56.581600000000002</v>
      </c>
      <c r="G998" s="37">
        <f t="shared" si="206"/>
        <v>0</v>
      </c>
      <c r="H998" s="38">
        <f t="shared" si="207"/>
        <v>0</v>
      </c>
      <c r="I998" s="37">
        <f t="shared" si="208"/>
        <v>0</v>
      </c>
      <c r="J998" s="38">
        <v>0</v>
      </c>
      <c r="K998" s="37">
        <f t="shared" si="209"/>
        <v>0</v>
      </c>
      <c r="L998" s="38">
        <v>0</v>
      </c>
    </row>
    <row r="999" spans="1:12" s="45" customFormat="1" ht="15.45" customHeight="1" x14ac:dyDescent="0.3">
      <c r="A999" s="33">
        <v>48</v>
      </c>
      <c r="B999" s="34" t="s">
        <v>758</v>
      </c>
      <c r="C999" s="35" t="s">
        <v>55</v>
      </c>
      <c r="D999" s="36">
        <v>1</v>
      </c>
      <c r="E999" s="36">
        <v>480.19160000000011</v>
      </c>
      <c r="F999" s="36">
        <f t="shared" si="205"/>
        <v>480.19160000000011</v>
      </c>
      <c r="G999" s="37">
        <f t="shared" si="206"/>
        <v>0</v>
      </c>
      <c r="H999" s="38">
        <f t="shared" si="207"/>
        <v>0</v>
      </c>
      <c r="I999" s="37">
        <f t="shared" si="208"/>
        <v>0</v>
      </c>
      <c r="J999" s="38">
        <v>0</v>
      </c>
      <c r="K999" s="37">
        <f t="shared" si="209"/>
        <v>0</v>
      </c>
      <c r="L999" s="38">
        <v>0</v>
      </c>
    </row>
    <row r="1000" spans="1:12" s="39" customFormat="1" ht="15.45" customHeight="1" outlineLevel="1" x14ac:dyDescent="0.25">
      <c r="A1000" s="33">
        <v>49</v>
      </c>
      <c r="B1000" s="34" t="s">
        <v>759</v>
      </c>
      <c r="C1000" s="35" t="s">
        <v>55</v>
      </c>
      <c r="D1000" s="36">
        <v>1</v>
      </c>
      <c r="E1000" s="36">
        <v>481.22179999999997</v>
      </c>
      <c r="F1000" s="36">
        <f t="shared" si="205"/>
        <v>481.22179999999997</v>
      </c>
      <c r="G1000" s="37">
        <f t="shared" si="206"/>
        <v>0</v>
      </c>
      <c r="H1000" s="38">
        <f t="shared" si="207"/>
        <v>0</v>
      </c>
      <c r="I1000" s="37">
        <f t="shared" si="208"/>
        <v>0</v>
      </c>
      <c r="J1000" s="38">
        <v>0</v>
      </c>
      <c r="K1000" s="37">
        <f t="shared" si="209"/>
        <v>0</v>
      </c>
      <c r="L1000" s="38">
        <v>0</v>
      </c>
    </row>
    <row r="1001" spans="1:12" s="39" customFormat="1" ht="15.45" customHeight="1" outlineLevel="1" x14ac:dyDescent="0.25">
      <c r="A1001" s="33">
        <v>50</v>
      </c>
      <c r="B1001" s="34" t="s">
        <v>760</v>
      </c>
      <c r="C1001" s="35" t="s">
        <v>55</v>
      </c>
      <c r="D1001" s="36">
        <v>1</v>
      </c>
      <c r="E1001" s="36">
        <v>122.6</v>
      </c>
      <c r="F1001" s="36">
        <f t="shared" si="205"/>
        <v>122.6</v>
      </c>
      <c r="G1001" s="37">
        <f t="shared" si="206"/>
        <v>0</v>
      </c>
      <c r="H1001" s="38">
        <f t="shared" si="207"/>
        <v>0</v>
      </c>
      <c r="I1001" s="37">
        <f t="shared" si="208"/>
        <v>0</v>
      </c>
      <c r="J1001" s="38">
        <v>0</v>
      </c>
      <c r="K1001" s="37">
        <f t="shared" si="209"/>
        <v>0</v>
      </c>
      <c r="L1001" s="38">
        <v>0</v>
      </c>
    </row>
    <row r="1002" spans="1:12" s="39" customFormat="1" ht="15.45" customHeight="1" outlineLevel="1" x14ac:dyDescent="0.25">
      <c r="A1002" s="33">
        <v>51</v>
      </c>
      <c r="B1002" s="34" t="s">
        <v>135</v>
      </c>
      <c r="C1002" s="35" t="s">
        <v>55</v>
      </c>
      <c r="D1002" s="36">
        <v>1</v>
      </c>
      <c r="E1002" s="36">
        <v>247.9376</v>
      </c>
      <c r="F1002" s="36">
        <f t="shared" si="205"/>
        <v>247.9376</v>
      </c>
      <c r="G1002" s="37">
        <f t="shared" si="206"/>
        <v>0</v>
      </c>
      <c r="H1002" s="38">
        <f t="shared" si="207"/>
        <v>0</v>
      </c>
      <c r="I1002" s="37">
        <f t="shared" si="208"/>
        <v>0</v>
      </c>
      <c r="J1002" s="38">
        <v>0</v>
      </c>
      <c r="K1002" s="37">
        <f t="shared" si="209"/>
        <v>0</v>
      </c>
      <c r="L1002" s="38">
        <v>0</v>
      </c>
    </row>
    <row r="1003" spans="1:12" s="39" customFormat="1" ht="15.45" customHeight="1" outlineLevel="1" x14ac:dyDescent="0.25">
      <c r="A1003" s="33">
        <v>52</v>
      </c>
      <c r="B1003" s="34" t="s">
        <v>761</v>
      </c>
      <c r="C1003" s="35" t="s">
        <v>55</v>
      </c>
      <c r="D1003" s="36">
        <v>2</v>
      </c>
      <c r="E1003" s="36">
        <v>32.840000000000003</v>
      </c>
      <c r="F1003" s="36">
        <f t="shared" si="205"/>
        <v>65.680000000000007</v>
      </c>
      <c r="G1003" s="37">
        <f t="shared" si="206"/>
        <v>0</v>
      </c>
      <c r="H1003" s="38">
        <f t="shared" si="207"/>
        <v>0</v>
      </c>
      <c r="I1003" s="37">
        <f t="shared" si="208"/>
        <v>0</v>
      </c>
      <c r="J1003" s="38">
        <v>0</v>
      </c>
      <c r="K1003" s="37">
        <f t="shared" si="209"/>
        <v>0</v>
      </c>
      <c r="L1003" s="38">
        <v>0</v>
      </c>
    </row>
    <row r="1004" spans="1:12" s="39" customFormat="1" ht="15.45" customHeight="1" outlineLevel="1" x14ac:dyDescent="0.25">
      <c r="A1004" s="31" t="s">
        <v>762</v>
      </c>
      <c r="B1004" s="40" t="s">
        <v>763</v>
      </c>
      <c r="C1004" s="41">
        <v>0</v>
      </c>
      <c r="D1004" s="42"/>
      <c r="E1004" s="42"/>
      <c r="F1004" s="42"/>
      <c r="G1004" s="43"/>
      <c r="H1004" s="44"/>
      <c r="I1004" s="43"/>
      <c r="J1004" s="44"/>
      <c r="K1004" s="43"/>
      <c r="L1004" s="44">
        <v>0</v>
      </c>
    </row>
    <row r="1005" spans="1:12" s="39" customFormat="1" ht="28.95" customHeight="1" outlineLevel="1" x14ac:dyDescent="0.25">
      <c r="A1005" s="33">
        <v>1</v>
      </c>
      <c r="B1005" s="34" t="s">
        <v>764</v>
      </c>
      <c r="C1005" s="35" t="s">
        <v>66</v>
      </c>
      <c r="D1005" s="36">
        <v>32</v>
      </c>
      <c r="E1005" s="36">
        <v>0.9</v>
      </c>
      <c r="F1005" s="36">
        <f>+E1005*D1005</f>
        <v>28.8</v>
      </c>
      <c r="G1005" s="37">
        <f t="shared" ref="G1005:H1009" si="210">I1005+K1005</f>
        <v>0</v>
      </c>
      <c r="H1005" s="38">
        <f t="shared" si="210"/>
        <v>0</v>
      </c>
      <c r="I1005" s="37">
        <f>J1005/F1005</f>
        <v>0</v>
      </c>
      <c r="J1005" s="38">
        <v>0</v>
      </c>
      <c r="K1005" s="37">
        <f>L1005/F1005</f>
        <v>0</v>
      </c>
      <c r="L1005" s="38">
        <v>0</v>
      </c>
    </row>
    <row r="1006" spans="1:12" s="39" customFormat="1" ht="28.95" customHeight="1" outlineLevel="1" x14ac:dyDescent="0.25">
      <c r="A1006" s="33">
        <v>2</v>
      </c>
      <c r="B1006" s="34" t="s">
        <v>765</v>
      </c>
      <c r="C1006" s="35" t="s">
        <v>66</v>
      </c>
      <c r="D1006" s="36">
        <v>1</v>
      </c>
      <c r="E1006" s="36">
        <v>8.9600000000000009</v>
      </c>
      <c r="F1006" s="36">
        <f>+E1006*D1006</f>
        <v>8.9600000000000009</v>
      </c>
      <c r="G1006" s="37">
        <f t="shared" si="210"/>
        <v>0</v>
      </c>
      <c r="H1006" s="38">
        <f t="shared" si="210"/>
        <v>0</v>
      </c>
      <c r="I1006" s="37">
        <f>J1006/F1006</f>
        <v>0</v>
      </c>
      <c r="J1006" s="38">
        <v>0</v>
      </c>
      <c r="K1006" s="37">
        <f>L1006/F1006</f>
        <v>0</v>
      </c>
      <c r="L1006" s="38">
        <v>0</v>
      </c>
    </row>
    <row r="1007" spans="1:12" s="39" customFormat="1" ht="43.5" customHeight="1" outlineLevel="1" x14ac:dyDescent="0.25">
      <c r="A1007" s="33">
        <v>3</v>
      </c>
      <c r="B1007" s="34" t="s">
        <v>766</v>
      </c>
      <c r="C1007" s="35" t="s">
        <v>66</v>
      </c>
      <c r="D1007" s="36">
        <v>21</v>
      </c>
      <c r="E1007" s="36">
        <v>0.9</v>
      </c>
      <c r="F1007" s="36">
        <f>+E1007*D1007</f>
        <v>18.900000000000002</v>
      </c>
      <c r="G1007" s="37">
        <f t="shared" si="210"/>
        <v>0</v>
      </c>
      <c r="H1007" s="38">
        <f t="shared" si="210"/>
        <v>0</v>
      </c>
      <c r="I1007" s="37">
        <f>J1007/F1007</f>
        <v>0</v>
      </c>
      <c r="J1007" s="38">
        <v>0</v>
      </c>
      <c r="K1007" s="37">
        <f>L1007/F1007</f>
        <v>0</v>
      </c>
      <c r="L1007" s="38">
        <v>0</v>
      </c>
    </row>
    <row r="1008" spans="1:12" s="45" customFormat="1" ht="28.95" customHeight="1" x14ac:dyDescent="0.3">
      <c r="A1008" s="33">
        <v>4</v>
      </c>
      <c r="B1008" s="34" t="s">
        <v>234</v>
      </c>
      <c r="C1008" s="35" t="s">
        <v>66</v>
      </c>
      <c r="D1008" s="36">
        <v>21</v>
      </c>
      <c r="E1008" s="36">
        <v>2</v>
      </c>
      <c r="F1008" s="36">
        <f>+E1008*D1008</f>
        <v>42</v>
      </c>
      <c r="G1008" s="37">
        <f t="shared" si="210"/>
        <v>0</v>
      </c>
      <c r="H1008" s="38">
        <f t="shared" si="210"/>
        <v>0</v>
      </c>
      <c r="I1008" s="37">
        <f>J1008/F1008</f>
        <v>0</v>
      </c>
      <c r="J1008" s="38">
        <v>0</v>
      </c>
      <c r="K1008" s="37">
        <f>L1008/F1008</f>
        <v>0</v>
      </c>
      <c r="L1008" s="38">
        <v>0</v>
      </c>
    </row>
    <row r="1009" spans="1:12" s="39" customFormat="1" ht="28.95" customHeight="1" outlineLevel="1" x14ac:dyDescent="0.25">
      <c r="A1009" s="33">
        <v>5</v>
      </c>
      <c r="B1009" s="34" t="s">
        <v>316</v>
      </c>
      <c r="C1009" s="35" t="s">
        <v>66</v>
      </c>
      <c r="D1009" s="36">
        <v>5</v>
      </c>
      <c r="E1009" s="36">
        <v>8.16</v>
      </c>
      <c r="F1009" s="36">
        <f>+E1009*D1009</f>
        <v>40.799999999999997</v>
      </c>
      <c r="G1009" s="37">
        <f t="shared" si="210"/>
        <v>0</v>
      </c>
      <c r="H1009" s="38">
        <f t="shared" si="210"/>
        <v>0</v>
      </c>
      <c r="I1009" s="37">
        <f>J1009/F1009</f>
        <v>0</v>
      </c>
      <c r="J1009" s="38">
        <v>0</v>
      </c>
      <c r="K1009" s="37">
        <f>L1009/F1009</f>
        <v>0</v>
      </c>
      <c r="L1009" s="38">
        <v>0</v>
      </c>
    </row>
    <row r="1010" spans="1:12" s="39" customFormat="1" ht="15.45" customHeight="1" outlineLevel="1" x14ac:dyDescent="0.25">
      <c r="A1010" s="31" t="s">
        <v>767</v>
      </c>
      <c r="B1010" s="40" t="s">
        <v>768</v>
      </c>
      <c r="C1010" s="41">
        <v>0</v>
      </c>
      <c r="D1010" s="42"/>
      <c r="E1010" s="42"/>
      <c r="F1010" s="42"/>
      <c r="G1010" s="43"/>
      <c r="H1010" s="44"/>
      <c r="I1010" s="43"/>
      <c r="J1010" s="44"/>
      <c r="K1010" s="43"/>
      <c r="L1010" s="44">
        <v>0</v>
      </c>
    </row>
    <row r="1011" spans="1:12" s="39" customFormat="1" ht="15.45" customHeight="1" outlineLevel="1" x14ac:dyDescent="0.25">
      <c r="A1011" s="33">
        <v>1</v>
      </c>
      <c r="B1011" s="34" t="s">
        <v>235</v>
      </c>
      <c r="C1011" s="35" t="s">
        <v>66</v>
      </c>
      <c r="D1011" s="36">
        <v>2.9</v>
      </c>
      <c r="E1011" s="36">
        <v>36.5</v>
      </c>
      <c r="F1011" s="36">
        <f t="shared" ref="F1011:F1020" si="211">+E1011*D1011</f>
        <v>105.85</v>
      </c>
      <c r="G1011" s="37">
        <f t="shared" ref="G1011:G1020" si="212">I1011+K1011</f>
        <v>0</v>
      </c>
      <c r="H1011" s="38">
        <f t="shared" ref="H1011:H1020" si="213">J1011+L1011</f>
        <v>0</v>
      </c>
      <c r="I1011" s="37">
        <f t="shared" ref="I1011:I1020" si="214">J1011/F1011</f>
        <v>0</v>
      </c>
      <c r="J1011" s="38">
        <v>0</v>
      </c>
      <c r="K1011" s="37">
        <f t="shared" ref="K1011:K1020" si="215">L1011/F1011</f>
        <v>0</v>
      </c>
      <c r="L1011" s="38">
        <v>0</v>
      </c>
    </row>
    <row r="1012" spans="1:12" s="39" customFormat="1" ht="15.45" customHeight="1" outlineLevel="1" x14ac:dyDescent="0.25">
      <c r="A1012" s="33">
        <v>2</v>
      </c>
      <c r="B1012" s="34" t="s">
        <v>319</v>
      </c>
      <c r="C1012" s="35" t="s">
        <v>66</v>
      </c>
      <c r="D1012" s="36">
        <v>2.9</v>
      </c>
      <c r="E1012" s="36">
        <v>26.72</v>
      </c>
      <c r="F1012" s="36">
        <f t="shared" si="211"/>
        <v>77.488</v>
      </c>
      <c r="G1012" s="37">
        <f t="shared" si="212"/>
        <v>0</v>
      </c>
      <c r="H1012" s="38">
        <f t="shared" si="213"/>
        <v>0</v>
      </c>
      <c r="I1012" s="37">
        <f t="shared" si="214"/>
        <v>0</v>
      </c>
      <c r="J1012" s="38">
        <v>0</v>
      </c>
      <c r="K1012" s="37">
        <f t="shared" si="215"/>
        <v>0</v>
      </c>
      <c r="L1012" s="38">
        <v>0</v>
      </c>
    </row>
    <row r="1013" spans="1:12" s="39" customFormat="1" ht="15.45" customHeight="1" outlineLevel="1" x14ac:dyDescent="0.25">
      <c r="A1013" s="33">
        <v>3</v>
      </c>
      <c r="B1013" s="34" t="s">
        <v>43</v>
      </c>
      <c r="C1013" s="35" t="s">
        <v>66</v>
      </c>
      <c r="D1013" s="36">
        <v>0.64</v>
      </c>
      <c r="E1013" s="36">
        <v>124.1</v>
      </c>
      <c r="F1013" s="36">
        <f t="shared" si="211"/>
        <v>79.423999999999992</v>
      </c>
      <c r="G1013" s="37">
        <f t="shared" si="212"/>
        <v>0</v>
      </c>
      <c r="H1013" s="38">
        <f t="shared" si="213"/>
        <v>0</v>
      </c>
      <c r="I1013" s="37">
        <f t="shared" si="214"/>
        <v>0</v>
      </c>
      <c r="J1013" s="38">
        <v>0</v>
      </c>
      <c r="K1013" s="37">
        <f t="shared" si="215"/>
        <v>0</v>
      </c>
      <c r="L1013" s="38">
        <v>0</v>
      </c>
    </row>
    <row r="1014" spans="1:12" s="39" customFormat="1" ht="28.95" customHeight="1" outlineLevel="1" x14ac:dyDescent="0.25">
      <c r="A1014" s="33">
        <v>4</v>
      </c>
      <c r="B1014" s="34" t="s">
        <v>236</v>
      </c>
      <c r="C1014" s="35" t="s">
        <v>66</v>
      </c>
      <c r="D1014" s="36">
        <v>1.92</v>
      </c>
      <c r="E1014" s="36">
        <v>177.7</v>
      </c>
      <c r="F1014" s="36">
        <f t="shared" si="211"/>
        <v>341.18399999999997</v>
      </c>
      <c r="G1014" s="37">
        <f t="shared" si="212"/>
        <v>0</v>
      </c>
      <c r="H1014" s="38">
        <f t="shared" si="213"/>
        <v>0</v>
      </c>
      <c r="I1014" s="37">
        <f t="shared" si="214"/>
        <v>0</v>
      </c>
      <c r="J1014" s="38">
        <v>0</v>
      </c>
      <c r="K1014" s="37">
        <f t="shared" si="215"/>
        <v>0</v>
      </c>
      <c r="L1014" s="38">
        <v>0</v>
      </c>
    </row>
    <row r="1015" spans="1:12" s="39" customFormat="1" ht="15.45" customHeight="1" outlineLevel="1" x14ac:dyDescent="0.25">
      <c r="A1015" s="33">
        <v>5</v>
      </c>
      <c r="B1015" s="34" t="s">
        <v>769</v>
      </c>
      <c r="C1015" s="35" t="s">
        <v>30</v>
      </c>
      <c r="D1015" s="36">
        <v>3.4000000000000002E-2</v>
      </c>
      <c r="E1015" s="36">
        <v>1325.1</v>
      </c>
      <c r="F1015" s="36">
        <f t="shared" si="211"/>
        <v>45.053400000000003</v>
      </c>
      <c r="G1015" s="37">
        <f t="shared" si="212"/>
        <v>0</v>
      </c>
      <c r="H1015" s="38">
        <f t="shared" si="213"/>
        <v>0</v>
      </c>
      <c r="I1015" s="37">
        <f t="shared" si="214"/>
        <v>0</v>
      </c>
      <c r="J1015" s="38">
        <v>0</v>
      </c>
      <c r="K1015" s="37">
        <f t="shared" si="215"/>
        <v>0</v>
      </c>
      <c r="L1015" s="38">
        <v>0</v>
      </c>
    </row>
    <row r="1016" spans="1:12" s="39" customFormat="1" ht="15.45" customHeight="1" outlineLevel="1" x14ac:dyDescent="0.25">
      <c r="A1016" s="33">
        <v>6</v>
      </c>
      <c r="B1016" s="34" t="s">
        <v>770</v>
      </c>
      <c r="C1016" s="35" t="s">
        <v>30</v>
      </c>
      <c r="D1016" s="36">
        <v>9.1999999999999998E-2</v>
      </c>
      <c r="E1016" s="36">
        <v>1200.0999999999999</v>
      </c>
      <c r="F1016" s="36">
        <f t="shared" si="211"/>
        <v>110.40919999999998</v>
      </c>
      <c r="G1016" s="37">
        <f t="shared" si="212"/>
        <v>0</v>
      </c>
      <c r="H1016" s="38">
        <f t="shared" si="213"/>
        <v>0</v>
      </c>
      <c r="I1016" s="37">
        <f t="shared" si="214"/>
        <v>0</v>
      </c>
      <c r="J1016" s="38">
        <v>0</v>
      </c>
      <c r="K1016" s="37">
        <f t="shared" si="215"/>
        <v>0</v>
      </c>
      <c r="L1016" s="38">
        <v>0</v>
      </c>
    </row>
    <row r="1017" spans="1:12" s="39" customFormat="1" ht="28.95" customHeight="1" outlineLevel="1" x14ac:dyDescent="0.25">
      <c r="A1017" s="33">
        <v>7</v>
      </c>
      <c r="B1017" s="34" t="s">
        <v>771</v>
      </c>
      <c r="C1017" s="35" t="s">
        <v>106</v>
      </c>
      <c r="D1017" s="36">
        <v>7</v>
      </c>
      <c r="E1017" s="36">
        <v>52.936000000000007</v>
      </c>
      <c r="F1017" s="36">
        <f t="shared" si="211"/>
        <v>370.55200000000002</v>
      </c>
      <c r="G1017" s="37">
        <f t="shared" si="212"/>
        <v>0</v>
      </c>
      <c r="H1017" s="38">
        <f t="shared" si="213"/>
        <v>0</v>
      </c>
      <c r="I1017" s="37">
        <f t="shared" si="214"/>
        <v>0</v>
      </c>
      <c r="J1017" s="38">
        <v>0</v>
      </c>
      <c r="K1017" s="37">
        <f t="shared" si="215"/>
        <v>0</v>
      </c>
      <c r="L1017" s="38">
        <v>0</v>
      </c>
    </row>
    <row r="1018" spans="1:12" s="39" customFormat="1" ht="28.95" customHeight="1" outlineLevel="1" x14ac:dyDescent="0.25">
      <c r="A1018" s="33">
        <v>8</v>
      </c>
      <c r="B1018" s="34" t="s">
        <v>240</v>
      </c>
      <c r="C1018" s="35" t="s">
        <v>106</v>
      </c>
      <c r="D1018" s="36">
        <v>21</v>
      </c>
      <c r="E1018" s="36">
        <v>3.67</v>
      </c>
      <c r="F1018" s="36">
        <f t="shared" si="211"/>
        <v>77.069999999999993</v>
      </c>
      <c r="G1018" s="37">
        <f t="shared" si="212"/>
        <v>0</v>
      </c>
      <c r="H1018" s="38">
        <f t="shared" si="213"/>
        <v>0</v>
      </c>
      <c r="I1018" s="37">
        <f t="shared" si="214"/>
        <v>0</v>
      </c>
      <c r="J1018" s="38">
        <v>0</v>
      </c>
      <c r="K1018" s="37">
        <f t="shared" si="215"/>
        <v>0</v>
      </c>
      <c r="L1018" s="38">
        <v>0</v>
      </c>
    </row>
    <row r="1019" spans="1:12" s="39" customFormat="1" ht="15.45" customHeight="1" outlineLevel="1" x14ac:dyDescent="0.25">
      <c r="A1019" s="33">
        <v>9</v>
      </c>
      <c r="B1019" s="34" t="s">
        <v>41</v>
      </c>
      <c r="C1019" s="35" t="s">
        <v>66</v>
      </c>
      <c r="D1019" s="36">
        <v>0.25600000000000001</v>
      </c>
      <c r="E1019" s="36">
        <v>36.616</v>
      </c>
      <c r="F1019" s="36">
        <f t="shared" si="211"/>
        <v>9.3736960000000007</v>
      </c>
      <c r="G1019" s="37">
        <f t="shared" si="212"/>
        <v>0</v>
      </c>
      <c r="H1019" s="38">
        <f t="shared" si="213"/>
        <v>0</v>
      </c>
      <c r="I1019" s="37">
        <f t="shared" si="214"/>
        <v>0</v>
      </c>
      <c r="J1019" s="38">
        <v>0</v>
      </c>
      <c r="K1019" s="37">
        <f t="shared" si="215"/>
        <v>0</v>
      </c>
      <c r="L1019" s="38">
        <v>0</v>
      </c>
    </row>
    <row r="1020" spans="1:12" s="39" customFormat="1" ht="15.45" customHeight="1" outlineLevel="1" x14ac:dyDescent="0.25">
      <c r="A1020" s="33">
        <v>10</v>
      </c>
      <c r="B1020" s="34" t="s">
        <v>772</v>
      </c>
      <c r="C1020" s="35" t="s">
        <v>66</v>
      </c>
      <c r="D1020" s="36">
        <v>0.25600000000000001</v>
      </c>
      <c r="E1020" s="36">
        <v>125.8456</v>
      </c>
      <c r="F1020" s="36">
        <f t="shared" si="211"/>
        <v>32.2164736</v>
      </c>
      <c r="G1020" s="37">
        <f t="shared" si="212"/>
        <v>0</v>
      </c>
      <c r="H1020" s="38">
        <f t="shared" si="213"/>
        <v>0</v>
      </c>
      <c r="I1020" s="37">
        <f t="shared" si="214"/>
        <v>0</v>
      </c>
      <c r="J1020" s="38">
        <v>0</v>
      </c>
      <c r="K1020" s="37">
        <f t="shared" si="215"/>
        <v>0</v>
      </c>
      <c r="L1020" s="38">
        <v>0</v>
      </c>
    </row>
    <row r="1021" spans="1:12" s="39" customFormat="1" ht="15.45" customHeight="1" outlineLevel="1" x14ac:dyDescent="0.25">
      <c r="A1021" s="31" t="s">
        <v>773</v>
      </c>
      <c r="B1021" s="40" t="s">
        <v>774</v>
      </c>
      <c r="C1021" s="41">
        <v>0</v>
      </c>
      <c r="D1021" s="42"/>
      <c r="E1021" s="42"/>
      <c r="F1021" s="42"/>
      <c r="G1021" s="43"/>
      <c r="H1021" s="44"/>
      <c r="I1021" s="43"/>
      <c r="J1021" s="44"/>
      <c r="K1021" s="43"/>
      <c r="L1021" s="44">
        <v>0</v>
      </c>
    </row>
    <row r="1022" spans="1:12" s="39" customFormat="1" ht="28.95" customHeight="1" outlineLevel="1" x14ac:dyDescent="0.25">
      <c r="A1022" s="33">
        <v>1</v>
      </c>
      <c r="B1022" s="34" t="s">
        <v>775</v>
      </c>
      <c r="C1022" s="35" t="s">
        <v>66</v>
      </c>
      <c r="D1022" s="36">
        <v>1.56</v>
      </c>
      <c r="E1022" s="36">
        <v>271.50400000000002</v>
      </c>
      <c r="F1022" s="36">
        <f t="shared" ref="F1022:F1036" si="216">+E1022*D1022</f>
        <v>423.54624000000007</v>
      </c>
      <c r="G1022" s="37">
        <f t="shared" ref="G1022:G1036" si="217">I1022+K1022</f>
        <v>0</v>
      </c>
      <c r="H1022" s="38">
        <f t="shared" ref="H1022:H1036" si="218">J1022+L1022</f>
        <v>0</v>
      </c>
      <c r="I1022" s="37">
        <f t="shared" ref="I1022:I1036" si="219">J1022/F1022</f>
        <v>0</v>
      </c>
      <c r="J1022" s="38">
        <v>0</v>
      </c>
      <c r="K1022" s="37">
        <f t="shared" ref="K1022:K1036" si="220">L1022/F1022</f>
        <v>0</v>
      </c>
      <c r="L1022" s="38">
        <v>0</v>
      </c>
    </row>
    <row r="1023" spans="1:12" s="39" customFormat="1" ht="15.45" customHeight="1" outlineLevel="1" x14ac:dyDescent="0.25">
      <c r="A1023" s="33">
        <v>2</v>
      </c>
      <c r="B1023" s="34" t="s">
        <v>45</v>
      </c>
      <c r="C1023" s="35" t="s">
        <v>30</v>
      </c>
      <c r="D1023" s="36">
        <v>0.111</v>
      </c>
      <c r="E1023" s="36">
        <v>1325.1</v>
      </c>
      <c r="F1023" s="36">
        <f t="shared" si="216"/>
        <v>147.08609999999999</v>
      </c>
      <c r="G1023" s="37">
        <f t="shared" si="217"/>
        <v>0</v>
      </c>
      <c r="H1023" s="38">
        <f t="shared" si="218"/>
        <v>0</v>
      </c>
      <c r="I1023" s="37">
        <f t="shared" si="219"/>
        <v>0</v>
      </c>
      <c r="J1023" s="38">
        <v>0</v>
      </c>
      <c r="K1023" s="37">
        <f t="shared" si="220"/>
        <v>0</v>
      </c>
      <c r="L1023" s="38">
        <v>0</v>
      </c>
    </row>
    <row r="1024" spans="1:12" s="39" customFormat="1" ht="15.45" customHeight="1" outlineLevel="1" x14ac:dyDescent="0.25">
      <c r="A1024" s="33">
        <v>3</v>
      </c>
      <c r="B1024" s="34" t="s">
        <v>46</v>
      </c>
      <c r="C1024" s="35" t="s">
        <v>30</v>
      </c>
      <c r="D1024" s="36">
        <v>7.1999999999999995E-2</v>
      </c>
      <c r="E1024" s="36">
        <v>1200.0999999999999</v>
      </c>
      <c r="F1024" s="36">
        <f t="shared" si="216"/>
        <v>86.407199999999989</v>
      </c>
      <c r="G1024" s="37">
        <f t="shared" si="217"/>
        <v>0</v>
      </c>
      <c r="H1024" s="38">
        <f t="shared" si="218"/>
        <v>0</v>
      </c>
      <c r="I1024" s="37">
        <f t="shared" si="219"/>
        <v>0</v>
      </c>
      <c r="J1024" s="38">
        <v>0</v>
      </c>
      <c r="K1024" s="37">
        <f t="shared" si="220"/>
        <v>0</v>
      </c>
      <c r="L1024" s="38">
        <v>0</v>
      </c>
    </row>
    <row r="1025" spans="1:12" s="39" customFormat="1" ht="28.95" customHeight="1" outlineLevel="1" x14ac:dyDescent="0.25">
      <c r="A1025" s="33">
        <v>4</v>
      </c>
      <c r="B1025" s="34" t="s">
        <v>776</v>
      </c>
      <c r="C1025" s="35" t="s">
        <v>66</v>
      </c>
      <c r="D1025" s="36">
        <v>0.86</v>
      </c>
      <c r="E1025" s="36">
        <v>265</v>
      </c>
      <c r="F1025" s="36">
        <f t="shared" si="216"/>
        <v>227.9</v>
      </c>
      <c r="G1025" s="37">
        <f t="shared" si="217"/>
        <v>0</v>
      </c>
      <c r="H1025" s="38">
        <f t="shared" si="218"/>
        <v>0</v>
      </c>
      <c r="I1025" s="37">
        <f t="shared" si="219"/>
        <v>0</v>
      </c>
      <c r="J1025" s="38">
        <v>0</v>
      </c>
      <c r="K1025" s="37">
        <f t="shared" si="220"/>
        <v>0</v>
      </c>
      <c r="L1025" s="38">
        <v>0</v>
      </c>
    </row>
    <row r="1026" spans="1:12" s="39" customFormat="1" ht="15.45" customHeight="1" outlineLevel="1" x14ac:dyDescent="0.25">
      <c r="A1026" s="33">
        <v>5</v>
      </c>
      <c r="B1026" s="34" t="s">
        <v>45</v>
      </c>
      <c r="C1026" s="35" t="s">
        <v>30</v>
      </c>
      <c r="D1026" s="36">
        <v>5.0000000000000001E-3</v>
      </c>
      <c r="E1026" s="36">
        <v>1325.1</v>
      </c>
      <c r="F1026" s="36">
        <f t="shared" si="216"/>
        <v>6.6254999999999997</v>
      </c>
      <c r="G1026" s="37">
        <f t="shared" si="217"/>
        <v>0</v>
      </c>
      <c r="H1026" s="38">
        <f t="shared" si="218"/>
        <v>0</v>
      </c>
      <c r="I1026" s="37">
        <f t="shared" si="219"/>
        <v>0</v>
      </c>
      <c r="J1026" s="38">
        <v>0</v>
      </c>
      <c r="K1026" s="37">
        <f t="shared" si="220"/>
        <v>0</v>
      </c>
      <c r="L1026" s="38">
        <v>0</v>
      </c>
    </row>
    <row r="1027" spans="1:12" s="39" customFormat="1" ht="15.45" customHeight="1" outlineLevel="1" x14ac:dyDescent="0.25">
      <c r="A1027" s="33">
        <v>6</v>
      </c>
      <c r="B1027" s="34" t="s">
        <v>46</v>
      </c>
      <c r="C1027" s="35" t="s">
        <v>30</v>
      </c>
      <c r="D1027" s="36">
        <v>7.8E-2</v>
      </c>
      <c r="E1027" s="36">
        <v>1200.0999999999999</v>
      </c>
      <c r="F1027" s="36">
        <f t="shared" si="216"/>
        <v>93.607799999999997</v>
      </c>
      <c r="G1027" s="37">
        <f t="shared" si="217"/>
        <v>0</v>
      </c>
      <c r="H1027" s="38">
        <f t="shared" si="218"/>
        <v>0</v>
      </c>
      <c r="I1027" s="37">
        <f t="shared" si="219"/>
        <v>0</v>
      </c>
      <c r="J1027" s="38">
        <v>0</v>
      </c>
      <c r="K1027" s="37">
        <f t="shared" si="220"/>
        <v>0</v>
      </c>
      <c r="L1027" s="38">
        <v>0</v>
      </c>
    </row>
    <row r="1028" spans="1:12" s="39" customFormat="1" ht="28.95" customHeight="1" outlineLevel="1" x14ac:dyDescent="0.25">
      <c r="A1028" s="33">
        <v>7</v>
      </c>
      <c r="B1028" s="34" t="s">
        <v>777</v>
      </c>
      <c r="C1028" s="35" t="s">
        <v>66</v>
      </c>
      <c r="D1028" s="36">
        <v>0.2</v>
      </c>
      <c r="E1028" s="36">
        <v>265</v>
      </c>
      <c r="F1028" s="36">
        <f t="shared" si="216"/>
        <v>53</v>
      </c>
      <c r="G1028" s="37">
        <f t="shared" si="217"/>
        <v>0</v>
      </c>
      <c r="H1028" s="38">
        <f t="shared" si="218"/>
        <v>0</v>
      </c>
      <c r="I1028" s="37">
        <f t="shared" si="219"/>
        <v>0</v>
      </c>
      <c r="J1028" s="38">
        <v>0</v>
      </c>
      <c r="K1028" s="37">
        <f t="shared" si="220"/>
        <v>0</v>
      </c>
      <c r="L1028" s="38">
        <v>0</v>
      </c>
    </row>
    <row r="1029" spans="1:12" s="39" customFormat="1" ht="15.45" customHeight="1" outlineLevel="1" x14ac:dyDescent="0.25">
      <c r="A1029" s="33">
        <v>8</v>
      </c>
      <c r="B1029" s="34" t="s">
        <v>45</v>
      </c>
      <c r="C1029" s="35" t="s">
        <v>30</v>
      </c>
      <c r="D1029" s="36">
        <v>0.01</v>
      </c>
      <c r="E1029" s="36">
        <v>1325.1</v>
      </c>
      <c r="F1029" s="36">
        <f t="shared" si="216"/>
        <v>13.250999999999999</v>
      </c>
      <c r="G1029" s="37">
        <f t="shared" si="217"/>
        <v>0</v>
      </c>
      <c r="H1029" s="38">
        <f t="shared" si="218"/>
        <v>0</v>
      </c>
      <c r="I1029" s="37">
        <f t="shared" si="219"/>
        <v>0</v>
      </c>
      <c r="J1029" s="38">
        <v>0</v>
      </c>
      <c r="K1029" s="37">
        <f t="shared" si="220"/>
        <v>0</v>
      </c>
      <c r="L1029" s="38">
        <v>0</v>
      </c>
    </row>
    <row r="1030" spans="1:12" s="39" customFormat="1" ht="15.45" customHeight="1" outlineLevel="1" x14ac:dyDescent="0.25">
      <c r="A1030" s="33">
        <v>9</v>
      </c>
      <c r="B1030" s="34" t="s">
        <v>46</v>
      </c>
      <c r="C1030" s="35" t="s">
        <v>30</v>
      </c>
      <c r="D1030" s="36">
        <v>4.8000000000000001E-2</v>
      </c>
      <c r="E1030" s="36">
        <v>1200.0999999999999</v>
      </c>
      <c r="F1030" s="36">
        <f t="shared" si="216"/>
        <v>57.604799999999997</v>
      </c>
      <c r="G1030" s="37">
        <f t="shared" si="217"/>
        <v>0</v>
      </c>
      <c r="H1030" s="38">
        <f t="shared" si="218"/>
        <v>0</v>
      </c>
      <c r="I1030" s="37">
        <f t="shared" si="219"/>
        <v>0</v>
      </c>
      <c r="J1030" s="38">
        <v>0</v>
      </c>
      <c r="K1030" s="37">
        <f t="shared" si="220"/>
        <v>0</v>
      </c>
      <c r="L1030" s="38">
        <v>0</v>
      </c>
    </row>
    <row r="1031" spans="1:12" s="39" customFormat="1" ht="15.45" customHeight="1" outlineLevel="1" x14ac:dyDescent="0.25">
      <c r="A1031" s="33">
        <v>10</v>
      </c>
      <c r="B1031" s="34" t="s">
        <v>778</v>
      </c>
      <c r="C1031" s="35" t="s">
        <v>66</v>
      </c>
      <c r="D1031" s="36">
        <v>0.14000000000000001</v>
      </c>
      <c r="E1031" s="36">
        <v>239.89179999999999</v>
      </c>
      <c r="F1031" s="36">
        <f t="shared" si="216"/>
        <v>33.584852000000005</v>
      </c>
      <c r="G1031" s="37">
        <f t="shared" si="217"/>
        <v>0</v>
      </c>
      <c r="H1031" s="38">
        <f t="shared" si="218"/>
        <v>0</v>
      </c>
      <c r="I1031" s="37">
        <f t="shared" si="219"/>
        <v>0</v>
      </c>
      <c r="J1031" s="38">
        <v>0</v>
      </c>
      <c r="K1031" s="37">
        <f t="shared" si="220"/>
        <v>0</v>
      </c>
      <c r="L1031" s="38">
        <v>0</v>
      </c>
    </row>
    <row r="1032" spans="1:12" s="39" customFormat="1" ht="15.45" customHeight="1" outlineLevel="1" x14ac:dyDescent="0.25">
      <c r="A1032" s="33">
        <v>11</v>
      </c>
      <c r="B1032" s="34" t="s">
        <v>45</v>
      </c>
      <c r="C1032" s="35" t="s">
        <v>30</v>
      </c>
      <c r="D1032" s="36">
        <v>1.7000000000000001E-2</v>
      </c>
      <c r="E1032" s="36">
        <v>1325.1</v>
      </c>
      <c r="F1032" s="36">
        <f t="shared" si="216"/>
        <v>22.526700000000002</v>
      </c>
      <c r="G1032" s="37">
        <f t="shared" si="217"/>
        <v>0</v>
      </c>
      <c r="H1032" s="38">
        <f t="shared" si="218"/>
        <v>0</v>
      </c>
      <c r="I1032" s="37">
        <f t="shared" si="219"/>
        <v>0</v>
      </c>
      <c r="J1032" s="38">
        <v>0</v>
      </c>
      <c r="K1032" s="37">
        <f t="shared" si="220"/>
        <v>0</v>
      </c>
      <c r="L1032" s="38">
        <v>0</v>
      </c>
    </row>
    <row r="1033" spans="1:12" s="39" customFormat="1" ht="15.45" customHeight="1" outlineLevel="1" x14ac:dyDescent="0.25">
      <c r="A1033" s="33">
        <v>12</v>
      </c>
      <c r="B1033" s="34" t="s">
        <v>46</v>
      </c>
      <c r="C1033" s="35" t="s">
        <v>30</v>
      </c>
      <c r="D1033" s="36">
        <v>2.8000000000000001E-2</v>
      </c>
      <c r="E1033" s="36">
        <v>1200.0999999999999</v>
      </c>
      <c r="F1033" s="36">
        <f t="shared" si="216"/>
        <v>33.602799999999995</v>
      </c>
      <c r="G1033" s="37">
        <f t="shared" si="217"/>
        <v>0</v>
      </c>
      <c r="H1033" s="38">
        <f t="shared" si="218"/>
        <v>0</v>
      </c>
      <c r="I1033" s="37">
        <f t="shared" si="219"/>
        <v>0</v>
      </c>
      <c r="J1033" s="38">
        <v>0</v>
      </c>
      <c r="K1033" s="37">
        <f t="shared" si="220"/>
        <v>0</v>
      </c>
      <c r="L1033" s="38">
        <v>0</v>
      </c>
    </row>
    <row r="1034" spans="1:12" s="46" customFormat="1" ht="15.45" customHeight="1" outlineLevel="1" x14ac:dyDescent="0.35">
      <c r="A1034" s="33">
        <v>13</v>
      </c>
      <c r="B1034" s="34" t="s">
        <v>779</v>
      </c>
      <c r="C1034" s="35" t="s">
        <v>66</v>
      </c>
      <c r="D1034" s="36">
        <v>0.28999999999999998</v>
      </c>
      <c r="E1034" s="36">
        <v>349.12360000000001</v>
      </c>
      <c r="F1034" s="36">
        <f t="shared" si="216"/>
        <v>101.24584399999999</v>
      </c>
      <c r="G1034" s="37">
        <f t="shared" si="217"/>
        <v>0</v>
      </c>
      <c r="H1034" s="38">
        <f t="shared" si="218"/>
        <v>0</v>
      </c>
      <c r="I1034" s="37">
        <f t="shared" si="219"/>
        <v>0</v>
      </c>
      <c r="J1034" s="38">
        <v>0</v>
      </c>
      <c r="K1034" s="37">
        <f t="shared" si="220"/>
        <v>0</v>
      </c>
      <c r="L1034" s="38">
        <v>0</v>
      </c>
    </row>
    <row r="1035" spans="1:12" s="39" customFormat="1" ht="15.45" customHeight="1" outlineLevel="1" x14ac:dyDescent="0.25">
      <c r="A1035" s="33">
        <v>14</v>
      </c>
      <c r="B1035" s="34" t="s">
        <v>45</v>
      </c>
      <c r="C1035" s="35" t="s">
        <v>30</v>
      </c>
      <c r="D1035" s="36">
        <v>8.9999999999999993E-3</v>
      </c>
      <c r="E1035" s="36">
        <v>1325.1</v>
      </c>
      <c r="F1035" s="36">
        <f t="shared" si="216"/>
        <v>11.925899999999999</v>
      </c>
      <c r="G1035" s="37">
        <f t="shared" si="217"/>
        <v>0</v>
      </c>
      <c r="H1035" s="38">
        <f t="shared" si="218"/>
        <v>0</v>
      </c>
      <c r="I1035" s="37">
        <f t="shared" si="219"/>
        <v>0</v>
      </c>
      <c r="J1035" s="38">
        <v>0</v>
      </c>
      <c r="K1035" s="37">
        <f t="shared" si="220"/>
        <v>0</v>
      </c>
      <c r="L1035" s="38">
        <v>0</v>
      </c>
    </row>
    <row r="1036" spans="1:12" s="39" customFormat="1" ht="15.45" customHeight="1" outlineLevel="1" x14ac:dyDescent="0.25">
      <c r="A1036" s="33">
        <v>15</v>
      </c>
      <c r="B1036" s="34" t="s">
        <v>46</v>
      </c>
      <c r="C1036" s="35" t="s">
        <v>30</v>
      </c>
      <c r="D1036" s="36">
        <v>1.4999999999999999E-2</v>
      </c>
      <c r="E1036" s="36">
        <v>1200.0999999999999</v>
      </c>
      <c r="F1036" s="36">
        <f t="shared" si="216"/>
        <v>18.001499999999997</v>
      </c>
      <c r="G1036" s="37">
        <f t="shared" si="217"/>
        <v>0</v>
      </c>
      <c r="H1036" s="38">
        <f t="shared" si="218"/>
        <v>0</v>
      </c>
      <c r="I1036" s="37">
        <f t="shared" si="219"/>
        <v>0</v>
      </c>
      <c r="J1036" s="38">
        <v>0</v>
      </c>
      <c r="K1036" s="37">
        <f t="shared" si="220"/>
        <v>0</v>
      </c>
      <c r="L1036" s="38">
        <v>0</v>
      </c>
    </row>
    <row r="1037" spans="1:12" s="39" customFormat="1" ht="15.45" customHeight="1" outlineLevel="1" x14ac:dyDescent="0.25">
      <c r="A1037" s="31" t="s">
        <v>780</v>
      </c>
      <c r="B1037" s="40" t="s">
        <v>781</v>
      </c>
      <c r="C1037" s="41">
        <v>0</v>
      </c>
      <c r="D1037" s="42"/>
      <c r="E1037" s="42"/>
      <c r="F1037" s="42"/>
      <c r="G1037" s="43"/>
      <c r="H1037" s="44"/>
      <c r="I1037" s="43"/>
      <c r="J1037" s="44"/>
      <c r="K1037" s="43"/>
      <c r="L1037" s="44">
        <v>0</v>
      </c>
    </row>
    <row r="1038" spans="1:12" s="39" customFormat="1" ht="28.95" customHeight="1" outlineLevel="1" x14ac:dyDescent="0.25">
      <c r="A1038" s="33">
        <v>1</v>
      </c>
      <c r="B1038" s="34" t="s">
        <v>255</v>
      </c>
      <c r="C1038" s="35" t="s">
        <v>106</v>
      </c>
      <c r="D1038" s="36">
        <v>16.5</v>
      </c>
      <c r="E1038" s="36">
        <v>41.92</v>
      </c>
      <c r="F1038" s="36">
        <f>+E1038*D1038</f>
        <v>691.68000000000006</v>
      </c>
      <c r="G1038" s="37">
        <f>I1038+K1038</f>
        <v>0</v>
      </c>
      <c r="H1038" s="38">
        <f>J1038+L1038</f>
        <v>0</v>
      </c>
      <c r="I1038" s="37">
        <f>J1038/F1038</f>
        <v>0</v>
      </c>
      <c r="J1038" s="38">
        <v>0</v>
      </c>
      <c r="K1038" s="37">
        <f>L1038/F1038</f>
        <v>0</v>
      </c>
      <c r="L1038" s="38">
        <v>0</v>
      </c>
    </row>
    <row r="1039" spans="1:12" s="39" customFormat="1" ht="15.45" customHeight="1" outlineLevel="1" x14ac:dyDescent="0.25">
      <c r="A1039" s="33">
        <v>2</v>
      </c>
      <c r="B1039" s="34" t="s">
        <v>259</v>
      </c>
      <c r="C1039" s="35" t="s">
        <v>30</v>
      </c>
      <c r="D1039" s="36">
        <v>5.5E-2</v>
      </c>
      <c r="E1039" s="36">
        <v>2150</v>
      </c>
      <c r="F1039" s="36">
        <f>+E1039*D1039</f>
        <v>118.25</v>
      </c>
      <c r="G1039" s="37">
        <f>I1039+K1039</f>
        <v>0</v>
      </c>
      <c r="H1039" s="38">
        <f>J1039+L1039</f>
        <v>0</v>
      </c>
      <c r="I1039" s="37">
        <f>J1039/F1039</f>
        <v>0</v>
      </c>
      <c r="J1039" s="38">
        <v>0</v>
      </c>
      <c r="K1039" s="37">
        <f>L1039/F1039</f>
        <v>0</v>
      </c>
      <c r="L1039" s="38">
        <v>0</v>
      </c>
    </row>
    <row r="1040" spans="1:12" s="39" customFormat="1" ht="15.45" customHeight="1" outlineLevel="1" x14ac:dyDescent="0.25">
      <c r="A1040" s="31" t="s">
        <v>782</v>
      </c>
      <c r="B1040" s="40" t="s">
        <v>783</v>
      </c>
      <c r="C1040" s="41">
        <v>0</v>
      </c>
      <c r="D1040" s="42"/>
      <c r="E1040" s="42"/>
      <c r="F1040" s="42"/>
      <c r="G1040" s="43"/>
      <c r="H1040" s="44"/>
      <c r="I1040" s="43"/>
      <c r="J1040" s="44"/>
      <c r="K1040" s="43"/>
      <c r="L1040" s="44">
        <v>0</v>
      </c>
    </row>
    <row r="1041" spans="1:12" s="39" customFormat="1" ht="43.5" customHeight="1" outlineLevel="1" x14ac:dyDescent="0.25">
      <c r="A1041" s="33">
        <v>1</v>
      </c>
      <c r="B1041" s="34" t="s">
        <v>271</v>
      </c>
      <c r="C1041" s="35" t="s">
        <v>106</v>
      </c>
      <c r="D1041" s="36">
        <v>2.64</v>
      </c>
      <c r="E1041" s="36">
        <v>193.9</v>
      </c>
      <c r="F1041" s="36">
        <f>+E1041*D1041</f>
        <v>511.89600000000002</v>
      </c>
      <c r="G1041" s="37">
        <f t="shared" ref="G1041:H1044" si="221">I1041+K1041</f>
        <v>0</v>
      </c>
      <c r="H1041" s="38">
        <f t="shared" si="221"/>
        <v>0</v>
      </c>
      <c r="I1041" s="37">
        <f>J1041/F1041</f>
        <v>0</v>
      </c>
      <c r="J1041" s="38">
        <v>0</v>
      </c>
      <c r="K1041" s="37">
        <f>L1041/F1041</f>
        <v>0</v>
      </c>
      <c r="L1041" s="38">
        <v>0</v>
      </c>
    </row>
    <row r="1042" spans="1:12" s="39" customFormat="1" ht="28.95" customHeight="1" outlineLevel="1" x14ac:dyDescent="0.25">
      <c r="A1042" s="33">
        <v>2</v>
      </c>
      <c r="B1042" s="34" t="s">
        <v>265</v>
      </c>
      <c r="C1042" s="35" t="s">
        <v>106</v>
      </c>
      <c r="D1042" s="36">
        <v>1.68</v>
      </c>
      <c r="E1042" s="36">
        <v>163.30000000000001</v>
      </c>
      <c r="F1042" s="36">
        <f>+E1042*D1042</f>
        <v>274.34399999999999</v>
      </c>
      <c r="G1042" s="37">
        <f t="shared" si="221"/>
        <v>0</v>
      </c>
      <c r="H1042" s="38">
        <f t="shared" si="221"/>
        <v>0</v>
      </c>
      <c r="I1042" s="37">
        <f>J1042/F1042</f>
        <v>0</v>
      </c>
      <c r="J1042" s="38">
        <v>0</v>
      </c>
      <c r="K1042" s="37">
        <f>L1042/F1042</f>
        <v>0</v>
      </c>
      <c r="L1042" s="38">
        <v>0</v>
      </c>
    </row>
    <row r="1043" spans="1:12" s="39" customFormat="1" ht="15.45" customHeight="1" outlineLevel="1" x14ac:dyDescent="0.25">
      <c r="A1043" s="33">
        <v>3</v>
      </c>
      <c r="B1043" s="34" t="s">
        <v>274</v>
      </c>
      <c r="C1043" s="35" t="s">
        <v>55</v>
      </c>
      <c r="D1043" s="36">
        <v>1</v>
      </c>
      <c r="E1043" s="36">
        <v>40.9</v>
      </c>
      <c r="F1043" s="36">
        <f>+E1043*D1043</f>
        <v>40.9</v>
      </c>
      <c r="G1043" s="37">
        <f t="shared" si="221"/>
        <v>0</v>
      </c>
      <c r="H1043" s="38">
        <f t="shared" si="221"/>
        <v>0</v>
      </c>
      <c r="I1043" s="37">
        <f>J1043/F1043</f>
        <v>0</v>
      </c>
      <c r="J1043" s="38">
        <v>0</v>
      </c>
      <c r="K1043" s="37">
        <f>L1043/F1043</f>
        <v>0</v>
      </c>
      <c r="L1043" s="38">
        <v>0</v>
      </c>
    </row>
    <row r="1044" spans="1:12" s="39" customFormat="1" ht="15.45" customHeight="1" outlineLevel="1" x14ac:dyDescent="0.25">
      <c r="A1044" s="33">
        <v>4</v>
      </c>
      <c r="B1044" s="34" t="s">
        <v>784</v>
      </c>
      <c r="C1044" s="35" t="s">
        <v>55</v>
      </c>
      <c r="D1044" s="36">
        <v>1</v>
      </c>
      <c r="E1044" s="36">
        <v>55.902200000000001</v>
      </c>
      <c r="F1044" s="36">
        <f>+E1044*D1044</f>
        <v>55.902200000000001</v>
      </c>
      <c r="G1044" s="37">
        <f t="shared" si="221"/>
        <v>0</v>
      </c>
      <c r="H1044" s="38">
        <f t="shared" si="221"/>
        <v>0</v>
      </c>
      <c r="I1044" s="37">
        <f>J1044/F1044</f>
        <v>0</v>
      </c>
      <c r="J1044" s="38">
        <v>0</v>
      </c>
      <c r="K1044" s="37">
        <f>L1044/F1044</f>
        <v>0</v>
      </c>
      <c r="L1044" s="38">
        <v>0</v>
      </c>
    </row>
    <row r="1045" spans="1:12" s="39" customFormat="1" ht="15.45" customHeight="1" outlineLevel="1" x14ac:dyDescent="0.25">
      <c r="A1045" s="31" t="s">
        <v>785</v>
      </c>
      <c r="B1045" s="40" t="s">
        <v>786</v>
      </c>
      <c r="C1045" s="41">
        <v>0</v>
      </c>
      <c r="D1045" s="42"/>
      <c r="E1045" s="42"/>
      <c r="F1045" s="42"/>
      <c r="G1045" s="43"/>
      <c r="H1045" s="44"/>
      <c r="I1045" s="43"/>
      <c r="J1045" s="44"/>
      <c r="K1045" s="43"/>
      <c r="L1045" s="44">
        <v>0</v>
      </c>
    </row>
    <row r="1046" spans="1:12" s="39" customFormat="1" ht="15.45" customHeight="1" outlineLevel="1" x14ac:dyDescent="0.25">
      <c r="A1046" s="33">
        <v>1</v>
      </c>
      <c r="B1046" s="34" t="s">
        <v>787</v>
      </c>
      <c r="C1046" s="35" t="s">
        <v>106</v>
      </c>
      <c r="D1046" s="36">
        <v>2.6</v>
      </c>
      <c r="E1046" s="36">
        <v>12.3094</v>
      </c>
      <c r="F1046" s="36">
        <f>+E1046*D1046</f>
        <v>32.004440000000002</v>
      </c>
      <c r="G1046" s="37">
        <f t="shared" ref="G1046:H1048" si="222">I1046+K1046</f>
        <v>0</v>
      </c>
      <c r="H1046" s="38">
        <f t="shared" si="222"/>
        <v>0</v>
      </c>
      <c r="I1046" s="37">
        <f>J1046/F1046</f>
        <v>0</v>
      </c>
      <c r="J1046" s="38">
        <v>0</v>
      </c>
      <c r="K1046" s="37">
        <f>L1046/F1046</f>
        <v>0</v>
      </c>
      <c r="L1046" s="38">
        <v>0</v>
      </c>
    </row>
    <row r="1047" spans="1:12" s="45" customFormat="1" ht="28.95" customHeight="1" x14ac:dyDescent="0.3">
      <c r="A1047" s="33">
        <v>2</v>
      </c>
      <c r="B1047" s="34" t="s">
        <v>788</v>
      </c>
      <c r="C1047" s="35" t="s">
        <v>106</v>
      </c>
      <c r="D1047" s="36">
        <v>2.6</v>
      </c>
      <c r="E1047" s="36">
        <v>12.442</v>
      </c>
      <c r="F1047" s="36">
        <f>+E1047*D1047</f>
        <v>32.349200000000003</v>
      </c>
      <c r="G1047" s="37">
        <f t="shared" si="222"/>
        <v>0</v>
      </c>
      <c r="H1047" s="38">
        <f t="shared" si="222"/>
        <v>0</v>
      </c>
      <c r="I1047" s="37">
        <f>J1047/F1047</f>
        <v>0</v>
      </c>
      <c r="J1047" s="38">
        <v>0</v>
      </c>
      <c r="K1047" s="37">
        <f>L1047/F1047</f>
        <v>0</v>
      </c>
      <c r="L1047" s="38">
        <v>0</v>
      </c>
    </row>
    <row r="1048" spans="1:12" s="39" customFormat="1" ht="28.95" customHeight="1" outlineLevel="1" x14ac:dyDescent="0.25">
      <c r="A1048" s="33">
        <v>3</v>
      </c>
      <c r="B1048" s="34" t="s">
        <v>789</v>
      </c>
      <c r="C1048" s="35" t="s">
        <v>106</v>
      </c>
      <c r="D1048" s="36">
        <v>2.6</v>
      </c>
      <c r="E1048" s="36">
        <v>16.919799999999999</v>
      </c>
      <c r="F1048" s="36">
        <f>+E1048*D1048</f>
        <v>43.991479999999996</v>
      </c>
      <c r="G1048" s="37">
        <f t="shared" si="222"/>
        <v>0</v>
      </c>
      <c r="H1048" s="38">
        <f t="shared" si="222"/>
        <v>0</v>
      </c>
      <c r="I1048" s="37">
        <f>J1048/F1048</f>
        <v>0</v>
      </c>
      <c r="J1048" s="38">
        <v>0</v>
      </c>
      <c r="K1048" s="37">
        <f>L1048/F1048</f>
        <v>0</v>
      </c>
      <c r="L1048" s="38">
        <v>0</v>
      </c>
    </row>
    <row r="1049" spans="1:12" s="39" customFormat="1" ht="15.45" customHeight="1" outlineLevel="1" x14ac:dyDescent="0.25">
      <c r="A1049" s="31" t="s">
        <v>790</v>
      </c>
      <c r="B1049" s="40" t="s">
        <v>791</v>
      </c>
      <c r="C1049" s="41">
        <v>0</v>
      </c>
      <c r="D1049" s="42"/>
      <c r="E1049" s="42"/>
      <c r="F1049" s="42"/>
      <c r="G1049" s="43"/>
      <c r="H1049" s="44"/>
      <c r="I1049" s="43"/>
      <c r="J1049" s="44"/>
      <c r="K1049" s="43"/>
      <c r="L1049" s="44">
        <v>0</v>
      </c>
    </row>
    <row r="1050" spans="1:12" s="39" customFormat="1" ht="15.45" customHeight="1" outlineLevel="1" x14ac:dyDescent="0.25">
      <c r="A1050" s="33">
        <v>1</v>
      </c>
      <c r="B1050" s="34" t="s">
        <v>792</v>
      </c>
      <c r="C1050" s="35" t="s">
        <v>106</v>
      </c>
      <c r="D1050" s="36">
        <v>2.2000000000000002</v>
      </c>
      <c r="E1050" s="36">
        <v>3.617</v>
      </c>
      <c r="F1050" s="36">
        <f>+E1050*D1050</f>
        <v>7.9574000000000007</v>
      </c>
      <c r="G1050" s="37">
        <f>I1050+K1050</f>
        <v>0</v>
      </c>
      <c r="H1050" s="38">
        <f>J1050+L1050</f>
        <v>0</v>
      </c>
      <c r="I1050" s="37">
        <f>J1050/F1050</f>
        <v>0</v>
      </c>
      <c r="J1050" s="38">
        <v>0</v>
      </c>
      <c r="K1050" s="37">
        <f>L1050/F1050</f>
        <v>0</v>
      </c>
      <c r="L1050" s="38">
        <v>0</v>
      </c>
    </row>
    <row r="1051" spans="1:12" s="39" customFormat="1" ht="28.95" customHeight="1" outlineLevel="1" x14ac:dyDescent="0.25">
      <c r="A1051" s="33">
        <v>2</v>
      </c>
      <c r="B1051" s="34" t="s">
        <v>48</v>
      </c>
      <c r="C1051" s="35" t="s">
        <v>106</v>
      </c>
      <c r="D1051" s="36">
        <v>2.2000000000000002</v>
      </c>
      <c r="E1051" s="36">
        <v>30.7</v>
      </c>
      <c r="F1051" s="36">
        <f>+E1051*D1051</f>
        <v>67.540000000000006</v>
      </c>
      <c r="G1051" s="37">
        <f>I1051+K1051</f>
        <v>0</v>
      </c>
      <c r="H1051" s="38">
        <f>J1051+L1051</f>
        <v>0</v>
      </c>
      <c r="I1051" s="37">
        <f>J1051/F1051</f>
        <v>0</v>
      </c>
      <c r="J1051" s="38">
        <v>0</v>
      </c>
      <c r="K1051" s="37">
        <f>L1051/F1051</f>
        <v>0</v>
      </c>
      <c r="L1051" s="38">
        <v>0</v>
      </c>
    </row>
    <row r="1052" spans="1:12" s="39" customFormat="1" ht="15.45" customHeight="1" outlineLevel="1" x14ac:dyDescent="0.25">
      <c r="A1052" s="31" t="s">
        <v>793</v>
      </c>
      <c r="B1052" s="40" t="s">
        <v>794</v>
      </c>
      <c r="C1052" s="41">
        <v>0</v>
      </c>
      <c r="D1052" s="42"/>
      <c r="E1052" s="42"/>
      <c r="F1052" s="42"/>
      <c r="G1052" s="43"/>
      <c r="H1052" s="44"/>
      <c r="I1052" s="43"/>
      <c r="J1052" s="44"/>
      <c r="K1052" s="43"/>
      <c r="L1052" s="44">
        <v>0</v>
      </c>
    </row>
    <row r="1053" spans="1:12" s="45" customFormat="1" ht="28.95" customHeight="1" x14ac:dyDescent="0.3">
      <c r="A1053" s="33">
        <v>1</v>
      </c>
      <c r="B1053" s="34" t="s">
        <v>298</v>
      </c>
      <c r="C1053" s="35" t="s">
        <v>106</v>
      </c>
      <c r="D1053" s="36">
        <v>2.6</v>
      </c>
      <c r="E1053" s="36">
        <v>6.5157999999999996</v>
      </c>
      <c r="F1053" s="36">
        <f>+E1053*D1053</f>
        <v>16.941079999999999</v>
      </c>
      <c r="G1053" s="37">
        <f t="shared" ref="G1053:H1056" si="223">I1053+K1053</f>
        <v>0</v>
      </c>
      <c r="H1053" s="38">
        <f t="shared" si="223"/>
        <v>0</v>
      </c>
      <c r="I1053" s="37">
        <f>J1053/F1053</f>
        <v>0</v>
      </c>
      <c r="J1053" s="38">
        <v>0</v>
      </c>
      <c r="K1053" s="37">
        <f>L1053/F1053</f>
        <v>0</v>
      </c>
      <c r="L1053" s="38">
        <v>0</v>
      </c>
    </row>
    <row r="1054" spans="1:12" s="39" customFormat="1" ht="28.95" customHeight="1" outlineLevel="1" x14ac:dyDescent="0.25">
      <c r="A1054" s="33">
        <v>2</v>
      </c>
      <c r="B1054" s="34" t="s">
        <v>299</v>
      </c>
      <c r="C1054" s="35" t="s">
        <v>106</v>
      </c>
      <c r="D1054" s="36">
        <v>2.6</v>
      </c>
      <c r="E1054" s="36">
        <v>8.2498000000000005</v>
      </c>
      <c r="F1054" s="36">
        <f>+E1054*D1054</f>
        <v>21.449480000000001</v>
      </c>
      <c r="G1054" s="37">
        <f t="shared" si="223"/>
        <v>0</v>
      </c>
      <c r="H1054" s="38">
        <f t="shared" si="223"/>
        <v>0</v>
      </c>
      <c r="I1054" s="37">
        <f>J1054/F1054</f>
        <v>0</v>
      </c>
      <c r="J1054" s="38">
        <v>0</v>
      </c>
      <c r="K1054" s="37">
        <f>L1054/F1054</f>
        <v>0</v>
      </c>
      <c r="L1054" s="38">
        <v>0</v>
      </c>
    </row>
    <row r="1055" spans="1:12" s="39" customFormat="1" ht="28.95" customHeight="1" outlineLevel="1" x14ac:dyDescent="0.25">
      <c r="A1055" s="33">
        <v>3</v>
      </c>
      <c r="B1055" s="34" t="s">
        <v>304</v>
      </c>
      <c r="C1055" s="35" t="s">
        <v>106</v>
      </c>
      <c r="D1055" s="36">
        <v>14.94</v>
      </c>
      <c r="E1055" s="36">
        <v>12.778600000000001</v>
      </c>
      <c r="F1055" s="36">
        <f>+E1055*D1055</f>
        <v>190.912284</v>
      </c>
      <c r="G1055" s="37">
        <f t="shared" si="223"/>
        <v>0</v>
      </c>
      <c r="H1055" s="38">
        <f t="shared" si="223"/>
        <v>0</v>
      </c>
      <c r="I1055" s="37">
        <f>J1055/F1055</f>
        <v>0</v>
      </c>
      <c r="J1055" s="38">
        <v>0</v>
      </c>
      <c r="K1055" s="37">
        <f>L1055/F1055</f>
        <v>0</v>
      </c>
      <c r="L1055" s="38">
        <v>0</v>
      </c>
    </row>
    <row r="1056" spans="1:12" s="39" customFormat="1" ht="28.95" customHeight="1" outlineLevel="1" x14ac:dyDescent="0.25">
      <c r="A1056" s="33">
        <v>4</v>
      </c>
      <c r="B1056" s="34" t="s">
        <v>305</v>
      </c>
      <c r="C1056" s="35" t="s">
        <v>106</v>
      </c>
      <c r="D1056" s="36">
        <v>14.94</v>
      </c>
      <c r="E1056" s="36">
        <v>5.71</v>
      </c>
      <c r="F1056" s="36">
        <f>+E1056*D1056</f>
        <v>85.307400000000001</v>
      </c>
      <c r="G1056" s="37">
        <f t="shared" si="223"/>
        <v>0</v>
      </c>
      <c r="H1056" s="38">
        <f t="shared" si="223"/>
        <v>0</v>
      </c>
      <c r="I1056" s="37">
        <f>J1056/F1056</f>
        <v>0</v>
      </c>
      <c r="J1056" s="38">
        <v>0</v>
      </c>
      <c r="K1056" s="37">
        <f>L1056/F1056</f>
        <v>0</v>
      </c>
      <c r="L1056" s="38">
        <v>0</v>
      </c>
    </row>
    <row r="1057" spans="1:12" s="39" customFormat="1" ht="15.45" customHeight="1" outlineLevel="1" x14ac:dyDescent="0.25">
      <c r="A1057" s="31" t="s">
        <v>795</v>
      </c>
      <c r="B1057" s="40" t="s">
        <v>796</v>
      </c>
      <c r="C1057" s="41">
        <v>0</v>
      </c>
      <c r="D1057" s="42"/>
      <c r="E1057" s="42"/>
      <c r="F1057" s="42"/>
      <c r="G1057" s="43"/>
      <c r="H1057" s="44"/>
      <c r="I1057" s="43"/>
      <c r="J1057" s="44"/>
      <c r="K1057" s="43"/>
      <c r="L1057" s="44">
        <v>0</v>
      </c>
    </row>
    <row r="1058" spans="1:12" s="39" customFormat="1" ht="15.45" customHeight="1" outlineLevel="1" x14ac:dyDescent="0.25">
      <c r="A1058" s="33">
        <v>1</v>
      </c>
      <c r="B1058" s="34" t="s">
        <v>310</v>
      </c>
      <c r="C1058" s="35" t="s">
        <v>106</v>
      </c>
      <c r="D1058" s="36">
        <v>33.200000000000003</v>
      </c>
      <c r="E1058" s="36">
        <v>10.320399999999999</v>
      </c>
      <c r="F1058" s="36">
        <f>+E1058*D1058</f>
        <v>342.63728000000003</v>
      </c>
      <c r="G1058" s="37">
        <f>I1058+K1058</f>
        <v>0</v>
      </c>
      <c r="H1058" s="38">
        <f>J1058+L1058</f>
        <v>0</v>
      </c>
      <c r="I1058" s="37">
        <f>J1058/F1058</f>
        <v>0</v>
      </c>
      <c r="J1058" s="38">
        <v>0</v>
      </c>
      <c r="K1058" s="37">
        <f>L1058/F1058</f>
        <v>0</v>
      </c>
      <c r="L1058" s="38">
        <v>0</v>
      </c>
    </row>
    <row r="1059" spans="1:12" s="39" customFormat="1" ht="28.95" customHeight="1" outlineLevel="1" x14ac:dyDescent="0.25">
      <c r="A1059" s="33">
        <v>2</v>
      </c>
      <c r="B1059" s="34" t="s">
        <v>797</v>
      </c>
      <c r="C1059" s="35" t="s">
        <v>106</v>
      </c>
      <c r="D1059" s="36">
        <v>33.200000000000003</v>
      </c>
      <c r="E1059" s="36">
        <v>4.9857999999999993</v>
      </c>
      <c r="F1059" s="36">
        <f>+E1059*D1059</f>
        <v>165.52856</v>
      </c>
      <c r="G1059" s="37">
        <f>I1059+K1059</f>
        <v>0</v>
      </c>
      <c r="H1059" s="38">
        <f>J1059+L1059</f>
        <v>0</v>
      </c>
      <c r="I1059" s="37">
        <f>J1059/F1059</f>
        <v>0</v>
      </c>
      <c r="J1059" s="38">
        <v>0</v>
      </c>
      <c r="K1059" s="37">
        <f>L1059/F1059</f>
        <v>0</v>
      </c>
      <c r="L1059" s="38">
        <v>0</v>
      </c>
    </row>
    <row r="1060" spans="1:12" s="39" customFormat="1" ht="15.45" customHeight="1" outlineLevel="1" x14ac:dyDescent="0.25">
      <c r="A1060" s="31" t="s">
        <v>798</v>
      </c>
      <c r="B1060" s="40" t="s">
        <v>799</v>
      </c>
      <c r="C1060" s="41">
        <v>0</v>
      </c>
      <c r="D1060" s="42"/>
      <c r="E1060" s="42"/>
      <c r="F1060" s="42"/>
      <c r="G1060" s="43"/>
      <c r="H1060" s="44"/>
      <c r="I1060" s="43"/>
      <c r="J1060" s="44"/>
      <c r="K1060" s="43"/>
      <c r="L1060" s="44">
        <v>0</v>
      </c>
    </row>
    <row r="1061" spans="1:12" s="39" customFormat="1" ht="28.95" customHeight="1" outlineLevel="1" x14ac:dyDescent="0.25">
      <c r="A1061" s="33">
        <v>1</v>
      </c>
      <c r="B1061" s="34" t="s">
        <v>800</v>
      </c>
      <c r="C1061" s="35" t="s">
        <v>55</v>
      </c>
      <c r="D1061" s="36">
        <v>1</v>
      </c>
      <c r="E1061" s="36">
        <v>51.811999999999998</v>
      </c>
      <c r="F1061" s="36">
        <f t="shared" ref="F1061:F1091" si="224">+E1061*D1061</f>
        <v>51.811999999999998</v>
      </c>
      <c r="G1061" s="37">
        <f t="shared" ref="G1061:G1091" si="225">I1061+K1061</f>
        <v>0</v>
      </c>
      <c r="H1061" s="38">
        <f t="shared" ref="H1061:H1091" si="226">J1061+L1061</f>
        <v>0</v>
      </c>
      <c r="I1061" s="37">
        <f t="shared" ref="I1061:I1091" si="227">J1061/F1061</f>
        <v>0</v>
      </c>
      <c r="J1061" s="38">
        <v>0</v>
      </c>
      <c r="K1061" s="37">
        <f t="shared" ref="K1061:K1091" si="228">L1061/F1061</f>
        <v>0</v>
      </c>
      <c r="L1061" s="38">
        <v>0</v>
      </c>
    </row>
    <row r="1062" spans="1:12" s="39" customFormat="1" ht="28.95" customHeight="1" outlineLevel="1" x14ac:dyDescent="0.25">
      <c r="A1062" s="33">
        <v>2</v>
      </c>
      <c r="B1062" s="34" t="s">
        <v>521</v>
      </c>
      <c r="C1062" s="35" t="s">
        <v>55</v>
      </c>
      <c r="D1062" s="36">
        <v>1</v>
      </c>
      <c r="E1062" s="36">
        <v>35.147199999999998</v>
      </c>
      <c r="F1062" s="36">
        <f t="shared" si="224"/>
        <v>35.147199999999998</v>
      </c>
      <c r="G1062" s="37">
        <f t="shared" si="225"/>
        <v>0</v>
      </c>
      <c r="H1062" s="38">
        <f t="shared" si="226"/>
        <v>0</v>
      </c>
      <c r="I1062" s="37">
        <f t="shared" si="227"/>
        <v>0</v>
      </c>
      <c r="J1062" s="38">
        <v>0</v>
      </c>
      <c r="K1062" s="37">
        <f t="shared" si="228"/>
        <v>0</v>
      </c>
      <c r="L1062" s="38">
        <v>0</v>
      </c>
    </row>
    <row r="1063" spans="1:12" s="39" customFormat="1" ht="15.45" customHeight="1" outlineLevel="1" x14ac:dyDescent="0.25">
      <c r="A1063" s="33">
        <v>3</v>
      </c>
      <c r="B1063" s="34" t="s">
        <v>511</v>
      </c>
      <c r="C1063" s="35" t="s">
        <v>55</v>
      </c>
      <c r="D1063" s="36">
        <v>1</v>
      </c>
      <c r="E1063" s="36">
        <v>20.79</v>
      </c>
      <c r="F1063" s="36">
        <f t="shared" si="224"/>
        <v>20.79</v>
      </c>
      <c r="G1063" s="37">
        <f t="shared" si="225"/>
        <v>0</v>
      </c>
      <c r="H1063" s="38">
        <f t="shared" si="226"/>
        <v>0</v>
      </c>
      <c r="I1063" s="37">
        <f t="shared" si="227"/>
        <v>0</v>
      </c>
      <c r="J1063" s="38">
        <v>0</v>
      </c>
      <c r="K1063" s="37">
        <f t="shared" si="228"/>
        <v>0</v>
      </c>
      <c r="L1063" s="38">
        <v>0</v>
      </c>
    </row>
    <row r="1064" spans="1:12" s="46" customFormat="1" ht="15.45" customHeight="1" outlineLevel="1" x14ac:dyDescent="0.35">
      <c r="A1064" s="33">
        <v>4</v>
      </c>
      <c r="B1064" s="34" t="s">
        <v>801</v>
      </c>
      <c r="C1064" s="35" t="s">
        <v>55</v>
      </c>
      <c r="D1064" s="36">
        <v>2</v>
      </c>
      <c r="E1064" s="36">
        <v>4.3921999999999999</v>
      </c>
      <c r="F1064" s="36">
        <f t="shared" si="224"/>
        <v>8.7843999999999998</v>
      </c>
      <c r="G1064" s="37">
        <f t="shared" si="225"/>
        <v>0</v>
      </c>
      <c r="H1064" s="38">
        <f t="shared" si="226"/>
        <v>0</v>
      </c>
      <c r="I1064" s="37">
        <f t="shared" si="227"/>
        <v>0</v>
      </c>
      <c r="J1064" s="38">
        <v>0</v>
      </c>
      <c r="K1064" s="37">
        <f t="shared" si="228"/>
        <v>0</v>
      </c>
      <c r="L1064" s="38">
        <v>0</v>
      </c>
    </row>
    <row r="1065" spans="1:12" s="39" customFormat="1" ht="15.45" customHeight="1" outlineLevel="1" x14ac:dyDescent="0.25">
      <c r="A1065" s="33">
        <v>5</v>
      </c>
      <c r="B1065" s="34" t="s">
        <v>802</v>
      </c>
      <c r="C1065" s="35" t="s">
        <v>55</v>
      </c>
      <c r="D1065" s="36">
        <v>4</v>
      </c>
      <c r="E1065" s="36">
        <v>4.3921999999999999</v>
      </c>
      <c r="F1065" s="36">
        <f t="shared" si="224"/>
        <v>17.5688</v>
      </c>
      <c r="G1065" s="37">
        <f t="shared" si="225"/>
        <v>0</v>
      </c>
      <c r="H1065" s="38">
        <f t="shared" si="226"/>
        <v>0</v>
      </c>
      <c r="I1065" s="37">
        <f t="shared" si="227"/>
        <v>0</v>
      </c>
      <c r="J1065" s="38">
        <v>0</v>
      </c>
      <c r="K1065" s="37">
        <f t="shared" si="228"/>
        <v>0</v>
      </c>
      <c r="L1065" s="38">
        <v>0</v>
      </c>
    </row>
    <row r="1066" spans="1:12" s="39" customFormat="1" ht="15.45" customHeight="1" outlineLevel="1" x14ac:dyDescent="0.25">
      <c r="A1066" s="33">
        <v>6</v>
      </c>
      <c r="B1066" s="34" t="s">
        <v>513</v>
      </c>
      <c r="C1066" s="35" t="s">
        <v>55</v>
      </c>
      <c r="D1066" s="36">
        <v>7</v>
      </c>
      <c r="E1066" s="36">
        <v>14.3698</v>
      </c>
      <c r="F1066" s="36">
        <f t="shared" si="224"/>
        <v>100.5886</v>
      </c>
      <c r="G1066" s="37">
        <f t="shared" si="225"/>
        <v>0</v>
      </c>
      <c r="H1066" s="38">
        <f t="shared" si="226"/>
        <v>0</v>
      </c>
      <c r="I1066" s="37">
        <f t="shared" si="227"/>
        <v>0</v>
      </c>
      <c r="J1066" s="38">
        <v>0</v>
      </c>
      <c r="K1066" s="37">
        <f t="shared" si="228"/>
        <v>0</v>
      </c>
      <c r="L1066" s="38">
        <v>0</v>
      </c>
    </row>
    <row r="1067" spans="1:12" s="39" customFormat="1" ht="15.45" customHeight="1" outlineLevel="1" x14ac:dyDescent="0.25">
      <c r="A1067" s="33">
        <v>7</v>
      </c>
      <c r="B1067" s="34" t="s">
        <v>803</v>
      </c>
      <c r="C1067" s="35" t="s">
        <v>55</v>
      </c>
      <c r="D1067" s="36">
        <v>1</v>
      </c>
      <c r="E1067" s="36">
        <v>10.930400000000001</v>
      </c>
      <c r="F1067" s="36">
        <f t="shared" si="224"/>
        <v>10.930400000000001</v>
      </c>
      <c r="G1067" s="37">
        <f t="shared" si="225"/>
        <v>0</v>
      </c>
      <c r="H1067" s="38">
        <f t="shared" si="226"/>
        <v>0</v>
      </c>
      <c r="I1067" s="37">
        <f t="shared" si="227"/>
        <v>0</v>
      </c>
      <c r="J1067" s="38">
        <v>0</v>
      </c>
      <c r="K1067" s="37">
        <f t="shared" si="228"/>
        <v>0</v>
      </c>
      <c r="L1067" s="38">
        <v>0</v>
      </c>
    </row>
    <row r="1068" spans="1:12" s="39" customFormat="1" ht="15.45" customHeight="1" outlineLevel="1" x14ac:dyDescent="0.25">
      <c r="A1068" s="33">
        <v>8</v>
      </c>
      <c r="B1068" s="34" t="s">
        <v>513</v>
      </c>
      <c r="C1068" s="35" t="s">
        <v>55</v>
      </c>
      <c r="D1068" s="36">
        <v>1</v>
      </c>
      <c r="E1068" s="36">
        <v>14.3698</v>
      </c>
      <c r="F1068" s="36">
        <f t="shared" si="224"/>
        <v>14.3698</v>
      </c>
      <c r="G1068" s="37">
        <f t="shared" si="225"/>
        <v>0</v>
      </c>
      <c r="H1068" s="38">
        <f t="shared" si="226"/>
        <v>0</v>
      </c>
      <c r="I1068" s="37">
        <f t="shared" si="227"/>
        <v>0</v>
      </c>
      <c r="J1068" s="38">
        <v>0</v>
      </c>
      <c r="K1068" s="37">
        <f t="shared" si="228"/>
        <v>0</v>
      </c>
      <c r="L1068" s="38">
        <v>0</v>
      </c>
    </row>
    <row r="1069" spans="1:12" s="39" customFormat="1" ht="15.45" customHeight="1" outlineLevel="1" x14ac:dyDescent="0.25">
      <c r="A1069" s="33">
        <v>9</v>
      </c>
      <c r="B1069" s="34" t="s">
        <v>804</v>
      </c>
      <c r="C1069" s="35" t="s">
        <v>55</v>
      </c>
      <c r="D1069" s="36">
        <v>1</v>
      </c>
      <c r="E1069" s="36">
        <v>29.851400000000009</v>
      </c>
      <c r="F1069" s="36">
        <f t="shared" si="224"/>
        <v>29.851400000000009</v>
      </c>
      <c r="G1069" s="37">
        <f t="shared" si="225"/>
        <v>0</v>
      </c>
      <c r="H1069" s="38">
        <f t="shared" si="226"/>
        <v>0</v>
      </c>
      <c r="I1069" s="37">
        <f t="shared" si="227"/>
        <v>0</v>
      </c>
      <c r="J1069" s="38">
        <v>0</v>
      </c>
      <c r="K1069" s="37">
        <f t="shared" si="228"/>
        <v>0</v>
      </c>
      <c r="L1069" s="38">
        <v>0</v>
      </c>
    </row>
    <row r="1070" spans="1:12" s="39" customFormat="1" ht="28.95" customHeight="1" outlineLevel="1" x14ac:dyDescent="0.25">
      <c r="A1070" s="33">
        <v>10</v>
      </c>
      <c r="B1070" s="34" t="s">
        <v>805</v>
      </c>
      <c r="C1070" s="35" t="s">
        <v>55</v>
      </c>
      <c r="D1070" s="36">
        <v>2</v>
      </c>
      <c r="E1070" s="36">
        <v>18.305</v>
      </c>
      <c r="F1070" s="36">
        <f t="shared" si="224"/>
        <v>36.61</v>
      </c>
      <c r="G1070" s="37">
        <f t="shared" si="225"/>
        <v>0</v>
      </c>
      <c r="H1070" s="38">
        <f t="shared" si="226"/>
        <v>0</v>
      </c>
      <c r="I1070" s="37">
        <f t="shared" si="227"/>
        <v>0</v>
      </c>
      <c r="J1070" s="38">
        <v>0</v>
      </c>
      <c r="K1070" s="37">
        <f t="shared" si="228"/>
        <v>0</v>
      </c>
      <c r="L1070" s="38">
        <v>0</v>
      </c>
    </row>
    <row r="1071" spans="1:12" s="39" customFormat="1" ht="28.95" customHeight="1" outlineLevel="1" x14ac:dyDescent="0.25">
      <c r="A1071" s="33">
        <v>11</v>
      </c>
      <c r="B1071" s="34" t="s">
        <v>594</v>
      </c>
      <c r="C1071" s="35" t="s">
        <v>55</v>
      </c>
      <c r="D1071" s="36">
        <v>3</v>
      </c>
      <c r="E1071" s="36">
        <v>13.5334</v>
      </c>
      <c r="F1071" s="36">
        <f t="shared" si="224"/>
        <v>40.600200000000001</v>
      </c>
      <c r="G1071" s="37">
        <f t="shared" si="225"/>
        <v>0</v>
      </c>
      <c r="H1071" s="38">
        <f t="shared" si="226"/>
        <v>0</v>
      </c>
      <c r="I1071" s="37">
        <f t="shared" si="227"/>
        <v>0</v>
      </c>
      <c r="J1071" s="38">
        <v>0</v>
      </c>
      <c r="K1071" s="37">
        <f t="shared" si="228"/>
        <v>0</v>
      </c>
      <c r="L1071" s="38">
        <v>0</v>
      </c>
    </row>
    <row r="1072" spans="1:12" s="39" customFormat="1" ht="15.45" customHeight="1" outlineLevel="1" x14ac:dyDescent="0.25">
      <c r="A1072" s="33">
        <v>12</v>
      </c>
      <c r="B1072" s="34" t="s">
        <v>806</v>
      </c>
      <c r="C1072" s="35" t="s">
        <v>55</v>
      </c>
      <c r="D1072" s="36">
        <v>1</v>
      </c>
      <c r="E1072" s="36">
        <v>82.779199999999989</v>
      </c>
      <c r="F1072" s="36">
        <f t="shared" si="224"/>
        <v>82.779199999999989</v>
      </c>
      <c r="G1072" s="37">
        <f t="shared" si="225"/>
        <v>0</v>
      </c>
      <c r="H1072" s="38">
        <f t="shared" si="226"/>
        <v>0</v>
      </c>
      <c r="I1072" s="37">
        <f t="shared" si="227"/>
        <v>0</v>
      </c>
      <c r="J1072" s="38">
        <v>0</v>
      </c>
      <c r="K1072" s="37">
        <f t="shared" si="228"/>
        <v>0</v>
      </c>
      <c r="L1072" s="38">
        <v>0</v>
      </c>
    </row>
    <row r="1073" spans="1:12" s="39" customFormat="1" ht="28.95" customHeight="1" outlineLevel="1" x14ac:dyDescent="0.25">
      <c r="A1073" s="33">
        <v>13</v>
      </c>
      <c r="B1073" s="34" t="s">
        <v>807</v>
      </c>
      <c r="C1073" s="35" t="s">
        <v>55</v>
      </c>
      <c r="D1073" s="36">
        <v>1</v>
      </c>
      <c r="E1073" s="36">
        <v>3.9434</v>
      </c>
      <c r="F1073" s="36">
        <f t="shared" si="224"/>
        <v>3.9434</v>
      </c>
      <c r="G1073" s="37">
        <f t="shared" si="225"/>
        <v>0</v>
      </c>
      <c r="H1073" s="38">
        <f t="shared" si="226"/>
        <v>0</v>
      </c>
      <c r="I1073" s="37">
        <f t="shared" si="227"/>
        <v>0</v>
      </c>
      <c r="J1073" s="38">
        <v>0</v>
      </c>
      <c r="K1073" s="37">
        <f t="shared" si="228"/>
        <v>0</v>
      </c>
      <c r="L1073" s="38">
        <v>0</v>
      </c>
    </row>
    <row r="1074" spans="1:12" s="39" customFormat="1" ht="28.95" customHeight="1" outlineLevel="1" x14ac:dyDescent="0.25">
      <c r="A1074" s="33">
        <v>14</v>
      </c>
      <c r="B1074" s="34" t="s">
        <v>607</v>
      </c>
      <c r="C1074" s="35" t="s">
        <v>55</v>
      </c>
      <c r="D1074" s="36">
        <v>1</v>
      </c>
      <c r="E1074" s="36">
        <v>3.67</v>
      </c>
      <c r="F1074" s="36">
        <f t="shared" si="224"/>
        <v>3.67</v>
      </c>
      <c r="G1074" s="37">
        <f t="shared" si="225"/>
        <v>0</v>
      </c>
      <c r="H1074" s="38">
        <f t="shared" si="226"/>
        <v>0</v>
      </c>
      <c r="I1074" s="37">
        <f t="shared" si="227"/>
        <v>0</v>
      </c>
      <c r="J1074" s="38">
        <v>0</v>
      </c>
      <c r="K1074" s="37">
        <f t="shared" si="228"/>
        <v>0</v>
      </c>
      <c r="L1074" s="38">
        <v>0</v>
      </c>
    </row>
    <row r="1075" spans="1:12" s="39" customFormat="1" ht="28.95" customHeight="1" outlineLevel="1" x14ac:dyDescent="0.25">
      <c r="A1075" s="33">
        <v>15</v>
      </c>
      <c r="B1075" s="34" t="s">
        <v>808</v>
      </c>
      <c r="C1075" s="35" t="s">
        <v>55</v>
      </c>
      <c r="D1075" s="36">
        <v>1</v>
      </c>
      <c r="E1075" s="36">
        <v>6.5444000000000004</v>
      </c>
      <c r="F1075" s="36">
        <f t="shared" si="224"/>
        <v>6.5444000000000004</v>
      </c>
      <c r="G1075" s="37">
        <f t="shared" si="225"/>
        <v>0</v>
      </c>
      <c r="H1075" s="38">
        <f t="shared" si="226"/>
        <v>0</v>
      </c>
      <c r="I1075" s="37">
        <f t="shared" si="227"/>
        <v>0</v>
      </c>
      <c r="J1075" s="38">
        <v>0</v>
      </c>
      <c r="K1075" s="37">
        <f t="shared" si="228"/>
        <v>0</v>
      </c>
      <c r="L1075" s="38">
        <v>0</v>
      </c>
    </row>
    <row r="1076" spans="1:12" s="45" customFormat="1" ht="15.45" customHeight="1" x14ac:dyDescent="0.3">
      <c r="A1076" s="33">
        <v>16</v>
      </c>
      <c r="B1076" s="34" t="s">
        <v>612</v>
      </c>
      <c r="C1076" s="35" t="s">
        <v>55</v>
      </c>
      <c r="D1076" s="36">
        <v>1</v>
      </c>
      <c r="E1076" s="36">
        <v>8.882200000000001</v>
      </c>
      <c r="F1076" s="36">
        <f t="shared" si="224"/>
        <v>8.882200000000001</v>
      </c>
      <c r="G1076" s="37">
        <f t="shared" si="225"/>
        <v>0</v>
      </c>
      <c r="H1076" s="38">
        <f t="shared" si="226"/>
        <v>0</v>
      </c>
      <c r="I1076" s="37">
        <f t="shared" si="227"/>
        <v>0</v>
      </c>
      <c r="J1076" s="38">
        <v>0</v>
      </c>
      <c r="K1076" s="37">
        <f t="shared" si="228"/>
        <v>0</v>
      </c>
      <c r="L1076" s="38">
        <v>0</v>
      </c>
    </row>
    <row r="1077" spans="1:12" s="39" customFormat="1" ht="28.95" customHeight="1" outlineLevel="1" x14ac:dyDescent="0.25">
      <c r="A1077" s="33">
        <v>17</v>
      </c>
      <c r="B1077" s="34" t="s">
        <v>809</v>
      </c>
      <c r="C1077" s="35" t="s">
        <v>55</v>
      </c>
      <c r="D1077" s="36">
        <v>2</v>
      </c>
      <c r="E1077" s="36">
        <v>4.2595999999999989</v>
      </c>
      <c r="F1077" s="36">
        <f t="shared" si="224"/>
        <v>8.5191999999999979</v>
      </c>
      <c r="G1077" s="37">
        <f t="shared" si="225"/>
        <v>0</v>
      </c>
      <c r="H1077" s="38">
        <f t="shared" si="226"/>
        <v>0</v>
      </c>
      <c r="I1077" s="37">
        <f t="shared" si="227"/>
        <v>0</v>
      </c>
      <c r="J1077" s="38">
        <v>0</v>
      </c>
      <c r="K1077" s="37">
        <f t="shared" si="228"/>
        <v>0</v>
      </c>
      <c r="L1077" s="38">
        <v>0</v>
      </c>
    </row>
    <row r="1078" spans="1:12" s="39" customFormat="1" ht="28.95" customHeight="1" outlineLevel="1" x14ac:dyDescent="0.25">
      <c r="A1078" s="33">
        <v>18</v>
      </c>
      <c r="B1078" s="34" t="s">
        <v>545</v>
      </c>
      <c r="C1078" s="35" t="s">
        <v>55</v>
      </c>
      <c r="D1078" s="36">
        <v>2</v>
      </c>
      <c r="E1078" s="36">
        <v>4.3635999999999999</v>
      </c>
      <c r="F1078" s="36">
        <f t="shared" si="224"/>
        <v>8.7271999999999998</v>
      </c>
      <c r="G1078" s="37">
        <f t="shared" si="225"/>
        <v>0</v>
      </c>
      <c r="H1078" s="38">
        <f t="shared" si="226"/>
        <v>0</v>
      </c>
      <c r="I1078" s="37">
        <f t="shared" si="227"/>
        <v>0</v>
      </c>
      <c r="J1078" s="38">
        <v>0</v>
      </c>
      <c r="K1078" s="37">
        <f t="shared" si="228"/>
        <v>0</v>
      </c>
      <c r="L1078" s="38">
        <v>0</v>
      </c>
    </row>
    <row r="1079" spans="1:12" s="39" customFormat="1" ht="15.45" customHeight="1" outlineLevel="1" x14ac:dyDescent="0.25">
      <c r="A1079" s="33">
        <v>19</v>
      </c>
      <c r="B1079" s="34" t="s">
        <v>549</v>
      </c>
      <c r="C1079" s="35" t="s">
        <v>55</v>
      </c>
      <c r="D1079" s="36">
        <v>4</v>
      </c>
      <c r="E1079" s="36">
        <v>0.9</v>
      </c>
      <c r="F1079" s="36">
        <f t="shared" si="224"/>
        <v>3.6</v>
      </c>
      <c r="G1079" s="37">
        <f t="shared" si="225"/>
        <v>0</v>
      </c>
      <c r="H1079" s="38">
        <f t="shared" si="226"/>
        <v>0</v>
      </c>
      <c r="I1079" s="37">
        <f t="shared" si="227"/>
        <v>0</v>
      </c>
      <c r="J1079" s="38">
        <v>0</v>
      </c>
      <c r="K1079" s="37">
        <f t="shared" si="228"/>
        <v>0</v>
      </c>
      <c r="L1079" s="38">
        <v>0</v>
      </c>
    </row>
    <row r="1080" spans="1:12" s="39" customFormat="1" ht="15.45" customHeight="1" outlineLevel="1" x14ac:dyDescent="0.25">
      <c r="A1080" s="33">
        <v>20</v>
      </c>
      <c r="B1080" s="34" t="s">
        <v>810</v>
      </c>
      <c r="C1080" s="35" t="s">
        <v>55</v>
      </c>
      <c r="D1080" s="36">
        <v>5</v>
      </c>
      <c r="E1080" s="36">
        <v>0.9</v>
      </c>
      <c r="F1080" s="36">
        <f t="shared" si="224"/>
        <v>4.5</v>
      </c>
      <c r="G1080" s="37">
        <f t="shared" si="225"/>
        <v>0</v>
      </c>
      <c r="H1080" s="38">
        <f t="shared" si="226"/>
        <v>0</v>
      </c>
      <c r="I1080" s="37">
        <f t="shared" si="227"/>
        <v>0</v>
      </c>
      <c r="J1080" s="38">
        <v>0</v>
      </c>
      <c r="K1080" s="37">
        <f t="shared" si="228"/>
        <v>0</v>
      </c>
      <c r="L1080" s="38">
        <v>0</v>
      </c>
    </row>
    <row r="1081" spans="1:12" s="45" customFormat="1" ht="28.95" customHeight="1" x14ac:dyDescent="0.3">
      <c r="A1081" s="33">
        <v>21</v>
      </c>
      <c r="B1081" s="34" t="s">
        <v>811</v>
      </c>
      <c r="C1081" s="35" t="s">
        <v>50</v>
      </c>
      <c r="D1081" s="36">
        <v>60</v>
      </c>
      <c r="E1081" s="36">
        <v>0.9</v>
      </c>
      <c r="F1081" s="36">
        <f t="shared" si="224"/>
        <v>54</v>
      </c>
      <c r="G1081" s="37">
        <f t="shared" si="225"/>
        <v>0</v>
      </c>
      <c r="H1081" s="38">
        <f t="shared" si="226"/>
        <v>0</v>
      </c>
      <c r="I1081" s="37">
        <f t="shared" si="227"/>
        <v>0</v>
      </c>
      <c r="J1081" s="38">
        <v>0</v>
      </c>
      <c r="K1081" s="37">
        <f t="shared" si="228"/>
        <v>0</v>
      </c>
      <c r="L1081" s="38">
        <v>0</v>
      </c>
    </row>
    <row r="1082" spans="1:12" s="39" customFormat="1" ht="28.95" customHeight="1" outlineLevel="1" x14ac:dyDescent="0.25">
      <c r="A1082" s="33">
        <v>22</v>
      </c>
      <c r="B1082" s="34" t="s">
        <v>554</v>
      </c>
      <c r="C1082" s="35" t="s">
        <v>50</v>
      </c>
      <c r="D1082" s="36">
        <v>60</v>
      </c>
      <c r="E1082" s="36">
        <v>2.1604000000000001</v>
      </c>
      <c r="F1082" s="36">
        <f t="shared" si="224"/>
        <v>129.624</v>
      </c>
      <c r="G1082" s="37">
        <f t="shared" si="225"/>
        <v>0</v>
      </c>
      <c r="H1082" s="38">
        <f t="shared" si="226"/>
        <v>0</v>
      </c>
      <c r="I1082" s="37">
        <f t="shared" si="227"/>
        <v>0</v>
      </c>
      <c r="J1082" s="38">
        <v>0</v>
      </c>
      <c r="K1082" s="37">
        <f t="shared" si="228"/>
        <v>0</v>
      </c>
      <c r="L1082" s="38">
        <v>0</v>
      </c>
    </row>
    <row r="1083" spans="1:12" s="39" customFormat="1" ht="15.45" customHeight="1" outlineLevel="1" x14ac:dyDescent="0.25">
      <c r="A1083" s="33">
        <v>23</v>
      </c>
      <c r="B1083" s="34" t="s">
        <v>560</v>
      </c>
      <c r="C1083" s="35" t="s">
        <v>50</v>
      </c>
      <c r="D1083" s="36">
        <v>40</v>
      </c>
      <c r="E1083" s="36">
        <v>5.0999999999999996</v>
      </c>
      <c r="F1083" s="36">
        <f t="shared" si="224"/>
        <v>204</v>
      </c>
      <c r="G1083" s="37">
        <f t="shared" si="225"/>
        <v>0</v>
      </c>
      <c r="H1083" s="38">
        <f t="shared" si="226"/>
        <v>0</v>
      </c>
      <c r="I1083" s="37">
        <f t="shared" si="227"/>
        <v>0</v>
      </c>
      <c r="J1083" s="38">
        <v>0</v>
      </c>
      <c r="K1083" s="37">
        <f t="shared" si="228"/>
        <v>0</v>
      </c>
      <c r="L1083" s="38">
        <v>0</v>
      </c>
    </row>
    <row r="1084" spans="1:12" s="39" customFormat="1" ht="15.45" customHeight="1" outlineLevel="1" x14ac:dyDescent="0.25">
      <c r="A1084" s="33">
        <v>24</v>
      </c>
      <c r="B1084" s="34" t="s">
        <v>561</v>
      </c>
      <c r="C1084" s="35" t="s">
        <v>50</v>
      </c>
      <c r="D1084" s="36">
        <v>20</v>
      </c>
      <c r="E1084" s="36">
        <v>6.1</v>
      </c>
      <c r="F1084" s="36">
        <f t="shared" si="224"/>
        <v>122</v>
      </c>
      <c r="G1084" s="37">
        <f t="shared" si="225"/>
        <v>0</v>
      </c>
      <c r="H1084" s="38">
        <f t="shared" si="226"/>
        <v>0</v>
      </c>
      <c r="I1084" s="37">
        <f t="shared" si="227"/>
        <v>0</v>
      </c>
      <c r="J1084" s="38">
        <v>0</v>
      </c>
      <c r="K1084" s="37">
        <f t="shared" si="228"/>
        <v>0</v>
      </c>
      <c r="L1084" s="38">
        <v>0</v>
      </c>
    </row>
    <row r="1085" spans="1:12" s="46" customFormat="1" ht="28.95" customHeight="1" outlineLevel="1" x14ac:dyDescent="0.35">
      <c r="A1085" s="33">
        <v>25</v>
      </c>
      <c r="B1085" s="34" t="s">
        <v>617</v>
      </c>
      <c r="C1085" s="35" t="s">
        <v>50</v>
      </c>
      <c r="D1085" s="36">
        <v>60</v>
      </c>
      <c r="E1085" s="36">
        <v>2.0175999999999998</v>
      </c>
      <c r="F1085" s="36">
        <f t="shared" si="224"/>
        <v>121.05599999999998</v>
      </c>
      <c r="G1085" s="37">
        <f t="shared" si="225"/>
        <v>0</v>
      </c>
      <c r="H1085" s="38">
        <f t="shared" si="226"/>
        <v>0</v>
      </c>
      <c r="I1085" s="37">
        <f t="shared" si="227"/>
        <v>0</v>
      </c>
      <c r="J1085" s="38">
        <v>0</v>
      </c>
      <c r="K1085" s="37">
        <f t="shared" si="228"/>
        <v>0</v>
      </c>
      <c r="L1085" s="38">
        <v>0</v>
      </c>
    </row>
    <row r="1086" spans="1:12" s="39" customFormat="1" ht="15.45" customHeight="1" outlineLevel="1" x14ac:dyDescent="0.25">
      <c r="A1086" s="33">
        <v>26</v>
      </c>
      <c r="B1086" s="34" t="s">
        <v>573</v>
      </c>
      <c r="C1086" s="35" t="s">
        <v>289</v>
      </c>
      <c r="D1086" s="36">
        <v>8.0299999999999994</v>
      </c>
      <c r="E1086" s="36">
        <v>1.4239999999999999</v>
      </c>
      <c r="F1086" s="36">
        <f t="shared" si="224"/>
        <v>11.434719999999999</v>
      </c>
      <c r="G1086" s="37">
        <f t="shared" si="225"/>
        <v>0</v>
      </c>
      <c r="H1086" s="38">
        <f t="shared" si="226"/>
        <v>0</v>
      </c>
      <c r="I1086" s="37">
        <f t="shared" si="227"/>
        <v>0</v>
      </c>
      <c r="J1086" s="38">
        <v>0</v>
      </c>
      <c r="K1086" s="37">
        <f t="shared" si="228"/>
        <v>0</v>
      </c>
      <c r="L1086" s="38">
        <v>0</v>
      </c>
    </row>
    <row r="1087" spans="1:12" s="39" customFormat="1" ht="15.45" customHeight="1" outlineLevel="1" x14ac:dyDescent="0.25">
      <c r="A1087" s="33">
        <v>27</v>
      </c>
      <c r="B1087" s="34" t="s">
        <v>574</v>
      </c>
      <c r="C1087" s="35" t="s">
        <v>55</v>
      </c>
      <c r="D1087" s="36">
        <v>1</v>
      </c>
      <c r="E1087" s="36">
        <v>10.708</v>
      </c>
      <c r="F1087" s="36">
        <f t="shared" si="224"/>
        <v>10.708</v>
      </c>
      <c r="G1087" s="37">
        <f t="shared" si="225"/>
        <v>0</v>
      </c>
      <c r="H1087" s="38">
        <f t="shared" si="226"/>
        <v>0</v>
      </c>
      <c r="I1087" s="37">
        <f t="shared" si="227"/>
        <v>0</v>
      </c>
      <c r="J1087" s="38">
        <v>0</v>
      </c>
      <c r="K1087" s="37">
        <f t="shared" si="228"/>
        <v>0</v>
      </c>
      <c r="L1087" s="38">
        <v>0</v>
      </c>
    </row>
    <row r="1088" spans="1:12" s="45" customFormat="1" ht="15.45" customHeight="1" x14ac:dyDescent="0.3">
      <c r="A1088" s="33">
        <v>28</v>
      </c>
      <c r="B1088" s="34" t="s">
        <v>575</v>
      </c>
      <c r="C1088" s="35" t="s">
        <v>50</v>
      </c>
      <c r="D1088" s="36">
        <v>5</v>
      </c>
      <c r="E1088" s="36">
        <v>4.9429999999999996</v>
      </c>
      <c r="F1088" s="36">
        <f t="shared" si="224"/>
        <v>24.714999999999996</v>
      </c>
      <c r="G1088" s="37">
        <f t="shared" si="225"/>
        <v>0</v>
      </c>
      <c r="H1088" s="38">
        <f t="shared" si="226"/>
        <v>0</v>
      </c>
      <c r="I1088" s="37">
        <f t="shared" si="227"/>
        <v>0</v>
      </c>
      <c r="J1088" s="38">
        <v>0</v>
      </c>
      <c r="K1088" s="37">
        <f t="shared" si="228"/>
        <v>0</v>
      </c>
      <c r="L1088" s="38">
        <v>0</v>
      </c>
    </row>
    <row r="1089" spans="1:12" s="39" customFormat="1" ht="28.95" customHeight="1" outlineLevel="1" x14ac:dyDescent="0.25">
      <c r="A1089" s="33">
        <v>29</v>
      </c>
      <c r="B1089" s="34" t="s">
        <v>576</v>
      </c>
      <c r="C1089" s="35" t="s">
        <v>50</v>
      </c>
      <c r="D1089" s="36">
        <v>5</v>
      </c>
      <c r="E1089" s="36">
        <v>2.1909999999999998</v>
      </c>
      <c r="F1089" s="36">
        <f t="shared" si="224"/>
        <v>10.954999999999998</v>
      </c>
      <c r="G1089" s="37">
        <f t="shared" si="225"/>
        <v>0</v>
      </c>
      <c r="H1089" s="38">
        <f t="shared" si="226"/>
        <v>0</v>
      </c>
      <c r="I1089" s="37">
        <f t="shared" si="227"/>
        <v>0</v>
      </c>
      <c r="J1089" s="38">
        <v>0</v>
      </c>
      <c r="K1089" s="37">
        <f t="shared" si="228"/>
        <v>0</v>
      </c>
      <c r="L1089" s="38">
        <v>0</v>
      </c>
    </row>
    <row r="1090" spans="1:12" s="39" customFormat="1" ht="15.45" customHeight="1" outlineLevel="1" x14ac:dyDescent="0.25">
      <c r="A1090" s="33">
        <v>30</v>
      </c>
      <c r="B1090" s="34" t="s">
        <v>577</v>
      </c>
      <c r="C1090" s="35" t="s">
        <v>50</v>
      </c>
      <c r="D1090" s="36">
        <v>5</v>
      </c>
      <c r="E1090" s="36">
        <v>7.3807999999999998</v>
      </c>
      <c r="F1090" s="36">
        <f t="shared" si="224"/>
        <v>36.903999999999996</v>
      </c>
      <c r="G1090" s="37">
        <f t="shared" si="225"/>
        <v>0</v>
      </c>
      <c r="H1090" s="38">
        <f t="shared" si="226"/>
        <v>0</v>
      </c>
      <c r="I1090" s="37">
        <f t="shared" si="227"/>
        <v>0</v>
      </c>
      <c r="J1090" s="38">
        <v>0</v>
      </c>
      <c r="K1090" s="37">
        <f t="shared" si="228"/>
        <v>0</v>
      </c>
      <c r="L1090" s="38">
        <v>0</v>
      </c>
    </row>
    <row r="1091" spans="1:12" s="39" customFormat="1" ht="15.45" customHeight="1" outlineLevel="1" x14ac:dyDescent="0.25">
      <c r="A1091" s="33">
        <v>31</v>
      </c>
      <c r="B1091" s="34" t="s">
        <v>578</v>
      </c>
      <c r="C1091" s="35" t="s">
        <v>50</v>
      </c>
      <c r="D1091" s="36">
        <v>5</v>
      </c>
      <c r="E1091" s="36">
        <v>2.1604000000000001</v>
      </c>
      <c r="F1091" s="36">
        <f t="shared" si="224"/>
        <v>10.802</v>
      </c>
      <c r="G1091" s="37">
        <f t="shared" si="225"/>
        <v>0</v>
      </c>
      <c r="H1091" s="38">
        <f t="shared" si="226"/>
        <v>0</v>
      </c>
      <c r="I1091" s="37">
        <f t="shared" si="227"/>
        <v>0</v>
      </c>
      <c r="J1091" s="38">
        <v>0</v>
      </c>
      <c r="K1091" s="37">
        <f t="shared" si="228"/>
        <v>0</v>
      </c>
      <c r="L1091" s="38">
        <v>0</v>
      </c>
    </row>
    <row r="1092" spans="1:12" s="39" customFormat="1" ht="28.95" customHeight="1" outlineLevel="1" x14ac:dyDescent="0.25">
      <c r="A1092" s="31" t="s">
        <v>812</v>
      </c>
      <c r="B1092" s="40" t="s">
        <v>813</v>
      </c>
      <c r="C1092" s="41">
        <v>0</v>
      </c>
      <c r="D1092" s="42"/>
      <c r="E1092" s="42"/>
      <c r="F1092" s="42"/>
      <c r="G1092" s="43"/>
      <c r="H1092" s="44"/>
      <c r="I1092" s="43"/>
      <c r="J1092" s="44"/>
      <c r="K1092" s="43"/>
      <c r="L1092" s="44">
        <v>0</v>
      </c>
    </row>
    <row r="1093" spans="1:12" s="39" customFormat="1" ht="28.95" customHeight="1" outlineLevel="1" x14ac:dyDescent="0.25">
      <c r="A1093" s="33">
        <v>1</v>
      </c>
      <c r="B1093" s="34" t="s">
        <v>814</v>
      </c>
      <c r="C1093" s="35" t="s">
        <v>115</v>
      </c>
      <c r="D1093" s="36">
        <v>1</v>
      </c>
      <c r="E1093" s="36">
        <v>82.779199999999989</v>
      </c>
      <c r="F1093" s="36">
        <f t="shared" ref="F1093:F1103" si="229">+E1093*D1093</f>
        <v>82.779199999999989</v>
      </c>
      <c r="G1093" s="37">
        <f t="shared" ref="G1093:G1103" si="230">I1093+K1093</f>
        <v>0</v>
      </c>
      <c r="H1093" s="38">
        <f t="shared" ref="H1093:H1103" si="231">J1093+L1093</f>
        <v>0</v>
      </c>
      <c r="I1093" s="37">
        <f t="shared" ref="I1093:I1103" si="232">J1093/F1093</f>
        <v>0</v>
      </c>
      <c r="J1093" s="38">
        <v>0</v>
      </c>
      <c r="K1093" s="37">
        <f t="shared" ref="K1093:K1103" si="233">L1093/F1093</f>
        <v>0</v>
      </c>
      <c r="L1093" s="38">
        <v>0</v>
      </c>
    </row>
    <row r="1094" spans="1:12" s="39" customFormat="1" ht="15.45" customHeight="1" outlineLevel="1" x14ac:dyDescent="0.25">
      <c r="A1094" s="33">
        <v>2</v>
      </c>
      <c r="B1094" s="34" t="s">
        <v>643</v>
      </c>
      <c r="C1094" s="35" t="s">
        <v>55</v>
      </c>
      <c r="D1094" s="36">
        <v>1</v>
      </c>
      <c r="E1094" s="36">
        <v>46.163200000000003</v>
      </c>
      <c r="F1094" s="36">
        <f t="shared" si="229"/>
        <v>46.163200000000003</v>
      </c>
      <c r="G1094" s="37">
        <f t="shared" si="230"/>
        <v>0</v>
      </c>
      <c r="H1094" s="38">
        <f t="shared" si="231"/>
        <v>0</v>
      </c>
      <c r="I1094" s="37">
        <f t="shared" si="232"/>
        <v>0</v>
      </c>
      <c r="J1094" s="38">
        <v>0</v>
      </c>
      <c r="K1094" s="37">
        <f t="shared" si="233"/>
        <v>0</v>
      </c>
      <c r="L1094" s="38">
        <v>0</v>
      </c>
    </row>
    <row r="1095" spans="1:12" s="39" customFormat="1" ht="28.95" customHeight="1" outlineLevel="1" x14ac:dyDescent="0.25">
      <c r="A1095" s="33">
        <v>3</v>
      </c>
      <c r="B1095" s="34" t="s">
        <v>815</v>
      </c>
      <c r="C1095" s="35" t="s">
        <v>55</v>
      </c>
      <c r="D1095" s="36">
        <v>1</v>
      </c>
      <c r="E1095" s="36">
        <v>72.364999999999995</v>
      </c>
      <c r="F1095" s="36">
        <f t="shared" si="229"/>
        <v>72.364999999999995</v>
      </c>
      <c r="G1095" s="37">
        <f t="shared" si="230"/>
        <v>0</v>
      </c>
      <c r="H1095" s="38">
        <f t="shared" si="231"/>
        <v>0</v>
      </c>
      <c r="I1095" s="37">
        <f t="shared" si="232"/>
        <v>0</v>
      </c>
      <c r="J1095" s="38">
        <v>0</v>
      </c>
      <c r="K1095" s="37">
        <f t="shared" si="233"/>
        <v>0</v>
      </c>
      <c r="L1095" s="38">
        <v>0</v>
      </c>
    </row>
    <row r="1096" spans="1:12" s="39" customFormat="1" ht="15.45" customHeight="1" outlineLevel="1" x14ac:dyDescent="0.25">
      <c r="A1096" s="33">
        <v>4</v>
      </c>
      <c r="B1096" s="34" t="s">
        <v>648</v>
      </c>
      <c r="C1096" s="35" t="s">
        <v>55</v>
      </c>
      <c r="D1096" s="36">
        <v>1</v>
      </c>
      <c r="E1096" s="36">
        <v>0.9</v>
      </c>
      <c r="F1096" s="36">
        <f t="shared" si="229"/>
        <v>0.9</v>
      </c>
      <c r="G1096" s="37">
        <f t="shared" si="230"/>
        <v>0</v>
      </c>
      <c r="H1096" s="38">
        <f t="shared" si="231"/>
        <v>0</v>
      </c>
      <c r="I1096" s="37">
        <f t="shared" si="232"/>
        <v>0</v>
      </c>
      <c r="J1096" s="38">
        <v>0</v>
      </c>
      <c r="K1096" s="37">
        <f t="shared" si="233"/>
        <v>0</v>
      </c>
      <c r="L1096" s="38">
        <v>0</v>
      </c>
    </row>
    <row r="1097" spans="1:12" s="39" customFormat="1" ht="15.45" customHeight="1" outlineLevel="1" x14ac:dyDescent="0.25">
      <c r="A1097" s="33">
        <v>5</v>
      </c>
      <c r="B1097" s="34" t="s">
        <v>816</v>
      </c>
      <c r="C1097" s="35" t="s">
        <v>50</v>
      </c>
      <c r="D1097" s="36">
        <v>15</v>
      </c>
      <c r="E1097" s="36">
        <v>0.9</v>
      </c>
      <c r="F1097" s="36">
        <f t="shared" si="229"/>
        <v>13.5</v>
      </c>
      <c r="G1097" s="37">
        <f t="shared" si="230"/>
        <v>0</v>
      </c>
      <c r="H1097" s="38">
        <f t="shared" si="231"/>
        <v>0</v>
      </c>
      <c r="I1097" s="37">
        <f t="shared" si="232"/>
        <v>0</v>
      </c>
      <c r="J1097" s="38">
        <v>0</v>
      </c>
      <c r="K1097" s="37">
        <f t="shared" si="233"/>
        <v>0</v>
      </c>
      <c r="L1097" s="38">
        <v>0</v>
      </c>
    </row>
    <row r="1098" spans="1:12" s="45" customFormat="1" ht="28.95" customHeight="1" x14ac:dyDescent="0.3">
      <c r="A1098" s="33">
        <v>6</v>
      </c>
      <c r="B1098" s="34" t="s">
        <v>554</v>
      </c>
      <c r="C1098" s="35" t="s">
        <v>50</v>
      </c>
      <c r="D1098" s="36">
        <v>15</v>
      </c>
      <c r="E1098" s="36">
        <v>2.1604000000000001</v>
      </c>
      <c r="F1098" s="36">
        <f t="shared" si="229"/>
        <v>32.405999999999999</v>
      </c>
      <c r="G1098" s="37">
        <f t="shared" si="230"/>
        <v>0</v>
      </c>
      <c r="H1098" s="38">
        <f t="shared" si="231"/>
        <v>0</v>
      </c>
      <c r="I1098" s="37">
        <f t="shared" si="232"/>
        <v>0</v>
      </c>
      <c r="J1098" s="38">
        <v>0</v>
      </c>
      <c r="K1098" s="37">
        <f t="shared" si="233"/>
        <v>0</v>
      </c>
      <c r="L1098" s="38">
        <v>0</v>
      </c>
    </row>
    <row r="1099" spans="1:12" s="39" customFormat="1" ht="15.45" customHeight="1" outlineLevel="1" x14ac:dyDescent="0.25">
      <c r="A1099" s="33">
        <v>7</v>
      </c>
      <c r="B1099" s="34" t="s">
        <v>817</v>
      </c>
      <c r="C1099" s="35" t="s">
        <v>55</v>
      </c>
      <c r="D1099" s="36">
        <v>1</v>
      </c>
      <c r="E1099" s="36">
        <v>125.048</v>
      </c>
      <c r="F1099" s="36">
        <f t="shared" si="229"/>
        <v>125.048</v>
      </c>
      <c r="G1099" s="37">
        <f t="shared" si="230"/>
        <v>0</v>
      </c>
      <c r="H1099" s="38">
        <f t="shared" si="231"/>
        <v>0</v>
      </c>
      <c r="I1099" s="37">
        <f t="shared" si="232"/>
        <v>0</v>
      </c>
      <c r="J1099" s="38">
        <v>0</v>
      </c>
      <c r="K1099" s="37">
        <f t="shared" si="233"/>
        <v>0</v>
      </c>
      <c r="L1099" s="38">
        <v>0</v>
      </c>
    </row>
    <row r="1100" spans="1:12" s="39" customFormat="1" ht="15.45" customHeight="1" outlineLevel="1" x14ac:dyDescent="0.25">
      <c r="A1100" s="33">
        <v>8</v>
      </c>
      <c r="B1100" s="34" t="s">
        <v>818</v>
      </c>
      <c r="C1100" s="35" t="s">
        <v>55</v>
      </c>
      <c r="D1100" s="36">
        <v>1</v>
      </c>
      <c r="E1100" s="36">
        <v>12.9826</v>
      </c>
      <c r="F1100" s="36">
        <f t="shared" si="229"/>
        <v>12.9826</v>
      </c>
      <c r="G1100" s="37">
        <f t="shared" si="230"/>
        <v>0</v>
      </c>
      <c r="H1100" s="38">
        <f t="shared" si="231"/>
        <v>0</v>
      </c>
      <c r="I1100" s="37">
        <f t="shared" si="232"/>
        <v>0</v>
      </c>
      <c r="J1100" s="38">
        <v>0</v>
      </c>
      <c r="K1100" s="37">
        <f t="shared" si="233"/>
        <v>0</v>
      </c>
      <c r="L1100" s="38">
        <v>0</v>
      </c>
    </row>
    <row r="1101" spans="1:12" s="45" customFormat="1" ht="15.45" customHeight="1" x14ac:dyDescent="0.3">
      <c r="A1101" s="33">
        <v>9</v>
      </c>
      <c r="B1101" s="34" t="s">
        <v>819</v>
      </c>
      <c r="C1101" s="35" t="s">
        <v>50</v>
      </c>
      <c r="D1101" s="36">
        <v>20</v>
      </c>
      <c r="E1101" s="36">
        <v>1.2709999999999999</v>
      </c>
      <c r="F1101" s="36">
        <f t="shared" si="229"/>
        <v>25.419999999999998</v>
      </c>
      <c r="G1101" s="37">
        <f t="shared" si="230"/>
        <v>0</v>
      </c>
      <c r="H1101" s="38">
        <f t="shared" si="231"/>
        <v>0</v>
      </c>
      <c r="I1101" s="37">
        <f t="shared" si="232"/>
        <v>0</v>
      </c>
      <c r="J1101" s="38">
        <v>0</v>
      </c>
      <c r="K1101" s="37">
        <f t="shared" si="233"/>
        <v>0</v>
      </c>
      <c r="L1101" s="38">
        <v>0</v>
      </c>
    </row>
    <row r="1102" spans="1:12" s="39" customFormat="1" ht="28.95" customHeight="1" outlineLevel="1" x14ac:dyDescent="0.25">
      <c r="A1102" s="33">
        <v>10</v>
      </c>
      <c r="B1102" s="34" t="s">
        <v>617</v>
      </c>
      <c r="C1102" s="35" t="s">
        <v>50</v>
      </c>
      <c r="D1102" s="36">
        <v>15</v>
      </c>
      <c r="E1102" s="36">
        <v>2.0175999999999998</v>
      </c>
      <c r="F1102" s="36">
        <f t="shared" si="229"/>
        <v>30.263999999999996</v>
      </c>
      <c r="G1102" s="37">
        <f t="shared" si="230"/>
        <v>0</v>
      </c>
      <c r="H1102" s="38">
        <f t="shared" si="231"/>
        <v>0</v>
      </c>
      <c r="I1102" s="37">
        <f t="shared" si="232"/>
        <v>0</v>
      </c>
      <c r="J1102" s="38">
        <v>0</v>
      </c>
      <c r="K1102" s="37">
        <f t="shared" si="233"/>
        <v>0</v>
      </c>
      <c r="L1102" s="38">
        <v>0</v>
      </c>
    </row>
    <row r="1103" spans="1:12" s="39" customFormat="1" ht="28.95" customHeight="1" outlineLevel="1" x14ac:dyDescent="0.25">
      <c r="A1103" s="33">
        <v>11</v>
      </c>
      <c r="B1103" s="34" t="s">
        <v>572</v>
      </c>
      <c r="C1103" s="35" t="s">
        <v>50</v>
      </c>
      <c r="D1103" s="36">
        <v>5</v>
      </c>
      <c r="E1103" s="36">
        <v>1.885</v>
      </c>
      <c r="F1103" s="36">
        <f t="shared" si="229"/>
        <v>9.4250000000000007</v>
      </c>
      <c r="G1103" s="37">
        <f t="shared" si="230"/>
        <v>0</v>
      </c>
      <c r="H1103" s="38">
        <f t="shared" si="231"/>
        <v>0</v>
      </c>
      <c r="I1103" s="37">
        <f t="shared" si="232"/>
        <v>0</v>
      </c>
      <c r="J1103" s="38">
        <v>0</v>
      </c>
      <c r="K1103" s="37">
        <f t="shared" si="233"/>
        <v>0</v>
      </c>
      <c r="L1103" s="38">
        <v>0</v>
      </c>
    </row>
    <row r="1104" spans="1:12" s="39" customFormat="1" ht="28.95" customHeight="1" outlineLevel="1" x14ac:dyDescent="0.25">
      <c r="A1104" s="31" t="s">
        <v>820</v>
      </c>
      <c r="B1104" s="40" t="s">
        <v>821</v>
      </c>
      <c r="C1104" s="41">
        <v>0</v>
      </c>
      <c r="D1104" s="42"/>
      <c r="E1104" s="42"/>
      <c r="F1104" s="42"/>
      <c r="G1104" s="43"/>
      <c r="H1104" s="44"/>
      <c r="I1104" s="43"/>
      <c r="J1104" s="44"/>
      <c r="K1104" s="43"/>
      <c r="L1104" s="44">
        <v>0</v>
      </c>
    </row>
    <row r="1105" spans="1:12" s="45" customFormat="1" ht="15.45" customHeight="1" x14ac:dyDescent="0.3">
      <c r="A1105" s="33">
        <v>1</v>
      </c>
      <c r="B1105" s="34" t="s">
        <v>822</v>
      </c>
      <c r="C1105" s="35" t="s">
        <v>55</v>
      </c>
      <c r="D1105" s="36">
        <v>1</v>
      </c>
      <c r="E1105" s="36">
        <v>42.938000000000002</v>
      </c>
      <c r="F1105" s="36">
        <f t="shared" ref="F1105:F1113" si="234">+E1105*D1105</f>
        <v>42.938000000000002</v>
      </c>
      <c r="G1105" s="37">
        <f t="shared" ref="G1105:G1113" si="235">I1105+K1105</f>
        <v>0</v>
      </c>
      <c r="H1105" s="38">
        <f t="shared" ref="H1105:H1113" si="236">J1105+L1105</f>
        <v>0</v>
      </c>
      <c r="I1105" s="37">
        <f t="shared" ref="I1105:I1113" si="237">J1105/F1105</f>
        <v>0</v>
      </c>
      <c r="J1105" s="38">
        <v>0</v>
      </c>
      <c r="K1105" s="37">
        <f t="shared" ref="K1105:K1113" si="238">L1105/F1105</f>
        <v>0</v>
      </c>
      <c r="L1105" s="38">
        <v>0</v>
      </c>
    </row>
    <row r="1106" spans="1:12" s="39" customFormat="1" ht="15.45" customHeight="1" outlineLevel="1" x14ac:dyDescent="0.25">
      <c r="A1106" s="33">
        <v>2</v>
      </c>
      <c r="B1106" s="34" t="s">
        <v>823</v>
      </c>
      <c r="C1106" s="35" t="s">
        <v>55</v>
      </c>
      <c r="D1106" s="36">
        <v>1</v>
      </c>
      <c r="E1106" s="36">
        <v>11.952400000000001</v>
      </c>
      <c r="F1106" s="36">
        <f t="shared" si="234"/>
        <v>11.952400000000001</v>
      </c>
      <c r="G1106" s="37">
        <f t="shared" si="235"/>
        <v>0</v>
      </c>
      <c r="H1106" s="38">
        <f t="shared" si="236"/>
        <v>0</v>
      </c>
      <c r="I1106" s="37">
        <f t="shared" si="237"/>
        <v>0</v>
      </c>
      <c r="J1106" s="38">
        <v>0</v>
      </c>
      <c r="K1106" s="37">
        <f t="shared" si="238"/>
        <v>0</v>
      </c>
      <c r="L1106" s="38">
        <v>0</v>
      </c>
    </row>
    <row r="1107" spans="1:12" s="39" customFormat="1" ht="15.45" customHeight="1" outlineLevel="1" x14ac:dyDescent="0.25">
      <c r="A1107" s="33">
        <v>3</v>
      </c>
      <c r="B1107" s="34" t="s">
        <v>682</v>
      </c>
      <c r="C1107" s="35" t="s">
        <v>55</v>
      </c>
      <c r="D1107" s="36">
        <v>1</v>
      </c>
      <c r="E1107" s="36">
        <v>10.1858</v>
      </c>
      <c r="F1107" s="36">
        <f t="shared" si="234"/>
        <v>10.1858</v>
      </c>
      <c r="G1107" s="37">
        <f t="shared" si="235"/>
        <v>0</v>
      </c>
      <c r="H1107" s="38">
        <f t="shared" si="236"/>
        <v>0</v>
      </c>
      <c r="I1107" s="37">
        <f t="shared" si="237"/>
        <v>0</v>
      </c>
      <c r="J1107" s="38">
        <v>0</v>
      </c>
      <c r="K1107" s="37">
        <f t="shared" si="238"/>
        <v>0</v>
      </c>
      <c r="L1107" s="38">
        <v>0</v>
      </c>
    </row>
    <row r="1108" spans="1:12" s="39" customFormat="1" ht="15.45" customHeight="1" outlineLevel="1" x14ac:dyDescent="0.25">
      <c r="A1108" s="33">
        <v>4</v>
      </c>
      <c r="B1108" s="34" t="s">
        <v>683</v>
      </c>
      <c r="C1108" s="35" t="s">
        <v>55</v>
      </c>
      <c r="D1108" s="36">
        <v>1</v>
      </c>
      <c r="E1108" s="36">
        <v>12.248200000000001</v>
      </c>
      <c r="F1108" s="36">
        <f t="shared" si="234"/>
        <v>12.248200000000001</v>
      </c>
      <c r="G1108" s="37">
        <f t="shared" si="235"/>
        <v>0</v>
      </c>
      <c r="H1108" s="38">
        <f t="shared" si="236"/>
        <v>0</v>
      </c>
      <c r="I1108" s="37">
        <f t="shared" si="237"/>
        <v>0</v>
      </c>
      <c r="J1108" s="38">
        <v>0</v>
      </c>
      <c r="K1108" s="37">
        <f t="shared" si="238"/>
        <v>0</v>
      </c>
      <c r="L1108" s="38">
        <v>0</v>
      </c>
    </row>
    <row r="1109" spans="1:12" s="39" customFormat="1" ht="28.95" customHeight="1" outlineLevel="1" x14ac:dyDescent="0.25">
      <c r="A1109" s="33">
        <v>5</v>
      </c>
      <c r="B1109" s="34" t="s">
        <v>824</v>
      </c>
      <c r="C1109" s="35" t="s">
        <v>50</v>
      </c>
      <c r="D1109" s="36">
        <v>5</v>
      </c>
      <c r="E1109" s="36">
        <v>0.9</v>
      </c>
      <c r="F1109" s="36">
        <f t="shared" si="234"/>
        <v>4.5</v>
      </c>
      <c r="G1109" s="37">
        <f t="shared" si="235"/>
        <v>0</v>
      </c>
      <c r="H1109" s="38">
        <f t="shared" si="236"/>
        <v>0</v>
      </c>
      <c r="I1109" s="37">
        <f t="shared" si="237"/>
        <v>0</v>
      </c>
      <c r="J1109" s="38">
        <v>0</v>
      </c>
      <c r="K1109" s="37">
        <f t="shared" si="238"/>
        <v>0</v>
      </c>
      <c r="L1109" s="38">
        <v>0</v>
      </c>
    </row>
    <row r="1110" spans="1:12" s="39" customFormat="1" ht="15.45" customHeight="1" outlineLevel="1" x14ac:dyDescent="0.25">
      <c r="A1110" s="33">
        <v>6</v>
      </c>
      <c r="B1110" s="34" t="s">
        <v>825</v>
      </c>
      <c r="C1110" s="35" t="s">
        <v>50</v>
      </c>
      <c r="D1110" s="36">
        <v>3</v>
      </c>
      <c r="E1110" s="36">
        <v>1.4750000000000001</v>
      </c>
      <c r="F1110" s="36">
        <f t="shared" si="234"/>
        <v>4.4250000000000007</v>
      </c>
      <c r="G1110" s="37">
        <f t="shared" si="235"/>
        <v>0</v>
      </c>
      <c r="H1110" s="38">
        <f t="shared" si="236"/>
        <v>0</v>
      </c>
      <c r="I1110" s="37">
        <f t="shared" si="237"/>
        <v>0</v>
      </c>
      <c r="J1110" s="38">
        <v>0</v>
      </c>
      <c r="K1110" s="37">
        <f t="shared" si="238"/>
        <v>0</v>
      </c>
      <c r="L1110" s="38">
        <v>0</v>
      </c>
    </row>
    <row r="1111" spans="1:12" s="39" customFormat="1" ht="28.95" customHeight="1" outlineLevel="1" x14ac:dyDescent="0.25">
      <c r="A1111" s="33">
        <v>7</v>
      </c>
      <c r="B1111" s="34" t="s">
        <v>572</v>
      </c>
      <c r="C1111" s="35" t="s">
        <v>50</v>
      </c>
      <c r="D1111" s="36">
        <v>8</v>
      </c>
      <c r="E1111" s="36">
        <v>1.885</v>
      </c>
      <c r="F1111" s="36">
        <f t="shared" si="234"/>
        <v>15.08</v>
      </c>
      <c r="G1111" s="37">
        <f t="shared" si="235"/>
        <v>0</v>
      </c>
      <c r="H1111" s="38">
        <f t="shared" si="236"/>
        <v>0</v>
      </c>
      <c r="I1111" s="37">
        <f t="shared" si="237"/>
        <v>0</v>
      </c>
      <c r="J1111" s="38">
        <v>0</v>
      </c>
      <c r="K1111" s="37">
        <f t="shared" si="238"/>
        <v>0</v>
      </c>
      <c r="L1111" s="38">
        <v>0</v>
      </c>
    </row>
    <row r="1112" spans="1:12" s="39" customFormat="1" ht="15.45" customHeight="1" outlineLevel="1" x14ac:dyDescent="0.25">
      <c r="A1112" s="33">
        <v>8</v>
      </c>
      <c r="B1112" s="34" t="s">
        <v>826</v>
      </c>
      <c r="C1112" s="35" t="s">
        <v>55</v>
      </c>
      <c r="D1112" s="36">
        <v>1</v>
      </c>
      <c r="E1112" s="36">
        <v>5.044999999999999</v>
      </c>
      <c r="F1112" s="36">
        <f t="shared" si="234"/>
        <v>5.044999999999999</v>
      </c>
      <c r="G1112" s="37">
        <f t="shared" si="235"/>
        <v>0</v>
      </c>
      <c r="H1112" s="38">
        <f t="shared" si="236"/>
        <v>0</v>
      </c>
      <c r="I1112" s="37">
        <f t="shared" si="237"/>
        <v>0</v>
      </c>
      <c r="J1112" s="38">
        <v>0</v>
      </c>
      <c r="K1112" s="37">
        <f t="shared" si="238"/>
        <v>0</v>
      </c>
      <c r="L1112" s="38">
        <v>0</v>
      </c>
    </row>
    <row r="1113" spans="1:12" s="39" customFormat="1" ht="15.45" customHeight="1" outlineLevel="1" x14ac:dyDescent="0.25">
      <c r="A1113" s="33">
        <v>9</v>
      </c>
      <c r="B1113" s="34" t="s">
        <v>827</v>
      </c>
      <c r="C1113" s="35" t="s">
        <v>55</v>
      </c>
      <c r="D1113" s="36">
        <v>1</v>
      </c>
      <c r="E1113" s="36">
        <v>6.9850000000000003</v>
      </c>
      <c r="F1113" s="36">
        <f t="shared" si="234"/>
        <v>6.9850000000000003</v>
      </c>
      <c r="G1113" s="37">
        <f t="shared" si="235"/>
        <v>0</v>
      </c>
      <c r="H1113" s="38">
        <f t="shared" si="236"/>
        <v>0</v>
      </c>
      <c r="I1113" s="37">
        <f t="shared" si="237"/>
        <v>0</v>
      </c>
      <c r="J1113" s="38">
        <v>0</v>
      </c>
      <c r="K1113" s="37">
        <f t="shared" si="238"/>
        <v>0</v>
      </c>
      <c r="L1113" s="38">
        <v>0</v>
      </c>
    </row>
    <row r="1114" spans="1:12" s="39" customFormat="1" ht="15.45" customHeight="1" outlineLevel="1" x14ac:dyDescent="0.25">
      <c r="A1114" s="31" t="s">
        <v>828</v>
      </c>
      <c r="B1114" s="40" t="s">
        <v>829</v>
      </c>
      <c r="C1114" s="41">
        <v>0</v>
      </c>
      <c r="D1114" s="42"/>
      <c r="E1114" s="42"/>
      <c r="F1114" s="42"/>
      <c r="G1114" s="43"/>
      <c r="H1114" s="44"/>
      <c r="I1114" s="43"/>
      <c r="J1114" s="44"/>
      <c r="K1114" s="43"/>
      <c r="L1114" s="44">
        <v>0</v>
      </c>
    </row>
    <row r="1115" spans="1:12" s="39" customFormat="1" ht="43.5" customHeight="1" outlineLevel="1" x14ac:dyDescent="0.25">
      <c r="A1115" s="33">
        <v>1</v>
      </c>
      <c r="B1115" s="34" t="s">
        <v>830</v>
      </c>
      <c r="C1115" s="35" t="s">
        <v>66</v>
      </c>
      <c r="D1115" s="36">
        <v>203</v>
      </c>
      <c r="E1115" s="36">
        <v>0.86018000000000006</v>
      </c>
      <c r="F1115" s="36">
        <f t="shared" ref="F1115:F1120" si="239">+E1115*D1115</f>
        <v>174.61654000000001</v>
      </c>
      <c r="G1115" s="37">
        <f t="shared" ref="G1115:H1120" si="240">I1115+K1115</f>
        <v>0</v>
      </c>
      <c r="H1115" s="38">
        <f t="shared" si="240"/>
        <v>0</v>
      </c>
      <c r="I1115" s="37">
        <f t="shared" ref="I1115:I1120" si="241">J1115/F1115</f>
        <v>0</v>
      </c>
      <c r="J1115" s="38">
        <v>0</v>
      </c>
      <c r="K1115" s="37">
        <f t="shared" ref="K1115:K1120" si="242">L1115/F1115</f>
        <v>0</v>
      </c>
      <c r="L1115" s="38">
        <v>0</v>
      </c>
    </row>
    <row r="1116" spans="1:12" s="39" customFormat="1" ht="28.95" customHeight="1" outlineLevel="1" x14ac:dyDescent="0.25">
      <c r="A1116" s="33">
        <v>2</v>
      </c>
      <c r="B1116" s="34" t="s">
        <v>765</v>
      </c>
      <c r="C1116" s="35" t="s">
        <v>66</v>
      </c>
      <c r="D1116" s="36">
        <v>6</v>
      </c>
      <c r="E1116" s="36">
        <v>8.9600000000000009</v>
      </c>
      <c r="F1116" s="36">
        <f t="shared" si="239"/>
        <v>53.760000000000005</v>
      </c>
      <c r="G1116" s="37">
        <f t="shared" si="240"/>
        <v>0</v>
      </c>
      <c r="H1116" s="38">
        <f t="shared" si="240"/>
        <v>0</v>
      </c>
      <c r="I1116" s="37">
        <f t="shared" si="241"/>
        <v>0</v>
      </c>
      <c r="J1116" s="38">
        <v>0</v>
      </c>
      <c r="K1116" s="37">
        <f t="shared" si="242"/>
        <v>0</v>
      </c>
      <c r="L1116" s="38">
        <v>0</v>
      </c>
    </row>
    <row r="1117" spans="1:12" s="39" customFormat="1" ht="43.5" customHeight="1" outlineLevel="1" x14ac:dyDescent="0.25">
      <c r="A1117" s="33">
        <v>3</v>
      </c>
      <c r="B1117" s="34" t="s">
        <v>766</v>
      </c>
      <c r="C1117" s="35" t="s">
        <v>66</v>
      </c>
      <c r="D1117" s="36">
        <v>86</v>
      </c>
      <c r="E1117" s="36">
        <v>0.9</v>
      </c>
      <c r="F1117" s="36">
        <f t="shared" si="239"/>
        <v>77.400000000000006</v>
      </c>
      <c r="G1117" s="37">
        <f t="shared" si="240"/>
        <v>0</v>
      </c>
      <c r="H1117" s="38">
        <f t="shared" si="240"/>
        <v>0</v>
      </c>
      <c r="I1117" s="37">
        <f t="shared" si="241"/>
        <v>0</v>
      </c>
      <c r="J1117" s="38">
        <v>0</v>
      </c>
      <c r="K1117" s="37">
        <f t="shared" si="242"/>
        <v>0</v>
      </c>
      <c r="L1117" s="38">
        <v>0</v>
      </c>
    </row>
    <row r="1118" spans="1:12" s="39" customFormat="1" ht="28.95" customHeight="1" outlineLevel="1" x14ac:dyDescent="0.25">
      <c r="A1118" s="33">
        <v>4</v>
      </c>
      <c r="B1118" s="34" t="s">
        <v>316</v>
      </c>
      <c r="C1118" s="35" t="s">
        <v>66</v>
      </c>
      <c r="D1118" s="36">
        <v>21</v>
      </c>
      <c r="E1118" s="36">
        <v>8.16</v>
      </c>
      <c r="F1118" s="36">
        <f t="shared" si="239"/>
        <v>171.36</v>
      </c>
      <c r="G1118" s="37">
        <f t="shared" si="240"/>
        <v>0</v>
      </c>
      <c r="H1118" s="38">
        <f t="shared" si="240"/>
        <v>0</v>
      </c>
      <c r="I1118" s="37">
        <f t="shared" si="241"/>
        <v>0</v>
      </c>
      <c r="J1118" s="38">
        <v>0</v>
      </c>
      <c r="K1118" s="37">
        <f t="shared" si="242"/>
        <v>0</v>
      </c>
      <c r="L1118" s="38">
        <v>0</v>
      </c>
    </row>
    <row r="1119" spans="1:12" s="39" customFormat="1" ht="28.95" customHeight="1" outlineLevel="1" x14ac:dyDescent="0.25">
      <c r="A1119" s="33">
        <v>5</v>
      </c>
      <c r="B1119" s="34" t="s">
        <v>234</v>
      </c>
      <c r="C1119" s="35" t="s">
        <v>66</v>
      </c>
      <c r="D1119" s="36">
        <v>86</v>
      </c>
      <c r="E1119" s="36">
        <v>2</v>
      </c>
      <c r="F1119" s="36">
        <f t="shared" si="239"/>
        <v>172</v>
      </c>
      <c r="G1119" s="37">
        <f t="shared" si="240"/>
        <v>0</v>
      </c>
      <c r="H1119" s="38">
        <f t="shared" si="240"/>
        <v>0</v>
      </c>
      <c r="I1119" s="37">
        <f t="shared" si="241"/>
        <v>0</v>
      </c>
      <c r="J1119" s="38">
        <v>0</v>
      </c>
      <c r="K1119" s="37">
        <f t="shared" si="242"/>
        <v>0</v>
      </c>
      <c r="L1119" s="38">
        <v>0</v>
      </c>
    </row>
    <row r="1120" spans="1:12" s="39" customFormat="1" ht="28.95" customHeight="1" outlineLevel="1" x14ac:dyDescent="0.25">
      <c r="A1120" s="33">
        <v>6</v>
      </c>
      <c r="B1120" s="34" t="s">
        <v>226</v>
      </c>
      <c r="C1120" s="35" t="s">
        <v>66</v>
      </c>
      <c r="D1120" s="36">
        <v>132</v>
      </c>
      <c r="E1120" s="36">
        <v>0.90200000000000002</v>
      </c>
      <c r="F1120" s="36">
        <f t="shared" si="239"/>
        <v>119.06400000000001</v>
      </c>
      <c r="G1120" s="37">
        <f t="shared" si="240"/>
        <v>0</v>
      </c>
      <c r="H1120" s="38">
        <f t="shared" si="240"/>
        <v>0</v>
      </c>
      <c r="I1120" s="37">
        <f t="shared" si="241"/>
        <v>0</v>
      </c>
      <c r="J1120" s="38">
        <v>0</v>
      </c>
      <c r="K1120" s="37">
        <f t="shared" si="242"/>
        <v>0</v>
      </c>
      <c r="L1120" s="38">
        <v>0</v>
      </c>
    </row>
    <row r="1121" spans="1:12" s="39" customFormat="1" ht="15.45" customHeight="1" outlineLevel="1" x14ac:dyDescent="0.25">
      <c r="A1121" s="31" t="s">
        <v>831</v>
      </c>
      <c r="B1121" s="40" t="s">
        <v>832</v>
      </c>
      <c r="C1121" s="41">
        <v>0</v>
      </c>
      <c r="D1121" s="42"/>
      <c r="E1121" s="42"/>
      <c r="F1121" s="42"/>
      <c r="G1121" s="43"/>
      <c r="H1121" s="44"/>
      <c r="I1121" s="43"/>
      <c r="J1121" s="44"/>
      <c r="K1121" s="43"/>
      <c r="L1121" s="44">
        <v>0</v>
      </c>
    </row>
    <row r="1122" spans="1:12" s="39" customFormat="1" ht="15.45" customHeight="1" outlineLevel="1" x14ac:dyDescent="0.25">
      <c r="A1122" s="33">
        <v>1</v>
      </c>
      <c r="B1122" s="34" t="s">
        <v>41</v>
      </c>
      <c r="C1122" s="35" t="s">
        <v>66</v>
      </c>
      <c r="D1122" s="36">
        <v>13.86</v>
      </c>
      <c r="E1122" s="36">
        <v>36.616</v>
      </c>
      <c r="F1122" s="36">
        <f t="shared" ref="F1122:F1129" si="243">+E1122*D1122</f>
        <v>507.49775999999997</v>
      </c>
      <c r="G1122" s="37">
        <f t="shared" ref="G1122:H1129" si="244">I1122+K1122</f>
        <v>0</v>
      </c>
      <c r="H1122" s="38">
        <f t="shared" si="244"/>
        <v>0</v>
      </c>
      <c r="I1122" s="37">
        <f t="shared" ref="I1122:I1129" si="245">J1122/F1122</f>
        <v>0</v>
      </c>
      <c r="J1122" s="38">
        <v>0</v>
      </c>
      <c r="K1122" s="37">
        <f t="shared" ref="K1122:K1129" si="246">L1122/F1122</f>
        <v>0</v>
      </c>
      <c r="L1122" s="38">
        <v>0</v>
      </c>
    </row>
    <row r="1123" spans="1:12" s="39" customFormat="1" ht="15.45" customHeight="1" outlineLevel="1" x14ac:dyDescent="0.25">
      <c r="A1123" s="33">
        <v>2</v>
      </c>
      <c r="B1123" s="34" t="s">
        <v>833</v>
      </c>
      <c r="C1123" s="35" t="s">
        <v>66</v>
      </c>
      <c r="D1123" s="36">
        <v>6.93</v>
      </c>
      <c r="E1123" s="36">
        <v>99.24</v>
      </c>
      <c r="F1123" s="36">
        <f t="shared" si="243"/>
        <v>687.7331999999999</v>
      </c>
      <c r="G1123" s="37">
        <f t="shared" si="244"/>
        <v>0</v>
      </c>
      <c r="H1123" s="38">
        <f t="shared" si="244"/>
        <v>0</v>
      </c>
      <c r="I1123" s="37">
        <f t="shared" si="245"/>
        <v>0</v>
      </c>
      <c r="J1123" s="38">
        <v>0</v>
      </c>
      <c r="K1123" s="37">
        <f t="shared" si="246"/>
        <v>0</v>
      </c>
      <c r="L1123" s="38">
        <v>0</v>
      </c>
    </row>
    <row r="1124" spans="1:12" s="39" customFormat="1" ht="15.45" customHeight="1" outlineLevel="1" x14ac:dyDescent="0.25">
      <c r="A1124" s="33">
        <v>3</v>
      </c>
      <c r="B1124" s="34" t="s">
        <v>834</v>
      </c>
      <c r="C1124" s="35" t="s">
        <v>66</v>
      </c>
      <c r="D1124" s="36">
        <v>52.67</v>
      </c>
      <c r="E1124" s="36">
        <v>126.7636</v>
      </c>
      <c r="F1124" s="36">
        <f t="shared" si="243"/>
        <v>6676.6388120000001</v>
      </c>
      <c r="G1124" s="37">
        <f t="shared" si="244"/>
        <v>0</v>
      </c>
      <c r="H1124" s="38">
        <f t="shared" si="244"/>
        <v>0</v>
      </c>
      <c r="I1124" s="37">
        <f t="shared" si="245"/>
        <v>0</v>
      </c>
      <c r="J1124" s="38">
        <v>0</v>
      </c>
      <c r="K1124" s="37">
        <f t="shared" si="246"/>
        <v>0</v>
      </c>
      <c r="L1124" s="38">
        <v>0</v>
      </c>
    </row>
    <row r="1125" spans="1:12" s="39" customFormat="1" ht="15.45" customHeight="1" outlineLevel="1" x14ac:dyDescent="0.25">
      <c r="A1125" s="33">
        <v>4</v>
      </c>
      <c r="B1125" s="34" t="s">
        <v>835</v>
      </c>
      <c r="C1125" s="35" t="s">
        <v>30</v>
      </c>
      <c r="D1125" s="36">
        <v>1.7999999999999999E-2</v>
      </c>
      <c r="E1125" s="36">
        <v>1325.1</v>
      </c>
      <c r="F1125" s="36">
        <f t="shared" si="243"/>
        <v>23.851799999999997</v>
      </c>
      <c r="G1125" s="37">
        <f t="shared" si="244"/>
        <v>0</v>
      </c>
      <c r="H1125" s="38">
        <f t="shared" si="244"/>
        <v>0</v>
      </c>
      <c r="I1125" s="37">
        <f t="shared" si="245"/>
        <v>0</v>
      </c>
      <c r="J1125" s="38">
        <v>0</v>
      </c>
      <c r="K1125" s="37">
        <f t="shared" si="246"/>
        <v>0</v>
      </c>
      <c r="L1125" s="38">
        <v>0</v>
      </c>
    </row>
    <row r="1126" spans="1:12" s="39" customFormat="1" ht="15.45" customHeight="1" outlineLevel="1" x14ac:dyDescent="0.25">
      <c r="A1126" s="33">
        <v>5</v>
      </c>
      <c r="B1126" s="34" t="s">
        <v>836</v>
      </c>
      <c r="C1126" s="35" t="s">
        <v>30</v>
      </c>
      <c r="D1126" s="36">
        <v>5.8879999999999999</v>
      </c>
      <c r="E1126" s="36">
        <v>1200.0999999999999</v>
      </c>
      <c r="F1126" s="36">
        <f t="shared" si="243"/>
        <v>7066.188799999999</v>
      </c>
      <c r="G1126" s="37">
        <f t="shared" si="244"/>
        <v>0</v>
      </c>
      <c r="H1126" s="38">
        <f t="shared" si="244"/>
        <v>0</v>
      </c>
      <c r="I1126" s="37">
        <f t="shared" si="245"/>
        <v>0</v>
      </c>
      <c r="J1126" s="38">
        <v>0</v>
      </c>
      <c r="K1126" s="37">
        <f t="shared" si="246"/>
        <v>0</v>
      </c>
      <c r="L1126" s="38">
        <v>0</v>
      </c>
    </row>
    <row r="1127" spans="1:12" s="39" customFormat="1" ht="28.95" customHeight="1" outlineLevel="1" x14ac:dyDescent="0.25">
      <c r="A1127" s="33">
        <v>6</v>
      </c>
      <c r="B1127" s="34" t="s">
        <v>771</v>
      </c>
      <c r="C1127" s="35" t="s">
        <v>106</v>
      </c>
      <c r="D1127" s="36">
        <v>127.2</v>
      </c>
      <c r="E1127" s="36">
        <v>52.936000000000007</v>
      </c>
      <c r="F1127" s="36">
        <f t="shared" si="243"/>
        <v>6733.4592000000011</v>
      </c>
      <c r="G1127" s="37">
        <f t="shared" si="244"/>
        <v>0</v>
      </c>
      <c r="H1127" s="38">
        <f t="shared" si="244"/>
        <v>0</v>
      </c>
      <c r="I1127" s="37">
        <f t="shared" si="245"/>
        <v>0</v>
      </c>
      <c r="J1127" s="38">
        <v>0</v>
      </c>
      <c r="K1127" s="37">
        <f t="shared" si="246"/>
        <v>0</v>
      </c>
      <c r="L1127" s="38">
        <v>0</v>
      </c>
    </row>
    <row r="1128" spans="1:12" s="39" customFormat="1" ht="28.95" customHeight="1" outlineLevel="1" x14ac:dyDescent="0.25">
      <c r="A1128" s="33">
        <v>7</v>
      </c>
      <c r="B1128" s="34" t="s">
        <v>837</v>
      </c>
      <c r="C1128" s="35" t="s">
        <v>106</v>
      </c>
      <c r="D1128" s="36">
        <v>127.2</v>
      </c>
      <c r="E1128" s="36">
        <v>10.8202</v>
      </c>
      <c r="F1128" s="36">
        <f t="shared" si="243"/>
        <v>1376.32944</v>
      </c>
      <c r="G1128" s="37">
        <f t="shared" si="244"/>
        <v>0</v>
      </c>
      <c r="H1128" s="38">
        <f t="shared" si="244"/>
        <v>0</v>
      </c>
      <c r="I1128" s="37">
        <f t="shared" si="245"/>
        <v>0</v>
      </c>
      <c r="J1128" s="38">
        <v>0</v>
      </c>
      <c r="K1128" s="37">
        <f t="shared" si="246"/>
        <v>0</v>
      </c>
      <c r="L1128" s="38">
        <v>0</v>
      </c>
    </row>
    <row r="1129" spans="1:12" s="45" customFormat="1" ht="28.95" customHeight="1" x14ac:dyDescent="0.3">
      <c r="A1129" s="33">
        <v>8</v>
      </c>
      <c r="B1129" s="34" t="s">
        <v>240</v>
      </c>
      <c r="C1129" s="35" t="s">
        <v>106</v>
      </c>
      <c r="D1129" s="36">
        <v>156.9</v>
      </c>
      <c r="E1129" s="36">
        <v>3.67</v>
      </c>
      <c r="F1129" s="36">
        <f t="shared" si="243"/>
        <v>575.82299999999998</v>
      </c>
      <c r="G1129" s="37">
        <f t="shared" si="244"/>
        <v>0</v>
      </c>
      <c r="H1129" s="38">
        <f t="shared" si="244"/>
        <v>0</v>
      </c>
      <c r="I1129" s="37">
        <f t="shared" si="245"/>
        <v>0</v>
      </c>
      <c r="J1129" s="38">
        <v>0</v>
      </c>
      <c r="K1129" s="37">
        <f t="shared" si="246"/>
        <v>0</v>
      </c>
      <c r="L1129" s="38">
        <v>0</v>
      </c>
    </row>
    <row r="1130" spans="1:12" s="39" customFormat="1" ht="15.45" customHeight="1" outlineLevel="1" x14ac:dyDescent="0.25">
      <c r="A1130" s="31" t="s">
        <v>838</v>
      </c>
      <c r="B1130" s="40" t="s">
        <v>839</v>
      </c>
      <c r="C1130" s="41">
        <v>0</v>
      </c>
      <c r="D1130" s="42"/>
      <c r="E1130" s="42"/>
      <c r="F1130" s="42"/>
      <c r="G1130" s="43"/>
      <c r="H1130" s="44"/>
      <c r="I1130" s="43"/>
      <c r="J1130" s="44"/>
      <c r="K1130" s="43"/>
      <c r="L1130" s="44">
        <v>0</v>
      </c>
    </row>
    <row r="1131" spans="1:12" s="39" customFormat="1" ht="28.95" customHeight="1" outlineLevel="1" x14ac:dyDescent="0.25">
      <c r="A1131" s="33">
        <v>1</v>
      </c>
      <c r="B1131" s="34" t="s">
        <v>840</v>
      </c>
      <c r="C1131" s="35" t="s">
        <v>66</v>
      </c>
      <c r="D1131" s="36">
        <v>26.84</v>
      </c>
      <c r="E1131" s="36">
        <v>281.11200000000002</v>
      </c>
      <c r="F1131" s="36">
        <f t="shared" ref="F1131:F1168" si="247">+E1131*D1131</f>
        <v>7545.046080000001</v>
      </c>
      <c r="G1131" s="37">
        <f t="shared" ref="G1131:G1168" si="248">I1131+K1131</f>
        <v>0</v>
      </c>
      <c r="H1131" s="38">
        <f t="shared" ref="H1131:H1168" si="249">J1131+L1131</f>
        <v>0</v>
      </c>
      <c r="I1131" s="37">
        <f t="shared" ref="I1131:I1168" si="250">J1131/F1131</f>
        <v>0</v>
      </c>
      <c r="J1131" s="38">
        <v>0</v>
      </c>
      <c r="K1131" s="37">
        <f t="shared" ref="K1131:K1168" si="251">L1131/F1131</f>
        <v>0</v>
      </c>
      <c r="L1131" s="38">
        <v>0</v>
      </c>
    </row>
    <row r="1132" spans="1:12" s="39" customFormat="1" ht="28.95" customHeight="1" outlineLevel="1" x14ac:dyDescent="0.25">
      <c r="A1132" s="33">
        <v>2</v>
      </c>
      <c r="B1132" s="34" t="s">
        <v>840</v>
      </c>
      <c r="C1132" s="35" t="s">
        <v>66</v>
      </c>
      <c r="D1132" s="36">
        <v>1.68</v>
      </c>
      <c r="E1132" s="36">
        <v>281.11200000000002</v>
      </c>
      <c r="F1132" s="36">
        <f t="shared" si="247"/>
        <v>472.26816000000002</v>
      </c>
      <c r="G1132" s="37">
        <f t="shared" si="248"/>
        <v>0</v>
      </c>
      <c r="H1132" s="38">
        <f t="shared" si="249"/>
        <v>0</v>
      </c>
      <c r="I1132" s="37">
        <f t="shared" si="250"/>
        <v>0</v>
      </c>
      <c r="J1132" s="38">
        <v>0</v>
      </c>
      <c r="K1132" s="37">
        <f t="shared" si="251"/>
        <v>0</v>
      </c>
      <c r="L1132" s="38">
        <v>0</v>
      </c>
    </row>
    <row r="1133" spans="1:12" s="39" customFormat="1" ht="15.45" customHeight="1" outlineLevel="1" x14ac:dyDescent="0.25">
      <c r="A1133" s="33">
        <v>3</v>
      </c>
      <c r="B1133" s="34" t="s">
        <v>45</v>
      </c>
      <c r="C1133" s="35" t="s">
        <v>30</v>
      </c>
      <c r="D1133" s="36">
        <v>0.96</v>
      </c>
      <c r="E1133" s="36">
        <v>1325.1</v>
      </c>
      <c r="F1133" s="36">
        <f t="shared" si="247"/>
        <v>1272.0959999999998</v>
      </c>
      <c r="G1133" s="37">
        <f t="shared" si="248"/>
        <v>0</v>
      </c>
      <c r="H1133" s="38">
        <f t="shared" si="249"/>
        <v>0</v>
      </c>
      <c r="I1133" s="37">
        <f t="shared" si="250"/>
        <v>0</v>
      </c>
      <c r="J1133" s="38">
        <v>0</v>
      </c>
      <c r="K1133" s="37">
        <f t="shared" si="251"/>
        <v>0</v>
      </c>
      <c r="L1133" s="38">
        <v>0</v>
      </c>
    </row>
    <row r="1134" spans="1:12" s="39" customFormat="1" ht="15.45" customHeight="1" outlineLevel="1" x14ac:dyDescent="0.25">
      <c r="A1134" s="33">
        <v>4</v>
      </c>
      <c r="B1134" s="34" t="s">
        <v>46</v>
      </c>
      <c r="C1134" s="35" t="s">
        <v>30</v>
      </c>
      <c r="D1134" s="36">
        <v>4.7949999999999999</v>
      </c>
      <c r="E1134" s="36">
        <v>1200.0999999999999</v>
      </c>
      <c r="F1134" s="36">
        <f t="shared" si="247"/>
        <v>5754.4794999999995</v>
      </c>
      <c r="G1134" s="37">
        <f t="shared" si="248"/>
        <v>0</v>
      </c>
      <c r="H1134" s="38">
        <f t="shared" si="249"/>
        <v>0</v>
      </c>
      <c r="I1134" s="37">
        <f t="shared" si="250"/>
        <v>0</v>
      </c>
      <c r="J1134" s="38">
        <v>0</v>
      </c>
      <c r="K1134" s="37">
        <f t="shared" si="251"/>
        <v>0</v>
      </c>
      <c r="L1134" s="38">
        <v>0</v>
      </c>
    </row>
    <row r="1135" spans="1:12" s="39" customFormat="1" ht="43.5" customHeight="1" outlineLevel="1" x14ac:dyDescent="0.25">
      <c r="A1135" s="33">
        <v>5</v>
      </c>
      <c r="B1135" s="34" t="s">
        <v>841</v>
      </c>
      <c r="C1135" s="35" t="s">
        <v>66</v>
      </c>
      <c r="D1135" s="36">
        <v>17.84</v>
      </c>
      <c r="E1135" s="36">
        <v>381.23320000000001</v>
      </c>
      <c r="F1135" s="36">
        <f t="shared" si="247"/>
        <v>6801.200288</v>
      </c>
      <c r="G1135" s="37">
        <f t="shared" si="248"/>
        <v>0</v>
      </c>
      <c r="H1135" s="38">
        <f t="shared" si="249"/>
        <v>0</v>
      </c>
      <c r="I1135" s="37">
        <f t="shared" si="250"/>
        <v>0</v>
      </c>
      <c r="J1135" s="38">
        <v>0</v>
      </c>
      <c r="K1135" s="37">
        <f t="shared" si="251"/>
        <v>0</v>
      </c>
      <c r="L1135" s="38">
        <v>0</v>
      </c>
    </row>
    <row r="1136" spans="1:12" s="39" customFormat="1" ht="15.45" customHeight="1" outlineLevel="1" x14ac:dyDescent="0.25">
      <c r="A1136" s="33">
        <v>6</v>
      </c>
      <c r="B1136" s="34" t="s">
        <v>45</v>
      </c>
      <c r="C1136" s="35" t="s">
        <v>30</v>
      </c>
      <c r="D1136" s="36">
        <v>1.27</v>
      </c>
      <c r="E1136" s="36">
        <v>1325.1</v>
      </c>
      <c r="F1136" s="36">
        <f t="shared" si="247"/>
        <v>1682.877</v>
      </c>
      <c r="G1136" s="37">
        <f t="shared" si="248"/>
        <v>0</v>
      </c>
      <c r="H1136" s="38">
        <f t="shared" si="249"/>
        <v>0</v>
      </c>
      <c r="I1136" s="37">
        <f t="shared" si="250"/>
        <v>0</v>
      </c>
      <c r="J1136" s="38">
        <v>0</v>
      </c>
      <c r="K1136" s="37">
        <f t="shared" si="251"/>
        <v>0</v>
      </c>
      <c r="L1136" s="38">
        <v>0</v>
      </c>
    </row>
    <row r="1137" spans="1:12" s="39" customFormat="1" ht="15.45" customHeight="1" outlineLevel="1" x14ac:dyDescent="0.25">
      <c r="A1137" s="33">
        <v>7</v>
      </c>
      <c r="B1137" s="34" t="s">
        <v>46</v>
      </c>
      <c r="C1137" s="35" t="s">
        <v>30</v>
      </c>
      <c r="D1137" s="36">
        <v>4.0599999999999996</v>
      </c>
      <c r="E1137" s="36">
        <v>1200.0999999999999</v>
      </c>
      <c r="F1137" s="36">
        <f t="shared" si="247"/>
        <v>4872.405999999999</v>
      </c>
      <c r="G1137" s="37">
        <f t="shared" si="248"/>
        <v>0</v>
      </c>
      <c r="H1137" s="38">
        <f t="shared" si="249"/>
        <v>0</v>
      </c>
      <c r="I1137" s="37">
        <f t="shared" si="250"/>
        <v>0</v>
      </c>
      <c r="J1137" s="38">
        <v>0</v>
      </c>
      <c r="K1137" s="37">
        <f t="shared" si="251"/>
        <v>0</v>
      </c>
      <c r="L1137" s="38">
        <v>0</v>
      </c>
    </row>
    <row r="1138" spans="1:12" s="39" customFormat="1" ht="43.5" customHeight="1" outlineLevel="1" x14ac:dyDescent="0.25">
      <c r="A1138" s="33">
        <v>8</v>
      </c>
      <c r="B1138" s="34" t="s">
        <v>842</v>
      </c>
      <c r="C1138" s="35" t="s">
        <v>66</v>
      </c>
      <c r="D1138" s="36">
        <v>3.07</v>
      </c>
      <c r="E1138" s="36">
        <v>381.23320000000001</v>
      </c>
      <c r="F1138" s="36">
        <f t="shared" si="247"/>
        <v>1170.3859239999999</v>
      </c>
      <c r="G1138" s="37">
        <f t="shared" si="248"/>
        <v>0</v>
      </c>
      <c r="H1138" s="38">
        <f t="shared" si="249"/>
        <v>0</v>
      </c>
      <c r="I1138" s="37">
        <f t="shared" si="250"/>
        <v>0</v>
      </c>
      <c r="J1138" s="38">
        <v>0</v>
      </c>
      <c r="K1138" s="37">
        <f t="shared" si="251"/>
        <v>0</v>
      </c>
      <c r="L1138" s="38">
        <v>0</v>
      </c>
    </row>
    <row r="1139" spans="1:12" s="39" customFormat="1" ht="15.45" customHeight="1" outlineLevel="1" x14ac:dyDescent="0.25">
      <c r="A1139" s="33">
        <v>9</v>
      </c>
      <c r="B1139" s="34" t="s">
        <v>45</v>
      </c>
      <c r="C1139" s="35" t="s">
        <v>30</v>
      </c>
      <c r="D1139" s="36">
        <v>0.184</v>
      </c>
      <c r="E1139" s="36">
        <v>1325.1</v>
      </c>
      <c r="F1139" s="36">
        <f t="shared" si="247"/>
        <v>243.81839999999997</v>
      </c>
      <c r="G1139" s="37">
        <f t="shared" si="248"/>
        <v>0</v>
      </c>
      <c r="H1139" s="38">
        <f t="shared" si="249"/>
        <v>0</v>
      </c>
      <c r="I1139" s="37">
        <f t="shared" si="250"/>
        <v>0</v>
      </c>
      <c r="J1139" s="38">
        <v>0</v>
      </c>
      <c r="K1139" s="37">
        <f t="shared" si="251"/>
        <v>0</v>
      </c>
      <c r="L1139" s="38">
        <v>0</v>
      </c>
    </row>
    <row r="1140" spans="1:12" s="39" customFormat="1" ht="15.45" customHeight="1" outlineLevel="1" x14ac:dyDescent="0.25">
      <c r="A1140" s="33">
        <v>10</v>
      </c>
      <c r="B1140" s="34" t="s">
        <v>46</v>
      </c>
      <c r="C1140" s="35" t="s">
        <v>30</v>
      </c>
      <c r="D1140" s="36">
        <v>0.36699999999999999</v>
      </c>
      <c r="E1140" s="36">
        <v>1200.0999999999999</v>
      </c>
      <c r="F1140" s="36">
        <f t="shared" si="247"/>
        <v>440.43669999999997</v>
      </c>
      <c r="G1140" s="37">
        <f t="shared" si="248"/>
        <v>0</v>
      </c>
      <c r="H1140" s="38">
        <f t="shared" si="249"/>
        <v>0</v>
      </c>
      <c r="I1140" s="37">
        <f t="shared" si="250"/>
        <v>0</v>
      </c>
      <c r="J1140" s="38">
        <v>0</v>
      </c>
      <c r="K1140" s="37">
        <f t="shared" si="251"/>
        <v>0</v>
      </c>
      <c r="L1140" s="38">
        <v>0</v>
      </c>
    </row>
    <row r="1141" spans="1:12" s="39" customFormat="1" ht="28.95" customHeight="1" outlineLevel="1" x14ac:dyDescent="0.25">
      <c r="A1141" s="33">
        <v>11</v>
      </c>
      <c r="B1141" s="34" t="s">
        <v>843</v>
      </c>
      <c r="C1141" s="35" t="s">
        <v>66</v>
      </c>
      <c r="D1141" s="36">
        <v>27.58</v>
      </c>
      <c r="E1141" s="36">
        <v>280</v>
      </c>
      <c r="F1141" s="36">
        <f t="shared" si="247"/>
        <v>7722.4</v>
      </c>
      <c r="G1141" s="37">
        <f t="shared" si="248"/>
        <v>0</v>
      </c>
      <c r="H1141" s="38">
        <f t="shared" si="249"/>
        <v>0</v>
      </c>
      <c r="I1141" s="37">
        <f t="shared" si="250"/>
        <v>0</v>
      </c>
      <c r="J1141" s="38">
        <v>0</v>
      </c>
      <c r="K1141" s="37">
        <f t="shared" si="251"/>
        <v>0</v>
      </c>
      <c r="L1141" s="38">
        <v>0</v>
      </c>
    </row>
    <row r="1142" spans="1:12" s="39" customFormat="1" ht="15.45" customHeight="1" outlineLevel="1" x14ac:dyDescent="0.25">
      <c r="A1142" s="33">
        <v>12</v>
      </c>
      <c r="B1142" s="34" t="s">
        <v>45</v>
      </c>
      <c r="C1142" s="35" t="s">
        <v>30</v>
      </c>
      <c r="D1142" s="36">
        <v>0.20799999999999999</v>
      </c>
      <c r="E1142" s="36">
        <v>1325.1</v>
      </c>
      <c r="F1142" s="36">
        <f t="shared" si="247"/>
        <v>275.62079999999997</v>
      </c>
      <c r="G1142" s="37">
        <f t="shared" si="248"/>
        <v>0</v>
      </c>
      <c r="H1142" s="38">
        <f t="shared" si="249"/>
        <v>0</v>
      </c>
      <c r="I1142" s="37">
        <f t="shared" si="250"/>
        <v>0</v>
      </c>
      <c r="J1142" s="38">
        <v>0</v>
      </c>
      <c r="K1142" s="37">
        <f t="shared" si="251"/>
        <v>0</v>
      </c>
      <c r="L1142" s="38">
        <v>0</v>
      </c>
    </row>
    <row r="1143" spans="1:12" s="39" customFormat="1" ht="15.45" customHeight="1" outlineLevel="1" x14ac:dyDescent="0.25">
      <c r="A1143" s="33">
        <v>13</v>
      </c>
      <c r="B1143" s="34" t="s">
        <v>46</v>
      </c>
      <c r="C1143" s="35" t="s">
        <v>30</v>
      </c>
      <c r="D1143" s="36">
        <v>3.0960000000000001</v>
      </c>
      <c r="E1143" s="36">
        <v>1200.0999999999999</v>
      </c>
      <c r="F1143" s="36">
        <f t="shared" si="247"/>
        <v>3715.5095999999999</v>
      </c>
      <c r="G1143" s="37">
        <f t="shared" si="248"/>
        <v>0</v>
      </c>
      <c r="H1143" s="38">
        <f t="shared" si="249"/>
        <v>0</v>
      </c>
      <c r="I1143" s="37">
        <f t="shared" si="250"/>
        <v>0</v>
      </c>
      <c r="J1143" s="38">
        <v>0</v>
      </c>
      <c r="K1143" s="37">
        <f t="shared" si="251"/>
        <v>0</v>
      </c>
      <c r="L1143" s="38">
        <v>0</v>
      </c>
    </row>
    <row r="1144" spans="1:12" s="39" customFormat="1" ht="28.95" customHeight="1" outlineLevel="1" x14ac:dyDescent="0.25">
      <c r="A1144" s="33">
        <v>14</v>
      </c>
      <c r="B1144" s="34" t="s">
        <v>844</v>
      </c>
      <c r="C1144" s="35" t="s">
        <v>66</v>
      </c>
      <c r="D1144" s="36">
        <v>9.32</v>
      </c>
      <c r="E1144" s="36">
        <v>360.49660000000011</v>
      </c>
      <c r="F1144" s="36">
        <f t="shared" si="247"/>
        <v>3359.828312000001</v>
      </c>
      <c r="G1144" s="37">
        <f t="shared" si="248"/>
        <v>0</v>
      </c>
      <c r="H1144" s="38">
        <f t="shared" si="249"/>
        <v>0</v>
      </c>
      <c r="I1144" s="37">
        <f t="shared" si="250"/>
        <v>0</v>
      </c>
      <c r="J1144" s="38">
        <v>0</v>
      </c>
      <c r="K1144" s="37">
        <f t="shared" si="251"/>
        <v>0</v>
      </c>
      <c r="L1144" s="38">
        <v>0</v>
      </c>
    </row>
    <row r="1145" spans="1:12" s="39" customFormat="1" ht="15.45" customHeight="1" outlineLevel="1" x14ac:dyDescent="0.25">
      <c r="A1145" s="33">
        <v>15</v>
      </c>
      <c r="B1145" s="34" t="s">
        <v>45</v>
      </c>
      <c r="C1145" s="35" t="s">
        <v>30</v>
      </c>
      <c r="D1145" s="36">
        <v>0.255</v>
      </c>
      <c r="E1145" s="36">
        <v>1325.1</v>
      </c>
      <c r="F1145" s="36">
        <f t="shared" si="247"/>
        <v>337.90049999999997</v>
      </c>
      <c r="G1145" s="37">
        <f t="shared" si="248"/>
        <v>0</v>
      </c>
      <c r="H1145" s="38">
        <f t="shared" si="249"/>
        <v>0</v>
      </c>
      <c r="I1145" s="37">
        <f t="shared" si="250"/>
        <v>0</v>
      </c>
      <c r="J1145" s="38">
        <v>0</v>
      </c>
      <c r="K1145" s="37">
        <f t="shared" si="251"/>
        <v>0</v>
      </c>
      <c r="L1145" s="38">
        <v>0</v>
      </c>
    </row>
    <row r="1146" spans="1:12" s="39" customFormat="1" ht="15.45" customHeight="1" outlineLevel="1" x14ac:dyDescent="0.25">
      <c r="A1146" s="33">
        <v>16</v>
      </c>
      <c r="B1146" s="34" t="s">
        <v>46</v>
      </c>
      <c r="C1146" s="35" t="s">
        <v>30</v>
      </c>
      <c r="D1146" s="36">
        <v>1.76</v>
      </c>
      <c r="E1146" s="36">
        <v>1200.0999999999999</v>
      </c>
      <c r="F1146" s="36">
        <f t="shared" si="247"/>
        <v>2112.1759999999999</v>
      </c>
      <c r="G1146" s="37">
        <f t="shared" si="248"/>
        <v>0</v>
      </c>
      <c r="H1146" s="38">
        <f t="shared" si="249"/>
        <v>0</v>
      </c>
      <c r="I1146" s="37">
        <f t="shared" si="250"/>
        <v>0</v>
      </c>
      <c r="J1146" s="38">
        <v>0</v>
      </c>
      <c r="K1146" s="37">
        <f t="shared" si="251"/>
        <v>0</v>
      </c>
      <c r="L1146" s="38">
        <v>0</v>
      </c>
    </row>
    <row r="1147" spans="1:12" s="45" customFormat="1" ht="43.5" customHeight="1" x14ac:dyDescent="0.3">
      <c r="A1147" s="33">
        <v>17</v>
      </c>
      <c r="B1147" s="34" t="s">
        <v>841</v>
      </c>
      <c r="C1147" s="35" t="s">
        <v>66</v>
      </c>
      <c r="D1147" s="36">
        <v>4.32</v>
      </c>
      <c r="E1147" s="36">
        <v>381.23320000000001</v>
      </c>
      <c r="F1147" s="36">
        <f t="shared" si="247"/>
        <v>1646.9274240000002</v>
      </c>
      <c r="G1147" s="37">
        <f t="shared" si="248"/>
        <v>0</v>
      </c>
      <c r="H1147" s="38">
        <f t="shared" si="249"/>
        <v>0</v>
      </c>
      <c r="I1147" s="37">
        <f t="shared" si="250"/>
        <v>0</v>
      </c>
      <c r="J1147" s="38">
        <v>0</v>
      </c>
      <c r="K1147" s="37">
        <f t="shared" si="251"/>
        <v>0</v>
      </c>
      <c r="L1147" s="38">
        <v>0</v>
      </c>
    </row>
    <row r="1148" spans="1:12" s="39" customFormat="1" ht="15.45" customHeight="1" outlineLevel="1" x14ac:dyDescent="0.25">
      <c r="A1148" s="33">
        <v>18</v>
      </c>
      <c r="B1148" s="34" t="s">
        <v>45</v>
      </c>
      <c r="C1148" s="35" t="s">
        <v>30</v>
      </c>
      <c r="D1148" s="36">
        <v>0.216</v>
      </c>
      <c r="E1148" s="36">
        <v>1325.1</v>
      </c>
      <c r="F1148" s="36">
        <f t="shared" si="247"/>
        <v>286.22159999999997</v>
      </c>
      <c r="G1148" s="37">
        <f t="shared" si="248"/>
        <v>0</v>
      </c>
      <c r="H1148" s="38">
        <f t="shared" si="249"/>
        <v>0</v>
      </c>
      <c r="I1148" s="37">
        <f t="shared" si="250"/>
        <v>0</v>
      </c>
      <c r="J1148" s="38">
        <v>0</v>
      </c>
      <c r="K1148" s="37">
        <f t="shared" si="251"/>
        <v>0</v>
      </c>
      <c r="L1148" s="38">
        <v>0</v>
      </c>
    </row>
    <row r="1149" spans="1:12" s="45" customFormat="1" ht="15.45" customHeight="1" x14ac:dyDescent="0.3">
      <c r="A1149" s="33">
        <v>19</v>
      </c>
      <c r="B1149" s="34" t="s">
        <v>46</v>
      </c>
      <c r="C1149" s="35" t="s">
        <v>30</v>
      </c>
      <c r="D1149" s="36">
        <v>0.68400000000000005</v>
      </c>
      <c r="E1149" s="36">
        <v>1200.0999999999999</v>
      </c>
      <c r="F1149" s="36">
        <f t="shared" si="247"/>
        <v>820.86839999999995</v>
      </c>
      <c r="G1149" s="37">
        <f t="shared" si="248"/>
        <v>0</v>
      </c>
      <c r="H1149" s="38">
        <f t="shared" si="249"/>
        <v>0</v>
      </c>
      <c r="I1149" s="37">
        <f t="shared" si="250"/>
        <v>0</v>
      </c>
      <c r="J1149" s="38">
        <v>0</v>
      </c>
      <c r="K1149" s="37">
        <f t="shared" si="251"/>
        <v>0</v>
      </c>
      <c r="L1149" s="38">
        <v>0</v>
      </c>
    </row>
    <row r="1150" spans="1:12" s="45" customFormat="1" ht="15.45" customHeight="1" x14ac:dyDescent="0.3">
      <c r="A1150" s="33">
        <v>20</v>
      </c>
      <c r="B1150" s="34" t="s">
        <v>845</v>
      </c>
      <c r="C1150" s="35" t="s">
        <v>66</v>
      </c>
      <c r="D1150" s="36">
        <v>0.128</v>
      </c>
      <c r="E1150" s="36">
        <v>249.38800000000001</v>
      </c>
      <c r="F1150" s="36">
        <f t="shared" si="247"/>
        <v>31.921664</v>
      </c>
      <c r="G1150" s="37">
        <f t="shared" si="248"/>
        <v>0</v>
      </c>
      <c r="H1150" s="38">
        <f t="shared" si="249"/>
        <v>0</v>
      </c>
      <c r="I1150" s="37">
        <f t="shared" si="250"/>
        <v>0</v>
      </c>
      <c r="J1150" s="38">
        <v>0</v>
      </c>
      <c r="K1150" s="37">
        <f t="shared" si="251"/>
        <v>0</v>
      </c>
      <c r="L1150" s="38">
        <v>0</v>
      </c>
    </row>
    <row r="1151" spans="1:12" s="39" customFormat="1" ht="15.45" customHeight="1" outlineLevel="1" x14ac:dyDescent="0.25">
      <c r="A1151" s="33">
        <v>21</v>
      </c>
      <c r="B1151" s="34" t="s">
        <v>45</v>
      </c>
      <c r="C1151" s="35" t="s">
        <v>30</v>
      </c>
      <c r="D1151" s="36">
        <v>1.4999999999999999E-2</v>
      </c>
      <c r="E1151" s="36">
        <v>1325.1</v>
      </c>
      <c r="F1151" s="36">
        <f t="shared" si="247"/>
        <v>19.876499999999997</v>
      </c>
      <c r="G1151" s="37">
        <f t="shared" si="248"/>
        <v>0</v>
      </c>
      <c r="H1151" s="38">
        <f t="shared" si="249"/>
        <v>0</v>
      </c>
      <c r="I1151" s="37">
        <f t="shared" si="250"/>
        <v>0</v>
      </c>
      <c r="J1151" s="38">
        <v>0</v>
      </c>
      <c r="K1151" s="37">
        <f t="shared" si="251"/>
        <v>0</v>
      </c>
      <c r="L1151" s="38">
        <v>0</v>
      </c>
    </row>
    <row r="1152" spans="1:12" s="39" customFormat="1" ht="15.45" customHeight="1" outlineLevel="1" x14ac:dyDescent="0.25">
      <c r="A1152" s="33">
        <v>22</v>
      </c>
      <c r="B1152" s="34" t="s">
        <v>46</v>
      </c>
      <c r="C1152" s="35" t="s">
        <v>30</v>
      </c>
      <c r="D1152" s="36">
        <v>1.7000000000000001E-2</v>
      </c>
      <c r="E1152" s="36">
        <v>1200.0999999999999</v>
      </c>
      <c r="F1152" s="36">
        <f t="shared" si="247"/>
        <v>20.401699999999998</v>
      </c>
      <c r="G1152" s="37">
        <f t="shared" si="248"/>
        <v>0</v>
      </c>
      <c r="H1152" s="38">
        <f t="shared" si="249"/>
        <v>0</v>
      </c>
      <c r="I1152" s="37">
        <f t="shared" si="250"/>
        <v>0</v>
      </c>
      <c r="J1152" s="38">
        <v>0</v>
      </c>
      <c r="K1152" s="37">
        <f t="shared" si="251"/>
        <v>0</v>
      </c>
      <c r="L1152" s="38">
        <v>0</v>
      </c>
    </row>
    <row r="1153" spans="1:12" s="39" customFormat="1" ht="15.45" customHeight="1" outlineLevel="1" x14ac:dyDescent="0.25">
      <c r="A1153" s="33">
        <v>23</v>
      </c>
      <c r="B1153" s="34" t="s">
        <v>846</v>
      </c>
      <c r="C1153" s="35" t="s">
        <v>66</v>
      </c>
      <c r="D1153" s="36">
        <v>0.36</v>
      </c>
      <c r="E1153" s="36">
        <v>358.63000000000011</v>
      </c>
      <c r="F1153" s="36">
        <f t="shared" si="247"/>
        <v>129.10680000000002</v>
      </c>
      <c r="G1153" s="37">
        <f t="shared" si="248"/>
        <v>0</v>
      </c>
      <c r="H1153" s="38">
        <f t="shared" si="249"/>
        <v>0</v>
      </c>
      <c r="I1153" s="37">
        <f t="shared" si="250"/>
        <v>0</v>
      </c>
      <c r="J1153" s="38">
        <v>0</v>
      </c>
      <c r="K1153" s="37">
        <f t="shared" si="251"/>
        <v>0</v>
      </c>
      <c r="L1153" s="38">
        <v>0</v>
      </c>
    </row>
    <row r="1154" spans="1:12" s="39" customFormat="1" ht="15.45" customHeight="1" outlineLevel="1" x14ac:dyDescent="0.25">
      <c r="A1154" s="33">
        <v>24</v>
      </c>
      <c r="B1154" s="34" t="s">
        <v>45</v>
      </c>
      <c r="C1154" s="35" t="s">
        <v>30</v>
      </c>
      <c r="D1154" s="36">
        <v>0.01</v>
      </c>
      <c r="E1154" s="36">
        <v>1325.1</v>
      </c>
      <c r="F1154" s="36">
        <f t="shared" si="247"/>
        <v>13.250999999999999</v>
      </c>
      <c r="G1154" s="37">
        <f t="shared" si="248"/>
        <v>0</v>
      </c>
      <c r="H1154" s="38">
        <f t="shared" si="249"/>
        <v>0</v>
      </c>
      <c r="I1154" s="37">
        <f t="shared" si="250"/>
        <v>0</v>
      </c>
      <c r="J1154" s="38">
        <v>0</v>
      </c>
      <c r="K1154" s="37">
        <f t="shared" si="251"/>
        <v>0</v>
      </c>
      <c r="L1154" s="38">
        <v>0</v>
      </c>
    </row>
    <row r="1155" spans="1:12" s="39" customFormat="1" ht="15.45" customHeight="1" outlineLevel="1" x14ac:dyDescent="0.25">
      <c r="A1155" s="33">
        <v>25</v>
      </c>
      <c r="B1155" s="34" t="s">
        <v>46</v>
      </c>
      <c r="C1155" s="35" t="s">
        <v>30</v>
      </c>
      <c r="D1155" s="36">
        <v>3.3000000000000002E-2</v>
      </c>
      <c r="E1155" s="36">
        <v>1200.0999999999999</v>
      </c>
      <c r="F1155" s="36">
        <f t="shared" si="247"/>
        <v>39.603299999999997</v>
      </c>
      <c r="G1155" s="37">
        <f t="shared" si="248"/>
        <v>0</v>
      </c>
      <c r="H1155" s="38">
        <f t="shared" si="249"/>
        <v>0</v>
      </c>
      <c r="I1155" s="37">
        <f t="shared" si="250"/>
        <v>0</v>
      </c>
      <c r="J1155" s="38">
        <v>0</v>
      </c>
      <c r="K1155" s="37">
        <f t="shared" si="251"/>
        <v>0</v>
      </c>
      <c r="L1155" s="38">
        <v>0</v>
      </c>
    </row>
    <row r="1156" spans="1:12" s="39" customFormat="1" ht="43.5" customHeight="1" outlineLevel="1" x14ac:dyDescent="0.25">
      <c r="A1156" s="33">
        <v>26</v>
      </c>
      <c r="B1156" s="34" t="s">
        <v>847</v>
      </c>
      <c r="C1156" s="35" t="s">
        <v>50</v>
      </c>
      <c r="D1156" s="36">
        <v>7</v>
      </c>
      <c r="E1156" s="36">
        <v>97.173399999999987</v>
      </c>
      <c r="F1156" s="36">
        <f t="shared" si="247"/>
        <v>680.21379999999988</v>
      </c>
      <c r="G1156" s="37">
        <f t="shared" si="248"/>
        <v>0</v>
      </c>
      <c r="H1156" s="38">
        <f t="shared" si="249"/>
        <v>0</v>
      </c>
      <c r="I1156" s="37">
        <f t="shared" si="250"/>
        <v>0</v>
      </c>
      <c r="J1156" s="38">
        <v>0</v>
      </c>
      <c r="K1156" s="37">
        <f t="shared" si="251"/>
        <v>0</v>
      </c>
      <c r="L1156" s="38">
        <v>0</v>
      </c>
    </row>
    <row r="1157" spans="1:12" s="39" customFormat="1" ht="28.95" customHeight="1" outlineLevel="1" x14ac:dyDescent="0.25">
      <c r="A1157" s="33">
        <v>27</v>
      </c>
      <c r="B1157" s="34" t="s">
        <v>848</v>
      </c>
      <c r="C1157" s="35" t="s">
        <v>30</v>
      </c>
      <c r="D1157" s="36">
        <v>0.11</v>
      </c>
      <c r="E1157" s="36">
        <v>1886.4554000000001</v>
      </c>
      <c r="F1157" s="36">
        <f t="shared" si="247"/>
        <v>207.51009400000001</v>
      </c>
      <c r="G1157" s="37">
        <f t="shared" si="248"/>
        <v>0</v>
      </c>
      <c r="H1157" s="38">
        <f t="shared" si="249"/>
        <v>0</v>
      </c>
      <c r="I1157" s="37">
        <f t="shared" si="250"/>
        <v>0</v>
      </c>
      <c r="J1157" s="38">
        <v>0</v>
      </c>
      <c r="K1157" s="37">
        <f t="shared" si="251"/>
        <v>0</v>
      </c>
      <c r="L1157" s="38">
        <v>0</v>
      </c>
    </row>
    <row r="1158" spans="1:12" s="39" customFormat="1" ht="15.45" customHeight="1" outlineLevel="1" x14ac:dyDescent="0.25">
      <c r="A1158" s="33">
        <v>28</v>
      </c>
      <c r="B1158" s="34" t="s">
        <v>849</v>
      </c>
      <c r="C1158" s="35" t="s">
        <v>66</v>
      </c>
      <c r="D1158" s="36">
        <v>0.25600000000000001</v>
      </c>
      <c r="E1158" s="36">
        <v>249.38800000000001</v>
      </c>
      <c r="F1158" s="36">
        <f t="shared" si="247"/>
        <v>63.843328</v>
      </c>
      <c r="G1158" s="37">
        <f t="shared" si="248"/>
        <v>0</v>
      </c>
      <c r="H1158" s="38">
        <f t="shared" si="249"/>
        <v>0</v>
      </c>
      <c r="I1158" s="37">
        <f t="shared" si="250"/>
        <v>0</v>
      </c>
      <c r="J1158" s="38">
        <v>0</v>
      </c>
      <c r="K1158" s="37">
        <f t="shared" si="251"/>
        <v>0</v>
      </c>
      <c r="L1158" s="38">
        <v>0</v>
      </c>
    </row>
    <row r="1159" spans="1:12" s="39" customFormat="1" ht="15.45" customHeight="1" outlineLevel="1" x14ac:dyDescent="0.25">
      <c r="A1159" s="33">
        <v>29</v>
      </c>
      <c r="B1159" s="34" t="s">
        <v>45</v>
      </c>
      <c r="C1159" s="35" t="s">
        <v>30</v>
      </c>
      <c r="D1159" s="36">
        <v>0.01</v>
      </c>
      <c r="E1159" s="36">
        <v>1325.1</v>
      </c>
      <c r="F1159" s="36">
        <f t="shared" si="247"/>
        <v>13.250999999999999</v>
      </c>
      <c r="G1159" s="37">
        <f t="shared" si="248"/>
        <v>0</v>
      </c>
      <c r="H1159" s="38">
        <f t="shared" si="249"/>
        <v>0</v>
      </c>
      <c r="I1159" s="37">
        <f t="shared" si="250"/>
        <v>0</v>
      </c>
      <c r="J1159" s="38">
        <v>0</v>
      </c>
      <c r="K1159" s="37">
        <f t="shared" si="251"/>
        <v>0</v>
      </c>
      <c r="L1159" s="38">
        <v>0</v>
      </c>
    </row>
    <row r="1160" spans="1:12" s="39" customFormat="1" ht="15.45" customHeight="1" outlineLevel="1" x14ac:dyDescent="0.25">
      <c r="A1160" s="33">
        <v>30</v>
      </c>
      <c r="B1160" s="34" t="s">
        <v>46</v>
      </c>
      <c r="C1160" s="35" t="s">
        <v>30</v>
      </c>
      <c r="D1160" s="36">
        <v>1.6E-2</v>
      </c>
      <c r="E1160" s="36">
        <v>1200.0999999999999</v>
      </c>
      <c r="F1160" s="36">
        <f t="shared" si="247"/>
        <v>19.201599999999999</v>
      </c>
      <c r="G1160" s="37">
        <f t="shared" si="248"/>
        <v>0</v>
      </c>
      <c r="H1160" s="38">
        <f t="shared" si="249"/>
        <v>0</v>
      </c>
      <c r="I1160" s="37">
        <f t="shared" si="250"/>
        <v>0</v>
      </c>
      <c r="J1160" s="38">
        <v>0</v>
      </c>
      <c r="K1160" s="37">
        <f t="shared" si="251"/>
        <v>0</v>
      </c>
      <c r="L1160" s="38">
        <v>0</v>
      </c>
    </row>
    <row r="1161" spans="1:12" s="39" customFormat="1" ht="28.95" customHeight="1" outlineLevel="1" x14ac:dyDescent="0.25">
      <c r="A1161" s="33">
        <v>31</v>
      </c>
      <c r="B1161" s="34" t="s">
        <v>850</v>
      </c>
      <c r="C1161" s="35" t="s">
        <v>106</v>
      </c>
      <c r="D1161" s="36">
        <v>23.52</v>
      </c>
      <c r="E1161" s="36">
        <v>30.802</v>
      </c>
      <c r="F1161" s="36">
        <f t="shared" si="247"/>
        <v>724.46303999999998</v>
      </c>
      <c r="G1161" s="37">
        <f t="shared" si="248"/>
        <v>0</v>
      </c>
      <c r="H1161" s="38">
        <f t="shared" si="249"/>
        <v>0</v>
      </c>
      <c r="I1161" s="37">
        <f t="shared" si="250"/>
        <v>0</v>
      </c>
      <c r="J1161" s="38">
        <v>0</v>
      </c>
      <c r="K1161" s="37">
        <f t="shared" si="251"/>
        <v>0</v>
      </c>
      <c r="L1161" s="38">
        <v>0</v>
      </c>
    </row>
    <row r="1162" spans="1:12" s="39" customFormat="1" ht="15.45" customHeight="1" outlineLevel="1" x14ac:dyDescent="0.25">
      <c r="A1162" s="33">
        <v>32</v>
      </c>
      <c r="B1162" s="34" t="s">
        <v>851</v>
      </c>
      <c r="C1162" s="35" t="s">
        <v>66</v>
      </c>
      <c r="D1162" s="36">
        <v>2.1</v>
      </c>
      <c r="E1162" s="36">
        <v>249.38800000000001</v>
      </c>
      <c r="F1162" s="36">
        <f t="shared" si="247"/>
        <v>523.71480000000008</v>
      </c>
      <c r="G1162" s="37">
        <f t="shared" si="248"/>
        <v>0</v>
      </c>
      <c r="H1162" s="38">
        <f t="shared" si="249"/>
        <v>0</v>
      </c>
      <c r="I1162" s="37">
        <f t="shared" si="250"/>
        <v>0</v>
      </c>
      <c r="J1162" s="38">
        <v>0</v>
      </c>
      <c r="K1162" s="37">
        <f t="shared" si="251"/>
        <v>0</v>
      </c>
      <c r="L1162" s="38">
        <v>0</v>
      </c>
    </row>
    <row r="1163" spans="1:12" s="39" customFormat="1" ht="15.45" customHeight="1" outlineLevel="1" x14ac:dyDescent="0.25">
      <c r="A1163" s="33">
        <v>33</v>
      </c>
      <c r="B1163" s="34" t="s">
        <v>45</v>
      </c>
      <c r="C1163" s="35" t="s">
        <v>30</v>
      </c>
      <c r="D1163" s="36">
        <v>6.2E-2</v>
      </c>
      <c r="E1163" s="36">
        <v>1325.1</v>
      </c>
      <c r="F1163" s="36">
        <f t="shared" si="247"/>
        <v>82.156199999999998</v>
      </c>
      <c r="G1163" s="37">
        <f t="shared" si="248"/>
        <v>0</v>
      </c>
      <c r="H1163" s="38">
        <f t="shared" si="249"/>
        <v>0</v>
      </c>
      <c r="I1163" s="37">
        <f t="shared" si="250"/>
        <v>0</v>
      </c>
      <c r="J1163" s="38">
        <v>0</v>
      </c>
      <c r="K1163" s="37">
        <f t="shared" si="251"/>
        <v>0</v>
      </c>
      <c r="L1163" s="38">
        <v>0</v>
      </c>
    </row>
    <row r="1164" spans="1:12" s="39" customFormat="1" ht="15.45" customHeight="1" outlineLevel="1" x14ac:dyDescent="0.25">
      <c r="A1164" s="33">
        <v>34</v>
      </c>
      <c r="B1164" s="34" t="s">
        <v>46</v>
      </c>
      <c r="C1164" s="35" t="s">
        <v>30</v>
      </c>
      <c r="D1164" s="36">
        <v>8.8999999999999996E-2</v>
      </c>
      <c r="E1164" s="36">
        <v>1200.0999999999999</v>
      </c>
      <c r="F1164" s="36">
        <f t="shared" si="247"/>
        <v>106.80889999999998</v>
      </c>
      <c r="G1164" s="37">
        <f t="shared" si="248"/>
        <v>0</v>
      </c>
      <c r="H1164" s="38">
        <f t="shared" si="249"/>
        <v>0</v>
      </c>
      <c r="I1164" s="37">
        <f t="shared" si="250"/>
        <v>0</v>
      </c>
      <c r="J1164" s="38">
        <v>0</v>
      </c>
      <c r="K1164" s="37">
        <f t="shared" si="251"/>
        <v>0</v>
      </c>
      <c r="L1164" s="38">
        <v>0</v>
      </c>
    </row>
    <row r="1165" spans="1:12" s="39" customFormat="1" ht="28.95" customHeight="1" outlineLevel="1" x14ac:dyDescent="0.25">
      <c r="A1165" s="33">
        <v>35</v>
      </c>
      <c r="B1165" s="34" t="s">
        <v>840</v>
      </c>
      <c r="C1165" s="35" t="s">
        <v>66</v>
      </c>
      <c r="D1165" s="36">
        <v>1.1359999999999999</v>
      </c>
      <c r="E1165" s="36">
        <v>281.11200000000002</v>
      </c>
      <c r="F1165" s="36">
        <f t="shared" si="247"/>
        <v>319.343232</v>
      </c>
      <c r="G1165" s="37">
        <f t="shared" si="248"/>
        <v>0</v>
      </c>
      <c r="H1165" s="38">
        <f t="shared" si="249"/>
        <v>0</v>
      </c>
      <c r="I1165" s="37">
        <f t="shared" si="250"/>
        <v>0</v>
      </c>
      <c r="J1165" s="38">
        <v>0</v>
      </c>
      <c r="K1165" s="37">
        <f t="shared" si="251"/>
        <v>0</v>
      </c>
      <c r="L1165" s="38">
        <v>0</v>
      </c>
    </row>
    <row r="1166" spans="1:12" s="39" customFormat="1" ht="15.45" customHeight="1" outlineLevel="1" x14ac:dyDescent="0.25">
      <c r="A1166" s="33">
        <v>36</v>
      </c>
      <c r="B1166" s="34" t="s">
        <v>46</v>
      </c>
      <c r="C1166" s="35" t="s">
        <v>30</v>
      </c>
      <c r="D1166" s="36">
        <v>3.3000000000000002E-2</v>
      </c>
      <c r="E1166" s="36">
        <v>1200.0999999999999</v>
      </c>
      <c r="F1166" s="36">
        <f t="shared" si="247"/>
        <v>39.603299999999997</v>
      </c>
      <c r="G1166" s="37">
        <f t="shared" si="248"/>
        <v>0</v>
      </c>
      <c r="H1166" s="38">
        <f t="shared" si="249"/>
        <v>0</v>
      </c>
      <c r="I1166" s="37">
        <f t="shared" si="250"/>
        <v>0</v>
      </c>
      <c r="J1166" s="38">
        <v>0</v>
      </c>
      <c r="K1166" s="37">
        <f t="shared" si="251"/>
        <v>0</v>
      </c>
      <c r="L1166" s="38">
        <v>0</v>
      </c>
    </row>
    <row r="1167" spans="1:12" s="39" customFormat="1" ht="15.45" customHeight="1" outlineLevel="1" x14ac:dyDescent="0.25">
      <c r="A1167" s="33">
        <v>37</v>
      </c>
      <c r="B1167" s="34" t="s">
        <v>45</v>
      </c>
      <c r="C1167" s="35" t="s">
        <v>30</v>
      </c>
      <c r="D1167" s="36">
        <v>3.1E-2</v>
      </c>
      <c r="E1167" s="36">
        <v>1325.1</v>
      </c>
      <c r="F1167" s="36">
        <f t="shared" si="247"/>
        <v>41.078099999999999</v>
      </c>
      <c r="G1167" s="37">
        <f t="shared" si="248"/>
        <v>0</v>
      </c>
      <c r="H1167" s="38">
        <f t="shared" si="249"/>
        <v>0</v>
      </c>
      <c r="I1167" s="37">
        <f t="shared" si="250"/>
        <v>0</v>
      </c>
      <c r="J1167" s="38">
        <v>0</v>
      </c>
      <c r="K1167" s="37">
        <f t="shared" si="251"/>
        <v>0</v>
      </c>
      <c r="L1167" s="38">
        <v>0</v>
      </c>
    </row>
    <row r="1168" spans="1:12" s="39" customFormat="1" ht="28.95" customHeight="1" outlineLevel="1" x14ac:dyDescent="0.25">
      <c r="A1168" s="33">
        <v>38</v>
      </c>
      <c r="B1168" s="34" t="s">
        <v>255</v>
      </c>
      <c r="C1168" s="35" t="s">
        <v>106</v>
      </c>
      <c r="D1168" s="36">
        <v>24.44</v>
      </c>
      <c r="E1168" s="36">
        <v>41.92</v>
      </c>
      <c r="F1168" s="36">
        <f t="shared" si="247"/>
        <v>1024.5248000000001</v>
      </c>
      <c r="G1168" s="37">
        <f t="shared" si="248"/>
        <v>0</v>
      </c>
      <c r="H1168" s="38">
        <f t="shared" si="249"/>
        <v>0</v>
      </c>
      <c r="I1168" s="37">
        <f t="shared" si="250"/>
        <v>0</v>
      </c>
      <c r="J1168" s="38">
        <v>0</v>
      </c>
      <c r="K1168" s="37">
        <f t="shared" si="251"/>
        <v>0</v>
      </c>
      <c r="L1168" s="38">
        <v>0</v>
      </c>
    </row>
    <row r="1169" spans="1:12" s="39" customFormat="1" ht="15.45" customHeight="1" outlineLevel="1" x14ac:dyDescent="0.25">
      <c r="A1169" s="31" t="s">
        <v>852</v>
      </c>
      <c r="B1169" s="40" t="s">
        <v>853</v>
      </c>
      <c r="C1169" s="41">
        <v>0</v>
      </c>
      <c r="D1169" s="42"/>
      <c r="E1169" s="42"/>
      <c r="F1169" s="42"/>
      <c r="G1169" s="43"/>
      <c r="H1169" s="44"/>
      <c r="I1169" s="43"/>
      <c r="J1169" s="44"/>
      <c r="K1169" s="43"/>
      <c r="L1169" s="44">
        <v>0</v>
      </c>
    </row>
    <row r="1170" spans="1:12" s="39" customFormat="1" ht="28.95" customHeight="1" outlineLevel="1" x14ac:dyDescent="0.25">
      <c r="A1170" s="33">
        <v>1</v>
      </c>
      <c r="B1170" s="34" t="s">
        <v>255</v>
      </c>
      <c r="C1170" s="35" t="s">
        <v>106</v>
      </c>
      <c r="D1170" s="36">
        <v>184</v>
      </c>
      <c r="E1170" s="36">
        <v>41.92</v>
      </c>
      <c r="F1170" s="36">
        <f>+E1170*D1170</f>
        <v>7713.2800000000007</v>
      </c>
      <c r="G1170" s="37">
        <f t="shared" ref="G1170:H1174" si="252">I1170+K1170</f>
        <v>0</v>
      </c>
      <c r="H1170" s="38">
        <f t="shared" si="252"/>
        <v>0</v>
      </c>
      <c r="I1170" s="37">
        <f>J1170/F1170</f>
        <v>0</v>
      </c>
      <c r="J1170" s="38">
        <v>0</v>
      </c>
      <c r="K1170" s="37">
        <f>L1170/F1170</f>
        <v>0</v>
      </c>
      <c r="L1170" s="38">
        <v>0</v>
      </c>
    </row>
    <row r="1171" spans="1:12" s="39" customFormat="1" ht="28.95" customHeight="1" outlineLevel="1" x14ac:dyDescent="0.25">
      <c r="A1171" s="33">
        <v>2</v>
      </c>
      <c r="B1171" s="34" t="s">
        <v>854</v>
      </c>
      <c r="C1171" s="35" t="s">
        <v>66</v>
      </c>
      <c r="D1171" s="36">
        <v>5.3</v>
      </c>
      <c r="E1171" s="36">
        <v>144.17500000000001</v>
      </c>
      <c r="F1171" s="36">
        <f>+E1171*D1171</f>
        <v>764.12750000000005</v>
      </c>
      <c r="G1171" s="37">
        <f t="shared" si="252"/>
        <v>0</v>
      </c>
      <c r="H1171" s="38">
        <f t="shared" si="252"/>
        <v>0</v>
      </c>
      <c r="I1171" s="37">
        <f>J1171/F1171</f>
        <v>0</v>
      </c>
      <c r="J1171" s="38">
        <v>0</v>
      </c>
      <c r="K1171" s="37">
        <f>L1171/F1171</f>
        <v>0</v>
      </c>
      <c r="L1171" s="38">
        <v>0</v>
      </c>
    </row>
    <row r="1172" spans="1:12" s="39" customFormat="1" ht="15.45" customHeight="1" outlineLevel="1" x14ac:dyDescent="0.25">
      <c r="A1172" s="33">
        <v>3</v>
      </c>
      <c r="B1172" s="34" t="s">
        <v>259</v>
      </c>
      <c r="C1172" s="35" t="s">
        <v>30</v>
      </c>
      <c r="D1172" s="36">
        <v>0.29599999999999999</v>
      </c>
      <c r="E1172" s="36">
        <v>2150</v>
      </c>
      <c r="F1172" s="36">
        <f>+E1172*D1172</f>
        <v>636.4</v>
      </c>
      <c r="G1172" s="37">
        <f t="shared" si="252"/>
        <v>0</v>
      </c>
      <c r="H1172" s="38">
        <f t="shared" si="252"/>
        <v>0</v>
      </c>
      <c r="I1172" s="37">
        <f>J1172/F1172</f>
        <v>0</v>
      </c>
      <c r="J1172" s="38">
        <v>0</v>
      </c>
      <c r="K1172" s="37">
        <f>L1172/F1172</f>
        <v>0</v>
      </c>
      <c r="L1172" s="38">
        <v>0</v>
      </c>
    </row>
    <row r="1173" spans="1:12" s="45" customFormat="1" ht="15.45" customHeight="1" x14ac:dyDescent="0.3">
      <c r="A1173" s="33">
        <v>4</v>
      </c>
      <c r="B1173" s="34" t="s">
        <v>274</v>
      </c>
      <c r="C1173" s="35" t="s">
        <v>55</v>
      </c>
      <c r="D1173" s="36">
        <v>9</v>
      </c>
      <c r="E1173" s="36">
        <v>40.9</v>
      </c>
      <c r="F1173" s="36">
        <f>+E1173*D1173</f>
        <v>368.09999999999997</v>
      </c>
      <c r="G1173" s="37">
        <f t="shared" si="252"/>
        <v>0</v>
      </c>
      <c r="H1173" s="38">
        <f t="shared" si="252"/>
        <v>0</v>
      </c>
      <c r="I1173" s="37">
        <f>J1173/F1173</f>
        <v>0</v>
      </c>
      <c r="J1173" s="38">
        <v>0</v>
      </c>
      <c r="K1173" s="37">
        <f>L1173/F1173</f>
        <v>0</v>
      </c>
      <c r="L1173" s="38">
        <v>0</v>
      </c>
    </row>
    <row r="1174" spans="1:12" s="39" customFormat="1" ht="15.45" customHeight="1" outlineLevel="1" x14ac:dyDescent="0.25">
      <c r="A1174" s="33">
        <v>5</v>
      </c>
      <c r="B1174" s="34" t="s">
        <v>784</v>
      </c>
      <c r="C1174" s="35" t="s">
        <v>55</v>
      </c>
      <c r="D1174" s="36">
        <v>9</v>
      </c>
      <c r="E1174" s="36">
        <v>55.902200000000001</v>
      </c>
      <c r="F1174" s="36">
        <f>+E1174*D1174</f>
        <v>503.1198</v>
      </c>
      <c r="G1174" s="37">
        <f t="shared" si="252"/>
        <v>0</v>
      </c>
      <c r="H1174" s="38">
        <f t="shared" si="252"/>
        <v>0</v>
      </c>
      <c r="I1174" s="37">
        <f>J1174/F1174</f>
        <v>0</v>
      </c>
      <c r="J1174" s="38">
        <v>0</v>
      </c>
      <c r="K1174" s="37">
        <f>L1174/F1174</f>
        <v>0</v>
      </c>
      <c r="L1174" s="38">
        <v>0</v>
      </c>
    </row>
    <row r="1175" spans="1:12" s="39" customFormat="1" ht="15.45" customHeight="1" outlineLevel="1" x14ac:dyDescent="0.25">
      <c r="A1175" s="31" t="s">
        <v>193</v>
      </c>
      <c r="B1175" s="40" t="s">
        <v>194</v>
      </c>
      <c r="C1175" s="41">
        <v>0</v>
      </c>
      <c r="D1175" s="42"/>
      <c r="E1175" s="42"/>
      <c r="F1175" s="42"/>
      <c r="G1175" s="43"/>
      <c r="H1175" s="44"/>
      <c r="I1175" s="43"/>
      <c r="J1175" s="44"/>
      <c r="K1175" s="43"/>
      <c r="L1175" s="44">
        <v>0</v>
      </c>
    </row>
    <row r="1176" spans="1:12" s="39" customFormat="1" ht="58.05" customHeight="1" outlineLevel="1" x14ac:dyDescent="0.25">
      <c r="A1176" s="33">
        <v>1</v>
      </c>
      <c r="B1176" s="34" t="s">
        <v>855</v>
      </c>
      <c r="C1176" s="35" t="s">
        <v>106</v>
      </c>
      <c r="D1176" s="36">
        <v>37.36</v>
      </c>
      <c r="E1176" s="36">
        <v>149.83600000000001</v>
      </c>
      <c r="F1176" s="36">
        <f>+E1176*D1176</f>
        <v>5597.8729600000006</v>
      </c>
      <c r="G1176" s="37">
        <f t="shared" ref="G1176:H1178" si="253">I1176+K1176</f>
        <v>0</v>
      </c>
      <c r="H1176" s="38">
        <f t="shared" si="253"/>
        <v>0</v>
      </c>
      <c r="I1176" s="37">
        <f>J1176/F1176</f>
        <v>0</v>
      </c>
      <c r="J1176" s="38">
        <v>0</v>
      </c>
      <c r="K1176" s="37">
        <f>L1176/F1176</f>
        <v>0</v>
      </c>
      <c r="L1176" s="38">
        <v>0</v>
      </c>
    </row>
    <row r="1177" spans="1:12" s="39" customFormat="1" ht="15.45" customHeight="1" outlineLevel="1" x14ac:dyDescent="0.25">
      <c r="A1177" s="33">
        <v>2</v>
      </c>
      <c r="B1177" s="34" t="s">
        <v>264</v>
      </c>
      <c r="C1177" s="35" t="s">
        <v>106</v>
      </c>
      <c r="D1177" s="36">
        <v>3.96</v>
      </c>
      <c r="E1177" s="36">
        <v>178.6</v>
      </c>
      <c r="F1177" s="36">
        <f>+E1177*D1177</f>
        <v>707.25599999999997</v>
      </c>
      <c r="G1177" s="37">
        <f t="shared" si="253"/>
        <v>0</v>
      </c>
      <c r="H1177" s="38">
        <f t="shared" si="253"/>
        <v>0</v>
      </c>
      <c r="I1177" s="37">
        <f>J1177/F1177</f>
        <v>0</v>
      </c>
      <c r="J1177" s="38">
        <v>0</v>
      </c>
      <c r="K1177" s="37">
        <f>L1177/F1177</f>
        <v>0</v>
      </c>
      <c r="L1177" s="38">
        <v>0</v>
      </c>
    </row>
    <row r="1178" spans="1:12" s="39" customFormat="1" ht="28.95" customHeight="1" outlineLevel="1" x14ac:dyDescent="0.25">
      <c r="A1178" s="33">
        <v>4</v>
      </c>
      <c r="B1178" s="34" t="s">
        <v>265</v>
      </c>
      <c r="C1178" s="35" t="s">
        <v>106</v>
      </c>
      <c r="D1178" s="36">
        <v>9.4499999999999993</v>
      </c>
      <c r="E1178" s="36">
        <v>163.30000000000001</v>
      </c>
      <c r="F1178" s="36">
        <f>+E1178*D1178</f>
        <v>1543.1849999999999</v>
      </c>
      <c r="G1178" s="37">
        <f t="shared" si="253"/>
        <v>0</v>
      </c>
      <c r="H1178" s="38">
        <f t="shared" si="253"/>
        <v>0</v>
      </c>
      <c r="I1178" s="37">
        <f>J1178/F1178</f>
        <v>0</v>
      </c>
      <c r="J1178" s="38">
        <v>0</v>
      </c>
      <c r="K1178" s="37">
        <f>L1178/F1178</f>
        <v>0</v>
      </c>
      <c r="L1178" s="38">
        <v>0</v>
      </c>
    </row>
    <row r="1179" spans="1:12" s="39" customFormat="1" ht="15.45" customHeight="1" outlineLevel="1" x14ac:dyDescent="0.25">
      <c r="A1179" s="31" t="s">
        <v>103</v>
      </c>
      <c r="B1179" s="40" t="s">
        <v>104</v>
      </c>
      <c r="C1179" s="41">
        <v>0</v>
      </c>
      <c r="D1179" s="42"/>
      <c r="E1179" s="42"/>
      <c r="F1179" s="42"/>
      <c r="G1179" s="43"/>
      <c r="H1179" s="44"/>
      <c r="I1179" s="43"/>
      <c r="J1179" s="44"/>
      <c r="K1179" s="43"/>
      <c r="L1179" s="44">
        <v>0</v>
      </c>
    </row>
    <row r="1180" spans="1:12" s="39" customFormat="1" ht="15.45" customHeight="1" outlineLevel="1" x14ac:dyDescent="0.25">
      <c r="A1180" s="33">
        <v>2</v>
      </c>
      <c r="B1180" s="34" t="s">
        <v>856</v>
      </c>
      <c r="C1180" s="35" t="s">
        <v>106</v>
      </c>
      <c r="D1180" s="36">
        <v>29.71</v>
      </c>
      <c r="E1180" s="36">
        <v>18.9496</v>
      </c>
      <c r="F1180" s="36">
        <f>+E1180*D1180</f>
        <v>562.992616</v>
      </c>
      <c r="G1180" s="37">
        <f t="shared" ref="G1180:H1184" si="254">I1180+K1180</f>
        <v>0</v>
      </c>
      <c r="H1180" s="38">
        <f t="shared" si="254"/>
        <v>0</v>
      </c>
      <c r="I1180" s="37">
        <f>J1180/F1180</f>
        <v>0</v>
      </c>
      <c r="J1180" s="38">
        <v>0</v>
      </c>
      <c r="K1180" s="37">
        <f>L1180/F1180</f>
        <v>0</v>
      </c>
      <c r="L1180" s="38">
        <v>0</v>
      </c>
    </row>
    <row r="1181" spans="1:12" s="39" customFormat="1" ht="28.95" customHeight="1" outlineLevel="1" x14ac:dyDescent="0.25">
      <c r="A1181" s="33">
        <v>3</v>
      </c>
      <c r="B1181" s="34" t="s">
        <v>857</v>
      </c>
      <c r="C1181" s="35" t="s">
        <v>106</v>
      </c>
      <c r="D1181" s="36">
        <v>118.76</v>
      </c>
      <c r="E1181" s="36">
        <v>6.73</v>
      </c>
      <c r="F1181" s="36">
        <f>+E1181*D1181</f>
        <v>799.25480000000005</v>
      </c>
      <c r="G1181" s="37">
        <f t="shared" si="254"/>
        <v>0</v>
      </c>
      <c r="H1181" s="38">
        <f t="shared" si="254"/>
        <v>0</v>
      </c>
      <c r="I1181" s="37">
        <f>J1181/F1181</f>
        <v>0</v>
      </c>
      <c r="J1181" s="38">
        <v>0</v>
      </c>
      <c r="K1181" s="37">
        <f>L1181/F1181</f>
        <v>0</v>
      </c>
      <c r="L1181" s="38">
        <v>0</v>
      </c>
    </row>
    <row r="1182" spans="1:12" s="39" customFormat="1" ht="15.45" customHeight="1" outlineLevel="1" x14ac:dyDescent="0.25">
      <c r="A1182" s="33">
        <v>4</v>
      </c>
      <c r="B1182" s="34" t="s">
        <v>279</v>
      </c>
      <c r="C1182" s="35" t="s">
        <v>106</v>
      </c>
      <c r="D1182" s="36">
        <v>118.76</v>
      </c>
      <c r="E1182" s="36">
        <v>1.4259999999999999</v>
      </c>
      <c r="F1182" s="36">
        <f>+E1182*D1182</f>
        <v>169.35176000000001</v>
      </c>
      <c r="G1182" s="37">
        <f t="shared" si="254"/>
        <v>0</v>
      </c>
      <c r="H1182" s="38">
        <f t="shared" si="254"/>
        <v>0</v>
      </c>
      <c r="I1182" s="37">
        <f>J1182/F1182</f>
        <v>0</v>
      </c>
      <c r="J1182" s="38">
        <v>0</v>
      </c>
      <c r="K1182" s="37">
        <f>L1182/F1182</f>
        <v>0</v>
      </c>
      <c r="L1182" s="38">
        <v>0</v>
      </c>
    </row>
    <row r="1183" spans="1:12" s="39" customFormat="1" ht="28.95" customHeight="1" outlineLevel="1" x14ac:dyDescent="0.25">
      <c r="A1183" s="33">
        <v>5</v>
      </c>
      <c r="B1183" s="34" t="s">
        <v>858</v>
      </c>
      <c r="C1183" s="35" t="s">
        <v>106</v>
      </c>
      <c r="D1183" s="36">
        <v>118.76</v>
      </c>
      <c r="E1183" s="36">
        <v>32.403399999999998</v>
      </c>
      <c r="F1183" s="36">
        <f>+E1183*D1183</f>
        <v>3848.2277839999997</v>
      </c>
      <c r="G1183" s="37">
        <f t="shared" si="254"/>
        <v>0</v>
      </c>
      <c r="H1183" s="38">
        <f t="shared" si="254"/>
        <v>0</v>
      </c>
      <c r="I1183" s="37">
        <f>J1183/F1183</f>
        <v>0</v>
      </c>
      <c r="J1183" s="38">
        <v>0</v>
      </c>
      <c r="K1183" s="37">
        <f>L1183/F1183</f>
        <v>0</v>
      </c>
      <c r="L1183" s="38">
        <v>0</v>
      </c>
    </row>
    <row r="1184" spans="1:12" s="39" customFormat="1" ht="28.95" customHeight="1" outlineLevel="1" x14ac:dyDescent="0.25">
      <c r="A1184" s="33">
        <v>6</v>
      </c>
      <c r="B1184" s="34" t="s">
        <v>859</v>
      </c>
      <c r="C1184" s="35" t="s">
        <v>106</v>
      </c>
      <c r="D1184" s="36">
        <v>9</v>
      </c>
      <c r="E1184" s="36">
        <v>25.6</v>
      </c>
      <c r="F1184" s="36">
        <f>+E1184*D1184</f>
        <v>230.4</v>
      </c>
      <c r="G1184" s="37">
        <f t="shared" si="254"/>
        <v>0</v>
      </c>
      <c r="H1184" s="38">
        <f t="shared" si="254"/>
        <v>0</v>
      </c>
      <c r="I1184" s="37">
        <f>J1184/F1184</f>
        <v>0</v>
      </c>
      <c r="J1184" s="38">
        <v>0</v>
      </c>
      <c r="K1184" s="37">
        <f>L1184/F1184</f>
        <v>0</v>
      </c>
      <c r="L1184" s="38">
        <v>0</v>
      </c>
    </row>
    <row r="1185" spans="1:12" s="45" customFormat="1" ht="15.45" customHeight="1" x14ac:dyDescent="0.3">
      <c r="A1185" s="31" t="s">
        <v>860</v>
      </c>
      <c r="B1185" s="40" t="s">
        <v>861</v>
      </c>
      <c r="C1185" s="41">
        <v>0</v>
      </c>
      <c r="D1185" s="42"/>
      <c r="E1185" s="42"/>
      <c r="F1185" s="42"/>
      <c r="G1185" s="43"/>
      <c r="H1185" s="44"/>
      <c r="I1185" s="43"/>
      <c r="J1185" s="44"/>
      <c r="K1185" s="43"/>
      <c r="L1185" s="44">
        <v>0</v>
      </c>
    </row>
    <row r="1186" spans="1:12" s="39" customFormat="1" ht="28.95" customHeight="1" outlineLevel="1" x14ac:dyDescent="0.25">
      <c r="A1186" s="33">
        <v>1</v>
      </c>
      <c r="B1186" s="34" t="s">
        <v>298</v>
      </c>
      <c r="C1186" s="35" t="s">
        <v>106</v>
      </c>
      <c r="D1186" s="36">
        <v>54.7</v>
      </c>
      <c r="E1186" s="36">
        <v>6.5157999999999996</v>
      </c>
      <c r="F1186" s="36">
        <f t="shared" ref="F1186:F1194" si="255">+E1186*D1186</f>
        <v>356.41426000000001</v>
      </c>
      <c r="G1186" s="37">
        <f t="shared" ref="G1186:G1194" si="256">I1186+K1186</f>
        <v>0</v>
      </c>
      <c r="H1186" s="38">
        <f t="shared" ref="H1186:H1194" si="257">J1186+L1186</f>
        <v>0</v>
      </c>
      <c r="I1186" s="37">
        <f t="shared" ref="I1186:I1194" si="258">J1186/F1186</f>
        <v>0</v>
      </c>
      <c r="J1186" s="38">
        <v>0</v>
      </c>
      <c r="K1186" s="37">
        <f t="shared" ref="K1186:K1194" si="259">L1186/F1186</f>
        <v>0</v>
      </c>
      <c r="L1186" s="38">
        <v>0</v>
      </c>
    </row>
    <row r="1187" spans="1:12" s="39" customFormat="1" ht="28.95" customHeight="1" outlineLevel="1" x14ac:dyDescent="0.25">
      <c r="A1187" s="33">
        <v>2</v>
      </c>
      <c r="B1187" s="34" t="s">
        <v>299</v>
      </c>
      <c r="C1187" s="35" t="s">
        <v>106</v>
      </c>
      <c r="D1187" s="36">
        <v>54.7</v>
      </c>
      <c r="E1187" s="36">
        <v>8.2498000000000005</v>
      </c>
      <c r="F1187" s="36">
        <f t="shared" si="255"/>
        <v>451.26406000000003</v>
      </c>
      <c r="G1187" s="37">
        <f t="shared" si="256"/>
        <v>0</v>
      </c>
      <c r="H1187" s="38">
        <f t="shared" si="257"/>
        <v>0</v>
      </c>
      <c r="I1187" s="37">
        <f t="shared" si="258"/>
        <v>0</v>
      </c>
      <c r="J1187" s="38">
        <v>0</v>
      </c>
      <c r="K1187" s="37">
        <f t="shared" si="259"/>
        <v>0</v>
      </c>
      <c r="L1187" s="38">
        <v>0</v>
      </c>
    </row>
    <row r="1188" spans="1:12" s="39" customFormat="1" ht="28.95" customHeight="1" outlineLevel="1" x14ac:dyDescent="0.25">
      <c r="A1188" s="33">
        <v>3</v>
      </c>
      <c r="B1188" s="34" t="s">
        <v>304</v>
      </c>
      <c r="C1188" s="35" t="s">
        <v>106</v>
      </c>
      <c r="D1188" s="36">
        <v>532.95000000000005</v>
      </c>
      <c r="E1188" s="36">
        <v>12.778600000000001</v>
      </c>
      <c r="F1188" s="36">
        <f t="shared" si="255"/>
        <v>6810.354870000001</v>
      </c>
      <c r="G1188" s="37">
        <f t="shared" si="256"/>
        <v>0</v>
      </c>
      <c r="H1188" s="38">
        <f t="shared" si="257"/>
        <v>0</v>
      </c>
      <c r="I1188" s="37">
        <f t="shared" si="258"/>
        <v>0</v>
      </c>
      <c r="J1188" s="38">
        <v>0</v>
      </c>
      <c r="K1188" s="37">
        <f t="shared" si="259"/>
        <v>0</v>
      </c>
      <c r="L1188" s="38">
        <v>0</v>
      </c>
    </row>
    <row r="1189" spans="1:12" s="39" customFormat="1" ht="28.95" customHeight="1" outlineLevel="1" x14ac:dyDescent="0.25">
      <c r="A1189" s="33">
        <v>4</v>
      </c>
      <c r="B1189" s="34" t="s">
        <v>305</v>
      </c>
      <c r="C1189" s="35" t="s">
        <v>106</v>
      </c>
      <c r="D1189" s="36">
        <v>532.95000000000005</v>
      </c>
      <c r="E1189" s="36">
        <v>5.71</v>
      </c>
      <c r="F1189" s="36">
        <f t="shared" si="255"/>
        <v>3043.1445000000003</v>
      </c>
      <c r="G1189" s="37">
        <f t="shared" si="256"/>
        <v>0</v>
      </c>
      <c r="H1189" s="38">
        <f t="shared" si="257"/>
        <v>0</v>
      </c>
      <c r="I1189" s="37">
        <f t="shared" si="258"/>
        <v>0</v>
      </c>
      <c r="J1189" s="38">
        <v>0</v>
      </c>
      <c r="K1189" s="37">
        <f t="shared" si="259"/>
        <v>0</v>
      </c>
      <c r="L1189" s="38">
        <v>0</v>
      </c>
    </row>
    <row r="1190" spans="1:12" s="39" customFormat="1" ht="15.45" customHeight="1" outlineLevel="1" x14ac:dyDescent="0.25">
      <c r="A1190" s="33">
        <v>5</v>
      </c>
      <c r="B1190" s="34" t="s">
        <v>862</v>
      </c>
      <c r="C1190" s="35" t="s">
        <v>106</v>
      </c>
      <c r="D1190" s="36">
        <v>101.09</v>
      </c>
      <c r="E1190" s="36">
        <v>13.4008</v>
      </c>
      <c r="F1190" s="36">
        <f t="shared" si="255"/>
        <v>1354.686872</v>
      </c>
      <c r="G1190" s="37">
        <f t="shared" si="256"/>
        <v>0</v>
      </c>
      <c r="H1190" s="38">
        <f t="shared" si="257"/>
        <v>0</v>
      </c>
      <c r="I1190" s="37">
        <f t="shared" si="258"/>
        <v>0</v>
      </c>
      <c r="J1190" s="38">
        <v>0</v>
      </c>
      <c r="K1190" s="37">
        <f t="shared" si="259"/>
        <v>0</v>
      </c>
      <c r="L1190" s="38">
        <v>0</v>
      </c>
    </row>
    <row r="1191" spans="1:12" s="39" customFormat="1" ht="15.45" customHeight="1" outlineLevel="1" x14ac:dyDescent="0.25">
      <c r="A1191" s="33">
        <v>6</v>
      </c>
      <c r="B1191" s="34" t="s">
        <v>863</v>
      </c>
      <c r="C1191" s="35" t="s">
        <v>106</v>
      </c>
      <c r="D1191" s="36">
        <v>101.09</v>
      </c>
      <c r="E1191" s="36">
        <v>2.2624</v>
      </c>
      <c r="F1191" s="36">
        <f t="shared" si="255"/>
        <v>228.70601600000001</v>
      </c>
      <c r="G1191" s="37">
        <f t="shared" si="256"/>
        <v>0</v>
      </c>
      <c r="H1191" s="38">
        <f t="shared" si="257"/>
        <v>0</v>
      </c>
      <c r="I1191" s="37">
        <f t="shared" si="258"/>
        <v>0</v>
      </c>
      <c r="J1191" s="38">
        <v>0</v>
      </c>
      <c r="K1191" s="37">
        <f t="shared" si="259"/>
        <v>0</v>
      </c>
      <c r="L1191" s="38">
        <v>0</v>
      </c>
    </row>
    <row r="1192" spans="1:12" s="39" customFormat="1" ht="15.45" customHeight="1" outlineLevel="1" x14ac:dyDescent="0.25">
      <c r="A1192" s="33">
        <v>7</v>
      </c>
      <c r="B1192" s="34" t="s">
        <v>310</v>
      </c>
      <c r="C1192" s="35" t="s">
        <v>106</v>
      </c>
      <c r="D1192" s="36">
        <v>424.8</v>
      </c>
      <c r="E1192" s="36">
        <v>10.320399999999999</v>
      </c>
      <c r="F1192" s="36">
        <f t="shared" si="255"/>
        <v>4384.10592</v>
      </c>
      <c r="G1192" s="37">
        <f t="shared" si="256"/>
        <v>0</v>
      </c>
      <c r="H1192" s="38">
        <f t="shared" si="257"/>
        <v>0</v>
      </c>
      <c r="I1192" s="37">
        <f t="shared" si="258"/>
        <v>0</v>
      </c>
      <c r="J1192" s="38">
        <v>0</v>
      </c>
      <c r="K1192" s="37">
        <f t="shared" si="259"/>
        <v>0</v>
      </c>
      <c r="L1192" s="38">
        <v>0</v>
      </c>
    </row>
    <row r="1193" spans="1:12" s="39" customFormat="1" ht="28.95" customHeight="1" outlineLevel="1" x14ac:dyDescent="0.25">
      <c r="A1193" s="33">
        <v>8</v>
      </c>
      <c r="B1193" s="34" t="s">
        <v>797</v>
      </c>
      <c r="C1193" s="35" t="s">
        <v>106</v>
      </c>
      <c r="D1193" s="36">
        <v>424.8</v>
      </c>
      <c r="E1193" s="36">
        <v>4.9857999999999993</v>
      </c>
      <c r="F1193" s="36">
        <f t="shared" si="255"/>
        <v>2117.9678399999998</v>
      </c>
      <c r="G1193" s="37">
        <f t="shared" si="256"/>
        <v>0</v>
      </c>
      <c r="H1193" s="38">
        <f t="shared" si="257"/>
        <v>0</v>
      </c>
      <c r="I1193" s="37">
        <f t="shared" si="258"/>
        <v>0</v>
      </c>
      <c r="J1193" s="38">
        <v>0</v>
      </c>
      <c r="K1193" s="37">
        <f t="shared" si="259"/>
        <v>0</v>
      </c>
      <c r="L1193" s="38">
        <v>0</v>
      </c>
    </row>
    <row r="1194" spans="1:12" s="39" customFormat="1" ht="28.95" customHeight="1" outlineLevel="1" x14ac:dyDescent="0.25">
      <c r="A1194" s="33">
        <v>9</v>
      </c>
      <c r="B1194" s="34" t="s">
        <v>864</v>
      </c>
      <c r="C1194" s="35" t="s">
        <v>106</v>
      </c>
      <c r="D1194" s="36">
        <v>525.89</v>
      </c>
      <c r="E1194" s="36">
        <v>6.4749999999999996</v>
      </c>
      <c r="F1194" s="36">
        <f t="shared" si="255"/>
        <v>3405.1377499999999</v>
      </c>
      <c r="G1194" s="37">
        <f t="shared" si="256"/>
        <v>0</v>
      </c>
      <c r="H1194" s="38">
        <f t="shared" si="257"/>
        <v>0</v>
      </c>
      <c r="I1194" s="37">
        <f t="shared" si="258"/>
        <v>0</v>
      </c>
      <c r="J1194" s="38">
        <v>0</v>
      </c>
      <c r="K1194" s="37">
        <f t="shared" si="259"/>
        <v>0</v>
      </c>
      <c r="L1194" s="38">
        <v>0</v>
      </c>
    </row>
    <row r="1195" spans="1:12" s="39" customFormat="1" ht="15.45" customHeight="1" outlineLevel="1" x14ac:dyDescent="0.25">
      <c r="A1195" s="31" t="s">
        <v>195</v>
      </c>
      <c r="B1195" s="40" t="s">
        <v>196</v>
      </c>
      <c r="C1195" s="41">
        <v>0</v>
      </c>
      <c r="D1195" s="42"/>
      <c r="E1195" s="42"/>
      <c r="F1195" s="42"/>
      <c r="G1195" s="43"/>
      <c r="H1195" s="44"/>
      <c r="I1195" s="43"/>
      <c r="J1195" s="44"/>
      <c r="K1195" s="43"/>
      <c r="L1195" s="44">
        <v>0</v>
      </c>
    </row>
    <row r="1196" spans="1:12" s="39" customFormat="1" ht="28.95" customHeight="1" outlineLevel="1" x14ac:dyDescent="0.25">
      <c r="A1196" s="33">
        <v>1</v>
      </c>
      <c r="B1196" s="34" t="s">
        <v>865</v>
      </c>
      <c r="C1196" s="35" t="s">
        <v>30</v>
      </c>
      <c r="D1196" s="36">
        <v>0.47699999999999998</v>
      </c>
      <c r="E1196" s="36">
        <v>3151.5837999999999</v>
      </c>
      <c r="F1196" s="36">
        <f>+E1196*D1196</f>
        <v>1503.3054725999998</v>
      </c>
      <c r="G1196" s="37">
        <f>I1196+K1196</f>
        <v>0</v>
      </c>
      <c r="H1196" s="38">
        <f>J1196+L1196</f>
        <v>0</v>
      </c>
      <c r="I1196" s="37">
        <f>J1196/F1196</f>
        <v>0</v>
      </c>
      <c r="J1196" s="38">
        <v>0</v>
      </c>
      <c r="K1196" s="37">
        <f>L1196/F1196</f>
        <v>0</v>
      </c>
      <c r="L1196" s="38">
        <v>0</v>
      </c>
    </row>
    <row r="1197" spans="1:12" s="39" customFormat="1" ht="15.45" customHeight="1" outlineLevel="1" x14ac:dyDescent="0.25">
      <c r="A1197" s="31" t="s">
        <v>866</v>
      </c>
      <c r="B1197" s="40" t="s">
        <v>867</v>
      </c>
      <c r="C1197" s="41">
        <v>0</v>
      </c>
      <c r="D1197" s="42"/>
      <c r="E1197" s="42"/>
      <c r="F1197" s="42"/>
      <c r="G1197" s="43"/>
      <c r="H1197" s="44"/>
      <c r="I1197" s="43"/>
      <c r="J1197" s="44"/>
      <c r="K1197" s="43"/>
      <c r="L1197" s="44">
        <v>0</v>
      </c>
    </row>
    <row r="1198" spans="1:12" s="39" customFormat="1" ht="28.95" customHeight="1" outlineLevel="1" x14ac:dyDescent="0.25">
      <c r="A1198" s="33">
        <v>1</v>
      </c>
      <c r="B1198" s="34" t="s">
        <v>385</v>
      </c>
      <c r="C1198" s="35" t="s">
        <v>50</v>
      </c>
      <c r="D1198" s="36">
        <v>14</v>
      </c>
      <c r="E1198" s="36">
        <v>9.0454000000000008</v>
      </c>
      <c r="F1198" s="36">
        <f>+E1198*D1198</f>
        <v>126.63560000000001</v>
      </c>
      <c r="G1198" s="37">
        <f t="shared" ref="G1198:H1200" si="260">I1198+K1198</f>
        <v>0</v>
      </c>
      <c r="H1198" s="38">
        <f t="shared" si="260"/>
        <v>0</v>
      </c>
      <c r="I1198" s="37">
        <f>J1198/F1198</f>
        <v>0</v>
      </c>
      <c r="J1198" s="38">
        <v>0</v>
      </c>
      <c r="K1198" s="37">
        <f>L1198/F1198</f>
        <v>0</v>
      </c>
      <c r="L1198" s="38">
        <v>0</v>
      </c>
    </row>
    <row r="1199" spans="1:12" s="39" customFormat="1" ht="28.95" customHeight="1" outlineLevel="1" x14ac:dyDescent="0.25">
      <c r="A1199" s="33">
        <v>2</v>
      </c>
      <c r="B1199" s="34" t="s">
        <v>386</v>
      </c>
      <c r="C1199" s="35" t="s">
        <v>50</v>
      </c>
      <c r="D1199" s="36">
        <v>14</v>
      </c>
      <c r="E1199" s="36">
        <v>3.3212000000000002</v>
      </c>
      <c r="F1199" s="36">
        <f>+E1199*D1199</f>
        <v>46.4968</v>
      </c>
      <c r="G1199" s="37">
        <f t="shared" si="260"/>
        <v>0</v>
      </c>
      <c r="H1199" s="38">
        <f t="shared" si="260"/>
        <v>0</v>
      </c>
      <c r="I1199" s="37">
        <f>J1199/F1199</f>
        <v>0</v>
      </c>
      <c r="J1199" s="38">
        <v>0</v>
      </c>
      <c r="K1199" s="37">
        <f>L1199/F1199</f>
        <v>0</v>
      </c>
      <c r="L1199" s="38">
        <v>0</v>
      </c>
    </row>
    <row r="1200" spans="1:12" s="39" customFormat="1" ht="15.45" customHeight="1" outlineLevel="1" x14ac:dyDescent="0.25">
      <c r="A1200" s="33">
        <v>3</v>
      </c>
      <c r="B1200" s="34" t="s">
        <v>396</v>
      </c>
      <c r="C1200" s="35" t="s">
        <v>115</v>
      </c>
      <c r="D1200" s="36">
        <v>2</v>
      </c>
      <c r="E1200" s="36">
        <v>13.972</v>
      </c>
      <c r="F1200" s="36">
        <f>+E1200*D1200</f>
        <v>27.943999999999999</v>
      </c>
      <c r="G1200" s="37">
        <f t="shared" si="260"/>
        <v>0</v>
      </c>
      <c r="H1200" s="38">
        <f t="shared" si="260"/>
        <v>0</v>
      </c>
      <c r="I1200" s="37">
        <f>J1200/F1200</f>
        <v>0</v>
      </c>
      <c r="J1200" s="38">
        <v>0</v>
      </c>
      <c r="K1200" s="37">
        <f>L1200/F1200</f>
        <v>0</v>
      </c>
      <c r="L1200" s="38">
        <v>0</v>
      </c>
    </row>
    <row r="1201" spans="1:12" s="39" customFormat="1" ht="15.45" customHeight="1" outlineLevel="1" x14ac:dyDescent="0.25">
      <c r="A1201" s="31" t="s">
        <v>868</v>
      </c>
      <c r="B1201" s="40" t="s">
        <v>869</v>
      </c>
      <c r="C1201" s="41">
        <v>0</v>
      </c>
      <c r="D1201" s="42"/>
      <c r="E1201" s="42"/>
      <c r="F1201" s="42"/>
      <c r="G1201" s="43"/>
      <c r="H1201" s="44"/>
      <c r="I1201" s="43"/>
      <c r="J1201" s="44"/>
      <c r="K1201" s="43"/>
      <c r="L1201" s="44">
        <v>0</v>
      </c>
    </row>
    <row r="1202" spans="1:12" s="45" customFormat="1" ht="28.95" customHeight="1" x14ac:dyDescent="0.3">
      <c r="A1202" s="33">
        <v>1</v>
      </c>
      <c r="B1202" s="34" t="s">
        <v>870</v>
      </c>
      <c r="C1202" s="35" t="s">
        <v>55</v>
      </c>
      <c r="D1202" s="36">
        <v>1</v>
      </c>
      <c r="E1202" s="36">
        <v>51.811999999999998</v>
      </c>
      <c r="F1202" s="36">
        <f t="shared" ref="F1202:F1224" si="261">+E1202*D1202</f>
        <v>51.811999999999998</v>
      </c>
      <c r="G1202" s="37">
        <f t="shared" ref="G1202:G1224" si="262">I1202+K1202</f>
        <v>0</v>
      </c>
      <c r="H1202" s="38">
        <f t="shared" ref="H1202:H1224" si="263">J1202+L1202</f>
        <v>0</v>
      </c>
      <c r="I1202" s="37">
        <f t="shared" ref="I1202:I1224" si="264">J1202/F1202</f>
        <v>0</v>
      </c>
      <c r="J1202" s="38">
        <v>0</v>
      </c>
      <c r="K1202" s="37">
        <f t="shared" ref="K1202:K1224" si="265">L1202/F1202</f>
        <v>0</v>
      </c>
      <c r="L1202" s="38">
        <v>0</v>
      </c>
    </row>
    <row r="1203" spans="1:12" s="39" customFormat="1" ht="28.95" customHeight="1" outlineLevel="1" x14ac:dyDescent="0.25">
      <c r="A1203" s="33">
        <v>2</v>
      </c>
      <c r="B1203" s="34" t="s">
        <v>521</v>
      </c>
      <c r="C1203" s="35" t="s">
        <v>55</v>
      </c>
      <c r="D1203" s="36">
        <v>1</v>
      </c>
      <c r="E1203" s="36">
        <v>36.146799999999999</v>
      </c>
      <c r="F1203" s="36">
        <f t="shared" si="261"/>
        <v>36.146799999999999</v>
      </c>
      <c r="G1203" s="37">
        <f t="shared" si="262"/>
        <v>0</v>
      </c>
      <c r="H1203" s="38">
        <f t="shared" si="263"/>
        <v>0</v>
      </c>
      <c r="I1203" s="37">
        <f t="shared" si="264"/>
        <v>0</v>
      </c>
      <c r="J1203" s="38">
        <v>0</v>
      </c>
      <c r="K1203" s="37">
        <f t="shared" si="265"/>
        <v>0</v>
      </c>
      <c r="L1203" s="38">
        <v>0</v>
      </c>
    </row>
    <row r="1204" spans="1:12" s="39" customFormat="1" ht="15.45" customHeight="1" outlineLevel="1" x14ac:dyDescent="0.25">
      <c r="A1204" s="33">
        <v>3</v>
      </c>
      <c r="B1204" s="34" t="s">
        <v>511</v>
      </c>
      <c r="C1204" s="35" t="s">
        <v>55</v>
      </c>
      <c r="D1204" s="36">
        <v>1</v>
      </c>
      <c r="E1204" s="36">
        <v>20.79</v>
      </c>
      <c r="F1204" s="36">
        <f t="shared" si="261"/>
        <v>20.79</v>
      </c>
      <c r="G1204" s="37">
        <f t="shared" si="262"/>
        <v>0</v>
      </c>
      <c r="H1204" s="38">
        <f t="shared" si="263"/>
        <v>0</v>
      </c>
      <c r="I1204" s="37">
        <f t="shared" si="264"/>
        <v>0</v>
      </c>
      <c r="J1204" s="38">
        <v>0</v>
      </c>
      <c r="K1204" s="37">
        <f t="shared" si="265"/>
        <v>0</v>
      </c>
      <c r="L1204" s="38">
        <v>0</v>
      </c>
    </row>
    <row r="1205" spans="1:12" s="39" customFormat="1" ht="15.45" customHeight="1" outlineLevel="1" x14ac:dyDescent="0.25">
      <c r="A1205" s="33">
        <v>4</v>
      </c>
      <c r="B1205" s="34" t="s">
        <v>512</v>
      </c>
      <c r="C1205" s="35" t="s">
        <v>55</v>
      </c>
      <c r="D1205" s="36">
        <v>1</v>
      </c>
      <c r="E1205" s="36">
        <v>20.498000000000001</v>
      </c>
      <c r="F1205" s="36">
        <f t="shared" si="261"/>
        <v>20.498000000000001</v>
      </c>
      <c r="G1205" s="37">
        <f t="shared" si="262"/>
        <v>0</v>
      </c>
      <c r="H1205" s="38">
        <f t="shared" si="263"/>
        <v>0</v>
      </c>
      <c r="I1205" s="37">
        <f t="shared" si="264"/>
        <v>0</v>
      </c>
      <c r="J1205" s="38">
        <v>0</v>
      </c>
      <c r="K1205" s="37">
        <f t="shared" si="265"/>
        <v>0</v>
      </c>
      <c r="L1205" s="38">
        <v>0</v>
      </c>
    </row>
    <row r="1206" spans="1:12" s="39" customFormat="1" ht="15.45" customHeight="1" outlineLevel="1" x14ac:dyDescent="0.25">
      <c r="A1206" s="33">
        <v>5</v>
      </c>
      <c r="B1206" s="34" t="s">
        <v>523</v>
      </c>
      <c r="C1206" s="35" t="s">
        <v>55</v>
      </c>
      <c r="D1206" s="36">
        <v>4</v>
      </c>
      <c r="E1206" s="36">
        <v>4.3921999999999999</v>
      </c>
      <c r="F1206" s="36">
        <f t="shared" si="261"/>
        <v>17.5688</v>
      </c>
      <c r="G1206" s="37">
        <f t="shared" si="262"/>
        <v>0</v>
      </c>
      <c r="H1206" s="38">
        <f t="shared" si="263"/>
        <v>0</v>
      </c>
      <c r="I1206" s="37">
        <f t="shared" si="264"/>
        <v>0</v>
      </c>
      <c r="J1206" s="38">
        <v>0</v>
      </c>
      <c r="K1206" s="37">
        <f t="shared" si="265"/>
        <v>0</v>
      </c>
      <c r="L1206" s="38">
        <v>0</v>
      </c>
    </row>
    <row r="1207" spans="1:12" s="39" customFormat="1" ht="15.45" customHeight="1" outlineLevel="1" x14ac:dyDescent="0.25">
      <c r="A1207" s="33">
        <v>6</v>
      </c>
      <c r="B1207" s="34" t="s">
        <v>513</v>
      </c>
      <c r="C1207" s="35" t="s">
        <v>55</v>
      </c>
      <c r="D1207" s="36">
        <v>6</v>
      </c>
      <c r="E1207" s="36">
        <v>14.879799999999999</v>
      </c>
      <c r="F1207" s="36">
        <f t="shared" si="261"/>
        <v>89.27879999999999</v>
      </c>
      <c r="G1207" s="37">
        <f t="shared" si="262"/>
        <v>0</v>
      </c>
      <c r="H1207" s="38">
        <f t="shared" si="263"/>
        <v>0</v>
      </c>
      <c r="I1207" s="37">
        <f t="shared" si="264"/>
        <v>0</v>
      </c>
      <c r="J1207" s="38">
        <v>0</v>
      </c>
      <c r="K1207" s="37">
        <f t="shared" si="265"/>
        <v>0</v>
      </c>
      <c r="L1207" s="38">
        <v>0</v>
      </c>
    </row>
    <row r="1208" spans="1:12" s="39" customFormat="1" ht="28.95" customHeight="1" outlineLevel="1" x14ac:dyDescent="0.25">
      <c r="A1208" s="33">
        <v>7</v>
      </c>
      <c r="B1208" s="34" t="s">
        <v>871</v>
      </c>
      <c r="C1208" s="35" t="s">
        <v>55</v>
      </c>
      <c r="D1208" s="36">
        <v>26</v>
      </c>
      <c r="E1208" s="36">
        <v>43.896800000000013</v>
      </c>
      <c r="F1208" s="36">
        <f t="shared" si="261"/>
        <v>1141.3168000000003</v>
      </c>
      <c r="G1208" s="37">
        <f t="shared" si="262"/>
        <v>0</v>
      </c>
      <c r="H1208" s="38">
        <f t="shared" si="263"/>
        <v>0</v>
      </c>
      <c r="I1208" s="37">
        <f t="shared" si="264"/>
        <v>0</v>
      </c>
      <c r="J1208" s="38">
        <v>0</v>
      </c>
      <c r="K1208" s="37">
        <f t="shared" si="265"/>
        <v>0</v>
      </c>
      <c r="L1208" s="38">
        <v>0</v>
      </c>
    </row>
    <row r="1209" spans="1:12" s="39" customFormat="1" ht="28.95" customHeight="1" outlineLevel="1" x14ac:dyDescent="0.25">
      <c r="A1209" s="33">
        <v>8</v>
      </c>
      <c r="B1209" s="34" t="s">
        <v>594</v>
      </c>
      <c r="C1209" s="35" t="s">
        <v>55</v>
      </c>
      <c r="D1209" s="36">
        <v>26</v>
      </c>
      <c r="E1209" s="36">
        <v>14.002599999999999</v>
      </c>
      <c r="F1209" s="36">
        <f t="shared" si="261"/>
        <v>364.06759999999997</v>
      </c>
      <c r="G1209" s="37">
        <f t="shared" si="262"/>
        <v>0</v>
      </c>
      <c r="H1209" s="38">
        <f t="shared" si="263"/>
        <v>0</v>
      </c>
      <c r="I1209" s="37">
        <f t="shared" si="264"/>
        <v>0</v>
      </c>
      <c r="J1209" s="38">
        <v>0</v>
      </c>
      <c r="K1209" s="37">
        <f t="shared" si="265"/>
        <v>0</v>
      </c>
      <c r="L1209" s="38">
        <v>0</v>
      </c>
    </row>
    <row r="1210" spans="1:12" s="39" customFormat="1" ht="15.45" customHeight="1" outlineLevel="1" x14ac:dyDescent="0.25">
      <c r="A1210" s="33">
        <v>9</v>
      </c>
      <c r="B1210" s="34" t="s">
        <v>872</v>
      </c>
      <c r="C1210" s="35" t="s">
        <v>55</v>
      </c>
      <c r="D1210" s="36">
        <v>1</v>
      </c>
      <c r="E1210" s="36">
        <v>13.9292</v>
      </c>
      <c r="F1210" s="36">
        <f t="shared" si="261"/>
        <v>13.9292</v>
      </c>
      <c r="G1210" s="37">
        <f t="shared" si="262"/>
        <v>0</v>
      </c>
      <c r="H1210" s="38">
        <f t="shared" si="263"/>
        <v>0</v>
      </c>
      <c r="I1210" s="37">
        <f t="shared" si="264"/>
        <v>0</v>
      </c>
      <c r="J1210" s="38">
        <v>0</v>
      </c>
      <c r="K1210" s="37">
        <f t="shared" si="265"/>
        <v>0</v>
      </c>
      <c r="L1210" s="38">
        <v>0</v>
      </c>
    </row>
    <row r="1211" spans="1:12" s="39" customFormat="1" ht="15.45" customHeight="1" outlineLevel="1" x14ac:dyDescent="0.25">
      <c r="A1211" s="33">
        <v>10</v>
      </c>
      <c r="B1211" s="34" t="s">
        <v>513</v>
      </c>
      <c r="C1211" s="35" t="s">
        <v>55</v>
      </c>
      <c r="D1211" s="36">
        <v>1</v>
      </c>
      <c r="E1211" s="36">
        <v>14.879799999999999</v>
      </c>
      <c r="F1211" s="36">
        <f t="shared" si="261"/>
        <v>14.879799999999999</v>
      </c>
      <c r="G1211" s="37">
        <f t="shared" si="262"/>
        <v>0</v>
      </c>
      <c r="H1211" s="38">
        <f t="shared" si="263"/>
        <v>0</v>
      </c>
      <c r="I1211" s="37">
        <f t="shared" si="264"/>
        <v>0</v>
      </c>
      <c r="J1211" s="38">
        <v>0</v>
      </c>
      <c r="K1211" s="37">
        <f t="shared" si="265"/>
        <v>0</v>
      </c>
      <c r="L1211" s="38">
        <v>0</v>
      </c>
    </row>
    <row r="1212" spans="1:12" s="39" customFormat="1" ht="28.95" customHeight="1" outlineLevel="1" x14ac:dyDescent="0.25">
      <c r="A1212" s="33">
        <v>11</v>
      </c>
      <c r="B1212" s="34" t="s">
        <v>873</v>
      </c>
      <c r="C1212" s="35" t="s">
        <v>55</v>
      </c>
      <c r="D1212" s="36">
        <v>9</v>
      </c>
      <c r="E1212" s="36">
        <v>6.5444000000000004</v>
      </c>
      <c r="F1212" s="36">
        <f t="shared" si="261"/>
        <v>58.899600000000007</v>
      </c>
      <c r="G1212" s="37">
        <f t="shared" si="262"/>
        <v>0</v>
      </c>
      <c r="H1212" s="38">
        <f t="shared" si="263"/>
        <v>0</v>
      </c>
      <c r="I1212" s="37">
        <f t="shared" si="264"/>
        <v>0</v>
      </c>
      <c r="J1212" s="38">
        <v>0</v>
      </c>
      <c r="K1212" s="37">
        <f t="shared" si="265"/>
        <v>0</v>
      </c>
      <c r="L1212" s="38">
        <v>0</v>
      </c>
    </row>
    <row r="1213" spans="1:12" s="39" customFormat="1" ht="15.45" customHeight="1" outlineLevel="1" x14ac:dyDescent="0.25">
      <c r="A1213" s="33">
        <v>12</v>
      </c>
      <c r="B1213" s="34" t="s">
        <v>612</v>
      </c>
      <c r="C1213" s="35" t="s">
        <v>55</v>
      </c>
      <c r="D1213" s="36">
        <v>9</v>
      </c>
      <c r="E1213" s="36">
        <v>9.1780000000000008</v>
      </c>
      <c r="F1213" s="36">
        <f t="shared" si="261"/>
        <v>82.602000000000004</v>
      </c>
      <c r="G1213" s="37">
        <f t="shared" si="262"/>
        <v>0</v>
      </c>
      <c r="H1213" s="38">
        <f t="shared" si="263"/>
        <v>0</v>
      </c>
      <c r="I1213" s="37">
        <f t="shared" si="264"/>
        <v>0</v>
      </c>
      <c r="J1213" s="38">
        <v>0</v>
      </c>
      <c r="K1213" s="37">
        <f t="shared" si="265"/>
        <v>0</v>
      </c>
      <c r="L1213" s="38">
        <v>0</v>
      </c>
    </row>
    <row r="1214" spans="1:12" s="39" customFormat="1" ht="15.45" customHeight="1" outlineLevel="1" x14ac:dyDescent="0.25">
      <c r="A1214" s="33">
        <v>13</v>
      </c>
      <c r="B1214" s="34" t="s">
        <v>613</v>
      </c>
      <c r="C1214" s="35" t="s">
        <v>55</v>
      </c>
      <c r="D1214" s="36">
        <v>9</v>
      </c>
      <c r="E1214" s="36">
        <v>0.9</v>
      </c>
      <c r="F1214" s="36">
        <f t="shared" si="261"/>
        <v>8.1</v>
      </c>
      <c r="G1214" s="37">
        <f t="shared" si="262"/>
        <v>0</v>
      </c>
      <c r="H1214" s="38">
        <f t="shared" si="263"/>
        <v>0</v>
      </c>
      <c r="I1214" s="37">
        <f t="shared" si="264"/>
        <v>0</v>
      </c>
      <c r="J1214" s="38">
        <v>0</v>
      </c>
      <c r="K1214" s="37">
        <f t="shared" si="265"/>
        <v>0</v>
      </c>
      <c r="L1214" s="38">
        <v>0</v>
      </c>
    </row>
    <row r="1215" spans="1:12" s="39" customFormat="1" ht="15.45" customHeight="1" outlineLevel="1" x14ac:dyDescent="0.25">
      <c r="A1215" s="33">
        <v>14</v>
      </c>
      <c r="B1215" s="34" t="s">
        <v>549</v>
      </c>
      <c r="C1215" s="35" t="s">
        <v>55</v>
      </c>
      <c r="D1215" s="36">
        <v>5</v>
      </c>
      <c r="E1215" s="36">
        <v>0.9</v>
      </c>
      <c r="F1215" s="36">
        <f t="shared" si="261"/>
        <v>4.5</v>
      </c>
      <c r="G1215" s="37">
        <f t="shared" si="262"/>
        <v>0</v>
      </c>
      <c r="H1215" s="38">
        <f t="shared" si="263"/>
        <v>0</v>
      </c>
      <c r="I1215" s="37">
        <f t="shared" si="264"/>
        <v>0</v>
      </c>
      <c r="J1215" s="38">
        <v>0</v>
      </c>
      <c r="K1215" s="37">
        <f t="shared" si="265"/>
        <v>0</v>
      </c>
      <c r="L1215" s="38">
        <v>0</v>
      </c>
    </row>
    <row r="1216" spans="1:12" s="39" customFormat="1" ht="15.45" customHeight="1" outlineLevel="1" x14ac:dyDescent="0.25">
      <c r="A1216" s="33">
        <v>15</v>
      </c>
      <c r="B1216" s="34" t="s">
        <v>874</v>
      </c>
      <c r="C1216" s="35" t="s">
        <v>55</v>
      </c>
      <c r="D1216" s="36">
        <v>1</v>
      </c>
      <c r="E1216" s="36">
        <v>5.085799999999999</v>
      </c>
      <c r="F1216" s="36">
        <f t="shared" si="261"/>
        <v>5.085799999999999</v>
      </c>
      <c r="G1216" s="37">
        <f t="shared" si="262"/>
        <v>0</v>
      </c>
      <c r="H1216" s="38">
        <f t="shared" si="263"/>
        <v>0</v>
      </c>
      <c r="I1216" s="37">
        <f t="shared" si="264"/>
        <v>0</v>
      </c>
      <c r="J1216" s="38">
        <v>0</v>
      </c>
      <c r="K1216" s="37">
        <f t="shared" si="265"/>
        <v>0</v>
      </c>
      <c r="L1216" s="38">
        <v>0</v>
      </c>
    </row>
    <row r="1217" spans="1:12" s="39" customFormat="1" ht="28.95" customHeight="1" outlineLevel="1" x14ac:dyDescent="0.25">
      <c r="A1217" s="33">
        <v>16</v>
      </c>
      <c r="B1217" s="34" t="s">
        <v>875</v>
      </c>
      <c r="C1217" s="35" t="s">
        <v>50</v>
      </c>
      <c r="D1217" s="36">
        <v>335</v>
      </c>
      <c r="E1217" s="36">
        <v>0.9</v>
      </c>
      <c r="F1217" s="36">
        <f t="shared" si="261"/>
        <v>301.5</v>
      </c>
      <c r="G1217" s="37">
        <f t="shared" si="262"/>
        <v>0</v>
      </c>
      <c r="H1217" s="38">
        <f t="shared" si="263"/>
        <v>0</v>
      </c>
      <c r="I1217" s="37">
        <f t="shared" si="264"/>
        <v>0</v>
      </c>
      <c r="J1217" s="38">
        <v>0</v>
      </c>
      <c r="K1217" s="37">
        <f t="shared" si="265"/>
        <v>0</v>
      </c>
      <c r="L1217" s="38">
        <v>0</v>
      </c>
    </row>
    <row r="1218" spans="1:12" s="39" customFormat="1" ht="28.95" customHeight="1" outlineLevel="1" x14ac:dyDescent="0.25">
      <c r="A1218" s="33">
        <v>17</v>
      </c>
      <c r="B1218" s="34" t="s">
        <v>554</v>
      </c>
      <c r="C1218" s="35" t="s">
        <v>50</v>
      </c>
      <c r="D1218" s="36">
        <v>335</v>
      </c>
      <c r="E1218" s="36">
        <v>2.242</v>
      </c>
      <c r="F1218" s="36">
        <f t="shared" si="261"/>
        <v>751.07</v>
      </c>
      <c r="G1218" s="37">
        <f t="shared" si="262"/>
        <v>0</v>
      </c>
      <c r="H1218" s="38">
        <f t="shared" si="263"/>
        <v>0</v>
      </c>
      <c r="I1218" s="37">
        <f t="shared" si="264"/>
        <v>0</v>
      </c>
      <c r="J1218" s="38">
        <v>0</v>
      </c>
      <c r="K1218" s="37">
        <f t="shared" si="265"/>
        <v>0</v>
      </c>
      <c r="L1218" s="38">
        <v>0</v>
      </c>
    </row>
    <row r="1219" spans="1:12" s="39" customFormat="1" ht="15.45" customHeight="1" outlineLevel="1" x14ac:dyDescent="0.25">
      <c r="A1219" s="33">
        <v>18</v>
      </c>
      <c r="B1219" s="34" t="s">
        <v>560</v>
      </c>
      <c r="C1219" s="35" t="s">
        <v>50</v>
      </c>
      <c r="D1219" s="36">
        <v>300</v>
      </c>
      <c r="E1219" s="36">
        <v>5.0999999999999996</v>
      </c>
      <c r="F1219" s="36">
        <f t="shared" si="261"/>
        <v>1530</v>
      </c>
      <c r="G1219" s="37">
        <f t="shared" si="262"/>
        <v>0</v>
      </c>
      <c r="H1219" s="38">
        <f t="shared" si="263"/>
        <v>0</v>
      </c>
      <c r="I1219" s="37">
        <f t="shared" si="264"/>
        <v>0</v>
      </c>
      <c r="J1219" s="38">
        <v>0</v>
      </c>
      <c r="K1219" s="37">
        <f t="shared" si="265"/>
        <v>0</v>
      </c>
      <c r="L1219" s="38">
        <v>0</v>
      </c>
    </row>
    <row r="1220" spans="1:12" s="39" customFormat="1" ht="15.45" customHeight="1" outlineLevel="1" x14ac:dyDescent="0.25">
      <c r="A1220" s="33">
        <v>19</v>
      </c>
      <c r="B1220" s="34" t="s">
        <v>536</v>
      </c>
      <c r="C1220" s="35" t="s">
        <v>50</v>
      </c>
      <c r="D1220" s="36">
        <v>35</v>
      </c>
      <c r="E1220" s="36">
        <v>7.6</v>
      </c>
      <c r="F1220" s="36">
        <f t="shared" si="261"/>
        <v>266</v>
      </c>
      <c r="G1220" s="37">
        <f t="shared" si="262"/>
        <v>0</v>
      </c>
      <c r="H1220" s="38">
        <f t="shared" si="263"/>
        <v>0</v>
      </c>
      <c r="I1220" s="37">
        <f t="shared" si="264"/>
        <v>0</v>
      </c>
      <c r="J1220" s="38">
        <v>0</v>
      </c>
      <c r="K1220" s="37">
        <f t="shared" si="265"/>
        <v>0</v>
      </c>
      <c r="L1220" s="38">
        <v>0</v>
      </c>
    </row>
    <row r="1221" spans="1:12" s="39" customFormat="1" ht="28.95" customHeight="1" outlineLevel="1" x14ac:dyDescent="0.25">
      <c r="A1221" s="33">
        <v>20</v>
      </c>
      <c r="B1221" s="34" t="s">
        <v>617</v>
      </c>
      <c r="C1221" s="35" t="s">
        <v>50</v>
      </c>
      <c r="D1221" s="36">
        <v>335</v>
      </c>
      <c r="E1221" s="36">
        <v>2.0379999999999998</v>
      </c>
      <c r="F1221" s="36">
        <f t="shared" si="261"/>
        <v>682.7299999999999</v>
      </c>
      <c r="G1221" s="37">
        <f t="shared" si="262"/>
        <v>0</v>
      </c>
      <c r="H1221" s="38">
        <f t="shared" si="263"/>
        <v>0</v>
      </c>
      <c r="I1221" s="37">
        <f t="shared" si="264"/>
        <v>0</v>
      </c>
      <c r="J1221" s="38">
        <v>0</v>
      </c>
      <c r="K1221" s="37">
        <f t="shared" si="265"/>
        <v>0</v>
      </c>
      <c r="L1221" s="38">
        <v>0</v>
      </c>
    </row>
    <row r="1222" spans="1:12" s="39" customFormat="1" ht="15.45" customHeight="1" outlineLevel="1" x14ac:dyDescent="0.25">
      <c r="A1222" s="33">
        <v>21</v>
      </c>
      <c r="B1222" s="34" t="s">
        <v>876</v>
      </c>
      <c r="C1222" s="35" t="s">
        <v>50</v>
      </c>
      <c r="D1222" s="36">
        <v>20</v>
      </c>
      <c r="E1222" s="36">
        <v>3.46</v>
      </c>
      <c r="F1222" s="36">
        <f t="shared" si="261"/>
        <v>69.2</v>
      </c>
      <c r="G1222" s="37">
        <f t="shared" si="262"/>
        <v>0</v>
      </c>
      <c r="H1222" s="38">
        <f t="shared" si="263"/>
        <v>0</v>
      </c>
      <c r="I1222" s="37">
        <f t="shared" si="264"/>
        <v>0</v>
      </c>
      <c r="J1222" s="38">
        <v>0</v>
      </c>
      <c r="K1222" s="37">
        <f t="shared" si="265"/>
        <v>0</v>
      </c>
      <c r="L1222" s="38">
        <v>0</v>
      </c>
    </row>
    <row r="1223" spans="1:12" s="39" customFormat="1" ht="15.45" customHeight="1" outlineLevel="1" x14ac:dyDescent="0.25">
      <c r="A1223" s="33">
        <v>22</v>
      </c>
      <c r="B1223" s="34" t="s">
        <v>877</v>
      </c>
      <c r="C1223" s="35" t="s">
        <v>50</v>
      </c>
      <c r="D1223" s="36">
        <v>10</v>
      </c>
      <c r="E1223" s="36">
        <v>0.9</v>
      </c>
      <c r="F1223" s="36">
        <f t="shared" si="261"/>
        <v>9</v>
      </c>
      <c r="G1223" s="37">
        <f t="shared" si="262"/>
        <v>0</v>
      </c>
      <c r="H1223" s="38">
        <f t="shared" si="263"/>
        <v>0</v>
      </c>
      <c r="I1223" s="37">
        <f t="shared" si="264"/>
        <v>0</v>
      </c>
      <c r="J1223" s="38">
        <v>0</v>
      </c>
      <c r="K1223" s="37">
        <f t="shared" si="265"/>
        <v>0</v>
      </c>
      <c r="L1223" s="38">
        <v>0</v>
      </c>
    </row>
    <row r="1224" spans="1:12" s="39" customFormat="1" ht="28.95" customHeight="1" outlineLevel="1" x14ac:dyDescent="0.25">
      <c r="A1224" s="33">
        <v>23</v>
      </c>
      <c r="B1224" s="34" t="s">
        <v>572</v>
      </c>
      <c r="C1224" s="35" t="s">
        <v>50</v>
      </c>
      <c r="D1224" s="36">
        <v>30</v>
      </c>
      <c r="E1224" s="36">
        <v>1.9461999999999999</v>
      </c>
      <c r="F1224" s="36">
        <f t="shared" si="261"/>
        <v>58.385999999999996</v>
      </c>
      <c r="G1224" s="37">
        <f t="shared" si="262"/>
        <v>0</v>
      </c>
      <c r="H1224" s="38">
        <f t="shared" si="263"/>
        <v>0</v>
      </c>
      <c r="I1224" s="37">
        <f t="shared" si="264"/>
        <v>0</v>
      </c>
      <c r="J1224" s="38">
        <v>0</v>
      </c>
      <c r="K1224" s="37">
        <f t="shared" si="265"/>
        <v>0</v>
      </c>
      <c r="L1224" s="38">
        <v>0</v>
      </c>
    </row>
    <row r="1225" spans="1:12" s="39" customFormat="1" ht="15.45" customHeight="1" outlineLevel="1" x14ac:dyDescent="0.25">
      <c r="A1225" s="31" t="s">
        <v>878</v>
      </c>
      <c r="B1225" s="40" t="s">
        <v>879</v>
      </c>
      <c r="C1225" s="41">
        <v>0</v>
      </c>
      <c r="D1225" s="42"/>
      <c r="E1225" s="42"/>
      <c r="F1225" s="42"/>
      <c r="G1225" s="43"/>
      <c r="H1225" s="44"/>
      <c r="I1225" s="43"/>
      <c r="J1225" s="44"/>
      <c r="K1225" s="43"/>
      <c r="L1225" s="44">
        <v>0</v>
      </c>
    </row>
    <row r="1226" spans="1:12" s="39" customFormat="1" ht="15.45" customHeight="1" outlineLevel="1" x14ac:dyDescent="0.25">
      <c r="A1226" s="33">
        <v>1</v>
      </c>
      <c r="B1226" s="34" t="s">
        <v>880</v>
      </c>
      <c r="C1226" s="35" t="s">
        <v>55</v>
      </c>
      <c r="D1226" s="36">
        <v>1</v>
      </c>
      <c r="E1226" s="36">
        <v>468.83900000000011</v>
      </c>
      <c r="F1226" s="36">
        <f t="shared" ref="F1226:F1242" si="266">+E1226*D1226</f>
        <v>468.83900000000011</v>
      </c>
      <c r="G1226" s="37">
        <f t="shared" ref="G1226:G1242" si="267">I1226+K1226</f>
        <v>0</v>
      </c>
      <c r="H1226" s="38">
        <f t="shared" ref="H1226:H1242" si="268">J1226+L1226</f>
        <v>0</v>
      </c>
      <c r="I1226" s="37">
        <f t="shared" ref="I1226:I1242" si="269">J1226/F1226</f>
        <v>0</v>
      </c>
      <c r="J1226" s="38">
        <v>0</v>
      </c>
      <c r="K1226" s="37">
        <f t="shared" ref="K1226:K1242" si="270">L1226/F1226</f>
        <v>0</v>
      </c>
      <c r="L1226" s="38">
        <v>0</v>
      </c>
    </row>
    <row r="1227" spans="1:12" s="39" customFormat="1" ht="28.95" customHeight="1" outlineLevel="1" x14ac:dyDescent="0.25">
      <c r="A1227" s="33">
        <v>2</v>
      </c>
      <c r="B1227" s="34" t="s">
        <v>623</v>
      </c>
      <c r="C1227" s="35" t="s">
        <v>55</v>
      </c>
      <c r="D1227" s="36">
        <v>1</v>
      </c>
      <c r="E1227" s="36">
        <v>116.9614</v>
      </c>
      <c r="F1227" s="36">
        <f t="shared" si="266"/>
        <v>116.9614</v>
      </c>
      <c r="G1227" s="37">
        <f t="shared" si="267"/>
        <v>0</v>
      </c>
      <c r="H1227" s="38">
        <f t="shared" si="268"/>
        <v>0</v>
      </c>
      <c r="I1227" s="37">
        <f t="shared" si="269"/>
        <v>0</v>
      </c>
      <c r="J1227" s="38">
        <v>0</v>
      </c>
      <c r="K1227" s="37">
        <f t="shared" si="270"/>
        <v>0</v>
      </c>
      <c r="L1227" s="38">
        <v>0</v>
      </c>
    </row>
    <row r="1228" spans="1:12" s="39" customFormat="1" ht="28.95" customHeight="1" outlineLevel="1" x14ac:dyDescent="0.25">
      <c r="A1228" s="33">
        <v>3</v>
      </c>
      <c r="B1228" s="34" t="s">
        <v>624</v>
      </c>
      <c r="C1228" s="35" t="s">
        <v>55</v>
      </c>
      <c r="D1228" s="36">
        <v>12</v>
      </c>
      <c r="E1228" s="36">
        <v>18.784400000000002</v>
      </c>
      <c r="F1228" s="36">
        <f t="shared" si="266"/>
        <v>225.4128</v>
      </c>
      <c r="G1228" s="37">
        <f t="shared" si="267"/>
        <v>0</v>
      </c>
      <c r="H1228" s="38">
        <f t="shared" si="268"/>
        <v>0</v>
      </c>
      <c r="I1228" s="37">
        <f t="shared" si="269"/>
        <v>0</v>
      </c>
      <c r="J1228" s="38">
        <v>0</v>
      </c>
      <c r="K1228" s="37">
        <f t="shared" si="270"/>
        <v>0</v>
      </c>
      <c r="L1228" s="38">
        <v>0</v>
      </c>
    </row>
    <row r="1229" spans="1:12" s="39" customFormat="1" ht="28.95" customHeight="1" outlineLevel="1" x14ac:dyDescent="0.25">
      <c r="A1229" s="33">
        <v>4</v>
      </c>
      <c r="B1229" s="34" t="s">
        <v>626</v>
      </c>
      <c r="C1229" s="35" t="s">
        <v>55</v>
      </c>
      <c r="D1229" s="36">
        <v>12</v>
      </c>
      <c r="E1229" s="36">
        <v>27.2014</v>
      </c>
      <c r="F1229" s="36">
        <f t="shared" si="266"/>
        <v>326.41679999999997</v>
      </c>
      <c r="G1229" s="37">
        <f t="shared" si="267"/>
        <v>0</v>
      </c>
      <c r="H1229" s="38">
        <f t="shared" si="268"/>
        <v>0</v>
      </c>
      <c r="I1229" s="37">
        <f t="shared" si="269"/>
        <v>0</v>
      </c>
      <c r="J1229" s="38">
        <v>0</v>
      </c>
      <c r="K1229" s="37">
        <f t="shared" si="270"/>
        <v>0</v>
      </c>
      <c r="L1229" s="38">
        <v>0</v>
      </c>
    </row>
    <row r="1230" spans="1:12" s="39" customFormat="1" ht="28.95" customHeight="1" outlineLevel="1" x14ac:dyDescent="0.25">
      <c r="A1230" s="33">
        <v>5</v>
      </c>
      <c r="B1230" s="34" t="s">
        <v>627</v>
      </c>
      <c r="C1230" s="35" t="s">
        <v>55</v>
      </c>
      <c r="D1230" s="36">
        <v>6</v>
      </c>
      <c r="E1230" s="36">
        <v>22.905200000000001</v>
      </c>
      <c r="F1230" s="36">
        <f t="shared" si="266"/>
        <v>137.43119999999999</v>
      </c>
      <c r="G1230" s="37">
        <f t="shared" si="267"/>
        <v>0</v>
      </c>
      <c r="H1230" s="38">
        <f t="shared" si="268"/>
        <v>0</v>
      </c>
      <c r="I1230" s="37">
        <f t="shared" si="269"/>
        <v>0</v>
      </c>
      <c r="J1230" s="38">
        <v>0</v>
      </c>
      <c r="K1230" s="37">
        <f t="shared" si="270"/>
        <v>0</v>
      </c>
      <c r="L1230" s="38">
        <v>0</v>
      </c>
    </row>
    <row r="1231" spans="1:12" s="39" customFormat="1" ht="28.95" customHeight="1" outlineLevel="1" x14ac:dyDescent="0.25">
      <c r="A1231" s="33">
        <v>6</v>
      </c>
      <c r="B1231" s="34" t="s">
        <v>881</v>
      </c>
      <c r="C1231" s="35" t="s">
        <v>55</v>
      </c>
      <c r="D1231" s="36">
        <v>6</v>
      </c>
      <c r="E1231" s="36">
        <v>11.779</v>
      </c>
      <c r="F1231" s="36">
        <f t="shared" si="266"/>
        <v>70.674000000000007</v>
      </c>
      <c r="G1231" s="37">
        <f t="shared" si="267"/>
        <v>0</v>
      </c>
      <c r="H1231" s="38">
        <f t="shared" si="268"/>
        <v>0</v>
      </c>
      <c r="I1231" s="37">
        <f t="shared" si="269"/>
        <v>0</v>
      </c>
      <c r="J1231" s="38">
        <v>0</v>
      </c>
      <c r="K1231" s="37">
        <f t="shared" si="270"/>
        <v>0</v>
      </c>
      <c r="L1231" s="38">
        <v>0</v>
      </c>
    </row>
    <row r="1232" spans="1:12" s="39" customFormat="1" ht="15.45" customHeight="1" outlineLevel="1" x14ac:dyDescent="0.25">
      <c r="A1232" s="33">
        <v>7</v>
      </c>
      <c r="B1232" s="34" t="s">
        <v>629</v>
      </c>
      <c r="C1232" s="35" t="s">
        <v>50</v>
      </c>
      <c r="D1232" s="36">
        <v>80</v>
      </c>
      <c r="E1232" s="36">
        <v>0.9</v>
      </c>
      <c r="F1232" s="36">
        <f t="shared" si="266"/>
        <v>72</v>
      </c>
      <c r="G1232" s="37">
        <f t="shared" si="267"/>
        <v>0</v>
      </c>
      <c r="H1232" s="38">
        <f t="shared" si="268"/>
        <v>0</v>
      </c>
      <c r="I1232" s="37">
        <f t="shared" si="269"/>
        <v>0</v>
      </c>
      <c r="J1232" s="38">
        <v>0</v>
      </c>
      <c r="K1232" s="37">
        <f t="shared" si="270"/>
        <v>0</v>
      </c>
      <c r="L1232" s="38">
        <v>0</v>
      </c>
    </row>
    <row r="1233" spans="1:12" s="45" customFormat="1" ht="28.95" customHeight="1" x14ac:dyDescent="0.3">
      <c r="A1233" s="33">
        <v>8</v>
      </c>
      <c r="B1233" s="34" t="s">
        <v>617</v>
      </c>
      <c r="C1233" s="35" t="s">
        <v>50</v>
      </c>
      <c r="D1233" s="36">
        <v>70</v>
      </c>
      <c r="E1233" s="36">
        <v>2.0175999999999998</v>
      </c>
      <c r="F1233" s="36">
        <f t="shared" si="266"/>
        <v>141.232</v>
      </c>
      <c r="G1233" s="37">
        <f t="shared" si="267"/>
        <v>0</v>
      </c>
      <c r="H1233" s="38">
        <f t="shared" si="268"/>
        <v>0</v>
      </c>
      <c r="I1233" s="37">
        <f t="shared" si="269"/>
        <v>0</v>
      </c>
      <c r="J1233" s="38">
        <v>0</v>
      </c>
      <c r="K1233" s="37">
        <f t="shared" si="270"/>
        <v>0</v>
      </c>
      <c r="L1233" s="38">
        <v>0</v>
      </c>
    </row>
    <row r="1234" spans="1:12" s="39" customFormat="1" ht="28.95" customHeight="1" outlineLevel="1" x14ac:dyDescent="0.25">
      <c r="A1234" s="33">
        <v>9</v>
      </c>
      <c r="B1234" s="34" t="s">
        <v>572</v>
      </c>
      <c r="C1234" s="35" t="s">
        <v>50</v>
      </c>
      <c r="D1234" s="36">
        <v>10</v>
      </c>
      <c r="E1234" s="36">
        <v>1.885</v>
      </c>
      <c r="F1234" s="36">
        <f t="shared" si="266"/>
        <v>18.850000000000001</v>
      </c>
      <c r="G1234" s="37">
        <f t="shared" si="267"/>
        <v>0</v>
      </c>
      <c r="H1234" s="38">
        <f t="shared" si="268"/>
        <v>0</v>
      </c>
      <c r="I1234" s="37">
        <f t="shared" si="269"/>
        <v>0</v>
      </c>
      <c r="J1234" s="38">
        <v>0</v>
      </c>
      <c r="K1234" s="37">
        <f t="shared" si="270"/>
        <v>0</v>
      </c>
      <c r="L1234" s="38">
        <v>0</v>
      </c>
    </row>
    <row r="1235" spans="1:12" s="39" customFormat="1" ht="28.95" customHeight="1" outlineLevel="1" x14ac:dyDescent="0.25">
      <c r="A1235" s="33">
        <v>10</v>
      </c>
      <c r="B1235" s="34" t="s">
        <v>882</v>
      </c>
      <c r="C1235" s="35" t="s">
        <v>55</v>
      </c>
      <c r="D1235" s="36">
        <v>1</v>
      </c>
      <c r="E1235" s="36">
        <v>39.429200000000002</v>
      </c>
      <c r="F1235" s="36">
        <f t="shared" si="266"/>
        <v>39.429200000000002</v>
      </c>
      <c r="G1235" s="37">
        <f t="shared" si="267"/>
        <v>0</v>
      </c>
      <c r="H1235" s="38">
        <f t="shared" si="268"/>
        <v>0</v>
      </c>
      <c r="I1235" s="37">
        <f t="shared" si="269"/>
        <v>0</v>
      </c>
      <c r="J1235" s="38">
        <v>0</v>
      </c>
      <c r="K1235" s="37">
        <f t="shared" si="270"/>
        <v>0</v>
      </c>
      <c r="L1235" s="38">
        <v>0</v>
      </c>
    </row>
    <row r="1236" spans="1:12" s="39" customFormat="1" ht="15.45" customHeight="1" outlineLevel="1" x14ac:dyDescent="0.25">
      <c r="A1236" s="33">
        <v>11</v>
      </c>
      <c r="B1236" s="34" t="s">
        <v>631</v>
      </c>
      <c r="C1236" s="35" t="s">
        <v>55</v>
      </c>
      <c r="D1236" s="36">
        <v>1</v>
      </c>
      <c r="E1236" s="36">
        <v>51.946599999999997</v>
      </c>
      <c r="F1236" s="36">
        <f t="shared" si="266"/>
        <v>51.946599999999997</v>
      </c>
      <c r="G1236" s="37">
        <f t="shared" si="267"/>
        <v>0</v>
      </c>
      <c r="H1236" s="38">
        <f t="shared" si="268"/>
        <v>0</v>
      </c>
      <c r="I1236" s="37">
        <f t="shared" si="269"/>
        <v>0</v>
      </c>
      <c r="J1236" s="38">
        <v>0</v>
      </c>
      <c r="K1236" s="37">
        <f t="shared" si="270"/>
        <v>0</v>
      </c>
      <c r="L1236" s="38">
        <v>0</v>
      </c>
    </row>
    <row r="1237" spans="1:12" s="39" customFormat="1" ht="15.45" customHeight="1" outlineLevel="1" x14ac:dyDescent="0.25">
      <c r="A1237" s="33">
        <v>12</v>
      </c>
      <c r="B1237" s="34" t="s">
        <v>883</v>
      </c>
      <c r="C1237" s="35" t="s">
        <v>55</v>
      </c>
      <c r="D1237" s="36">
        <v>12</v>
      </c>
      <c r="E1237" s="36">
        <v>2.6785999999999999</v>
      </c>
      <c r="F1237" s="36">
        <f t="shared" si="266"/>
        <v>32.1432</v>
      </c>
      <c r="G1237" s="37">
        <f t="shared" si="267"/>
        <v>0</v>
      </c>
      <c r="H1237" s="38">
        <f t="shared" si="268"/>
        <v>0</v>
      </c>
      <c r="I1237" s="37">
        <f t="shared" si="269"/>
        <v>0</v>
      </c>
      <c r="J1237" s="38">
        <v>0</v>
      </c>
      <c r="K1237" s="37">
        <f t="shared" si="270"/>
        <v>0</v>
      </c>
      <c r="L1237" s="38">
        <v>0</v>
      </c>
    </row>
    <row r="1238" spans="1:12" s="39" customFormat="1" ht="15.45" customHeight="1" outlineLevel="1" x14ac:dyDescent="0.25">
      <c r="A1238" s="33">
        <v>13</v>
      </c>
      <c r="B1238" s="34" t="s">
        <v>884</v>
      </c>
      <c r="C1238" s="35" t="s">
        <v>50</v>
      </c>
      <c r="D1238" s="36">
        <v>15</v>
      </c>
      <c r="E1238" s="36">
        <v>0.9</v>
      </c>
      <c r="F1238" s="36">
        <f t="shared" si="266"/>
        <v>13.5</v>
      </c>
      <c r="G1238" s="37">
        <f t="shared" si="267"/>
        <v>0</v>
      </c>
      <c r="H1238" s="38">
        <f t="shared" si="268"/>
        <v>0</v>
      </c>
      <c r="I1238" s="37">
        <f t="shared" si="269"/>
        <v>0</v>
      </c>
      <c r="J1238" s="38">
        <v>0</v>
      </c>
      <c r="K1238" s="37">
        <f t="shared" si="270"/>
        <v>0</v>
      </c>
      <c r="L1238" s="38">
        <v>0</v>
      </c>
    </row>
    <row r="1239" spans="1:12" s="39" customFormat="1" ht="28.95" customHeight="1" outlineLevel="1" x14ac:dyDescent="0.25">
      <c r="A1239" s="33">
        <v>14</v>
      </c>
      <c r="B1239" s="34" t="s">
        <v>617</v>
      </c>
      <c r="C1239" s="35" t="s">
        <v>50</v>
      </c>
      <c r="D1239" s="36">
        <v>15</v>
      </c>
      <c r="E1239" s="36">
        <v>2.0175999999999998</v>
      </c>
      <c r="F1239" s="36">
        <f t="shared" si="266"/>
        <v>30.263999999999996</v>
      </c>
      <c r="G1239" s="37">
        <f t="shared" si="267"/>
        <v>0</v>
      </c>
      <c r="H1239" s="38">
        <f t="shared" si="268"/>
        <v>0</v>
      </c>
      <c r="I1239" s="37">
        <f t="shared" si="269"/>
        <v>0</v>
      </c>
      <c r="J1239" s="38">
        <v>0</v>
      </c>
      <c r="K1239" s="37">
        <f t="shared" si="270"/>
        <v>0</v>
      </c>
      <c r="L1239" s="38">
        <v>0</v>
      </c>
    </row>
    <row r="1240" spans="1:12" s="39" customFormat="1" ht="28.95" customHeight="1" outlineLevel="1" x14ac:dyDescent="0.25">
      <c r="A1240" s="33">
        <v>15</v>
      </c>
      <c r="B1240" s="34" t="s">
        <v>634</v>
      </c>
      <c r="C1240" s="35" t="s">
        <v>50</v>
      </c>
      <c r="D1240" s="36">
        <v>15</v>
      </c>
      <c r="E1240" s="36">
        <v>0.9</v>
      </c>
      <c r="F1240" s="36">
        <f t="shared" si="266"/>
        <v>13.5</v>
      </c>
      <c r="G1240" s="37">
        <f t="shared" si="267"/>
        <v>0</v>
      </c>
      <c r="H1240" s="38">
        <f t="shared" si="268"/>
        <v>0</v>
      </c>
      <c r="I1240" s="37">
        <f t="shared" si="269"/>
        <v>0</v>
      </c>
      <c r="J1240" s="38">
        <v>0</v>
      </c>
      <c r="K1240" s="37">
        <f t="shared" si="270"/>
        <v>0</v>
      </c>
      <c r="L1240" s="38">
        <v>0</v>
      </c>
    </row>
    <row r="1241" spans="1:12" s="39" customFormat="1" ht="28.95" customHeight="1" outlineLevel="1" x14ac:dyDescent="0.25">
      <c r="A1241" s="33">
        <v>16</v>
      </c>
      <c r="B1241" s="34" t="s">
        <v>885</v>
      </c>
      <c r="C1241" s="35" t="s">
        <v>50</v>
      </c>
      <c r="D1241" s="36">
        <v>55</v>
      </c>
      <c r="E1241" s="36">
        <v>0.9</v>
      </c>
      <c r="F1241" s="36">
        <f t="shared" si="266"/>
        <v>49.5</v>
      </c>
      <c r="G1241" s="37">
        <f t="shared" si="267"/>
        <v>0</v>
      </c>
      <c r="H1241" s="38">
        <f t="shared" si="268"/>
        <v>0</v>
      </c>
      <c r="I1241" s="37">
        <f t="shared" si="269"/>
        <v>0</v>
      </c>
      <c r="J1241" s="38">
        <v>0</v>
      </c>
      <c r="K1241" s="37">
        <f t="shared" si="270"/>
        <v>0</v>
      </c>
      <c r="L1241" s="38">
        <v>0</v>
      </c>
    </row>
    <row r="1242" spans="1:12" s="45" customFormat="1" ht="28.95" customHeight="1" x14ac:dyDescent="0.3">
      <c r="A1242" s="33">
        <v>17</v>
      </c>
      <c r="B1242" s="34" t="s">
        <v>554</v>
      </c>
      <c r="C1242" s="35" t="s">
        <v>50</v>
      </c>
      <c r="D1242" s="36">
        <v>70</v>
      </c>
      <c r="E1242" s="36">
        <v>2.1604000000000001</v>
      </c>
      <c r="F1242" s="36">
        <f t="shared" si="266"/>
        <v>151.22800000000001</v>
      </c>
      <c r="G1242" s="37">
        <f t="shared" si="267"/>
        <v>0</v>
      </c>
      <c r="H1242" s="38">
        <f t="shared" si="268"/>
        <v>0</v>
      </c>
      <c r="I1242" s="37">
        <f t="shared" si="269"/>
        <v>0</v>
      </c>
      <c r="J1242" s="38">
        <v>0</v>
      </c>
      <c r="K1242" s="37">
        <f t="shared" si="270"/>
        <v>0</v>
      </c>
      <c r="L1242" s="38">
        <v>0</v>
      </c>
    </row>
    <row r="1243" spans="1:12" s="39" customFormat="1" ht="15.45" customHeight="1" outlineLevel="1" x14ac:dyDescent="0.25">
      <c r="A1243" s="31" t="s">
        <v>886</v>
      </c>
      <c r="B1243" s="40" t="s">
        <v>887</v>
      </c>
      <c r="C1243" s="41">
        <v>0</v>
      </c>
      <c r="D1243" s="42"/>
      <c r="E1243" s="42"/>
      <c r="F1243" s="42"/>
      <c r="G1243" s="43"/>
      <c r="H1243" s="44"/>
      <c r="I1243" s="43"/>
      <c r="J1243" s="44"/>
      <c r="K1243" s="43"/>
      <c r="L1243" s="44">
        <v>0</v>
      </c>
    </row>
    <row r="1244" spans="1:12" s="39" customFormat="1" ht="15.45" customHeight="1" outlineLevel="1" x14ac:dyDescent="0.25">
      <c r="A1244" s="33">
        <v>1</v>
      </c>
      <c r="B1244" s="34" t="s">
        <v>888</v>
      </c>
      <c r="C1244" s="35" t="s">
        <v>55</v>
      </c>
      <c r="D1244" s="36">
        <v>1</v>
      </c>
      <c r="E1244" s="36">
        <v>260.32040000000012</v>
      </c>
      <c r="F1244" s="36">
        <f>+E1244*D1244</f>
        <v>260.32040000000012</v>
      </c>
      <c r="G1244" s="37">
        <f>I1244+K1244</f>
        <v>0</v>
      </c>
      <c r="H1244" s="38">
        <f>J1244+L1244</f>
        <v>0</v>
      </c>
      <c r="I1244" s="37">
        <f>J1244/F1244</f>
        <v>0</v>
      </c>
      <c r="J1244" s="38">
        <v>0</v>
      </c>
      <c r="K1244" s="37">
        <f>L1244/F1244</f>
        <v>0</v>
      </c>
      <c r="L1244" s="38">
        <v>0</v>
      </c>
    </row>
    <row r="1245" spans="1:12" s="39" customFormat="1" ht="15.45" customHeight="1" outlineLevel="1" x14ac:dyDescent="0.25">
      <c r="A1245" s="31" t="s">
        <v>889</v>
      </c>
      <c r="B1245" s="40" t="s">
        <v>890</v>
      </c>
      <c r="C1245" s="41">
        <v>0</v>
      </c>
      <c r="D1245" s="42"/>
      <c r="E1245" s="42"/>
      <c r="F1245" s="42"/>
      <c r="G1245" s="43"/>
      <c r="H1245" s="44"/>
      <c r="I1245" s="43"/>
      <c r="J1245" s="44"/>
      <c r="K1245" s="43"/>
      <c r="L1245" s="44">
        <v>0</v>
      </c>
    </row>
    <row r="1246" spans="1:12" s="39" customFormat="1" ht="43.5" customHeight="1" outlineLevel="1" x14ac:dyDescent="0.25">
      <c r="A1246" s="33">
        <v>1</v>
      </c>
      <c r="B1246" s="34" t="s">
        <v>891</v>
      </c>
      <c r="C1246" s="35" t="s">
        <v>50</v>
      </c>
      <c r="D1246" s="36">
        <v>160</v>
      </c>
      <c r="E1246" s="36">
        <v>3.6884000000000001</v>
      </c>
      <c r="F1246" s="36">
        <f t="shared" ref="F1246:F1267" si="271">+E1246*D1246</f>
        <v>590.14400000000001</v>
      </c>
      <c r="G1246" s="37">
        <f t="shared" ref="G1246:G1267" si="272">I1246+K1246</f>
        <v>0</v>
      </c>
      <c r="H1246" s="38">
        <f t="shared" ref="H1246:H1267" si="273">J1246+L1246</f>
        <v>0</v>
      </c>
      <c r="I1246" s="37">
        <f t="shared" ref="I1246:I1267" si="274">J1246/F1246</f>
        <v>0</v>
      </c>
      <c r="J1246" s="38">
        <v>0</v>
      </c>
      <c r="K1246" s="37">
        <f t="shared" ref="K1246:K1267" si="275">L1246/F1246</f>
        <v>0</v>
      </c>
      <c r="L1246" s="38">
        <v>0</v>
      </c>
    </row>
    <row r="1247" spans="1:12" s="39" customFormat="1" ht="28.95" customHeight="1" outlineLevel="1" x14ac:dyDescent="0.25">
      <c r="A1247" s="33">
        <v>2</v>
      </c>
      <c r="B1247" s="34" t="s">
        <v>892</v>
      </c>
      <c r="C1247" s="35" t="s">
        <v>50</v>
      </c>
      <c r="D1247" s="36">
        <v>160</v>
      </c>
      <c r="E1247" s="36">
        <v>1.1162000000000001</v>
      </c>
      <c r="F1247" s="36">
        <f t="shared" si="271"/>
        <v>178.59200000000001</v>
      </c>
      <c r="G1247" s="37">
        <f t="shared" si="272"/>
        <v>0</v>
      </c>
      <c r="H1247" s="38">
        <f t="shared" si="273"/>
        <v>0</v>
      </c>
      <c r="I1247" s="37">
        <f t="shared" si="274"/>
        <v>0</v>
      </c>
      <c r="J1247" s="38">
        <v>0</v>
      </c>
      <c r="K1247" s="37">
        <f t="shared" si="275"/>
        <v>0</v>
      </c>
      <c r="L1247" s="38">
        <v>0</v>
      </c>
    </row>
    <row r="1248" spans="1:12" s="39" customFormat="1" ht="43.5" customHeight="1" outlineLevel="1" x14ac:dyDescent="0.25">
      <c r="A1248" s="33">
        <v>3</v>
      </c>
      <c r="B1248" s="34" t="s">
        <v>893</v>
      </c>
      <c r="C1248" s="35" t="s">
        <v>50</v>
      </c>
      <c r="D1248" s="36">
        <v>815</v>
      </c>
      <c r="E1248" s="36">
        <v>1.8728</v>
      </c>
      <c r="F1248" s="36">
        <f t="shared" si="271"/>
        <v>1526.3320000000001</v>
      </c>
      <c r="G1248" s="37">
        <f t="shared" si="272"/>
        <v>0</v>
      </c>
      <c r="H1248" s="38">
        <f t="shared" si="273"/>
        <v>0</v>
      </c>
      <c r="I1248" s="37">
        <f t="shared" si="274"/>
        <v>0</v>
      </c>
      <c r="J1248" s="38">
        <v>0</v>
      </c>
      <c r="K1248" s="37">
        <f t="shared" si="275"/>
        <v>0</v>
      </c>
      <c r="L1248" s="38">
        <v>0</v>
      </c>
    </row>
    <row r="1249" spans="1:12" s="39" customFormat="1" ht="28.95" customHeight="1" outlineLevel="1" x14ac:dyDescent="0.25">
      <c r="A1249" s="33">
        <v>4</v>
      </c>
      <c r="B1249" s="34" t="s">
        <v>894</v>
      </c>
      <c r="C1249" s="35" t="s">
        <v>50</v>
      </c>
      <c r="D1249" s="36">
        <v>815</v>
      </c>
      <c r="E1249" s="36">
        <v>1.0142</v>
      </c>
      <c r="F1249" s="36">
        <f t="shared" si="271"/>
        <v>826.57299999999998</v>
      </c>
      <c r="G1249" s="37">
        <f t="shared" si="272"/>
        <v>0</v>
      </c>
      <c r="H1249" s="38">
        <f t="shared" si="273"/>
        <v>0</v>
      </c>
      <c r="I1249" s="37">
        <f t="shared" si="274"/>
        <v>0</v>
      </c>
      <c r="J1249" s="38">
        <v>0</v>
      </c>
      <c r="K1249" s="37">
        <f t="shared" si="275"/>
        <v>0</v>
      </c>
      <c r="L1249" s="38">
        <v>0</v>
      </c>
    </row>
    <row r="1250" spans="1:12" s="39" customFormat="1" ht="15.45" customHeight="1" outlineLevel="1" x14ac:dyDescent="0.25">
      <c r="A1250" s="33">
        <v>5</v>
      </c>
      <c r="B1250" s="34" t="s">
        <v>895</v>
      </c>
      <c r="C1250" s="35" t="s">
        <v>50</v>
      </c>
      <c r="D1250" s="36">
        <v>160</v>
      </c>
      <c r="E1250" s="36">
        <v>65.099999999999994</v>
      </c>
      <c r="F1250" s="36">
        <f t="shared" si="271"/>
        <v>10416</v>
      </c>
      <c r="G1250" s="37">
        <f t="shared" si="272"/>
        <v>0</v>
      </c>
      <c r="H1250" s="38">
        <f t="shared" si="273"/>
        <v>0</v>
      </c>
      <c r="I1250" s="37">
        <f t="shared" si="274"/>
        <v>0</v>
      </c>
      <c r="J1250" s="38">
        <v>0</v>
      </c>
      <c r="K1250" s="37">
        <f t="shared" si="275"/>
        <v>0</v>
      </c>
      <c r="L1250" s="38">
        <v>0</v>
      </c>
    </row>
    <row r="1251" spans="1:12" s="39" customFormat="1" ht="15.45" customHeight="1" outlineLevel="1" x14ac:dyDescent="0.25">
      <c r="A1251" s="33">
        <v>6</v>
      </c>
      <c r="B1251" s="34" t="s">
        <v>896</v>
      </c>
      <c r="C1251" s="35" t="s">
        <v>50</v>
      </c>
      <c r="D1251" s="36">
        <v>40</v>
      </c>
      <c r="E1251" s="36">
        <v>13.2</v>
      </c>
      <c r="F1251" s="36">
        <f t="shared" si="271"/>
        <v>528</v>
      </c>
      <c r="G1251" s="37">
        <f t="shared" si="272"/>
        <v>0</v>
      </c>
      <c r="H1251" s="38">
        <f t="shared" si="273"/>
        <v>0</v>
      </c>
      <c r="I1251" s="37">
        <f t="shared" si="274"/>
        <v>0</v>
      </c>
      <c r="J1251" s="38">
        <v>0</v>
      </c>
      <c r="K1251" s="37">
        <f t="shared" si="275"/>
        <v>0</v>
      </c>
      <c r="L1251" s="38">
        <v>0</v>
      </c>
    </row>
    <row r="1252" spans="1:12" s="39" customFormat="1" ht="15.45" customHeight="1" outlineLevel="1" x14ac:dyDescent="0.25">
      <c r="A1252" s="33">
        <v>7</v>
      </c>
      <c r="B1252" s="34" t="s">
        <v>897</v>
      </c>
      <c r="C1252" s="35" t="s">
        <v>50</v>
      </c>
      <c r="D1252" s="36">
        <v>505</v>
      </c>
      <c r="E1252" s="36">
        <v>3.7</v>
      </c>
      <c r="F1252" s="36">
        <f t="shared" si="271"/>
        <v>1868.5</v>
      </c>
      <c r="G1252" s="37">
        <f t="shared" si="272"/>
        <v>0</v>
      </c>
      <c r="H1252" s="38">
        <f t="shared" si="273"/>
        <v>0</v>
      </c>
      <c r="I1252" s="37">
        <f t="shared" si="274"/>
        <v>0</v>
      </c>
      <c r="J1252" s="38">
        <v>0</v>
      </c>
      <c r="K1252" s="37">
        <f t="shared" si="275"/>
        <v>0</v>
      </c>
      <c r="L1252" s="38">
        <v>0</v>
      </c>
    </row>
    <row r="1253" spans="1:12" s="39" customFormat="1" ht="15.45" customHeight="1" outlineLevel="1" x14ac:dyDescent="0.25">
      <c r="A1253" s="33">
        <v>8</v>
      </c>
      <c r="B1253" s="34" t="s">
        <v>898</v>
      </c>
      <c r="C1253" s="35" t="s">
        <v>50</v>
      </c>
      <c r="D1253" s="36">
        <v>230</v>
      </c>
      <c r="E1253" s="36">
        <v>5.129999999999999</v>
      </c>
      <c r="F1253" s="36">
        <f t="shared" si="271"/>
        <v>1179.8999999999999</v>
      </c>
      <c r="G1253" s="37">
        <f t="shared" si="272"/>
        <v>0</v>
      </c>
      <c r="H1253" s="38">
        <f t="shared" si="273"/>
        <v>0</v>
      </c>
      <c r="I1253" s="37">
        <f t="shared" si="274"/>
        <v>0</v>
      </c>
      <c r="J1253" s="38">
        <v>0</v>
      </c>
      <c r="K1253" s="37">
        <f t="shared" si="275"/>
        <v>0</v>
      </c>
      <c r="L1253" s="38">
        <v>0</v>
      </c>
    </row>
    <row r="1254" spans="1:12" s="39" customFormat="1" ht="15.45" customHeight="1" outlineLevel="1" x14ac:dyDescent="0.25">
      <c r="A1254" s="33">
        <v>9</v>
      </c>
      <c r="B1254" s="34" t="s">
        <v>899</v>
      </c>
      <c r="C1254" s="35" t="s">
        <v>50</v>
      </c>
      <c r="D1254" s="36">
        <v>40</v>
      </c>
      <c r="E1254" s="36">
        <v>3.1</v>
      </c>
      <c r="F1254" s="36">
        <f t="shared" si="271"/>
        <v>124</v>
      </c>
      <c r="G1254" s="37">
        <f t="shared" si="272"/>
        <v>0</v>
      </c>
      <c r="H1254" s="38">
        <f t="shared" si="273"/>
        <v>0</v>
      </c>
      <c r="I1254" s="37">
        <f t="shared" si="274"/>
        <v>0</v>
      </c>
      <c r="J1254" s="38">
        <v>0</v>
      </c>
      <c r="K1254" s="37">
        <f t="shared" si="275"/>
        <v>0</v>
      </c>
      <c r="L1254" s="38">
        <v>0</v>
      </c>
    </row>
    <row r="1255" spans="1:12" s="45" customFormat="1" ht="28.95" customHeight="1" x14ac:dyDescent="0.3">
      <c r="A1255" s="33">
        <v>10</v>
      </c>
      <c r="B1255" s="34" t="s">
        <v>900</v>
      </c>
      <c r="C1255" s="35" t="s">
        <v>50</v>
      </c>
      <c r="D1255" s="36">
        <v>975</v>
      </c>
      <c r="E1255" s="36">
        <v>1.4528000000000001</v>
      </c>
      <c r="F1255" s="36">
        <f t="shared" si="271"/>
        <v>1416.48</v>
      </c>
      <c r="G1255" s="37">
        <f t="shared" si="272"/>
        <v>0</v>
      </c>
      <c r="H1255" s="38">
        <f t="shared" si="273"/>
        <v>0</v>
      </c>
      <c r="I1255" s="37">
        <f t="shared" si="274"/>
        <v>0</v>
      </c>
      <c r="J1255" s="38">
        <v>0</v>
      </c>
      <c r="K1255" s="37">
        <f t="shared" si="275"/>
        <v>0</v>
      </c>
      <c r="L1255" s="38">
        <v>0</v>
      </c>
    </row>
    <row r="1256" spans="1:12" s="39" customFormat="1" ht="15.45" customHeight="1" outlineLevel="1" x14ac:dyDescent="0.25">
      <c r="A1256" s="33">
        <v>11</v>
      </c>
      <c r="B1256" s="34" t="s">
        <v>901</v>
      </c>
      <c r="C1256" s="35" t="s">
        <v>50</v>
      </c>
      <c r="D1256" s="36">
        <v>895</v>
      </c>
      <c r="E1256" s="36">
        <v>1.3138000000000001</v>
      </c>
      <c r="F1256" s="36">
        <f t="shared" si="271"/>
        <v>1175.8510000000001</v>
      </c>
      <c r="G1256" s="37">
        <f t="shared" si="272"/>
        <v>0</v>
      </c>
      <c r="H1256" s="38">
        <f t="shared" si="273"/>
        <v>0</v>
      </c>
      <c r="I1256" s="37">
        <f t="shared" si="274"/>
        <v>0</v>
      </c>
      <c r="J1256" s="38">
        <v>0</v>
      </c>
      <c r="K1256" s="37">
        <f t="shared" si="275"/>
        <v>0</v>
      </c>
      <c r="L1256" s="38">
        <v>0</v>
      </c>
    </row>
    <row r="1257" spans="1:12" s="39" customFormat="1" ht="28.95" customHeight="1" outlineLevel="1" x14ac:dyDescent="0.25">
      <c r="A1257" s="33">
        <v>12</v>
      </c>
      <c r="B1257" s="34" t="s">
        <v>902</v>
      </c>
      <c r="C1257" s="35" t="s">
        <v>50</v>
      </c>
      <c r="D1257" s="36">
        <v>80</v>
      </c>
      <c r="E1257" s="36">
        <v>1.8646</v>
      </c>
      <c r="F1257" s="36">
        <f t="shared" si="271"/>
        <v>149.16800000000001</v>
      </c>
      <c r="G1257" s="37">
        <f t="shared" si="272"/>
        <v>0</v>
      </c>
      <c r="H1257" s="38">
        <f t="shared" si="273"/>
        <v>0</v>
      </c>
      <c r="I1257" s="37">
        <f t="shared" si="274"/>
        <v>0</v>
      </c>
      <c r="J1257" s="38">
        <v>0</v>
      </c>
      <c r="K1257" s="37">
        <f t="shared" si="275"/>
        <v>0</v>
      </c>
      <c r="L1257" s="38">
        <v>0</v>
      </c>
    </row>
    <row r="1258" spans="1:12" s="39" customFormat="1" ht="15.45" customHeight="1" outlineLevel="1" x14ac:dyDescent="0.25">
      <c r="A1258" s="33">
        <v>13</v>
      </c>
      <c r="B1258" s="34" t="s">
        <v>903</v>
      </c>
      <c r="C1258" s="35" t="s">
        <v>55</v>
      </c>
      <c r="D1258" s="36">
        <v>20</v>
      </c>
      <c r="E1258" s="36">
        <v>7.0951999999999993</v>
      </c>
      <c r="F1258" s="36">
        <f t="shared" si="271"/>
        <v>141.904</v>
      </c>
      <c r="G1258" s="37">
        <f t="shared" si="272"/>
        <v>0</v>
      </c>
      <c r="H1258" s="38">
        <f t="shared" si="273"/>
        <v>0</v>
      </c>
      <c r="I1258" s="37">
        <f t="shared" si="274"/>
        <v>0</v>
      </c>
      <c r="J1258" s="38">
        <v>0</v>
      </c>
      <c r="K1258" s="37">
        <f t="shared" si="275"/>
        <v>0</v>
      </c>
      <c r="L1258" s="38">
        <v>0</v>
      </c>
    </row>
    <row r="1259" spans="1:12" s="39" customFormat="1" ht="15.45" customHeight="1" outlineLevel="1" x14ac:dyDescent="0.25">
      <c r="A1259" s="33">
        <v>14</v>
      </c>
      <c r="B1259" s="34" t="s">
        <v>904</v>
      </c>
      <c r="C1259" s="35" t="s">
        <v>55</v>
      </c>
      <c r="D1259" s="36">
        <v>8</v>
      </c>
      <c r="E1259" s="36">
        <v>12.103400000000001</v>
      </c>
      <c r="F1259" s="36">
        <f t="shared" si="271"/>
        <v>96.827200000000005</v>
      </c>
      <c r="G1259" s="37">
        <f t="shared" si="272"/>
        <v>0</v>
      </c>
      <c r="H1259" s="38">
        <f t="shared" si="273"/>
        <v>0</v>
      </c>
      <c r="I1259" s="37">
        <f t="shared" si="274"/>
        <v>0</v>
      </c>
      <c r="J1259" s="38">
        <v>0</v>
      </c>
      <c r="K1259" s="37">
        <f t="shared" si="275"/>
        <v>0</v>
      </c>
      <c r="L1259" s="38">
        <v>0</v>
      </c>
    </row>
    <row r="1260" spans="1:12" s="39" customFormat="1" ht="43.5" customHeight="1" outlineLevel="1" x14ac:dyDescent="0.25">
      <c r="A1260" s="33">
        <v>15</v>
      </c>
      <c r="B1260" s="34" t="s">
        <v>905</v>
      </c>
      <c r="C1260" s="35" t="s">
        <v>55</v>
      </c>
      <c r="D1260" s="36">
        <v>28</v>
      </c>
      <c r="E1260" s="36">
        <v>15.502000000000001</v>
      </c>
      <c r="F1260" s="36">
        <f t="shared" si="271"/>
        <v>434.05600000000004</v>
      </c>
      <c r="G1260" s="37">
        <f t="shared" si="272"/>
        <v>0</v>
      </c>
      <c r="H1260" s="38">
        <f t="shared" si="273"/>
        <v>0</v>
      </c>
      <c r="I1260" s="37">
        <f t="shared" si="274"/>
        <v>0</v>
      </c>
      <c r="J1260" s="38">
        <v>0</v>
      </c>
      <c r="K1260" s="37">
        <f t="shared" si="275"/>
        <v>0</v>
      </c>
      <c r="L1260" s="38">
        <v>0</v>
      </c>
    </row>
    <row r="1261" spans="1:12" s="39" customFormat="1" ht="43.5" customHeight="1" outlineLevel="1" x14ac:dyDescent="0.25">
      <c r="A1261" s="33">
        <v>16</v>
      </c>
      <c r="B1261" s="34" t="s">
        <v>830</v>
      </c>
      <c r="C1261" s="35" t="s">
        <v>66</v>
      </c>
      <c r="D1261" s="36">
        <v>291</v>
      </c>
      <c r="E1261" s="36">
        <v>0.85100000000000009</v>
      </c>
      <c r="F1261" s="36">
        <f t="shared" si="271"/>
        <v>247.64100000000002</v>
      </c>
      <c r="G1261" s="37">
        <f t="shared" si="272"/>
        <v>0</v>
      </c>
      <c r="H1261" s="38">
        <f t="shared" si="273"/>
        <v>0</v>
      </c>
      <c r="I1261" s="37">
        <f t="shared" si="274"/>
        <v>0</v>
      </c>
      <c r="J1261" s="38">
        <v>0</v>
      </c>
      <c r="K1261" s="37">
        <f t="shared" si="275"/>
        <v>0</v>
      </c>
      <c r="L1261" s="38">
        <v>0</v>
      </c>
    </row>
    <row r="1262" spans="1:12" s="39" customFormat="1" ht="28.95" customHeight="1" outlineLevel="1" x14ac:dyDescent="0.25">
      <c r="A1262" s="33">
        <v>17</v>
      </c>
      <c r="B1262" s="34" t="s">
        <v>906</v>
      </c>
      <c r="C1262" s="35" t="s">
        <v>66</v>
      </c>
      <c r="D1262" s="36">
        <v>22</v>
      </c>
      <c r="E1262" s="36">
        <v>22.172799999999999</v>
      </c>
      <c r="F1262" s="36">
        <f t="shared" si="271"/>
        <v>487.80159999999995</v>
      </c>
      <c r="G1262" s="37">
        <f t="shared" si="272"/>
        <v>0</v>
      </c>
      <c r="H1262" s="38">
        <f t="shared" si="273"/>
        <v>0</v>
      </c>
      <c r="I1262" s="37">
        <f t="shared" si="274"/>
        <v>0</v>
      </c>
      <c r="J1262" s="38">
        <v>0</v>
      </c>
      <c r="K1262" s="37">
        <f t="shared" si="275"/>
        <v>0</v>
      </c>
      <c r="L1262" s="38">
        <v>0</v>
      </c>
    </row>
    <row r="1263" spans="1:12" s="39" customFormat="1" ht="28.95" customHeight="1" outlineLevel="1" x14ac:dyDescent="0.25">
      <c r="A1263" s="33">
        <v>18</v>
      </c>
      <c r="B1263" s="34" t="s">
        <v>907</v>
      </c>
      <c r="C1263" s="35" t="s">
        <v>66</v>
      </c>
      <c r="D1263" s="36">
        <v>235</v>
      </c>
      <c r="E1263" s="36">
        <v>0.9</v>
      </c>
      <c r="F1263" s="36">
        <f t="shared" si="271"/>
        <v>211.5</v>
      </c>
      <c r="G1263" s="37">
        <f t="shared" si="272"/>
        <v>0</v>
      </c>
      <c r="H1263" s="38">
        <f t="shared" si="273"/>
        <v>0</v>
      </c>
      <c r="I1263" s="37">
        <f t="shared" si="274"/>
        <v>0</v>
      </c>
      <c r="J1263" s="38">
        <v>0</v>
      </c>
      <c r="K1263" s="37">
        <f t="shared" si="275"/>
        <v>0</v>
      </c>
      <c r="L1263" s="38">
        <v>0</v>
      </c>
    </row>
    <row r="1264" spans="1:12" s="39" customFormat="1" ht="28.95" customHeight="1" outlineLevel="1" x14ac:dyDescent="0.25">
      <c r="A1264" s="33">
        <v>19</v>
      </c>
      <c r="B1264" s="34" t="s">
        <v>316</v>
      </c>
      <c r="C1264" s="35" t="s">
        <v>66</v>
      </c>
      <c r="D1264" s="36">
        <v>78</v>
      </c>
      <c r="E1264" s="36">
        <v>8.16</v>
      </c>
      <c r="F1264" s="36">
        <f t="shared" si="271"/>
        <v>636.48</v>
      </c>
      <c r="G1264" s="37">
        <f t="shared" si="272"/>
        <v>0</v>
      </c>
      <c r="H1264" s="38">
        <f t="shared" si="273"/>
        <v>0</v>
      </c>
      <c r="I1264" s="37">
        <f t="shared" si="274"/>
        <v>0</v>
      </c>
      <c r="J1264" s="38">
        <v>0</v>
      </c>
      <c r="K1264" s="37">
        <f t="shared" si="275"/>
        <v>0</v>
      </c>
      <c r="L1264" s="38">
        <v>0</v>
      </c>
    </row>
    <row r="1265" spans="1:12" s="45" customFormat="1" ht="28.95" customHeight="1" x14ac:dyDescent="0.3">
      <c r="A1265" s="33">
        <v>20</v>
      </c>
      <c r="B1265" s="34" t="s">
        <v>234</v>
      </c>
      <c r="C1265" s="35" t="s">
        <v>66</v>
      </c>
      <c r="D1265" s="36">
        <v>235</v>
      </c>
      <c r="E1265" s="36">
        <v>2</v>
      </c>
      <c r="F1265" s="36">
        <f t="shared" si="271"/>
        <v>470</v>
      </c>
      <c r="G1265" s="37">
        <f t="shared" si="272"/>
        <v>0</v>
      </c>
      <c r="H1265" s="38">
        <f t="shared" si="273"/>
        <v>0</v>
      </c>
      <c r="I1265" s="37">
        <f t="shared" si="274"/>
        <v>0</v>
      </c>
      <c r="J1265" s="38">
        <v>0</v>
      </c>
      <c r="K1265" s="37">
        <f t="shared" si="275"/>
        <v>0</v>
      </c>
      <c r="L1265" s="38">
        <v>0</v>
      </c>
    </row>
    <row r="1266" spans="1:12" s="39" customFormat="1" ht="15.45" customHeight="1" outlineLevel="1" x14ac:dyDescent="0.25">
      <c r="A1266" s="33">
        <v>21</v>
      </c>
      <c r="B1266" s="34" t="s">
        <v>908</v>
      </c>
      <c r="C1266" s="35" t="s">
        <v>55</v>
      </c>
      <c r="D1266" s="36">
        <v>1</v>
      </c>
      <c r="E1266" s="36">
        <v>13.9292</v>
      </c>
      <c r="F1266" s="36">
        <f t="shared" si="271"/>
        <v>13.9292</v>
      </c>
      <c r="G1266" s="37">
        <f t="shared" si="272"/>
        <v>0</v>
      </c>
      <c r="H1266" s="38">
        <f t="shared" si="273"/>
        <v>0</v>
      </c>
      <c r="I1266" s="37">
        <f t="shared" si="274"/>
        <v>0</v>
      </c>
      <c r="J1266" s="38">
        <v>0</v>
      </c>
      <c r="K1266" s="37">
        <f t="shared" si="275"/>
        <v>0</v>
      </c>
      <c r="L1266" s="38">
        <v>0</v>
      </c>
    </row>
    <row r="1267" spans="1:12" s="39" customFormat="1" ht="15.45" customHeight="1" outlineLevel="1" x14ac:dyDescent="0.25">
      <c r="A1267" s="33">
        <v>22</v>
      </c>
      <c r="B1267" s="34" t="s">
        <v>513</v>
      </c>
      <c r="C1267" s="35" t="s">
        <v>55</v>
      </c>
      <c r="D1267" s="36">
        <v>1</v>
      </c>
      <c r="E1267" s="36">
        <v>14.3698</v>
      </c>
      <c r="F1267" s="36">
        <f t="shared" si="271"/>
        <v>14.3698</v>
      </c>
      <c r="G1267" s="37">
        <f t="shared" si="272"/>
        <v>0</v>
      </c>
      <c r="H1267" s="38">
        <f t="shared" si="273"/>
        <v>0</v>
      </c>
      <c r="I1267" s="37">
        <f t="shared" si="274"/>
        <v>0</v>
      </c>
      <c r="J1267" s="38">
        <v>0</v>
      </c>
      <c r="K1267" s="37">
        <f t="shared" si="275"/>
        <v>0</v>
      </c>
      <c r="L1267" s="38">
        <v>0</v>
      </c>
    </row>
    <row r="1268" spans="1:12" s="39" customFormat="1" ht="15.45" customHeight="1" outlineLevel="1" x14ac:dyDescent="0.25">
      <c r="A1268" s="31" t="s">
        <v>909</v>
      </c>
      <c r="B1268" s="40" t="s">
        <v>910</v>
      </c>
      <c r="C1268" s="41">
        <v>0</v>
      </c>
      <c r="D1268" s="42"/>
      <c r="E1268" s="42"/>
      <c r="F1268" s="42"/>
      <c r="G1268" s="43"/>
      <c r="H1268" s="44"/>
      <c r="I1268" s="43"/>
      <c r="J1268" s="44"/>
      <c r="K1268" s="43"/>
      <c r="L1268" s="44">
        <v>0</v>
      </c>
    </row>
    <row r="1269" spans="1:12" s="39" customFormat="1" ht="28.95" customHeight="1" outlineLevel="1" x14ac:dyDescent="0.25">
      <c r="A1269" s="33">
        <v>1</v>
      </c>
      <c r="B1269" s="34" t="s">
        <v>911</v>
      </c>
      <c r="C1269" s="35" t="s">
        <v>55</v>
      </c>
      <c r="D1269" s="36">
        <v>1</v>
      </c>
      <c r="E1269" s="36">
        <v>20000.099999999999</v>
      </c>
      <c r="F1269" s="36">
        <f t="shared" ref="F1269:F1279" si="276">+E1269*D1269</f>
        <v>20000.099999999999</v>
      </c>
      <c r="G1269" s="37">
        <f t="shared" ref="G1269:G1279" si="277">I1269+K1269</f>
        <v>0</v>
      </c>
      <c r="H1269" s="38">
        <f t="shared" ref="H1269:H1279" si="278">J1269+L1269</f>
        <v>0</v>
      </c>
      <c r="I1269" s="37">
        <f t="shared" ref="I1269:I1279" si="279">J1269/F1269</f>
        <v>0</v>
      </c>
      <c r="J1269" s="38">
        <v>0</v>
      </c>
      <c r="K1269" s="37">
        <f t="shared" ref="K1269:K1279" si="280">L1269/F1269</f>
        <v>0</v>
      </c>
      <c r="L1269" s="38">
        <v>0</v>
      </c>
    </row>
    <row r="1270" spans="1:12" s="39" customFormat="1" ht="28.95" customHeight="1" outlineLevel="1" x14ac:dyDescent="0.25">
      <c r="A1270" s="33">
        <v>2</v>
      </c>
      <c r="B1270" s="34" t="s">
        <v>912</v>
      </c>
      <c r="C1270" s="35" t="s">
        <v>55</v>
      </c>
      <c r="D1270" s="36">
        <v>1</v>
      </c>
      <c r="E1270" s="36">
        <v>876.89200000000005</v>
      </c>
      <c r="F1270" s="36">
        <f t="shared" si="276"/>
        <v>876.89200000000005</v>
      </c>
      <c r="G1270" s="37">
        <f t="shared" si="277"/>
        <v>0</v>
      </c>
      <c r="H1270" s="38">
        <f t="shared" si="278"/>
        <v>0</v>
      </c>
      <c r="I1270" s="37">
        <f t="shared" si="279"/>
        <v>0</v>
      </c>
      <c r="J1270" s="38">
        <v>0</v>
      </c>
      <c r="K1270" s="37">
        <f t="shared" si="280"/>
        <v>0</v>
      </c>
      <c r="L1270" s="38">
        <v>0</v>
      </c>
    </row>
    <row r="1271" spans="1:12" s="45" customFormat="1" ht="15.45" customHeight="1" x14ac:dyDescent="0.3">
      <c r="A1271" s="33">
        <v>3</v>
      </c>
      <c r="B1271" s="34" t="s">
        <v>913</v>
      </c>
      <c r="C1271" s="35" t="s">
        <v>50</v>
      </c>
      <c r="D1271" s="36">
        <v>7</v>
      </c>
      <c r="E1271" s="36">
        <v>27.372800000000009</v>
      </c>
      <c r="F1271" s="36">
        <f t="shared" si="276"/>
        <v>191.60960000000006</v>
      </c>
      <c r="G1271" s="37">
        <f t="shared" si="277"/>
        <v>0</v>
      </c>
      <c r="H1271" s="38">
        <f t="shared" si="278"/>
        <v>0</v>
      </c>
      <c r="I1271" s="37">
        <f t="shared" si="279"/>
        <v>0</v>
      </c>
      <c r="J1271" s="38">
        <v>0</v>
      </c>
      <c r="K1271" s="37">
        <f t="shared" si="280"/>
        <v>0</v>
      </c>
      <c r="L1271" s="38">
        <v>0</v>
      </c>
    </row>
    <row r="1272" spans="1:12" s="39" customFormat="1" ht="15.45" customHeight="1" outlineLevel="1" x14ac:dyDescent="0.25">
      <c r="A1272" s="33">
        <v>4</v>
      </c>
      <c r="B1272" s="34" t="s">
        <v>577</v>
      </c>
      <c r="C1272" s="35" t="s">
        <v>50</v>
      </c>
      <c r="D1272" s="36">
        <v>10</v>
      </c>
      <c r="E1272" s="36">
        <v>7.3807999999999998</v>
      </c>
      <c r="F1272" s="36">
        <f t="shared" si="276"/>
        <v>73.807999999999993</v>
      </c>
      <c r="G1272" s="37">
        <f t="shared" si="277"/>
        <v>0</v>
      </c>
      <c r="H1272" s="38">
        <f t="shared" si="278"/>
        <v>0</v>
      </c>
      <c r="I1272" s="37">
        <f t="shared" si="279"/>
        <v>0</v>
      </c>
      <c r="J1272" s="38">
        <v>0</v>
      </c>
      <c r="K1272" s="37">
        <f t="shared" si="280"/>
        <v>0</v>
      </c>
      <c r="L1272" s="38">
        <v>0</v>
      </c>
    </row>
    <row r="1273" spans="1:12" s="39" customFormat="1" ht="15.45" customHeight="1" outlineLevel="1" x14ac:dyDescent="0.25">
      <c r="A1273" s="33">
        <v>5</v>
      </c>
      <c r="B1273" s="34" t="s">
        <v>578</v>
      </c>
      <c r="C1273" s="35" t="s">
        <v>50</v>
      </c>
      <c r="D1273" s="36">
        <v>10</v>
      </c>
      <c r="E1273" s="36">
        <v>2.1604000000000001</v>
      </c>
      <c r="F1273" s="36">
        <f t="shared" si="276"/>
        <v>21.603999999999999</v>
      </c>
      <c r="G1273" s="37">
        <f t="shared" si="277"/>
        <v>0</v>
      </c>
      <c r="H1273" s="38">
        <f t="shared" si="278"/>
        <v>0</v>
      </c>
      <c r="I1273" s="37">
        <f t="shared" si="279"/>
        <v>0</v>
      </c>
      <c r="J1273" s="38">
        <v>0</v>
      </c>
      <c r="K1273" s="37">
        <f t="shared" si="280"/>
        <v>0</v>
      </c>
      <c r="L1273" s="38">
        <v>0</v>
      </c>
    </row>
    <row r="1274" spans="1:12" s="39" customFormat="1" ht="28.95" customHeight="1" outlineLevel="1" x14ac:dyDescent="0.25">
      <c r="A1274" s="33">
        <v>6</v>
      </c>
      <c r="B1274" s="34" t="s">
        <v>765</v>
      </c>
      <c r="C1274" s="35" t="s">
        <v>66</v>
      </c>
      <c r="D1274" s="36">
        <v>4.5999999999999996</v>
      </c>
      <c r="E1274" s="36">
        <v>8.9600000000000009</v>
      </c>
      <c r="F1274" s="36">
        <f t="shared" si="276"/>
        <v>41.216000000000001</v>
      </c>
      <c r="G1274" s="37">
        <f t="shared" si="277"/>
        <v>0</v>
      </c>
      <c r="H1274" s="38">
        <f t="shared" si="278"/>
        <v>0</v>
      </c>
      <c r="I1274" s="37">
        <f t="shared" si="279"/>
        <v>0</v>
      </c>
      <c r="J1274" s="38">
        <v>0</v>
      </c>
      <c r="K1274" s="37">
        <f t="shared" si="280"/>
        <v>0</v>
      </c>
      <c r="L1274" s="38">
        <v>0</v>
      </c>
    </row>
    <row r="1275" spans="1:12" s="39" customFormat="1" ht="15.45" customHeight="1" outlineLevel="1" x14ac:dyDescent="0.25">
      <c r="A1275" s="33">
        <v>7</v>
      </c>
      <c r="B1275" s="34" t="s">
        <v>41</v>
      </c>
      <c r="C1275" s="35" t="s">
        <v>66</v>
      </c>
      <c r="D1275" s="36">
        <v>1.1000000000000001</v>
      </c>
      <c r="E1275" s="36">
        <v>36.167200000000001</v>
      </c>
      <c r="F1275" s="36">
        <f t="shared" si="276"/>
        <v>39.783920000000002</v>
      </c>
      <c r="G1275" s="37">
        <f t="shared" si="277"/>
        <v>0</v>
      </c>
      <c r="H1275" s="38">
        <f t="shared" si="278"/>
        <v>0</v>
      </c>
      <c r="I1275" s="37">
        <f t="shared" si="279"/>
        <v>0</v>
      </c>
      <c r="J1275" s="38">
        <v>0</v>
      </c>
      <c r="K1275" s="37">
        <f t="shared" si="280"/>
        <v>0</v>
      </c>
      <c r="L1275" s="38">
        <v>0</v>
      </c>
    </row>
    <row r="1276" spans="1:12" s="39" customFormat="1" ht="15.45" customHeight="1" outlineLevel="1" x14ac:dyDescent="0.25">
      <c r="A1276" s="33">
        <v>8</v>
      </c>
      <c r="B1276" s="34" t="s">
        <v>43</v>
      </c>
      <c r="C1276" s="35" t="s">
        <v>66</v>
      </c>
      <c r="D1276" s="36">
        <v>0.88</v>
      </c>
      <c r="E1276" s="36">
        <v>124.1</v>
      </c>
      <c r="F1276" s="36">
        <f t="shared" si="276"/>
        <v>109.208</v>
      </c>
      <c r="G1276" s="37">
        <f t="shared" si="277"/>
        <v>0</v>
      </c>
      <c r="H1276" s="38">
        <f t="shared" si="278"/>
        <v>0</v>
      </c>
      <c r="I1276" s="37">
        <f t="shared" si="279"/>
        <v>0</v>
      </c>
      <c r="J1276" s="38">
        <v>0</v>
      </c>
      <c r="K1276" s="37">
        <f t="shared" si="280"/>
        <v>0</v>
      </c>
      <c r="L1276" s="38">
        <v>0</v>
      </c>
    </row>
    <row r="1277" spans="1:12" s="39" customFormat="1" ht="15.45" customHeight="1" outlineLevel="1" x14ac:dyDescent="0.25">
      <c r="A1277" s="33">
        <v>9</v>
      </c>
      <c r="B1277" s="34" t="s">
        <v>914</v>
      </c>
      <c r="C1277" s="35" t="s">
        <v>66</v>
      </c>
      <c r="D1277" s="36">
        <v>3.05</v>
      </c>
      <c r="E1277" s="36">
        <v>111.1066</v>
      </c>
      <c r="F1277" s="36">
        <f t="shared" si="276"/>
        <v>338.87512999999996</v>
      </c>
      <c r="G1277" s="37">
        <f t="shared" si="277"/>
        <v>0</v>
      </c>
      <c r="H1277" s="38">
        <f t="shared" si="278"/>
        <v>0</v>
      </c>
      <c r="I1277" s="37">
        <f t="shared" si="279"/>
        <v>0</v>
      </c>
      <c r="J1277" s="38">
        <v>0</v>
      </c>
      <c r="K1277" s="37">
        <f t="shared" si="280"/>
        <v>0</v>
      </c>
      <c r="L1277" s="38">
        <v>0</v>
      </c>
    </row>
    <row r="1278" spans="1:12" s="39" customFormat="1" ht="15.45" customHeight="1" outlineLevel="1" x14ac:dyDescent="0.25">
      <c r="A1278" s="33">
        <v>10</v>
      </c>
      <c r="B1278" s="34" t="s">
        <v>45</v>
      </c>
      <c r="C1278" s="35" t="s">
        <v>30</v>
      </c>
      <c r="D1278" s="36">
        <v>4.0000000000000001E-3</v>
      </c>
      <c r="E1278" s="36">
        <v>1325.1</v>
      </c>
      <c r="F1278" s="36">
        <f t="shared" si="276"/>
        <v>5.3003999999999998</v>
      </c>
      <c r="G1278" s="37">
        <f t="shared" si="277"/>
        <v>0</v>
      </c>
      <c r="H1278" s="38">
        <f t="shared" si="278"/>
        <v>0</v>
      </c>
      <c r="I1278" s="37">
        <f t="shared" si="279"/>
        <v>0</v>
      </c>
      <c r="J1278" s="38">
        <v>0</v>
      </c>
      <c r="K1278" s="37">
        <f t="shared" si="280"/>
        <v>0</v>
      </c>
      <c r="L1278" s="38">
        <v>0</v>
      </c>
    </row>
    <row r="1279" spans="1:12" s="45" customFormat="1" ht="15.45" customHeight="1" x14ac:dyDescent="0.3">
      <c r="A1279" s="33">
        <v>11</v>
      </c>
      <c r="B1279" s="34" t="s">
        <v>46</v>
      </c>
      <c r="C1279" s="35" t="s">
        <v>30</v>
      </c>
      <c r="D1279" s="36">
        <v>0.126</v>
      </c>
      <c r="E1279" s="36">
        <v>1200.0999999999999</v>
      </c>
      <c r="F1279" s="36">
        <f t="shared" si="276"/>
        <v>151.21259999999998</v>
      </c>
      <c r="G1279" s="37">
        <f t="shared" si="277"/>
        <v>0</v>
      </c>
      <c r="H1279" s="38">
        <f t="shared" si="278"/>
        <v>0</v>
      </c>
      <c r="I1279" s="37">
        <f t="shared" si="279"/>
        <v>0</v>
      </c>
      <c r="J1279" s="38">
        <v>0</v>
      </c>
      <c r="K1279" s="37">
        <f t="shared" si="280"/>
        <v>0</v>
      </c>
      <c r="L1279" s="38">
        <v>0</v>
      </c>
    </row>
    <row r="1280" spans="1:12" s="39" customFormat="1" ht="15.45" customHeight="1" outlineLevel="1" x14ac:dyDescent="0.25">
      <c r="A1280" s="31" t="s">
        <v>915</v>
      </c>
      <c r="B1280" s="40" t="s">
        <v>916</v>
      </c>
      <c r="C1280" s="41">
        <v>0</v>
      </c>
      <c r="D1280" s="42"/>
      <c r="E1280" s="42"/>
      <c r="F1280" s="42"/>
      <c r="G1280" s="43"/>
      <c r="H1280" s="44"/>
      <c r="I1280" s="43"/>
      <c r="J1280" s="44"/>
      <c r="K1280" s="43"/>
      <c r="L1280" s="44">
        <v>0</v>
      </c>
    </row>
    <row r="1281" spans="1:12" s="39" customFormat="1" ht="28.95" customHeight="1" outlineLevel="1" x14ac:dyDescent="0.25">
      <c r="A1281" s="33">
        <v>1</v>
      </c>
      <c r="B1281" s="34" t="s">
        <v>917</v>
      </c>
      <c r="C1281" s="35" t="s">
        <v>55</v>
      </c>
      <c r="D1281" s="36">
        <v>4</v>
      </c>
      <c r="E1281" s="36">
        <v>140.83959999999999</v>
      </c>
      <c r="F1281" s="36">
        <f t="shared" ref="F1281:F1296" si="281">+E1281*D1281</f>
        <v>563.35839999999996</v>
      </c>
      <c r="G1281" s="37">
        <f t="shared" ref="G1281:G1296" si="282">I1281+K1281</f>
        <v>0</v>
      </c>
      <c r="H1281" s="38">
        <f t="shared" ref="H1281:H1296" si="283">J1281+L1281</f>
        <v>0</v>
      </c>
      <c r="I1281" s="37">
        <f t="shared" ref="I1281:I1296" si="284">J1281/F1281</f>
        <v>0</v>
      </c>
      <c r="J1281" s="38">
        <v>0</v>
      </c>
      <c r="K1281" s="37">
        <f t="shared" ref="K1281:K1296" si="285">L1281/F1281</f>
        <v>0</v>
      </c>
      <c r="L1281" s="38">
        <v>0</v>
      </c>
    </row>
    <row r="1282" spans="1:12" s="39" customFormat="1" ht="28.95" customHeight="1" outlineLevel="1" x14ac:dyDescent="0.25">
      <c r="A1282" s="33">
        <v>2</v>
      </c>
      <c r="B1282" s="34" t="s">
        <v>918</v>
      </c>
      <c r="C1282" s="35" t="s">
        <v>55</v>
      </c>
      <c r="D1282" s="36">
        <v>4</v>
      </c>
      <c r="E1282" s="36">
        <v>272.78480000000008</v>
      </c>
      <c r="F1282" s="36">
        <f t="shared" si="281"/>
        <v>1091.1392000000003</v>
      </c>
      <c r="G1282" s="37">
        <f t="shared" si="282"/>
        <v>0</v>
      </c>
      <c r="H1282" s="38">
        <f t="shared" si="283"/>
        <v>0</v>
      </c>
      <c r="I1282" s="37">
        <f t="shared" si="284"/>
        <v>0</v>
      </c>
      <c r="J1282" s="38">
        <v>0</v>
      </c>
      <c r="K1282" s="37">
        <f t="shared" si="285"/>
        <v>0</v>
      </c>
      <c r="L1282" s="38">
        <v>0</v>
      </c>
    </row>
    <row r="1283" spans="1:12" s="45" customFormat="1" ht="15.45" customHeight="1" x14ac:dyDescent="0.3">
      <c r="A1283" s="33">
        <v>3</v>
      </c>
      <c r="B1283" s="34" t="s">
        <v>919</v>
      </c>
      <c r="C1283" s="35" t="s">
        <v>55</v>
      </c>
      <c r="D1283" s="36">
        <v>4</v>
      </c>
      <c r="E1283" s="36">
        <v>114.64400000000001</v>
      </c>
      <c r="F1283" s="36">
        <f t="shared" si="281"/>
        <v>458.57600000000002</v>
      </c>
      <c r="G1283" s="37">
        <f t="shared" si="282"/>
        <v>0</v>
      </c>
      <c r="H1283" s="38">
        <f t="shared" si="283"/>
        <v>0</v>
      </c>
      <c r="I1283" s="37">
        <f t="shared" si="284"/>
        <v>0</v>
      </c>
      <c r="J1283" s="38">
        <v>0</v>
      </c>
      <c r="K1283" s="37">
        <f t="shared" si="285"/>
        <v>0</v>
      </c>
      <c r="L1283" s="38">
        <v>0</v>
      </c>
    </row>
    <row r="1284" spans="1:12" s="39" customFormat="1" ht="15.45" customHeight="1" outlineLevel="1" x14ac:dyDescent="0.25">
      <c r="A1284" s="33">
        <v>4</v>
      </c>
      <c r="B1284" s="34" t="s">
        <v>920</v>
      </c>
      <c r="C1284" s="35" t="s">
        <v>50</v>
      </c>
      <c r="D1284" s="36">
        <v>190</v>
      </c>
      <c r="E1284" s="36">
        <v>1.1894</v>
      </c>
      <c r="F1284" s="36">
        <f t="shared" si="281"/>
        <v>225.98599999999999</v>
      </c>
      <c r="G1284" s="37">
        <f t="shared" si="282"/>
        <v>0</v>
      </c>
      <c r="H1284" s="38">
        <f t="shared" si="283"/>
        <v>0</v>
      </c>
      <c r="I1284" s="37">
        <f t="shared" si="284"/>
        <v>0</v>
      </c>
      <c r="J1284" s="38">
        <v>0</v>
      </c>
      <c r="K1284" s="37">
        <f t="shared" si="285"/>
        <v>0</v>
      </c>
      <c r="L1284" s="38">
        <v>0</v>
      </c>
    </row>
    <row r="1285" spans="1:12" s="39" customFormat="1" ht="28.95" customHeight="1" outlineLevel="1" x14ac:dyDescent="0.25">
      <c r="A1285" s="33">
        <v>5</v>
      </c>
      <c r="B1285" s="34" t="s">
        <v>617</v>
      </c>
      <c r="C1285" s="35" t="s">
        <v>50</v>
      </c>
      <c r="D1285" s="36">
        <v>130</v>
      </c>
      <c r="E1285" s="36">
        <v>2.0379999999999998</v>
      </c>
      <c r="F1285" s="36">
        <f t="shared" si="281"/>
        <v>264.94</v>
      </c>
      <c r="G1285" s="37">
        <f t="shared" si="282"/>
        <v>0</v>
      </c>
      <c r="H1285" s="38">
        <f t="shared" si="283"/>
        <v>0</v>
      </c>
      <c r="I1285" s="37">
        <f t="shared" si="284"/>
        <v>0</v>
      </c>
      <c r="J1285" s="38">
        <v>0</v>
      </c>
      <c r="K1285" s="37">
        <f t="shared" si="285"/>
        <v>0</v>
      </c>
      <c r="L1285" s="38">
        <v>0</v>
      </c>
    </row>
    <row r="1286" spans="1:12" s="39" customFormat="1" ht="28.95" customHeight="1" outlineLevel="1" x14ac:dyDescent="0.25">
      <c r="A1286" s="33">
        <v>6</v>
      </c>
      <c r="B1286" s="34" t="s">
        <v>902</v>
      </c>
      <c r="C1286" s="35" t="s">
        <v>50</v>
      </c>
      <c r="D1286" s="36">
        <v>60</v>
      </c>
      <c r="E1286" s="36">
        <v>1.8646</v>
      </c>
      <c r="F1286" s="36">
        <f t="shared" si="281"/>
        <v>111.876</v>
      </c>
      <c r="G1286" s="37">
        <f t="shared" si="282"/>
        <v>0</v>
      </c>
      <c r="H1286" s="38">
        <f t="shared" si="283"/>
        <v>0</v>
      </c>
      <c r="I1286" s="37">
        <f t="shared" si="284"/>
        <v>0</v>
      </c>
      <c r="J1286" s="38">
        <v>0</v>
      </c>
      <c r="K1286" s="37">
        <f t="shared" si="285"/>
        <v>0</v>
      </c>
      <c r="L1286" s="38">
        <v>0</v>
      </c>
    </row>
    <row r="1287" spans="1:12" s="39" customFormat="1" ht="15.45" customHeight="1" outlineLevel="1" x14ac:dyDescent="0.25">
      <c r="A1287" s="33">
        <v>7</v>
      </c>
      <c r="B1287" s="34" t="s">
        <v>901</v>
      </c>
      <c r="C1287" s="35" t="s">
        <v>50</v>
      </c>
      <c r="D1287" s="36">
        <v>60</v>
      </c>
      <c r="E1287" s="36">
        <v>1.3138000000000001</v>
      </c>
      <c r="F1287" s="36">
        <f t="shared" si="281"/>
        <v>78.828000000000003</v>
      </c>
      <c r="G1287" s="37">
        <f t="shared" si="282"/>
        <v>0</v>
      </c>
      <c r="H1287" s="38">
        <f t="shared" si="283"/>
        <v>0</v>
      </c>
      <c r="I1287" s="37">
        <f t="shared" si="284"/>
        <v>0</v>
      </c>
      <c r="J1287" s="38">
        <v>0</v>
      </c>
      <c r="K1287" s="37">
        <f t="shared" si="285"/>
        <v>0</v>
      </c>
      <c r="L1287" s="38">
        <v>0</v>
      </c>
    </row>
    <row r="1288" spans="1:12" s="39" customFormat="1" ht="43.5" customHeight="1" outlineLevel="1" x14ac:dyDescent="0.25">
      <c r="A1288" s="33">
        <v>8</v>
      </c>
      <c r="B1288" s="34" t="s">
        <v>921</v>
      </c>
      <c r="C1288" s="35" t="s">
        <v>50</v>
      </c>
      <c r="D1288" s="36">
        <v>130</v>
      </c>
      <c r="E1288" s="36">
        <v>3.4333999999999998</v>
      </c>
      <c r="F1288" s="36">
        <f t="shared" si="281"/>
        <v>446.34199999999998</v>
      </c>
      <c r="G1288" s="37">
        <f t="shared" si="282"/>
        <v>0</v>
      </c>
      <c r="H1288" s="38">
        <f t="shared" si="283"/>
        <v>0</v>
      </c>
      <c r="I1288" s="37">
        <f t="shared" si="284"/>
        <v>0</v>
      </c>
      <c r="J1288" s="38">
        <v>0</v>
      </c>
      <c r="K1288" s="37">
        <f t="shared" si="285"/>
        <v>0</v>
      </c>
      <c r="L1288" s="38">
        <v>0</v>
      </c>
    </row>
    <row r="1289" spans="1:12" s="39" customFormat="1" ht="28.95" customHeight="1" outlineLevel="1" x14ac:dyDescent="0.25">
      <c r="A1289" s="33">
        <v>9</v>
      </c>
      <c r="B1289" s="34" t="s">
        <v>922</v>
      </c>
      <c r="C1289" s="35" t="s">
        <v>50</v>
      </c>
      <c r="D1289" s="36">
        <v>130</v>
      </c>
      <c r="E1289" s="36">
        <v>1.0346</v>
      </c>
      <c r="F1289" s="36">
        <f t="shared" si="281"/>
        <v>134.49799999999999</v>
      </c>
      <c r="G1289" s="37">
        <f t="shared" si="282"/>
        <v>0</v>
      </c>
      <c r="H1289" s="38">
        <f t="shared" si="283"/>
        <v>0</v>
      </c>
      <c r="I1289" s="37">
        <f t="shared" si="284"/>
        <v>0</v>
      </c>
      <c r="J1289" s="38">
        <v>0</v>
      </c>
      <c r="K1289" s="37">
        <f t="shared" si="285"/>
        <v>0</v>
      </c>
      <c r="L1289" s="38">
        <v>0</v>
      </c>
    </row>
    <row r="1290" spans="1:12" s="45" customFormat="1" ht="43.5" customHeight="1" x14ac:dyDescent="0.3">
      <c r="A1290" s="33">
        <v>10</v>
      </c>
      <c r="B1290" s="34" t="s">
        <v>830</v>
      </c>
      <c r="C1290" s="35" t="s">
        <v>66</v>
      </c>
      <c r="D1290" s="36">
        <v>77</v>
      </c>
      <c r="E1290" s="36">
        <v>0.86018000000000006</v>
      </c>
      <c r="F1290" s="36">
        <f t="shared" si="281"/>
        <v>66.233860000000007</v>
      </c>
      <c r="G1290" s="37">
        <f t="shared" si="282"/>
        <v>0</v>
      </c>
      <c r="H1290" s="38">
        <f t="shared" si="283"/>
        <v>0</v>
      </c>
      <c r="I1290" s="37">
        <f t="shared" si="284"/>
        <v>0</v>
      </c>
      <c r="J1290" s="38">
        <v>0</v>
      </c>
      <c r="K1290" s="37">
        <f t="shared" si="285"/>
        <v>0</v>
      </c>
      <c r="L1290" s="38">
        <v>0</v>
      </c>
    </row>
    <row r="1291" spans="1:12" s="39" customFormat="1" ht="28.95" customHeight="1" outlineLevel="1" x14ac:dyDescent="0.25">
      <c r="A1291" s="33">
        <v>11</v>
      </c>
      <c r="B1291" s="34" t="s">
        <v>765</v>
      </c>
      <c r="C1291" s="35" t="s">
        <v>66</v>
      </c>
      <c r="D1291" s="36">
        <v>5</v>
      </c>
      <c r="E1291" s="36">
        <v>8.9600000000000009</v>
      </c>
      <c r="F1291" s="36">
        <f t="shared" si="281"/>
        <v>44.800000000000004</v>
      </c>
      <c r="G1291" s="37">
        <f t="shared" si="282"/>
        <v>0</v>
      </c>
      <c r="H1291" s="38">
        <f t="shared" si="283"/>
        <v>0</v>
      </c>
      <c r="I1291" s="37">
        <f t="shared" si="284"/>
        <v>0</v>
      </c>
      <c r="J1291" s="38">
        <v>0</v>
      </c>
      <c r="K1291" s="37">
        <f t="shared" si="285"/>
        <v>0</v>
      </c>
      <c r="L1291" s="38">
        <v>0</v>
      </c>
    </row>
    <row r="1292" spans="1:12" s="39" customFormat="1" ht="43.5" customHeight="1" outlineLevel="1" x14ac:dyDescent="0.25">
      <c r="A1292" s="33">
        <v>12</v>
      </c>
      <c r="B1292" s="34" t="s">
        <v>766</v>
      </c>
      <c r="C1292" s="35" t="s">
        <v>66</v>
      </c>
      <c r="D1292" s="36">
        <v>69</v>
      </c>
      <c r="E1292" s="36">
        <v>0.9</v>
      </c>
      <c r="F1292" s="36">
        <f t="shared" si="281"/>
        <v>62.1</v>
      </c>
      <c r="G1292" s="37">
        <f t="shared" si="282"/>
        <v>0</v>
      </c>
      <c r="H1292" s="38">
        <f t="shared" si="283"/>
        <v>0</v>
      </c>
      <c r="I1292" s="37">
        <f t="shared" si="284"/>
        <v>0</v>
      </c>
      <c r="J1292" s="38">
        <v>0</v>
      </c>
      <c r="K1292" s="37">
        <f t="shared" si="285"/>
        <v>0</v>
      </c>
      <c r="L1292" s="38">
        <v>0</v>
      </c>
    </row>
    <row r="1293" spans="1:12" s="39" customFormat="1" ht="28.95" customHeight="1" outlineLevel="1" x14ac:dyDescent="0.25">
      <c r="A1293" s="33">
        <v>13</v>
      </c>
      <c r="B1293" s="34" t="s">
        <v>316</v>
      </c>
      <c r="C1293" s="35" t="s">
        <v>66</v>
      </c>
      <c r="D1293" s="36">
        <v>8</v>
      </c>
      <c r="E1293" s="36">
        <v>8.16</v>
      </c>
      <c r="F1293" s="36">
        <f t="shared" si="281"/>
        <v>65.28</v>
      </c>
      <c r="G1293" s="37">
        <f t="shared" si="282"/>
        <v>0</v>
      </c>
      <c r="H1293" s="38">
        <f t="shared" si="283"/>
        <v>0</v>
      </c>
      <c r="I1293" s="37">
        <f t="shared" si="284"/>
        <v>0</v>
      </c>
      <c r="J1293" s="38">
        <v>0</v>
      </c>
      <c r="K1293" s="37">
        <f t="shared" si="285"/>
        <v>0</v>
      </c>
      <c r="L1293" s="38">
        <v>0</v>
      </c>
    </row>
    <row r="1294" spans="1:12" s="39" customFormat="1" ht="28.95" customHeight="1" outlineLevel="1" x14ac:dyDescent="0.25">
      <c r="A1294" s="33">
        <v>14</v>
      </c>
      <c r="B1294" s="34" t="s">
        <v>234</v>
      </c>
      <c r="C1294" s="35" t="s">
        <v>66</v>
      </c>
      <c r="D1294" s="36">
        <v>77</v>
      </c>
      <c r="E1294" s="36">
        <v>2</v>
      </c>
      <c r="F1294" s="36">
        <f t="shared" si="281"/>
        <v>154</v>
      </c>
      <c r="G1294" s="37">
        <f t="shared" si="282"/>
        <v>0</v>
      </c>
      <c r="H1294" s="38">
        <f t="shared" si="283"/>
        <v>0</v>
      </c>
      <c r="I1294" s="37">
        <f t="shared" si="284"/>
        <v>0</v>
      </c>
      <c r="J1294" s="38">
        <v>0</v>
      </c>
      <c r="K1294" s="37">
        <f t="shared" si="285"/>
        <v>0</v>
      </c>
      <c r="L1294" s="38">
        <v>0</v>
      </c>
    </row>
    <row r="1295" spans="1:12" s="39" customFormat="1" ht="28.95" customHeight="1" outlineLevel="1" x14ac:dyDescent="0.25">
      <c r="A1295" s="33">
        <v>15</v>
      </c>
      <c r="B1295" s="34" t="s">
        <v>923</v>
      </c>
      <c r="C1295" s="35" t="s">
        <v>66</v>
      </c>
      <c r="D1295" s="36">
        <v>4.5</v>
      </c>
      <c r="E1295" s="36">
        <v>0.86834000000000011</v>
      </c>
      <c r="F1295" s="36">
        <f t="shared" si="281"/>
        <v>3.9075300000000004</v>
      </c>
      <c r="G1295" s="37">
        <f t="shared" si="282"/>
        <v>0</v>
      </c>
      <c r="H1295" s="38">
        <f t="shared" si="283"/>
        <v>0</v>
      </c>
      <c r="I1295" s="37">
        <f t="shared" si="284"/>
        <v>0</v>
      </c>
      <c r="J1295" s="38">
        <v>0</v>
      </c>
      <c r="K1295" s="37">
        <f t="shared" si="285"/>
        <v>0</v>
      </c>
      <c r="L1295" s="38">
        <v>0</v>
      </c>
    </row>
    <row r="1296" spans="1:12" s="39" customFormat="1" ht="15.45" customHeight="1" outlineLevel="1" x14ac:dyDescent="0.25">
      <c r="A1296" s="33">
        <v>16</v>
      </c>
      <c r="B1296" s="34" t="s">
        <v>225</v>
      </c>
      <c r="C1296" s="35" t="s">
        <v>30</v>
      </c>
      <c r="D1296" s="36">
        <v>7.9</v>
      </c>
      <c r="E1296" s="36">
        <v>1.63</v>
      </c>
      <c r="F1296" s="36">
        <f t="shared" si="281"/>
        <v>12.876999999999999</v>
      </c>
      <c r="G1296" s="37">
        <f t="shared" si="282"/>
        <v>0</v>
      </c>
      <c r="H1296" s="38">
        <f t="shared" si="283"/>
        <v>0</v>
      </c>
      <c r="I1296" s="37">
        <f t="shared" si="284"/>
        <v>0</v>
      </c>
      <c r="J1296" s="38">
        <v>0</v>
      </c>
      <c r="K1296" s="37">
        <f t="shared" si="285"/>
        <v>0</v>
      </c>
      <c r="L1296" s="38">
        <v>0</v>
      </c>
    </row>
    <row r="1297" spans="1:12" s="45" customFormat="1" ht="15.45" customHeight="1" x14ac:dyDescent="0.3">
      <c r="A1297" s="31" t="s">
        <v>924</v>
      </c>
      <c r="B1297" s="40" t="s">
        <v>925</v>
      </c>
      <c r="C1297" s="41">
        <v>0</v>
      </c>
      <c r="D1297" s="42"/>
      <c r="E1297" s="42"/>
      <c r="F1297" s="42"/>
      <c r="G1297" s="43"/>
      <c r="H1297" s="44"/>
      <c r="I1297" s="43"/>
      <c r="J1297" s="44"/>
      <c r="K1297" s="43"/>
      <c r="L1297" s="44">
        <v>0</v>
      </c>
    </row>
    <row r="1298" spans="1:12" s="39" customFormat="1" ht="15.45" customHeight="1" outlineLevel="1" x14ac:dyDescent="0.25">
      <c r="A1298" s="33">
        <v>1</v>
      </c>
      <c r="B1298" s="34" t="s">
        <v>926</v>
      </c>
      <c r="C1298" s="35" t="s">
        <v>55</v>
      </c>
      <c r="D1298" s="36">
        <v>1</v>
      </c>
      <c r="E1298" s="36">
        <v>1662.1063999999999</v>
      </c>
      <c r="F1298" s="36">
        <f t="shared" ref="F1298:F1327" si="286">+E1298*D1298</f>
        <v>1662.1063999999999</v>
      </c>
      <c r="G1298" s="37">
        <f t="shared" ref="G1298:G1327" si="287">I1298+K1298</f>
        <v>0</v>
      </c>
      <c r="H1298" s="38">
        <f t="shared" ref="H1298:H1327" si="288">J1298+L1298</f>
        <v>0</v>
      </c>
      <c r="I1298" s="37">
        <f t="shared" ref="I1298:I1327" si="289">J1298/F1298</f>
        <v>0</v>
      </c>
      <c r="J1298" s="38">
        <v>0</v>
      </c>
      <c r="K1298" s="37">
        <f t="shared" ref="K1298:K1327" si="290">L1298/F1298</f>
        <v>0</v>
      </c>
      <c r="L1298" s="38">
        <v>0</v>
      </c>
    </row>
    <row r="1299" spans="1:12" s="39" customFormat="1" ht="15.45" customHeight="1" outlineLevel="1" x14ac:dyDescent="0.25">
      <c r="A1299" s="33">
        <v>2</v>
      </c>
      <c r="B1299" s="34" t="s">
        <v>677</v>
      </c>
      <c r="C1299" s="35" t="s">
        <v>55</v>
      </c>
      <c r="D1299" s="36">
        <v>1</v>
      </c>
      <c r="E1299" s="36">
        <v>47.621800000000007</v>
      </c>
      <c r="F1299" s="36">
        <f t="shared" si="286"/>
        <v>47.621800000000007</v>
      </c>
      <c r="G1299" s="37">
        <f t="shared" si="287"/>
        <v>0</v>
      </c>
      <c r="H1299" s="38">
        <f t="shared" si="288"/>
        <v>0</v>
      </c>
      <c r="I1299" s="37">
        <f t="shared" si="289"/>
        <v>0</v>
      </c>
      <c r="J1299" s="38">
        <v>0</v>
      </c>
      <c r="K1299" s="37">
        <f t="shared" si="290"/>
        <v>0</v>
      </c>
      <c r="L1299" s="38">
        <v>0</v>
      </c>
    </row>
    <row r="1300" spans="1:12" s="39" customFormat="1" ht="15.45" customHeight="1" outlineLevel="1" x14ac:dyDescent="0.25">
      <c r="A1300" s="33">
        <v>3</v>
      </c>
      <c r="B1300" s="34" t="s">
        <v>927</v>
      </c>
      <c r="C1300" s="35" t="s">
        <v>115</v>
      </c>
      <c r="D1300" s="36">
        <v>7</v>
      </c>
      <c r="E1300" s="36">
        <v>93.101599999999991</v>
      </c>
      <c r="F1300" s="36">
        <f t="shared" si="286"/>
        <v>651.71119999999996</v>
      </c>
      <c r="G1300" s="37">
        <f t="shared" si="287"/>
        <v>0</v>
      </c>
      <c r="H1300" s="38">
        <f t="shared" si="288"/>
        <v>0</v>
      </c>
      <c r="I1300" s="37">
        <f t="shared" si="289"/>
        <v>0</v>
      </c>
      <c r="J1300" s="38">
        <v>0</v>
      </c>
      <c r="K1300" s="37">
        <f t="shared" si="290"/>
        <v>0</v>
      </c>
      <c r="L1300" s="38">
        <v>0</v>
      </c>
    </row>
    <row r="1301" spans="1:12" s="39" customFormat="1" ht="15.45" customHeight="1" outlineLevel="1" x14ac:dyDescent="0.25">
      <c r="A1301" s="33">
        <v>4</v>
      </c>
      <c r="B1301" s="34" t="s">
        <v>643</v>
      </c>
      <c r="C1301" s="35" t="s">
        <v>55</v>
      </c>
      <c r="D1301" s="36">
        <v>7</v>
      </c>
      <c r="E1301" s="36">
        <v>23.2316</v>
      </c>
      <c r="F1301" s="36">
        <f t="shared" si="286"/>
        <v>162.62119999999999</v>
      </c>
      <c r="G1301" s="37">
        <f t="shared" si="287"/>
        <v>0</v>
      </c>
      <c r="H1301" s="38">
        <f t="shared" si="288"/>
        <v>0</v>
      </c>
      <c r="I1301" s="37">
        <f t="shared" si="289"/>
        <v>0</v>
      </c>
      <c r="J1301" s="38">
        <v>0</v>
      </c>
      <c r="K1301" s="37">
        <f t="shared" si="290"/>
        <v>0</v>
      </c>
      <c r="L1301" s="38">
        <v>0</v>
      </c>
    </row>
    <row r="1302" spans="1:12" s="39" customFormat="1" ht="15.45" customHeight="1" outlineLevel="1" x14ac:dyDescent="0.25">
      <c r="A1302" s="33">
        <v>5</v>
      </c>
      <c r="B1302" s="34" t="s">
        <v>928</v>
      </c>
      <c r="C1302" s="35" t="s">
        <v>55</v>
      </c>
      <c r="D1302" s="36">
        <v>2</v>
      </c>
      <c r="E1302" s="36">
        <v>387.29000000000008</v>
      </c>
      <c r="F1302" s="36">
        <f t="shared" si="286"/>
        <v>774.58000000000015</v>
      </c>
      <c r="G1302" s="37">
        <f t="shared" si="287"/>
        <v>0</v>
      </c>
      <c r="H1302" s="38">
        <f t="shared" si="288"/>
        <v>0</v>
      </c>
      <c r="I1302" s="37">
        <f t="shared" si="289"/>
        <v>0</v>
      </c>
      <c r="J1302" s="38">
        <v>0</v>
      </c>
      <c r="K1302" s="37">
        <f t="shared" si="290"/>
        <v>0</v>
      </c>
      <c r="L1302" s="38">
        <v>0</v>
      </c>
    </row>
    <row r="1303" spans="1:12" s="39" customFormat="1" ht="15.45" customHeight="1" outlineLevel="1" x14ac:dyDescent="0.25">
      <c r="A1303" s="33">
        <v>6</v>
      </c>
      <c r="B1303" s="34" t="s">
        <v>929</v>
      </c>
      <c r="C1303" s="35" t="s">
        <v>50</v>
      </c>
      <c r="D1303" s="36">
        <v>480</v>
      </c>
      <c r="E1303" s="36">
        <v>2.8622000000000001</v>
      </c>
      <c r="F1303" s="36">
        <f t="shared" si="286"/>
        <v>1373.856</v>
      </c>
      <c r="G1303" s="37">
        <f t="shared" si="287"/>
        <v>0</v>
      </c>
      <c r="H1303" s="38">
        <f t="shared" si="288"/>
        <v>0</v>
      </c>
      <c r="I1303" s="37">
        <f t="shared" si="289"/>
        <v>0</v>
      </c>
      <c r="J1303" s="38">
        <v>0</v>
      </c>
      <c r="K1303" s="37">
        <f t="shared" si="290"/>
        <v>0</v>
      </c>
      <c r="L1303" s="38">
        <v>0</v>
      </c>
    </row>
    <row r="1304" spans="1:12" s="39" customFormat="1" ht="15.45" customHeight="1" outlineLevel="1" x14ac:dyDescent="0.25">
      <c r="A1304" s="33">
        <v>7</v>
      </c>
      <c r="B1304" s="34" t="s">
        <v>930</v>
      </c>
      <c r="C1304" s="35" t="s">
        <v>50</v>
      </c>
      <c r="D1304" s="36">
        <v>220</v>
      </c>
      <c r="E1304" s="36">
        <v>1.1894</v>
      </c>
      <c r="F1304" s="36">
        <f t="shared" si="286"/>
        <v>261.66800000000001</v>
      </c>
      <c r="G1304" s="37">
        <f t="shared" si="287"/>
        <v>0</v>
      </c>
      <c r="H1304" s="38">
        <f t="shared" si="288"/>
        <v>0</v>
      </c>
      <c r="I1304" s="37">
        <f t="shared" si="289"/>
        <v>0</v>
      </c>
      <c r="J1304" s="38">
        <v>0</v>
      </c>
      <c r="K1304" s="37">
        <f t="shared" si="290"/>
        <v>0</v>
      </c>
      <c r="L1304" s="38">
        <v>0</v>
      </c>
    </row>
    <row r="1305" spans="1:12" s="39" customFormat="1" ht="28.95" customHeight="1" outlineLevel="1" x14ac:dyDescent="0.25">
      <c r="A1305" s="33">
        <v>8</v>
      </c>
      <c r="B1305" s="34" t="s">
        <v>902</v>
      </c>
      <c r="C1305" s="35" t="s">
        <v>50</v>
      </c>
      <c r="D1305" s="36">
        <v>7</v>
      </c>
      <c r="E1305" s="36">
        <v>0.91220000000000001</v>
      </c>
      <c r="F1305" s="36">
        <f t="shared" si="286"/>
        <v>6.3853999999999997</v>
      </c>
      <c r="G1305" s="37">
        <f t="shared" si="287"/>
        <v>0</v>
      </c>
      <c r="H1305" s="38">
        <f t="shared" si="288"/>
        <v>0</v>
      </c>
      <c r="I1305" s="37">
        <f t="shared" si="289"/>
        <v>0</v>
      </c>
      <c r="J1305" s="38">
        <v>0</v>
      </c>
      <c r="K1305" s="37">
        <f t="shared" si="290"/>
        <v>0</v>
      </c>
      <c r="L1305" s="38">
        <v>0</v>
      </c>
    </row>
    <row r="1306" spans="1:12" s="39" customFormat="1" ht="15.45" customHeight="1" outlineLevel="1" x14ac:dyDescent="0.25">
      <c r="A1306" s="33">
        <v>9</v>
      </c>
      <c r="B1306" s="34" t="s">
        <v>817</v>
      </c>
      <c r="C1306" s="35" t="s">
        <v>55</v>
      </c>
      <c r="D1306" s="36">
        <v>7</v>
      </c>
      <c r="E1306" s="36">
        <v>125.048</v>
      </c>
      <c r="F1306" s="36">
        <f t="shared" si="286"/>
        <v>875.33600000000001</v>
      </c>
      <c r="G1306" s="37">
        <f t="shared" si="287"/>
        <v>0</v>
      </c>
      <c r="H1306" s="38">
        <f t="shared" si="288"/>
        <v>0</v>
      </c>
      <c r="I1306" s="37">
        <f t="shared" si="289"/>
        <v>0</v>
      </c>
      <c r="J1306" s="38">
        <v>0</v>
      </c>
      <c r="K1306" s="37">
        <f t="shared" si="290"/>
        <v>0</v>
      </c>
      <c r="L1306" s="38">
        <v>0</v>
      </c>
    </row>
    <row r="1307" spans="1:12" s="45" customFormat="1" ht="15.45" customHeight="1" x14ac:dyDescent="0.3">
      <c r="A1307" s="33">
        <v>10</v>
      </c>
      <c r="B1307" s="34" t="s">
        <v>653</v>
      </c>
      <c r="C1307" s="35" t="s">
        <v>55</v>
      </c>
      <c r="D1307" s="36">
        <v>7</v>
      </c>
      <c r="E1307" s="36">
        <v>6.883</v>
      </c>
      <c r="F1307" s="36">
        <f t="shared" si="286"/>
        <v>48.180999999999997</v>
      </c>
      <c r="G1307" s="37">
        <f t="shared" si="287"/>
        <v>0</v>
      </c>
      <c r="H1307" s="38">
        <f t="shared" si="288"/>
        <v>0</v>
      </c>
      <c r="I1307" s="37">
        <f t="shared" si="289"/>
        <v>0</v>
      </c>
      <c r="J1307" s="38">
        <v>0</v>
      </c>
      <c r="K1307" s="37">
        <f t="shared" si="290"/>
        <v>0</v>
      </c>
      <c r="L1307" s="38">
        <v>0</v>
      </c>
    </row>
    <row r="1308" spans="1:12" s="39" customFormat="1" ht="15.45" customHeight="1" outlineLevel="1" x14ac:dyDescent="0.25">
      <c r="A1308" s="33">
        <v>11</v>
      </c>
      <c r="B1308" s="34" t="s">
        <v>931</v>
      </c>
      <c r="C1308" s="35" t="s">
        <v>55</v>
      </c>
      <c r="D1308" s="36">
        <v>7</v>
      </c>
      <c r="E1308" s="36">
        <v>33.22760000000001</v>
      </c>
      <c r="F1308" s="36">
        <f t="shared" si="286"/>
        <v>232.59320000000008</v>
      </c>
      <c r="G1308" s="37">
        <f t="shared" si="287"/>
        <v>0</v>
      </c>
      <c r="H1308" s="38">
        <f t="shared" si="288"/>
        <v>0</v>
      </c>
      <c r="I1308" s="37">
        <f t="shared" si="289"/>
        <v>0</v>
      </c>
      <c r="J1308" s="38">
        <v>0</v>
      </c>
      <c r="K1308" s="37">
        <f t="shared" si="290"/>
        <v>0</v>
      </c>
      <c r="L1308" s="38">
        <v>0</v>
      </c>
    </row>
    <row r="1309" spans="1:12" s="46" customFormat="1" ht="15.45" customHeight="1" outlineLevel="1" x14ac:dyDescent="0.35">
      <c r="A1309" s="33">
        <v>12</v>
      </c>
      <c r="B1309" s="34" t="s">
        <v>932</v>
      </c>
      <c r="C1309" s="35" t="s">
        <v>55</v>
      </c>
      <c r="D1309" s="36">
        <v>1</v>
      </c>
      <c r="E1309" s="36">
        <v>98.262799999999984</v>
      </c>
      <c r="F1309" s="36">
        <f t="shared" si="286"/>
        <v>98.262799999999984</v>
      </c>
      <c r="G1309" s="37">
        <f t="shared" si="287"/>
        <v>0</v>
      </c>
      <c r="H1309" s="38">
        <f t="shared" si="288"/>
        <v>0</v>
      </c>
      <c r="I1309" s="37">
        <f t="shared" si="289"/>
        <v>0</v>
      </c>
      <c r="J1309" s="38">
        <v>0</v>
      </c>
      <c r="K1309" s="37">
        <f t="shared" si="290"/>
        <v>0</v>
      </c>
      <c r="L1309" s="38">
        <v>0</v>
      </c>
    </row>
    <row r="1310" spans="1:12" s="39" customFormat="1" ht="28.95" customHeight="1" outlineLevel="1" x14ac:dyDescent="0.25">
      <c r="A1310" s="33">
        <v>13</v>
      </c>
      <c r="B1310" s="34" t="s">
        <v>681</v>
      </c>
      <c r="C1310" s="35" t="s">
        <v>55</v>
      </c>
      <c r="D1310" s="36">
        <v>1</v>
      </c>
      <c r="E1310" s="36">
        <v>6.5157999999999996</v>
      </c>
      <c r="F1310" s="36">
        <f t="shared" si="286"/>
        <v>6.5157999999999996</v>
      </c>
      <c r="G1310" s="37">
        <f t="shared" si="287"/>
        <v>0</v>
      </c>
      <c r="H1310" s="38">
        <f t="shared" si="288"/>
        <v>0</v>
      </c>
      <c r="I1310" s="37">
        <f t="shared" si="289"/>
        <v>0</v>
      </c>
      <c r="J1310" s="38">
        <v>0</v>
      </c>
      <c r="K1310" s="37">
        <f t="shared" si="290"/>
        <v>0</v>
      </c>
      <c r="L1310" s="38">
        <v>0</v>
      </c>
    </row>
    <row r="1311" spans="1:12" s="39" customFormat="1" ht="15.45" customHeight="1" outlineLevel="1" x14ac:dyDescent="0.25">
      <c r="A1311" s="33">
        <v>14</v>
      </c>
      <c r="B1311" s="34" t="s">
        <v>933</v>
      </c>
      <c r="C1311" s="35" t="s">
        <v>55</v>
      </c>
      <c r="D1311" s="36">
        <v>1</v>
      </c>
      <c r="E1311" s="36">
        <v>424.9</v>
      </c>
      <c r="F1311" s="36">
        <f t="shared" si="286"/>
        <v>424.9</v>
      </c>
      <c r="G1311" s="37">
        <f t="shared" si="287"/>
        <v>0</v>
      </c>
      <c r="H1311" s="38">
        <f t="shared" si="288"/>
        <v>0</v>
      </c>
      <c r="I1311" s="37">
        <f t="shared" si="289"/>
        <v>0</v>
      </c>
      <c r="J1311" s="38">
        <v>0</v>
      </c>
      <c r="K1311" s="37">
        <f t="shared" si="290"/>
        <v>0</v>
      </c>
      <c r="L1311" s="38">
        <v>0</v>
      </c>
    </row>
    <row r="1312" spans="1:12" s="39" customFormat="1" ht="28.95" customHeight="1" outlineLevel="1" x14ac:dyDescent="0.25">
      <c r="A1312" s="33">
        <v>15</v>
      </c>
      <c r="B1312" s="34" t="s">
        <v>934</v>
      </c>
      <c r="C1312" s="35" t="s">
        <v>55</v>
      </c>
      <c r="D1312" s="36">
        <v>1</v>
      </c>
      <c r="E1312" s="36">
        <v>17.042200000000001</v>
      </c>
      <c r="F1312" s="36">
        <f t="shared" si="286"/>
        <v>17.042200000000001</v>
      </c>
      <c r="G1312" s="37">
        <f t="shared" si="287"/>
        <v>0</v>
      </c>
      <c r="H1312" s="38">
        <f t="shared" si="288"/>
        <v>0</v>
      </c>
      <c r="I1312" s="37">
        <f t="shared" si="289"/>
        <v>0</v>
      </c>
      <c r="J1312" s="38">
        <v>0</v>
      </c>
      <c r="K1312" s="37">
        <f t="shared" si="290"/>
        <v>0</v>
      </c>
      <c r="L1312" s="38">
        <v>0</v>
      </c>
    </row>
    <row r="1313" spans="1:12" s="39" customFormat="1" ht="15.45" customHeight="1" outlineLevel="1" x14ac:dyDescent="0.25">
      <c r="A1313" s="33">
        <v>16</v>
      </c>
      <c r="B1313" s="34" t="s">
        <v>935</v>
      </c>
      <c r="C1313" s="35" t="s">
        <v>115</v>
      </c>
      <c r="D1313" s="36">
        <v>1</v>
      </c>
      <c r="E1313" s="36">
        <v>1032.44</v>
      </c>
      <c r="F1313" s="36">
        <f t="shared" si="286"/>
        <v>1032.44</v>
      </c>
      <c r="G1313" s="37">
        <f t="shared" si="287"/>
        <v>0</v>
      </c>
      <c r="H1313" s="38">
        <f t="shared" si="288"/>
        <v>0</v>
      </c>
      <c r="I1313" s="37">
        <f t="shared" si="289"/>
        <v>0</v>
      </c>
      <c r="J1313" s="38">
        <v>0</v>
      </c>
      <c r="K1313" s="37">
        <f t="shared" si="290"/>
        <v>0</v>
      </c>
      <c r="L1313" s="38">
        <v>0</v>
      </c>
    </row>
    <row r="1314" spans="1:12" s="45" customFormat="1" ht="15.45" customHeight="1" x14ac:dyDescent="0.3">
      <c r="A1314" s="33">
        <v>17</v>
      </c>
      <c r="B1314" s="34" t="s">
        <v>640</v>
      </c>
      <c r="C1314" s="35" t="s">
        <v>55</v>
      </c>
      <c r="D1314" s="36">
        <v>1</v>
      </c>
      <c r="E1314" s="36">
        <v>15.3592</v>
      </c>
      <c r="F1314" s="36">
        <f t="shared" si="286"/>
        <v>15.3592</v>
      </c>
      <c r="G1314" s="37">
        <f t="shared" si="287"/>
        <v>0</v>
      </c>
      <c r="H1314" s="38">
        <f t="shared" si="288"/>
        <v>0</v>
      </c>
      <c r="I1314" s="37">
        <f t="shared" si="289"/>
        <v>0</v>
      </c>
      <c r="J1314" s="38">
        <v>0</v>
      </c>
      <c r="K1314" s="37">
        <f t="shared" si="290"/>
        <v>0</v>
      </c>
      <c r="L1314" s="38">
        <v>0</v>
      </c>
    </row>
    <row r="1315" spans="1:12" s="39" customFormat="1" ht="15.45" customHeight="1" outlineLevel="1" x14ac:dyDescent="0.25">
      <c r="A1315" s="33">
        <v>18</v>
      </c>
      <c r="B1315" s="34" t="s">
        <v>936</v>
      </c>
      <c r="C1315" s="35" t="s">
        <v>55</v>
      </c>
      <c r="D1315" s="36">
        <v>2</v>
      </c>
      <c r="E1315" s="36">
        <v>480.62000000000012</v>
      </c>
      <c r="F1315" s="36">
        <f t="shared" si="286"/>
        <v>961.24000000000024</v>
      </c>
      <c r="G1315" s="37">
        <f t="shared" si="287"/>
        <v>0</v>
      </c>
      <c r="H1315" s="38">
        <f t="shared" si="288"/>
        <v>0</v>
      </c>
      <c r="I1315" s="37">
        <f t="shared" si="289"/>
        <v>0</v>
      </c>
      <c r="J1315" s="38">
        <v>0</v>
      </c>
      <c r="K1315" s="37">
        <f t="shared" si="290"/>
        <v>0</v>
      </c>
      <c r="L1315" s="38">
        <v>0</v>
      </c>
    </row>
    <row r="1316" spans="1:12" s="39" customFormat="1" ht="15.45" customHeight="1" outlineLevel="1" x14ac:dyDescent="0.25">
      <c r="A1316" s="33">
        <v>19</v>
      </c>
      <c r="B1316" s="34" t="s">
        <v>646</v>
      </c>
      <c r="C1316" s="35" t="s">
        <v>55</v>
      </c>
      <c r="D1316" s="36">
        <v>2</v>
      </c>
      <c r="E1316" s="36">
        <v>28.4438</v>
      </c>
      <c r="F1316" s="36">
        <f t="shared" si="286"/>
        <v>56.887599999999999</v>
      </c>
      <c r="G1316" s="37">
        <f t="shared" si="287"/>
        <v>0</v>
      </c>
      <c r="H1316" s="38">
        <f t="shared" si="288"/>
        <v>0</v>
      </c>
      <c r="I1316" s="37">
        <f t="shared" si="289"/>
        <v>0</v>
      </c>
      <c r="J1316" s="38">
        <v>0</v>
      </c>
      <c r="K1316" s="37">
        <f t="shared" si="290"/>
        <v>0</v>
      </c>
      <c r="L1316" s="38">
        <v>0</v>
      </c>
    </row>
    <row r="1317" spans="1:12" s="39" customFormat="1" ht="28.95" customHeight="1" outlineLevel="1" x14ac:dyDescent="0.25">
      <c r="A1317" s="33">
        <v>20</v>
      </c>
      <c r="B1317" s="34" t="s">
        <v>937</v>
      </c>
      <c r="C1317" s="35" t="s">
        <v>115</v>
      </c>
      <c r="D1317" s="36">
        <v>1</v>
      </c>
      <c r="E1317" s="36">
        <v>1032.44</v>
      </c>
      <c r="F1317" s="36">
        <f t="shared" si="286"/>
        <v>1032.44</v>
      </c>
      <c r="G1317" s="37">
        <f t="shared" si="287"/>
        <v>0</v>
      </c>
      <c r="H1317" s="38">
        <f t="shared" si="288"/>
        <v>0</v>
      </c>
      <c r="I1317" s="37">
        <f t="shared" si="289"/>
        <v>0</v>
      </c>
      <c r="J1317" s="38">
        <v>0</v>
      </c>
      <c r="K1317" s="37">
        <f t="shared" si="290"/>
        <v>0</v>
      </c>
      <c r="L1317" s="38">
        <v>0</v>
      </c>
    </row>
    <row r="1318" spans="1:12" s="39" customFormat="1" ht="15.45" customHeight="1" outlineLevel="1" x14ac:dyDescent="0.25">
      <c r="A1318" s="33">
        <v>21</v>
      </c>
      <c r="B1318" s="34" t="s">
        <v>640</v>
      </c>
      <c r="C1318" s="35" t="s">
        <v>55</v>
      </c>
      <c r="D1318" s="36">
        <v>1</v>
      </c>
      <c r="E1318" s="36">
        <v>15.145</v>
      </c>
      <c r="F1318" s="36">
        <f t="shared" si="286"/>
        <v>15.145</v>
      </c>
      <c r="G1318" s="37">
        <f t="shared" si="287"/>
        <v>0</v>
      </c>
      <c r="H1318" s="38">
        <f t="shared" si="288"/>
        <v>0</v>
      </c>
      <c r="I1318" s="37">
        <f t="shared" si="289"/>
        <v>0</v>
      </c>
      <c r="J1318" s="38">
        <v>0</v>
      </c>
      <c r="K1318" s="37">
        <f t="shared" si="290"/>
        <v>0</v>
      </c>
      <c r="L1318" s="38">
        <v>0</v>
      </c>
    </row>
    <row r="1319" spans="1:12" s="39" customFormat="1" ht="15.45" customHeight="1" outlineLevel="1" x14ac:dyDescent="0.25">
      <c r="A1319" s="33">
        <v>22</v>
      </c>
      <c r="B1319" s="34" t="s">
        <v>938</v>
      </c>
      <c r="C1319" s="35" t="s">
        <v>55</v>
      </c>
      <c r="D1319" s="36">
        <v>1</v>
      </c>
      <c r="E1319" s="36">
        <v>1499.0083999999999</v>
      </c>
      <c r="F1319" s="36">
        <f t="shared" si="286"/>
        <v>1499.0083999999999</v>
      </c>
      <c r="G1319" s="37">
        <f t="shared" si="287"/>
        <v>0</v>
      </c>
      <c r="H1319" s="38">
        <f t="shared" si="288"/>
        <v>0</v>
      </c>
      <c r="I1319" s="37">
        <f t="shared" si="289"/>
        <v>0</v>
      </c>
      <c r="J1319" s="38">
        <v>0</v>
      </c>
      <c r="K1319" s="37">
        <f t="shared" si="290"/>
        <v>0</v>
      </c>
      <c r="L1319" s="38">
        <v>0</v>
      </c>
    </row>
    <row r="1320" spans="1:12" s="39" customFormat="1" ht="15.45" customHeight="1" outlineLevel="1" x14ac:dyDescent="0.25">
      <c r="A1320" s="33">
        <v>23</v>
      </c>
      <c r="B1320" s="34" t="s">
        <v>939</v>
      </c>
      <c r="C1320" s="35" t="s">
        <v>55</v>
      </c>
      <c r="D1320" s="36">
        <v>1</v>
      </c>
      <c r="E1320" s="36">
        <v>24.835000000000001</v>
      </c>
      <c r="F1320" s="36">
        <f t="shared" si="286"/>
        <v>24.835000000000001</v>
      </c>
      <c r="G1320" s="37">
        <f t="shared" si="287"/>
        <v>0</v>
      </c>
      <c r="H1320" s="38">
        <f t="shared" si="288"/>
        <v>0</v>
      </c>
      <c r="I1320" s="37">
        <f t="shared" si="289"/>
        <v>0</v>
      </c>
      <c r="J1320" s="38">
        <v>0</v>
      </c>
      <c r="K1320" s="37">
        <f t="shared" si="290"/>
        <v>0</v>
      </c>
      <c r="L1320" s="38">
        <v>0</v>
      </c>
    </row>
    <row r="1321" spans="1:12" s="39" customFormat="1" ht="15.45" customHeight="1" outlineLevel="1" x14ac:dyDescent="0.25">
      <c r="A1321" s="33">
        <v>24</v>
      </c>
      <c r="B1321" s="34" t="s">
        <v>940</v>
      </c>
      <c r="C1321" s="35" t="s">
        <v>30</v>
      </c>
      <c r="D1321" s="36">
        <v>0.49</v>
      </c>
      <c r="E1321" s="36">
        <v>3015.8932</v>
      </c>
      <c r="F1321" s="36">
        <f t="shared" si="286"/>
        <v>1477.7876679999999</v>
      </c>
      <c r="G1321" s="37">
        <f t="shared" si="287"/>
        <v>0</v>
      </c>
      <c r="H1321" s="38">
        <f t="shared" si="288"/>
        <v>0</v>
      </c>
      <c r="I1321" s="37">
        <f t="shared" si="289"/>
        <v>0</v>
      </c>
      <c r="J1321" s="38">
        <v>0</v>
      </c>
      <c r="K1321" s="37">
        <f t="shared" si="290"/>
        <v>0</v>
      </c>
      <c r="L1321" s="38">
        <v>0</v>
      </c>
    </row>
    <row r="1322" spans="1:12" s="39" customFormat="1" ht="15.45" customHeight="1" outlineLevel="1" x14ac:dyDescent="0.25">
      <c r="A1322" s="33">
        <v>25</v>
      </c>
      <c r="B1322" s="34" t="s">
        <v>941</v>
      </c>
      <c r="C1322" s="35" t="s">
        <v>66</v>
      </c>
      <c r="D1322" s="36">
        <v>1.26</v>
      </c>
      <c r="E1322" s="36">
        <v>160.08699999999999</v>
      </c>
      <c r="F1322" s="36">
        <f t="shared" si="286"/>
        <v>201.70962</v>
      </c>
      <c r="G1322" s="37">
        <f t="shared" si="287"/>
        <v>0</v>
      </c>
      <c r="H1322" s="38">
        <f t="shared" si="288"/>
        <v>0</v>
      </c>
      <c r="I1322" s="37">
        <f t="shared" si="289"/>
        <v>0</v>
      </c>
      <c r="J1322" s="38">
        <v>0</v>
      </c>
      <c r="K1322" s="37">
        <f t="shared" si="290"/>
        <v>0</v>
      </c>
      <c r="L1322" s="38">
        <v>0</v>
      </c>
    </row>
    <row r="1323" spans="1:12" s="45" customFormat="1" ht="43.5" customHeight="1" x14ac:dyDescent="0.3">
      <c r="A1323" s="33">
        <v>26</v>
      </c>
      <c r="B1323" s="34" t="s">
        <v>830</v>
      </c>
      <c r="C1323" s="35" t="s">
        <v>66</v>
      </c>
      <c r="D1323" s="36">
        <v>212.5</v>
      </c>
      <c r="E1323" s="36">
        <v>1.3814</v>
      </c>
      <c r="F1323" s="36">
        <f t="shared" si="286"/>
        <v>293.54750000000001</v>
      </c>
      <c r="G1323" s="37">
        <f t="shared" si="287"/>
        <v>0</v>
      </c>
      <c r="H1323" s="38">
        <f t="shared" si="288"/>
        <v>0</v>
      </c>
      <c r="I1323" s="37">
        <f t="shared" si="289"/>
        <v>0</v>
      </c>
      <c r="J1323" s="38">
        <v>0</v>
      </c>
      <c r="K1323" s="37">
        <f t="shared" si="290"/>
        <v>0</v>
      </c>
      <c r="L1323" s="38">
        <v>0</v>
      </c>
    </row>
    <row r="1324" spans="1:12" s="39" customFormat="1" ht="28.95" customHeight="1" outlineLevel="1" x14ac:dyDescent="0.25">
      <c r="A1324" s="33">
        <v>27</v>
      </c>
      <c r="B1324" s="34" t="s">
        <v>906</v>
      </c>
      <c r="C1324" s="35" t="s">
        <v>66</v>
      </c>
      <c r="D1324" s="36">
        <v>37.5</v>
      </c>
      <c r="E1324" s="36">
        <v>22.132000000000009</v>
      </c>
      <c r="F1324" s="36">
        <f t="shared" si="286"/>
        <v>829.95000000000027</v>
      </c>
      <c r="G1324" s="37">
        <f t="shared" si="287"/>
        <v>0</v>
      </c>
      <c r="H1324" s="38">
        <f t="shared" si="288"/>
        <v>0</v>
      </c>
      <c r="I1324" s="37">
        <f t="shared" si="289"/>
        <v>0</v>
      </c>
      <c r="J1324" s="38">
        <v>0</v>
      </c>
      <c r="K1324" s="37">
        <f t="shared" si="290"/>
        <v>0</v>
      </c>
      <c r="L1324" s="38">
        <v>0</v>
      </c>
    </row>
    <row r="1325" spans="1:12" s="39" customFormat="1" ht="43.5" customHeight="1" outlineLevel="1" x14ac:dyDescent="0.25">
      <c r="A1325" s="33">
        <v>28</v>
      </c>
      <c r="B1325" s="34" t="s">
        <v>766</v>
      </c>
      <c r="C1325" s="35" t="s">
        <v>66</v>
      </c>
      <c r="D1325" s="36">
        <v>220.5</v>
      </c>
      <c r="E1325" s="36">
        <v>0.9</v>
      </c>
      <c r="F1325" s="36">
        <f t="shared" si="286"/>
        <v>198.45000000000002</v>
      </c>
      <c r="G1325" s="37">
        <f t="shared" si="287"/>
        <v>0</v>
      </c>
      <c r="H1325" s="38">
        <f t="shared" si="288"/>
        <v>0</v>
      </c>
      <c r="I1325" s="37">
        <f t="shared" si="289"/>
        <v>0</v>
      </c>
      <c r="J1325" s="38">
        <v>0</v>
      </c>
      <c r="K1325" s="37">
        <f t="shared" si="290"/>
        <v>0</v>
      </c>
      <c r="L1325" s="38">
        <v>0</v>
      </c>
    </row>
    <row r="1326" spans="1:12" s="39" customFormat="1" ht="28.95" customHeight="1" outlineLevel="1" x14ac:dyDescent="0.25">
      <c r="A1326" s="33">
        <v>29</v>
      </c>
      <c r="B1326" s="34" t="s">
        <v>316</v>
      </c>
      <c r="C1326" s="35" t="s">
        <v>66</v>
      </c>
      <c r="D1326" s="36">
        <v>24.5</v>
      </c>
      <c r="E1326" s="36">
        <v>8.16</v>
      </c>
      <c r="F1326" s="36">
        <f t="shared" si="286"/>
        <v>199.92000000000002</v>
      </c>
      <c r="G1326" s="37">
        <f t="shared" si="287"/>
        <v>0</v>
      </c>
      <c r="H1326" s="38">
        <f t="shared" si="288"/>
        <v>0</v>
      </c>
      <c r="I1326" s="37">
        <f t="shared" si="289"/>
        <v>0</v>
      </c>
      <c r="J1326" s="38">
        <v>0</v>
      </c>
      <c r="K1326" s="37">
        <f t="shared" si="290"/>
        <v>0</v>
      </c>
      <c r="L1326" s="38">
        <v>0</v>
      </c>
    </row>
    <row r="1327" spans="1:12" s="39" customFormat="1" ht="28.95" customHeight="1" outlineLevel="1" x14ac:dyDescent="0.25">
      <c r="A1327" s="33">
        <v>30</v>
      </c>
      <c r="B1327" s="34" t="s">
        <v>234</v>
      </c>
      <c r="C1327" s="35" t="s">
        <v>66</v>
      </c>
      <c r="D1327" s="36">
        <v>220.5</v>
      </c>
      <c r="E1327" s="36">
        <v>2</v>
      </c>
      <c r="F1327" s="36">
        <f t="shared" si="286"/>
        <v>441</v>
      </c>
      <c r="G1327" s="37">
        <f t="shared" si="287"/>
        <v>0</v>
      </c>
      <c r="H1327" s="38">
        <f t="shared" si="288"/>
        <v>0</v>
      </c>
      <c r="I1327" s="37">
        <f t="shared" si="289"/>
        <v>0</v>
      </c>
      <c r="J1327" s="38">
        <v>0</v>
      </c>
      <c r="K1327" s="37">
        <f t="shared" si="290"/>
        <v>0</v>
      </c>
      <c r="L1327" s="38">
        <v>0</v>
      </c>
    </row>
    <row r="1328" spans="1:12" s="39" customFormat="1" ht="15.45" customHeight="1" outlineLevel="1" x14ac:dyDescent="0.25">
      <c r="A1328" s="31" t="s">
        <v>942</v>
      </c>
      <c r="B1328" s="40" t="s">
        <v>943</v>
      </c>
      <c r="C1328" s="41">
        <v>0</v>
      </c>
      <c r="D1328" s="42"/>
      <c r="E1328" s="42"/>
      <c r="F1328" s="42"/>
      <c r="G1328" s="43"/>
      <c r="H1328" s="44"/>
      <c r="I1328" s="43"/>
      <c r="J1328" s="44"/>
      <c r="K1328" s="43"/>
      <c r="L1328" s="44">
        <v>0</v>
      </c>
    </row>
    <row r="1329" spans="1:12" s="39" customFormat="1" ht="43.5" customHeight="1" outlineLevel="1" x14ac:dyDescent="0.25">
      <c r="A1329" s="33">
        <v>1</v>
      </c>
      <c r="B1329" s="34" t="s">
        <v>830</v>
      </c>
      <c r="C1329" s="35" t="s">
        <v>66</v>
      </c>
      <c r="D1329" s="36">
        <v>113</v>
      </c>
      <c r="E1329" s="36">
        <v>0.88466</v>
      </c>
      <c r="F1329" s="36">
        <f t="shared" ref="F1329:F1336" si="291">+E1329*D1329</f>
        <v>99.966579999999993</v>
      </c>
      <c r="G1329" s="37">
        <f t="shared" ref="G1329:H1336" si="292">I1329+K1329</f>
        <v>0</v>
      </c>
      <c r="H1329" s="38">
        <f t="shared" si="292"/>
        <v>0</v>
      </c>
      <c r="I1329" s="37">
        <f t="shared" ref="I1329:I1336" si="293">J1329/F1329</f>
        <v>0</v>
      </c>
      <c r="J1329" s="38">
        <v>0</v>
      </c>
      <c r="K1329" s="37">
        <f t="shared" ref="K1329:K1336" si="294">L1329/F1329</f>
        <v>0</v>
      </c>
      <c r="L1329" s="38">
        <v>0</v>
      </c>
    </row>
    <row r="1330" spans="1:12" s="39" customFormat="1" ht="28.95" customHeight="1" outlineLevel="1" x14ac:dyDescent="0.25">
      <c r="A1330" s="33">
        <v>2</v>
      </c>
      <c r="B1330" s="34" t="s">
        <v>765</v>
      </c>
      <c r="C1330" s="35" t="s">
        <v>66</v>
      </c>
      <c r="D1330" s="36">
        <v>4</v>
      </c>
      <c r="E1330" s="36">
        <v>8.9600000000000009</v>
      </c>
      <c r="F1330" s="36">
        <f t="shared" si="291"/>
        <v>35.840000000000003</v>
      </c>
      <c r="G1330" s="37">
        <f t="shared" si="292"/>
        <v>0</v>
      </c>
      <c r="H1330" s="38">
        <f t="shared" si="292"/>
        <v>0</v>
      </c>
      <c r="I1330" s="37">
        <f t="shared" si="293"/>
        <v>0</v>
      </c>
      <c r="J1330" s="38">
        <v>0</v>
      </c>
      <c r="K1330" s="37">
        <f t="shared" si="294"/>
        <v>0</v>
      </c>
      <c r="L1330" s="38">
        <v>0</v>
      </c>
    </row>
    <row r="1331" spans="1:12" s="39" customFormat="1" ht="43.5" customHeight="1" outlineLevel="1" x14ac:dyDescent="0.25">
      <c r="A1331" s="33">
        <v>3</v>
      </c>
      <c r="B1331" s="34" t="s">
        <v>766</v>
      </c>
      <c r="C1331" s="35" t="s">
        <v>66</v>
      </c>
      <c r="D1331" s="36">
        <v>35</v>
      </c>
      <c r="E1331" s="36">
        <v>0.9</v>
      </c>
      <c r="F1331" s="36">
        <f t="shared" si="291"/>
        <v>31.5</v>
      </c>
      <c r="G1331" s="37">
        <f t="shared" si="292"/>
        <v>0</v>
      </c>
      <c r="H1331" s="38">
        <f t="shared" si="292"/>
        <v>0</v>
      </c>
      <c r="I1331" s="37">
        <f t="shared" si="293"/>
        <v>0</v>
      </c>
      <c r="J1331" s="38">
        <v>0</v>
      </c>
      <c r="K1331" s="37">
        <f t="shared" si="294"/>
        <v>0</v>
      </c>
      <c r="L1331" s="38">
        <v>0</v>
      </c>
    </row>
    <row r="1332" spans="1:12" s="46" customFormat="1" ht="28.95" customHeight="1" outlineLevel="1" x14ac:dyDescent="0.35">
      <c r="A1332" s="33">
        <v>4</v>
      </c>
      <c r="B1332" s="34" t="s">
        <v>316</v>
      </c>
      <c r="C1332" s="35" t="s">
        <v>66</v>
      </c>
      <c r="D1332" s="36">
        <v>11</v>
      </c>
      <c r="E1332" s="36">
        <v>8.16</v>
      </c>
      <c r="F1332" s="36">
        <f t="shared" si="291"/>
        <v>89.76</v>
      </c>
      <c r="G1332" s="37">
        <f t="shared" si="292"/>
        <v>0</v>
      </c>
      <c r="H1332" s="38">
        <f t="shared" si="292"/>
        <v>0</v>
      </c>
      <c r="I1332" s="37">
        <f t="shared" si="293"/>
        <v>0</v>
      </c>
      <c r="J1332" s="38">
        <v>0</v>
      </c>
      <c r="K1332" s="37">
        <f t="shared" si="294"/>
        <v>0</v>
      </c>
      <c r="L1332" s="38">
        <v>0</v>
      </c>
    </row>
    <row r="1333" spans="1:12" s="39" customFormat="1" ht="28.95" customHeight="1" outlineLevel="1" x14ac:dyDescent="0.25">
      <c r="A1333" s="33">
        <v>5</v>
      </c>
      <c r="B1333" s="34" t="s">
        <v>234</v>
      </c>
      <c r="C1333" s="35" t="s">
        <v>66</v>
      </c>
      <c r="D1333" s="36">
        <v>35</v>
      </c>
      <c r="E1333" s="36">
        <v>2</v>
      </c>
      <c r="F1333" s="36">
        <f t="shared" si="291"/>
        <v>70</v>
      </c>
      <c r="G1333" s="37">
        <f t="shared" si="292"/>
        <v>0</v>
      </c>
      <c r="H1333" s="38">
        <f t="shared" si="292"/>
        <v>0</v>
      </c>
      <c r="I1333" s="37">
        <f t="shared" si="293"/>
        <v>0</v>
      </c>
      <c r="J1333" s="38">
        <v>0</v>
      </c>
      <c r="K1333" s="37">
        <f t="shared" si="294"/>
        <v>0</v>
      </c>
      <c r="L1333" s="38">
        <v>0</v>
      </c>
    </row>
    <row r="1334" spans="1:12" s="39" customFormat="1" ht="43.5" customHeight="1" outlineLevel="1" x14ac:dyDescent="0.25">
      <c r="A1334" s="33">
        <v>6</v>
      </c>
      <c r="B1334" s="34" t="s">
        <v>944</v>
      </c>
      <c r="C1334" s="35" t="s">
        <v>66</v>
      </c>
      <c r="D1334" s="36">
        <v>69</v>
      </c>
      <c r="E1334" s="36">
        <v>0.86834000000000011</v>
      </c>
      <c r="F1334" s="36">
        <f t="shared" si="291"/>
        <v>59.91546000000001</v>
      </c>
      <c r="G1334" s="37">
        <f t="shared" si="292"/>
        <v>0</v>
      </c>
      <c r="H1334" s="38">
        <f t="shared" si="292"/>
        <v>0</v>
      </c>
      <c r="I1334" s="37">
        <f t="shared" si="293"/>
        <v>0</v>
      </c>
      <c r="J1334" s="38">
        <v>0</v>
      </c>
      <c r="K1334" s="37">
        <f t="shared" si="294"/>
        <v>0</v>
      </c>
      <c r="L1334" s="38">
        <v>0</v>
      </c>
    </row>
    <row r="1335" spans="1:12" s="39" customFormat="1" ht="15.45" customHeight="1" outlineLevel="1" x14ac:dyDescent="0.25">
      <c r="A1335" s="33">
        <v>7</v>
      </c>
      <c r="B1335" s="34" t="s">
        <v>225</v>
      </c>
      <c r="C1335" s="35" t="s">
        <v>30</v>
      </c>
      <c r="D1335" s="36">
        <v>124.2</v>
      </c>
      <c r="E1335" s="36">
        <v>1.63</v>
      </c>
      <c r="F1335" s="36">
        <f t="shared" si="291"/>
        <v>202.446</v>
      </c>
      <c r="G1335" s="37">
        <f t="shared" si="292"/>
        <v>0</v>
      </c>
      <c r="H1335" s="38">
        <f t="shared" si="292"/>
        <v>0</v>
      </c>
      <c r="I1335" s="37">
        <f t="shared" si="293"/>
        <v>0</v>
      </c>
      <c r="J1335" s="38">
        <v>0</v>
      </c>
      <c r="K1335" s="37">
        <f t="shared" si="294"/>
        <v>0</v>
      </c>
      <c r="L1335" s="38">
        <v>0</v>
      </c>
    </row>
    <row r="1336" spans="1:12" s="39" customFormat="1" ht="28.95" customHeight="1" outlineLevel="1" x14ac:dyDescent="0.25">
      <c r="A1336" s="33">
        <v>8</v>
      </c>
      <c r="B1336" s="34" t="s">
        <v>226</v>
      </c>
      <c r="C1336" s="35" t="s">
        <v>66</v>
      </c>
      <c r="D1336" s="36">
        <v>69</v>
      </c>
      <c r="E1336" s="36">
        <v>0.90200000000000002</v>
      </c>
      <c r="F1336" s="36">
        <f t="shared" si="291"/>
        <v>62.238</v>
      </c>
      <c r="G1336" s="37">
        <f t="shared" si="292"/>
        <v>0</v>
      </c>
      <c r="H1336" s="38">
        <f t="shared" si="292"/>
        <v>0</v>
      </c>
      <c r="I1336" s="37">
        <f t="shared" si="293"/>
        <v>0</v>
      </c>
      <c r="J1336" s="38">
        <v>0</v>
      </c>
      <c r="K1336" s="37">
        <f t="shared" si="294"/>
        <v>0</v>
      </c>
      <c r="L1336" s="38">
        <v>0</v>
      </c>
    </row>
    <row r="1337" spans="1:12" s="39" customFormat="1" ht="15.45" customHeight="1" outlineLevel="1" x14ac:dyDescent="0.25">
      <c r="A1337" s="31" t="s">
        <v>945</v>
      </c>
      <c r="B1337" s="40" t="s">
        <v>946</v>
      </c>
      <c r="C1337" s="41">
        <v>0</v>
      </c>
      <c r="D1337" s="42"/>
      <c r="E1337" s="42"/>
      <c r="F1337" s="42"/>
      <c r="G1337" s="43"/>
      <c r="H1337" s="44"/>
      <c r="I1337" s="43"/>
      <c r="J1337" s="44"/>
      <c r="K1337" s="43"/>
      <c r="L1337" s="44">
        <v>0</v>
      </c>
    </row>
    <row r="1338" spans="1:12" s="39" customFormat="1" ht="15.45" customHeight="1" outlineLevel="1" x14ac:dyDescent="0.25">
      <c r="A1338" s="33">
        <v>1</v>
      </c>
      <c r="B1338" s="34" t="s">
        <v>41</v>
      </c>
      <c r="C1338" s="35" t="s">
        <v>66</v>
      </c>
      <c r="D1338" s="36">
        <v>3.2</v>
      </c>
      <c r="E1338" s="36">
        <v>36.616</v>
      </c>
      <c r="F1338" s="36">
        <f t="shared" ref="F1338:F1349" si="295">+E1338*D1338</f>
        <v>117.1712</v>
      </c>
      <c r="G1338" s="37">
        <f t="shared" ref="G1338:G1349" si="296">I1338+K1338</f>
        <v>0</v>
      </c>
      <c r="H1338" s="38">
        <f t="shared" ref="H1338:H1349" si="297">J1338+L1338</f>
        <v>0</v>
      </c>
      <c r="I1338" s="37">
        <f t="shared" ref="I1338:I1349" si="298">J1338/F1338</f>
        <v>0</v>
      </c>
      <c r="J1338" s="38">
        <v>0</v>
      </c>
      <c r="K1338" s="37">
        <f t="shared" ref="K1338:K1349" si="299">L1338/F1338</f>
        <v>0</v>
      </c>
      <c r="L1338" s="38">
        <v>0</v>
      </c>
    </row>
    <row r="1339" spans="1:12" s="46" customFormat="1" ht="15.45" customHeight="1" outlineLevel="1" x14ac:dyDescent="0.35">
      <c r="A1339" s="33">
        <v>2</v>
      </c>
      <c r="B1339" s="34" t="s">
        <v>833</v>
      </c>
      <c r="C1339" s="35" t="s">
        <v>66</v>
      </c>
      <c r="D1339" s="36">
        <v>1.4</v>
      </c>
      <c r="E1339" s="36">
        <v>99.24</v>
      </c>
      <c r="F1339" s="36">
        <f t="shared" si="295"/>
        <v>138.93599999999998</v>
      </c>
      <c r="G1339" s="37">
        <f t="shared" si="296"/>
        <v>0</v>
      </c>
      <c r="H1339" s="38">
        <f t="shared" si="297"/>
        <v>0</v>
      </c>
      <c r="I1339" s="37">
        <f t="shared" si="298"/>
        <v>0</v>
      </c>
      <c r="J1339" s="38">
        <v>0</v>
      </c>
      <c r="K1339" s="37">
        <f t="shared" si="299"/>
        <v>0</v>
      </c>
      <c r="L1339" s="38">
        <v>0</v>
      </c>
    </row>
    <row r="1340" spans="1:12" s="39" customFormat="1" ht="15.45" customHeight="1" outlineLevel="1" x14ac:dyDescent="0.25">
      <c r="A1340" s="33">
        <v>3</v>
      </c>
      <c r="B1340" s="34" t="s">
        <v>947</v>
      </c>
      <c r="C1340" s="35" t="s">
        <v>66</v>
      </c>
      <c r="D1340" s="36">
        <v>14</v>
      </c>
      <c r="E1340" s="36">
        <v>226.6318</v>
      </c>
      <c r="F1340" s="36">
        <f t="shared" si="295"/>
        <v>3172.8451999999997</v>
      </c>
      <c r="G1340" s="37">
        <f t="shared" si="296"/>
        <v>0</v>
      </c>
      <c r="H1340" s="38">
        <f t="shared" si="297"/>
        <v>0</v>
      </c>
      <c r="I1340" s="37">
        <f t="shared" si="298"/>
        <v>0</v>
      </c>
      <c r="J1340" s="38">
        <v>0</v>
      </c>
      <c r="K1340" s="37">
        <f t="shared" si="299"/>
        <v>0</v>
      </c>
      <c r="L1340" s="38">
        <v>0</v>
      </c>
    </row>
    <row r="1341" spans="1:12" s="39" customFormat="1" ht="15.45" customHeight="1" outlineLevel="1" x14ac:dyDescent="0.25">
      <c r="A1341" s="33">
        <v>4</v>
      </c>
      <c r="B1341" s="34" t="s">
        <v>835</v>
      </c>
      <c r="C1341" s="35" t="s">
        <v>30</v>
      </c>
      <c r="D1341" s="36">
        <v>3.7999999999999999E-2</v>
      </c>
      <c r="E1341" s="36">
        <v>1325.1</v>
      </c>
      <c r="F1341" s="36">
        <f t="shared" si="295"/>
        <v>50.353799999999993</v>
      </c>
      <c r="G1341" s="37">
        <f t="shared" si="296"/>
        <v>0</v>
      </c>
      <c r="H1341" s="38">
        <f t="shared" si="297"/>
        <v>0</v>
      </c>
      <c r="I1341" s="37">
        <f t="shared" si="298"/>
        <v>0</v>
      </c>
      <c r="J1341" s="38">
        <v>0</v>
      </c>
      <c r="K1341" s="37">
        <f t="shared" si="299"/>
        <v>0</v>
      </c>
      <c r="L1341" s="38">
        <v>0</v>
      </c>
    </row>
    <row r="1342" spans="1:12" s="39" customFormat="1" ht="15.45" customHeight="1" outlineLevel="1" x14ac:dyDescent="0.25">
      <c r="A1342" s="33">
        <v>5</v>
      </c>
      <c r="B1342" s="34" t="s">
        <v>836</v>
      </c>
      <c r="C1342" s="35" t="s">
        <v>30</v>
      </c>
      <c r="D1342" s="36">
        <v>1.0449999999999999</v>
      </c>
      <c r="E1342" s="36">
        <v>1200.0999999999999</v>
      </c>
      <c r="F1342" s="36">
        <f t="shared" si="295"/>
        <v>1254.1044999999999</v>
      </c>
      <c r="G1342" s="37">
        <f t="shared" si="296"/>
        <v>0</v>
      </c>
      <c r="H1342" s="38">
        <f t="shared" si="297"/>
        <v>0</v>
      </c>
      <c r="I1342" s="37">
        <f t="shared" si="298"/>
        <v>0</v>
      </c>
      <c r="J1342" s="38">
        <v>0</v>
      </c>
      <c r="K1342" s="37">
        <f t="shared" si="299"/>
        <v>0</v>
      </c>
      <c r="L1342" s="38">
        <v>0</v>
      </c>
    </row>
    <row r="1343" spans="1:12" s="39" customFormat="1" ht="28.95" customHeight="1" outlineLevel="1" x14ac:dyDescent="0.25">
      <c r="A1343" s="33">
        <v>6</v>
      </c>
      <c r="B1343" s="34" t="s">
        <v>771</v>
      </c>
      <c r="C1343" s="35" t="s">
        <v>106</v>
      </c>
      <c r="D1343" s="36">
        <v>21.1</v>
      </c>
      <c r="E1343" s="36">
        <v>52.936000000000007</v>
      </c>
      <c r="F1343" s="36">
        <f t="shared" si="295"/>
        <v>1116.9496000000001</v>
      </c>
      <c r="G1343" s="37">
        <f t="shared" si="296"/>
        <v>0</v>
      </c>
      <c r="H1343" s="38">
        <f t="shared" si="297"/>
        <v>0</v>
      </c>
      <c r="I1343" s="37">
        <f t="shared" si="298"/>
        <v>0</v>
      </c>
      <c r="J1343" s="38">
        <v>0</v>
      </c>
      <c r="K1343" s="37">
        <f t="shared" si="299"/>
        <v>0</v>
      </c>
      <c r="L1343" s="38">
        <v>0</v>
      </c>
    </row>
    <row r="1344" spans="1:12" s="39" customFormat="1" ht="28.95" customHeight="1" outlineLevel="1" x14ac:dyDescent="0.25">
      <c r="A1344" s="33">
        <v>7</v>
      </c>
      <c r="B1344" s="34" t="s">
        <v>948</v>
      </c>
      <c r="C1344" s="35" t="s">
        <v>106</v>
      </c>
      <c r="D1344" s="36">
        <v>21.1</v>
      </c>
      <c r="E1344" s="36">
        <v>10.8202</v>
      </c>
      <c r="F1344" s="36">
        <f t="shared" si="295"/>
        <v>228.30622000000002</v>
      </c>
      <c r="G1344" s="37">
        <f t="shared" si="296"/>
        <v>0</v>
      </c>
      <c r="H1344" s="38">
        <f t="shared" si="297"/>
        <v>0</v>
      </c>
      <c r="I1344" s="37">
        <f t="shared" si="298"/>
        <v>0</v>
      </c>
      <c r="J1344" s="38">
        <v>0</v>
      </c>
      <c r="K1344" s="37">
        <f t="shared" si="299"/>
        <v>0</v>
      </c>
      <c r="L1344" s="38">
        <v>0</v>
      </c>
    </row>
    <row r="1345" spans="1:12" s="39" customFormat="1" ht="28.95" customHeight="1" outlineLevel="1" x14ac:dyDescent="0.25">
      <c r="A1345" s="33">
        <v>8</v>
      </c>
      <c r="B1345" s="34" t="s">
        <v>949</v>
      </c>
      <c r="C1345" s="35" t="s">
        <v>106</v>
      </c>
      <c r="D1345" s="36">
        <v>37.1</v>
      </c>
      <c r="E1345" s="36">
        <v>12.1258</v>
      </c>
      <c r="F1345" s="36">
        <f t="shared" si="295"/>
        <v>449.86718000000002</v>
      </c>
      <c r="G1345" s="37">
        <f t="shared" si="296"/>
        <v>0</v>
      </c>
      <c r="H1345" s="38">
        <f t="shared" si="297"/>
        <v>0</v>
      </c>
      <c r="I1345" s="37">
        <f t="shared" si="298"/>
        <v>0</v>
      </c>
      <c r="J1345" s="38">
        <v>0</v>
      </c>
      <c r="K1345" s="37">
        <f t="shared" si="299"/>
        <v>0</v>
      </c>
      <c r="L1345" s="38">
        <v>0</v>
      </c>
    </row>
    <row r="1346" spans="1:12" s="39" customFormat="1" ht="15.45" customHeight="1" outlineLevel="1" x14ac:dyDescent="0.25">
      <c r="A1346" s="33">
        <v>9</v>
      </c>
      <c r="B1346" s="34" t="s">
        <v>950</v>
      </c>
      <c r="C1346" s="35" t="s">
        <v>66</v>
      </c>
      <c r="D1346" s="36">
        <v>2.02</v>
      </c>
      <c r="E1346" s="36">
        <v>36.616</v>
      </c>
      <c r="F1346" s="36">
        <f t="shared" si="295"/>
        <v>73.964320000000001</v>
      </c>
      <c r="G1346" s="37">
        <f t="shared" si="296"/>
        <v>0</v>
      </c>
      <c r="H1346" s="38">
        <f t="shared" si="297"/>
        <v>0</v>
      </c>
      <c r="I1346" s="37">
        <f t="shared" si="298"/>
        <v>0</v>
      </c>
      <c r="J1346" s="38">
        <v>0</v>
      </c>
      <c r="K1346" s="37">
        <f t="shared" si="299"/>
        <v>0</v>
      </c>
      <c r="L1346" s="38">
        <v>0</v>
      </c>
    </row>
    <row r="1347" spans="1:12" s="39" customFormat="1" ht="15.45" customHeight="1" outlineLevel="1" x14ac:dyDescent="0.25">
      <c r="A1347" s="33">
        <v>10</v>
      </c>
      <c r="B1347" s="34" t="s">
        <v>951</v>
      </c>
      <c r="C1347" s="35" t="s">
        <v>66</v>
      </c>
      <c r="D1347" s="36">
        <v>2.02</v>
      </c>
      <c r="E1347" s="36">
        <v>105.8638</v>
      </c>
      <c r="F1347" s="36">
        <f t="shared" si="295"/>
        <v>213.844876</v>
      </c>
      <c r="G1347" s="37">
        <f t="shared" si="296"/>
        <v>0</v>
      </c>
      <c r="H1347" s="38">
        <f t="shared" si="297"/>
        <v>0</v>
      </c>
      <c r="I1347" s="37">
        <f t="shared" si="298"/>
        <v>0</v>
      </c>
      <c r="J1347" s="38">
        <v>0</v>
      </c>
      <c r="K1347" s="37">
        <f t="shared" si="299"/>
        <v>0</v>
      </c>
      <c r="L1347" s="38">
        <v>0</v>
      </c>
    </row>
    <row r="1348" spans="1:12" s="39" customFormat="1" ht="28.95" customHeight="1" outlineLevel="1" x14ac:dyDescent="0.25">
      <c r="A1348" s="33">
        <v>11</v>
      </c>
      <c r="B1348" s="34" t="s">
        <v>952</v>
      </c>
      <c r="C1348" s="35" t="s">
        <v>66</v>
      </c>
      <c r="D1348" s="36">
        <v>1.1499999999999999</v>
      </c>
      <c r="E1348" s="36">
        <v>147.08199999999999</v>
      </c>
      <c r="F1348" s="36">
        <f t="shared" si="295"/>
        <v>169.14429999999999</v>
      </c>
      <c r="G1348" s="37">
        <f t="shared" si="296"/>
        <v>0</v>
      </c>
      <c r="H1348" s="38">
        <f t="shared" si="297"/>
        <v>0</v>
      </c>
      <c r="I1348" s="37">
        <f t="shared" si="298"/>
        <v>0</v>
      </c>
      <c r="J1348" s="38">
        <v>0</v>
      </c>
      <c r="K1348" s="37">
        <f t="shared" si="299"/>
        <v>0</v>
      </c>
      <c r="L1348" s="38">
        <v>0</v>
      </c>
    </row>
    <row r="1349" spans="1:12" s="39" customFormat="1" ht="15.45" customHeight="1" outlineLevel="1" x14ac:dyDescent="0.25">
      <c r="A1349" s="33">
        <v>12</v>
      </c>
      <c r="B1349" s="34" t="s">
        <v>46</v>
      </c>
      <c r="C1349" s="35" t="s">
        <v>30</v>
      </c>
      <c r="D1349" s="36">
        <v>1.2999999999999999E-2</v>
      </c>
      <c r="E1349" s="36">
        <v>1200.0999999999999</v>
      </c>
      <c r="F1349" s="36">
        <f t="shared" si="295"/>
        <v>15.601299999999998</v>
      </c>
      <c r="G1349" s="37">
        <f t="shared" si="296"/>
        <v>0</v>
      </c>
      <c r="H1349" s="38">
        <f t="shared" si="297"/>
        <v>0</v>
      </c>
      <c r="I1349" s="37">
        <f t="shared" si="298"/>
        <v>0</v>
      </c>
      <c r="J1349" s="38">
        <v>0</v>
      </c>
      <c r="K1349" s="37">
        <f t="shared" si="299"/>
        <v>0</v>
      </c>
      <c r="L1349" s="38">
        <v>0</v>
      </c>
    </row>
    <row r="1350" spans="1:12" s="39" customFormat="1" ht="15.45" customHeight="1" outlineLevel="1" x14ac:dyDescent="0.25">
      <c r="A1350" s="31" t="s">
        <v>953</v>
      </c>
      <c r="B1350" s="40" t="s">
        <v>954</v>
      </c>
      <c r="C1350" s="41">
        <v>0</v>
      </c>
      <c r="D1350" s="42"/>
      <c r="E1350" s="42"/>
      <c r="F1350" s="42"/>
      <c r="G1350" s="43"/>
      <c r="H1350" s="44"/>
      <c r="I1350" s="43"/>
      <c r="J1350" s="44"/>
      <c r="K1350" s="43"/>
      <c r="L1350" s="44">
        <v>0</v>
      </c>
    </row>
    <row r="1351" spans="1:12" s="39" customFormat="1" ht="28.95" customHeight="1" outlineLevel="1" x14ac:dyDescent="0.25">
      <c r="A1351" s="33">
        <v>1</v>
      </c>
      <c r="B1351" s="34" t="s">
        <v>775</v>
      </c>
      <c r="C1351" s="35" t="s">
        <v>66</v>
      </c>
      <c r="D1351" s="36">
        <v>1.26</v>
      </c>
      <c r="E1351" s="36">
        <v>271.50400000000002</v>
      </c>
      <c r="F1351" s="36">
        <f t="shared" ref="F1351:F1359" si="300">+E1351*D1351</f>
        <v>342.09504000000004</v>
      </c>
      <c r="G1351" s="37">
        <f t="shared" ref="G1351:G1359" si="301">I1351+K1351</f>
        <v>0</v>
      </c>
      <c r="H1351" s="38">
        <f t="shared" ref="H1351:H1359" si="302">J1351+L1351</f>
        <v>0</v>
      </c>
      <c r="I1351" s="37">
        <f t="shared" ref="I1351:I1359" si="303">J1351/F1351</f>
        <v>0</v>
      </c>
      <c r="J1351" s="38">
        <v>0</v>
      </c>
      <c r="K1351" s="37">
        <f t="shared" ref="K1351:K1359" si="304">L1351/F1351</f>
        <v>0</v>
      </c>
      <c r="L1351" s="38">
        <v>0</v>
      </c>
    </row>
    <row r="1352" spans="1:12" s="39" customFormat="1" ht="15.45" customHeight="1" outlineLevel="1" x14ac:dyDescent="0.25">
      <c r="A1352" s="33">
        <v>2</v>
      </c>
      <c r="B1352" s="34" t="s">
        <v>45</v>
      </c>
      <c r="C1352" s="35" t="s">
        <v>30</v>
      </c>
      <c r="D1352" s="36">
        <v>5.2999999999999999E-2</v>
      </c>
      <c r="E1352" s="36">
        <v>1325.1</v>
      </c>
      <c r="F1352" s="36">
        <f t="shared" si="300"/>
        <v>70.2303</v>
      </c>
      <c r="G1352" s="37">
        <f t="shared" si="301"/>
        <v>0</v>
      </c>
      <c r="H1352" s="38">
        <f t="shared" si="302"/>
        <v>0</v>
      </c>
      <c r="I1352" s="37">
        <f t="shared" si="303"/>
        <v>0</v>
      </c>
      <c r="J1352" s="38">
        <v>0</v>
      </c>
      <c r="K1352" s="37">
        <f t="shared" si="304"/>
        <v>0</v>
      </c>
      <c r="L1352" s="38">
        <v>0</v>
      </c>
    </row>
    <row r="1353" spans="1:12" s="39" customFormat="1" ht="15.45" customHeight="1" outlineLevel="1" x14ac:dyDescent="0.25">
      <c r="A1353" s="33">
        <v>3</v>
      </c>
      <c r="B1353" s="34" t="s">
        <v>46</v>
      </c>
      <c r="C1353" s="35" t="s">
        <v>30</v>
      </c>
      <c r="D1353" s="36">
        <v>0.08</v>
      </c>
      <c r="E1353" s="36">
        <v>1200.0999999999999</v>
      </c>
      <c r="F1353" s="36">
        <f t="shared" si="300"/>
        <v>96.007999999999996</v>
      </c>
      <c r="G1353" s="37">
        <f t="shared" si="301"/>
        <v>0</v>
      </c>
      <c r="H1353" s="38">
        <f t="shared" si="302"/>
        <v>0</v>
      </c>
      <c r="I1353" s="37">
        <f t="shared" si="303"/>
        <v>0</v>
      </c>
      <c r="J1353" s="38">
        <v>0</v>
      </c>
      <c r="K1353" s="37">
        <f t="shared" si="304"/>
        <v>0</v>
      </c>
      <c r="L1353" s="38">
        <v>0</v>
      </c>
    </row>
    <row r="1354" spans="1:12" s="39" customFormat="1" ht="28.95" customHeight="1" outlineLevel="1" x14ac:dyDescent="0.25">
      <c r="A1354" s="33">
        <v>4</v>
      </c>
      <c r="B1354" s="34" t="s">
        <v>843</v>
      </c>
      <c r="C1354" s="35" t="s">
        <v>66</v>
      </c>
      <c r="D1354" s="36">
        <v>4.2300000000000004</v>
      </c>
      <c r="E1354" s="36">
        <v>280</v>
      </c>
      <c r="F1354" s="36">
        <f t="shared" si="300"/>
        <v>1184.4000000000001</v>
      </c>
      <c r="G1354" s="37">
        <f t="shared" si="301"/>
        <v>0</v>
      </c>
      <c r="H1354" s="38">
        <f t="shared" si="302"/>
        <v>0</v>
      </c>
      <c r="I1354" s="37">
        <f t="shared" si="303"/>
        <v>0</v>
      </c>
      <c r="J1354" s="38">
        <v>0</v>
      </c>
      <c r="K1354" s="37">
        <f t="shared" si="304"/>
        <v>0</v>
      </c>
      <c r="L1354" s="38">
        <v>0</v>
      </c>
    </row>
    <row r="1355" spans="1:12" s="39" customFormat="1" ht="15.45" customHeight="1" outlineLevel="1" x14ac:dyDescent="0.25">
      <c r="A1355" s="33">
        <v>5</v>
      </c>
      <c r="B1355" s="34" t="s">
        <v>45</v>
      </c>
      <c r="C1355" s="35" t="s">
        <v>30</v>
      </c>
      <c r="D1355" s="36">
        <v>3.5999999999999997E-2</v>
      </c>
      <c r="E1355" s="36">
        <v>1325.1</v>
      </c>
      <c r="F1355" s="36">
        <f t="shared" si="300"/>
        <v>47.703599999999994</v>
      </c>
      <c r="G1355" s="37">
        <f t="shared" si="301"/>
        <v>0</v>
      </c>
      <c r="H1355" s="38">
        <f t="shared" si="302"/>
        <v>0</v>
      </c>
      <c r="I1355" s="37">
        <f t="shared" si="303"/>
        <v>0</v>
      </c>
      <c r="J1355" s="38">
        <v>0</v>
      </c>
      <c r="K1355" s="37">
        <f t="shared" si="304"/>
        <v>0</v>
      </c>
      <c r="L1355" s="38">
        <v>0</v>
      </c>
    </row>
    <row r="1356" spans="1:12" s="39" customFormat="1" ht="15.45" customHeight="1" outlineLevel="1" x14ac:dyDescent="0.25">
      <c r="A1356" s="33">
        <v>6</v>
      </c>
      <c r="B1356" s="34" t="s">
        <v>46</v>
      </c>
      <c r="C1356" s="35" t="s">
        <v>30</v>
      </c>
      <c r="D1356" s="36">
        <v>0.44800000000000001</v>
      </c>
      <c r="E1356" s="36">
        <v>1200.0999999999999</v>
      </c>
      <c r="F1356" s="36">
        <f t="shared" si="300"/>
        <v>537.64479999999992</v>
      </c>
      <c r="G1356" s="37">
        <f t="shared" si="301"/>
        <v>0</v>
      </c>
      <c r="H1356" s="38">
        <f t="shared" si="302"/>
        <v>0</v>
      </c>
      <c r="I1356" s="37">
        <f t="shared" si="303"/>
        <v>0</v>
      </c>
      <c r="J1356" s="38">
        <v>0</v>
      </c>
      <c r="K1356" s="37">
        <f t="shared" si="304"/>
        <v>0</v>
      </c>
      <c r="L1356" s="38">
        <v>0</v>
      </c>
    </row>
    <row r="1357" spans="1:12" s="39" customFormat="1" ht="15.45" customHeight="1" outlineLevel="1" x14ac:dyDescent="0.25">
      <c r="A1357" s="33">
        <v>7</v>
      </c>
      <c r="B1357" s="34" t="s">
        <v>845</v>
      </c>
      <c r="C1357" s="35" t="s">
        <v>66</v>
      </c>
      <c r="D1357" s="36">
        <v>0.74</v>
      </c>
      <c r="E1357" s="36">
        <v>249.4084</v>
      </c>
      <c r="F1357" s="36">
        <f t="shared" si="300"/>
        <v>184.56221600000001</v>
      </c>
      <c r="G1357" s="37">
        <f t="shared" si="301"/>
        <v>0</v>
      </c>
      <c r="H1357" s="38">
        <f t="shared" si="302"/>
        <v>0</v>
      </c>
      <c r="I1357" s="37">
        <f t="shared" si="303"/>
        <v>0</v>
      </c>
      <c r="J1357" s="38">
        <v>0</v>
      </c>
      <c r="K1357" s="37">
        <f t="shared" si="304"/>
        <v>0</v>
      </c>
      <c r="L1357" s="38">
        <v>0</v>
      </c>
    </row>
    <row r="1358" spans="1:12" s="39" customFormat="1" ht="15.45" customHeight="1" outlineLevel="1" x14ac:dyDescent="0.25">
      <c r="A1358" s="33">
        <v>8</v>
      </c>
      <c r="B1358" s="34" t="s">
        <v>45</v>
      </c>
      <c r="C1358" s="35" t="s">
        <v>30</v>
      </c>
      <c r="D1358" s="36">
        <v>5.1999999999999998E-2</v>
      </c>
      <c r="E1358" s="36">
        <v>1325.1</v>
      </c>
      <c r="F1358" s="36">
        <f t="shared" si="300"/>
        <v>68.905199999999994</v>
      </c>
      <c r="G1358" s="37">
        <f t="shared" si="301"/>
        <v>0</v>
      </c>
      <c r="H1358" s="38">
        <f t="shared" si="302"/>
        <v>0</v>
      </c>
      <c r="I1358" s="37">
        <f t="shared" si="303"/>
        <v>0</v>
      </c>
      <c r="J1358" s="38">
        <v>0</v>
      </c>
      <c r="K1358" s="37">
        <f t="shared" si="304"/>
        <v>0</v>
      </c>
      <c r="L1358" s="38">
        <v>0</v>
      </c>
    </row>
    <row r="1359" spans="1:12" s="39" customFormat="1" ht="15.45" customHeight="1" outlineLevel="1" x14ac:dyDescent="0.25">
      <c r="A1359" s="33">
        <v>9</v>
      </c>
      <c r="B1359" s="34" t="s">
        <v>46</v>
      </c>
      <c r="C1359" s="35" t="s">
        <v>30</v>
      </c>
      <c r="D1359" s="36">
        <v>5.8999999999999997E-2</v>
      </c>
      <c r="E1359" s="36">
        <v>1200.0999999999999</v>
      </c>
      <c r="F1359" s="36">
        <f t="shared" si="300"/>
        <v>70.805899999999994</v>
      </c>
      <c r="G1359" s="37">
        <f t="shared" si="301"/>
        <v>0</v>
      </c>
      <c r="H1359" s="38">
        <f t="shared" si="302"/>
        <v>0</v>
      </c>
      <c r="I1359" s="37">
        <f t="shared" si="303"/>
        <v>0</v>
      </c>
      <c r="J1359" s="38">
        <v>0</v>
      </c>
      <c r="K1359" s="37">
        <f t="shared" si="304"/>
        <v>0</v>
      </c>
      <c r="L1359" s="38">
        <v>0</v>
      </c>
    </row>
    <row r="1360" spans="1:12" s="39" customFormat="1" ht="15.45" customHeight="1" outlineLevel="1" x14ac:dyDescent="0.25">
      <c r="A1360" s="31" t="s">
        <v>955</v>
      </c>
      <c r="B1360" s="40" t="s">
        <v>956</v>
      </c>
      <c r="C1360" s="41">
        <v>0</v>
      </c>
      <c r="D1360" s="42"/>
      <c r="E1360" s="42"/>
      <c r="F1360" s="42"/>
      <c r="G1360" s="43"/>
      <c r="H1360" s="44"/>
      <c r="I1360" s="43"/>
      <c r="J1360" s="44"/>
      <c r="K1360" s="43"/>
      <c r="L1360" s="44">
        <v>0</v>
      </c>
    </row>
    <row r="1361" spans="1:12" s="39" customFormat="1" ht="28.95" customHeight="1" outlineLevel="1" x14ac:dyDescent="0.25">
      <c r="A1361" s="33">
        <v>1</v>
      </c>
      <c r="B1361" s="34" t="s">
        <v>255</v>
      </c>
      <c r="C1361" s="35" t="s">
        <v>106</v>
      </c>
      <c r="D1361" s="36">
        <v>61</v>
      </c>
      <c r="E1361" s="36">
        <v>41.92</v>
      </c>
      <c r="F1361" s="36">
        <f>+E1361*D1361</f>
        <v>2557.12</v>
      </c>
      <c r="G1361" s="37">
        <f t="shared" ref="G1361:H1365" si="305">I1361+K1361</f>
        <v>0</v>
      </c>
      <c r="H1361" s="38">
        <f t="shared" si="305"/>
        <v>0</v>
      </c>
      <c r="I1361" s="37">
        <f>J1361/F1361</f>
        <v>0</v>
      </c>
      <c r="J1361" s="38">
        <v>0</v>
      </c>
      <c r="K1361" s="37">
        <f>L1361/F1361</f>
        <v>0</v>
      </c>
      <c r="L1361" s="38">
        <v>0</v>
      </c>
    </row>
    <row r="1362" spans="1:12" s="39" customFormat="1" ht="15.45" customHeight="1" outlineLevel="1" x14ac:dyDescent="0.25">
      <c r="A1362" s="33">
        <v>2</v>
      </c>
      <c r="B1362" s="34" t="s">
        <v>259</v>
      </c>
      <c r="C1362" s="35" t="s">
        <v>30</v>
      </c>
      <c r="D1362" s="36">
        <v>7.3999999999999996E-2</v>
      </c>
      <c r="E1362" s="36">
        <v>2150</v>
      </c>
      <c r="F1362" s="36">
        <f>+E1362*D1362</f>
        <v>159.1</v>
      </c>
      <c r="G1362" s="37">
        <f t="shared" si="305"/>
        <v>0</v>
      </c>
      <c r="H1362" s="38">
        <f t="shared" si="305"/>
        <v>0</v>
      </c>
      <c r="I1362" s="37">
        <f>J1362/F1362</f>
        <v>0</v>
      </c>
      <c r="J1362" s="38">
        <v>0</v>
      </c>
      <c r="K1362" s="37">
        <f>L1362/F1362</f>
        <v>0</v>
      </c>
      <c r="L1362" s="38">
        <v>0</v>
      </c>
    </row>
    <row r="1363" spans="1:12" s="39" customFormat="1" ht="15.45" customHeight="1" outlineLevel="1" x14ac:dyDescent="0.25">
      <c r="A1363" s="33">
        <v>3</v>
      </c>
      <c r="B1363" s="34" t="s">
        <v>274</v>
      </c>
      <c r="C1363" s="35" t="s">
        <v>55</v>
      </c>
      <c r="D1363" s="36">
        <v>2</v>
      </c>
      <c r="E1363" s="36">
        <v>40.9</v>
      </c>
      <c r="F1363" s="36">
        <f>+E1363*D1363</f>
        <v>81.8</v>
      </c>
      <c r="G1363" s="37">
        <f t="shared" si="305"/>
        <v>0</v>
      </c>
      <c r="H1363" s="38">
        <f t="shared" si="305"/>
        <v>0</v>
      </c>
      <c r="I1363" s="37">
        <f>J1363/F1363</f>
        <v>0</v>
      </c>
      <c r="J1363" s="38">
        <v>0</v>
      </c>
      <c r="K1363" s="37">
        <f>L1363/F1363</f>
        <v>0</v>
      </c>
      <c r="L1363" s="38">
        <v>0</v>
      </c>
    </row>
    <row r="1364" spans="1:12" s="39" customFormat="1" ht="15.45" customHeight="1" outlineLevel="1" x14ac:dyDescent="0.25">
      <c r="A1364" s="33">
        <v>4</v>
      </c>
      <c r="B1364" s="34" t="s">
        <v>784</v>
      </c>
      <c r="C1364" s="35" t="s">
        <v>55</v>
      </c>
      <c r="D1364" s="36">
        <v>2</v>
      </c>
      <c r="E1364" s="36">
        <v>55.902200000000001</v>
      </c>
      <c r="F1364" s="36">
        <f>+E1364*D1364</f>
        <v>111.8044</v>
      </c>
      <c r="G1364" s="37">
        <f t="shared" si="305"/>
        <v>0</v>
      </c>
      <c r="H1364" s="38">
        <f t="shared" si="305"/>
        <v>0</v>
      </c>
      <c r="I1364" s="37">
        <f>J1364/F1364</f>
        <v>0</v>
      </c>
      <c r="J1364" s="38">
        <v>0</v>
      </c>
      <c r="K1364" s="37">
        <f>L1364/F1364</f>
        <v>0</v>
      </c>
      <c r="L1364" s="38">
        <v>0</v>
      </c>
    </row>
    <row r="1365" spans="1:12" s="46" customFormat="1" ht="15.45" customHeight="1" outlineLevel="1" x14ac:dyDescent="0.35">
      <c r="A1365" s="33">
        <v>5</v>
      </c>
      <c r="B1365" s="34" t="s">
        <v>483</v>
      </c>
      <c r="C1365" s="35" t="s">
        <v>55</v>
      </c>
      <c r="D1365" s="36">
        <v>1</v>
      </c>
      <c r="E1365" s="36">
        <v>31.515999999999998</v>
      </c>
      <c r="F1365" s="36">
        <f>+E1365*D1365</f>
        <v>31.515999999999998</v>
      </c>
      <c r="G1365" s="37">
        <f t="shared" si="305"/>
        <v>0</v>
      </c>
      <c r="H1365" s="38">
        <f t="shared" si="305"/>
        <v>0</v>
      </c>
      <c r="I1365" s="37">
        <f>J1365/F1365</f>
        <v>0</v>
      </c>
      <c r="J1365" s="38">
        <v>0</v>
      </c>
      <c r="K1365" s="37">
        <f>L1365/F1365</f>
        <v>0</v>
      </c>
      <c r="L1365" s="38">
        <v>0</v>
      </c>
    </row>
    <row r="1366" spans="1:12" s="39" customFormat="1" ht="15.45" customHeight="1" outlineLevel="1" x14ac:dyDescent="0.25">
      <c r="A1366" s="31" t="s">
        <v>201</v>
      </c>
      <c r="B1366" s="40" t="s">
        <v>202</v>
      </c>
      <c r="C1366" s="41">
        <v>0</v>
      </c>
      <c r="D1366" s="42"/>
      <c r="E1366" s="42"/>
      <c r="F1366" s="42"/>
      <c r="G1366" s="43"/>
      <c r="H1366" s="44"/>
      <c r="I1366" s="43"/>
      <c r="J1366" s="44"/>
      <c r="K1366" s="43"/>
      <c r="L1366" s="44">
        <v>0</v>
      </c>
    </row>
    <row r="1367" spans="1:12" s="39" customFormat="1" ht="28.95" customHeight="1" outlineLevel="1" x14ac:dyDescent="0.25">
      <c r="A1367" s="33">
        <v>1</v>
      </c>
      <c r="B1367" s="34" t="s">
        <v>957</v>
      </c>
      <c r="C1367" s="35" t="s">
        <v>106</v>
      </c>
      <c r="D1367" s="36">
        <v>2.16</v>
      </c>
      <c r="E1367" s="36">
        <v>157.88380000000001</v>
      </c>
      <c r="F1367" s="36">
        <f>+E1367*D1367</f>
        <v>341.02900800000003</v>
      </c>
      <c r="G1367" s="37">
        <f>I1367+K1367</f>
        <v>0</v>
      </c>
      <c r="H1367" s="38">
        <f>J1367+L1367</f>
        <v>0</v>
      </c>
      <c r="I1367" s="37">
        <f>J1367/F1367</f>
        <v>0</v>
      </c>
      <c r="J1367" s="38">
        <v>0</v>
      </c>
      <c r="K1367" s="37">
        <f>L1367/F1367</f>
        <v>0</v>
      </c>
      <c r="L1367" s="38">
        <v>0</v>
      </c>
    </row>
    <row r="1368" spans="1:12" s="45" customFormat="1" ht="15.45" customHeight="1" x14ac:dyDescent="0.3">
      <c r="A1368" s="33">
        <v>2</v>
      </c>
      <c r="B1368" s="34" t="s">
        <v>264</v>
      </c>
      <c r="C1368" s="35" t="s">
        <v>106</v>
      </c>
      <c r="D1368" s="36">
        <v>2.2000000000000002</v>
      </c>
      <c r="E1368" s="36">
        <v>178.6</v>
      </c>
      <c r="F1368" s="36">
        <f>+E1368*D1368</f>
        <v>392.92</v>
      </c>
      <c r="G1368" s="37">
        <f>I1368+K1368</f>
        <v>0</v>
      </c>
      <c r="H1368" s="38">
        <f>J1368+L1368</f>
        <v>0</v>
      </c>
      <c r="I1368" s="37">
        <f>J1368/F1368</f>
        <v>0</v>
      </c>
      <c r="J1368" s="38">
        <v>0</v>
      </c>
      <c r="K1368" s="37">
        <f>L1368/F1368</f>
        <v>0</v>
      </c>
      <c r="L1368" s="38">
        <v>0</v>
      </c>
    </row>
    <row r="1369" spans="1:12" s="39" customFormat="1" ht="15.45" customHeight="1" outlineLevel="1" x14ac:dyDescent="0.25">
      <c r="A1369" s="31" t="s">
        <v>958</v>
      </c>
      <c r="B1369" s="40" t="s">
        <v>959</v>
      </c>
      <c r="C1369" s="41">
        <v>0</v>
      </c>
      <c r="D1369" s="42"/>
      <c r="E1369" s="42"/>
      <c r="F1369" s="42"/>
      <c r="G1369" s="43"/>
      <c r="H1369" s="44"/>
      <c r="I1369" s="43"/>
      <c r="J1369" s="44"/>
      <c r="K1369" s="43"/>
      <c r="L1369" s="44">
        <v>0</v>
      </c>
    </row>
    <row r="1370" spans="1:12" s="39" customFormat="1" ht="15.45" customHeight="1" outlineLevel="1" x14ac:dyDescent="0.25">
      <c r="A1370" s="33">
        <v>1</v>
      </c>
      <c r="B1370" s="34" t="s">
        <v>47</v>
      </c>
      <c r="C1370" s="35" t="s">
        <v>106</v>
      </c>
      <c r="D1370" s="36">
        <v>20.2</v>
      </c>
      <c r="E1370" s="36">
        <v>5.4732580000000004</v>
      </c>
      <c r="F1370" s="36">
        <f t="shared" ref="F1370:F1375" si="306">+E1370*D1370</f>
        <v>110.5598116</v>
      </c>
      <c r="G1370" s="37">
        <f t="shared" ref="G1370:H1375" si="307">I1370+K1370</f>
        <v>0</v>
      </c>
      <c r="H1370" s="38">
        <f t="shared" si="307"/>
        <v>0</v>
      </c>
      <c r="I1370" s="37">
        <f t="shared" ref="I1370:I1375" si="308">J1370/F1370</f>
        <v>0</v>
      </c>
      <c r="J1370" s="38">
        <v>0</v>
      </c>
      <c r="K1370" s="37">
        <f t="shared" ref="K1370:K1375" si="309">L1370/F1370</f>
        <v>0</v>
      </c>
      <c r="L1370" s="38">
        <v>0</v>
      </c>
    </row>
    <row r="1371" spans="1:12" s="39" customFormat="1" ht="15.45" customHeight="1" outlineLevel="1" x14ac:dyDescent="0.25">
      <c r="A1371" s="33">
        <v>2</v>
      </c>
      <c r="B1371" s="34" t="s">
        <v>960</v>
      </c>
      <c r="C1371" s="35" t="s">
        <v>106</v>
      </c>
      <c r="D1371" s="36">
        <v>20.2</v>
      </c>
      <c r="E1371" s="36">
        <v>0.82040000000000002</v>
      </c>
      <c r="F1371" s="36">
        <f t="shared" si="306"/>
        <v>16.57208</v>
      </c>
      <c r="G1371" s="37">
        <f t="shared" si="307"/>
        <v>0</v>
      </c>
      <c r="H1371" s="38">
        <f t="shared" si="307"/>
        <v>0</v>
      </c>
      <c r="I1371" s="37">
        <f t="shared" si="308"/>
        <v>0</v>
      </c>
      <c r="J1371" s="38">
        <v>0</v>
      </c>
      <c r="K1371" s="37">
        <f t="shared" si="309"/>
        <v>0</v>
      </c>
      <c r="L1371" s="38">
        <v>0</v>
      </c>
    </row>
    <row r="1372" spans="1:12" s="39" customFormat="1" ht="28.95" customHeight="1" outlineLevel="1" x14ac:dyDescent="0.25">
      <c r="A1372" s="33">
        <v>3</v>
      </c>
      <c r="B1372" s="34" t="s">
        <v>858</v>
      </c>
      <c r="C1372" s="35" t="s">
        <v>106</v>
      </c>
      <c r="D1372" s="36">
        <v>20.2</v>
      </c>
      <c r="E1372" s="36">
        <v>32.403399999999998</v>
      </c>
      <c r="F1372" s="36">
        <f t="shared" si="306"/>
        <v>654.54867999999988</v>
      </c>
      <c r="G1372" s="37">
        <f t="shared" si="307"/>
        <v>0</v>
      </c>
      <c r="H1372" s="38">
        <f t="shared" si="307"/>
        <v>0</v>
      </c>
      <c r="I1372" s="37">
        <f t="shared" si="308"/>
        <v>0</v>
      </c>
      <c r="J1372" s="38">
        <v>0</v>
      </c>
      <c r="K1372" s="37">
        <f t="shared" si="309"/>
        <v>0</v>
      </c>
      <c r="L1372" s="38">
        <v>0</v>
      </c>
    </row>
    <row r="1373" spans="1:12" s="39" customFormat="1" ht="28.95" customHeight="1" outlineLevel="1" x14ac:dyDescent="0.25">
      <c r="A1373" s="33">
        <v>4</v>
      </c>
      <c r="B1373" s="34" t="s">
        <v>961</v>
      </c>
      <c r="C1373" s="35" t="s">
        <v>106</v>
      </c>
      <c r="D1373" s="36">
        <v>3.9</v>
      </c>
      <c r="E1373" s="36">
        <v>5.4732580000000004</v>
      </c>
      <c r="F1373" s="36">
        <f t="shared" si="306"/>
        <v>21.345706200000002</v>
      </c>
      <c r="G1373" s="37">
        <f t="shared" si="307"/>
        <v>0</v>
      </c>
      <c r="H1373" s="38">
        <f t="shared" si="307"/>
        <v>0</v>
      </c>
      <c r="I1373" s="37">
        <f t="shared" si="308"/>
        <v>0</v>
      </c>
      <c r="J1373" s="38">
        <v>0</v>
      </c>
      <c r="K1373" s="37">
        <f t="shared" si="309"/>
        <v>0</v>
      </c>
      <c r="L1373" s="38">
        <v>0</v>
      </c>
    </row>
    <row r="1374" spans="1:12" s="39" customFormat="1" ht="15.45" customHeight="1" outlineLevel="1" x14ac:dyDescent="0.25">
      <c r="A1374" s="33">
        <v>5</v>
      </c>
      <c r="B1374" s="34" t="s">
        <v>960</v>
      </c>
      <c r="C1374" s="35" t="s">
        <v>106</v>
      </c>
      <c r="D1374" s="36">
        <v>3.9</v>
      </c>
      <c r="E1374" s="36">
        <v>1.4974000000000001</v>
      </c>
      <c r="F1374" s="36">
        <f t="shared" si="306"/>
        <v>5.8398599999999998</v>
      </c>
      <c r="G1374" s="37">
        <f t="shared" si="307"/>
        <v>0</v>
      </c>
      <c r="H1374" s="38">
        <f t="shared" si="307"/>
        <v>0</v>
      </c>
      <c r="I1374" s="37">
        <f t="shared" si="308"/>
        <v>0</v>
      </c>
      <c r="J1374" s="38">
        <v>0</v>
      </c>
      <c r="K1374" s="37">
        <f t="shared" si="309"/>
        <v>0</v>
      </c>
      <c r="L1374" s="38">
        <v>0</v>
      </c>
    </row>
    <row r="1375" spans="1:12" s="39" customFormat="1" ht="28.95" customHeight="1" outlineLevel="1" x14ac:dyDescent="0.25">
      <c r="A1375" s="33">
        <v>6</v>
      </c>
      <c r="B1375" s="34" t="s">
        <v>962</v>
      </c>
      <c r="C1375" s="35" t="s">
        <v>106</v>
      </c>
      <c r="D1375" s="36">
        <v>3.9</v>
      </c>
      <c r="E1375" s="36">
        <v>32.403399999999998</v>
      </c>
      <c r="F1375" s="36">
        <f t="shared" si="306"/>
        <v>126.37325999999999</v>
      </c>
      <c r="G1375" s="37">
        <f t="shared" si="307"/>
        <v>0</v>
      </c>
      <c r="H1375" s="38">
        <f t="shared" si="307"/>
        <v>0</v>
      </c>
      <c r="I1375" s="37">
        <f t="shared" si="308"/>
        <v>0</v>
      </c>
      <c r="J1375" s="38">
        <v>0</v>
      </c>
      <c r="K1375" s="37">
        <f t="shared" si="309"/>
        <v>0</v>
      </c>
      <c r="L1375" s="38">
        <v>0</v>
      </c>
    </row>
    <row r="1376" spans="1:12" s="39" customFormat="1" ht="15.45" customHeight="1" outlineLevel="1" x14ac:dyDescent="0.25">
      <c r="A1376" s="31" t="s">
        <v>963</v>
      </c>
      <c r="B1376" s="40" t="s">
        <v>964</v>
      </c>
      <c r="C1376" s="41">
        <v>0</v>
      </c>
      <c r="D1376" s="42"/>
      <c r="E1376" s="42"/>
      <c r="F1376" s="42"/>
      <c r="G1376" s="43"/>
      <c r="H1376" s="44"/>
      <c r="I1376" s="43"/>
      <c r="J1376" s="44"/>
      <c r="K1376" s="43"/>
      <c r="L1376" s="44">
        <v>0</v>
      </c>
    </row>
    <row r="1377" spans="1:12" s="39" customFormat="1" ht="28.95" customHeight="1" outlineLevel="1" x14ac:dyDescent="0.25">
      <c r="A1377" s="33">
        <v>1</v>
      </c>
      <c r="B1377" s="34" t="s">
        <v>298</v>
      </c>
      <c r="C1377" s="35" t="s">
        <v>106</v>
      </c>
      <c r="D1377" s="36">
        <v>20.16</v>
      </c>
      <c r="E1377" s="36">
        <v>6.5157999999999996</v>
      </c>
      <c r="F1377" s="36">
        <f t="shared" ref="F1377:F1382" si="310">+E1377*D1377</f>
        <v>131.35852800000001</v>
      </c>
      <c r="G1377" s="37">
        <f t="shared" ref="G1377:H1382" si="311">I1377+K1377</f>
        <v>0</v>
      </c>
      <c r="H1377" s="38">
        <f t="shared" si="311"/>
        <v>0</v>
      </c>
      <c r="I1377" s="37">
        <f t="shared" ref="I1377:I1382" si="312">J1377/F1377</f>
        <v>0</v>
      </c>
      <c r="J1377" s="38">
        <v>0</v>
      </c>
      <c r="K1377" s="37">
        <f t="shared" ref="K1377:K1382" si="313">L1377/F1377</f>
        <v>0</v>
      </c>
      <c r="L1377" s="38">
        <v>0</v>
      </c>
    </row>
    <row r="1378" spans="1:12" s="39" customFormat="1" ht="28.95" customHeight="1" outlineLevel="1" x14ac:dyDescent="0.25">
      <c r="A1378" s="33">
        <v>2</v>
      </c>
      <c r="B1378" s="34" t="s">
        <v>299</v>
      </c>
      <c r="C1378" s="35" t="s">
        <v>106</v>
      </c>
      <c r="D1378" s="36">
        <v>20.16</v>
      </c>
      <c r="E1378" s="36">
        <v>8.2498000000000005</v>
      </c>
      <c r="F1378" s="36">
        <f t="shared" si="310"/>
        <v>166.315968</v>
      </c>
      <c r="G1378" s="37">
        <f t="shared" si="311"/>
        <v>0</v>
      </c>
      <c r="H1378" s="38">
        <f t="shared" si="311"/>
        <v>0</v>
      </c>
      <c r="I1378" s="37">
        <f t="shared" si="312"/>
        <v>0</v>
      </c>
      <c r="J1378" s="38">
        <v>0</v>
      </c>
      <c r="K1378" s="37">
        <f t="shared" si="313"/>
        <v>0</v>
      </c>
      <c r="L1378" s="38">
        <v>0</v>
      </c>
    </row>
    <row r="1379" spans="1:12" s="39" customFormat="1" ht="28.95" customHeight="1" outlineLevel="1" x14ac:dyDescent="0.25">
      <c r="A1379" s="33">
        <v>3</v>
      </c>
      <c r="B1379" s="34" t="s">
        <v>304</v>
      </c>
      <c r="C1379" s="35" t="s">
        <v>106</v>
      </c>
      <c r="D1379" s="36">
        <v>58.2</v>
      </c>
      <c r="E1379" s="36">
        <v>12.778600000000001</v>
      </c>
      <c r="F1379" s="36">
        <f t="shared" si="310"/>
        <v>743.71452000000011</v>
      </c>
      <c r="G1379" s="37">
        <f t="shared" si="311"/>
        <v>0</v>
      </c>
      <c r="H1379" s="38">
        <f t="shared" si="311"/>
        <v>0</v>
      </c>
      <c r="I1379" s="37">
        <f t="shared" si="312"/>
        <v>0</v>
      </c>
      <c r="J1379" s="38">
        <v>0</v>
      </c>
      <c r="K1379" s="37">
        <f t="shared" si="313"/>
        <v>0</v>
      </c>
      <c r="L1379" s="38">
        <v>0</v>
      </c>
    </row>
    <row r="1380" spans="1:12" s="39" customFormat="1" ht="28.95" customHeight="1" outlineLevel="1" x14ac:dyDescent="0.25">
      <c r="A1380" s="33">
        <v>4</v>
      </c>
      <c r="B1380" s="34" t="s">
        <v>305</v>
      </c>
      <c r="C1380" s="35" t="s">
        <v>106</v>
      </c>
      <c r="D1380" s="36">
        <v>58.2</v>
      </c>
      <c r="E1380" s="36">
        <v>5.71</v>
      </c>
      <c r="F1380" s="36">
        <f t="shared" si="310"/>
        <v>332.322</v>
      </c>
      <c r="G1380" s="37">
        <f t="shared" si="311"/>
        <v>0</v>
      </c>
      <c r="H1380" s="38">
        <f t="shared" si="311"/>
        <v>0</v>
      </c>
      <c r="I1380" s="37">
        <f t="shared" si="312"/>
        <v>0</v>
      </c>
      <c r="J1380" s="38">
        <v>0</v>
      </c>
      <c r="K1380" s="37">
        <f t="shared" si="313"/>
        <v>0</v>
      </c>
      <c r="L1380" s="38">
        <v>0</v>
      </c>
    </row>
    <row r="1381" spans="1:12" s="39" customFormat="1" ht="15.45" customHeight="1" outlineLevel="1" x14ac:dyDescent="0.25">
      <c r="A1381" s="33">
        <v>5</v>
      </c>
      <c r="B1381" s="34" t="s">
        <v>310</v>
      </c>
      <c r="C1381" s="35" t="s">
        <v>106</v>
      </c>
      <c r="D1381" s="36">
        <v>85</v>
      </c>
      <c r="E1381" s="36">
        <v>10.320399999999999</v>
      </c>
      <c r="F1381" s="36">
        <f t="shared" si="310"/>
        <v>877.23399999999992</v>
      </c>
      <c r="G1381" s="37">
        <f t="shared" si="311"/>
        <v>0</v>
      </c>
      <c r="H1381" s="38">
        <f t="shared" si="311"/>
        <v>0</v>
      </c>
      <c r="I1381" s="37">
        <f t="shared" si="312"/>
        <v>0</v>
      </c>
      <c r="J1381" s="38">
        <v>0</v>
      </c>
      <c r="K1381" s="37">
        <f t="shared" si="313"/>
        <v>0</v>
      </c>
      <c r="L1381" s="38">
        <v>0</v>
      </c>
    </row>
    <row r="1382" spans="1:12" s="39" customFormat="1" ht="28.95" customHeight="1" outlineLevel="1" x14ac:dyDescent="0.25">
      <c r="A1382" s="33">
        <v>6</v>
      </c>
      <c r="B1382" s="34" t="s">
        <v>797</v>
      </c>
      <c r="C1382" s="35" t="s">
        <v>106</v>
      </c>
      <c r="D1382" s="36">
        <v>85</v>
      </c>
      <c r="E1382" s="36">
        <v>4.9857999999999993</v>
      </c>
      <c r="F1382" s="36">
        <f t="shared" si="310"/>
        <v>423.79299999999995</v>
      </c>
      <c r="G1382" s="37">
        <f t="shared" si="311"/>
        <v>0</v>
      </c>
      <c r="H1382" s="38">
        <f t="shared" si="311"/>
        <v>0</v>
      </c>
      <c r="I1382" s="37">
        <f t="shared" si="312"/>
        <v>0</v>
      </c>
      <c r="J1382" s="38">
        <v>0</v>
      </c>
      <c r="K1382" s="37">
        <f t="shared" si="313"/>
        <v>0</v>
      </c>
      <c r="L1382" s="38">
        <v>0</v>
      </c>
    </row>
    <row r="1383" spans="1:12" s="39" customFormat="1" ht="28.95" customHeight="1" outlineLevel="1" x14ac:dyDescent="0.25">
      <c r="A1383" s="31" t="s">
        <v>965</v>
      </c>
      <c r="B1383" s="40" t="s">
        <v>966</v>
      </c>
      <c r="C1383" s="41">
        <v>0</v>
      </c>
      <c r="D1383" s="42"/>
      <c r="E1383" s="42"/>
      <c r="F1383" s="42"/>
      <c r="G1383" s="43"/>
      <c r="H1383" s="44"/>
      <c r="I1383" s="43"/>
      <c r="J1383" s="44"/>
      <c r="K1383" s="43"/>
      <c r="L1383" s="44">
        <v>0</v>
      </c>
    </row>
    <row r="1384" spans="1:12" s="39" customFormat="1" ht="28.95" customHeight="1" outlineLevel="1" x14ac:dyDescent="0.25">
      <c r="A1384" s="33">
        <v>1</v>
      </c>
      <c r="B1384" s="34" t="s">
        <v>329</v>
      </c>
      <c r="C1384" s="35" t="s">
        <v>50</v>
      </c>
      <c r="D1384" s="36">
        <v>10</v>
      </c>
      <c r="E1384" s="36">
        <v>7.8723999999999998</v>
      </c>
      <c r="F1384" s="36">
        <f t="shared" ref="F1384:F1392" si="314">+E1384*D1384</f>
        <v>78.724000000000004</v>
      </c>
      <c r="G1384" s="37">
        <f t="shared" ref="G1384:G1392" si="315">I1384+K1384</f>
        <v>0</v>
      </c>
      <c r="H1384" s="38">
        <f t="shared" ref="H1384:H1392" si="316">J1384+L1384</f>
        <v>0</v>
      </c>
      <c r="I1384" s="37">
        <f t="shared" ref="I1384:I1392" si="317">J1384/F1384</f>
        <v>0</v>
      </c>
      <c r="J1384" s="38">
        <v>0</v>
      </c>
      <c r="K1384" s="37">
        <f t="shared" ref="K1384:K1392" si="318">L1384/F1384</f>
        <v>0</v>
      </c>
      <c r="L1384" s="38">
        <v>0</v>
      </c>
    </row>
    <row r="1385" spans="1:12" s="39" customFormat="1" ht="28.95" customHeight="1" outlineLevel="1" x14ac:dyDescent="0.25">
      <c r="A1385" s="33">
        <v>2</v>
      </c>
      <c r="B1385" s="34" t="s">
        <v>330</v>
      </c>
      <c r="C1385" s="35" t="s">
        <v>50</v>
      </c>
      <c r="D1385" s="36">
        <v>10</v>
      </c>
      <c r="E1385" s="36">
        <v>8.686399999999999</v>
      </c>
      <c r="F1385" s="36">
        <f t="shared" si="314"/>
        <v>86.86399999999999</v>
      </c>
      <c r="G1385" s="37">
        <f t="shared" si="315"/>
        <v>0</v>
      </c>
      <c r="H1385" s="38">
        <f t="shared" si="316"/>
        <v>0</v>
      </c>
      <c r="I1385" s="37">
        <f t="shared" si="317"/>
        <v>0</v>
      </c>
      <c r="J1385" s="38">
        <v>0</v>
      </c>
      <c r="K1385" s="37">
        <f t="shared" si="318"/>
        <v>0</v>
      </c>
      <c r="L1385" s="38">
        <v>0</v>
      </c>
    </row>
    <row r="1386" spans="1:12" s="39" customFormat="1" ht="28.95" customHeight="1" outlineLevel="1" x14ac:dyDescent="0.25">
      <c r="A1386" s="33">
        <v>3</v>
      </c>
      <c r="B1386" s="34" t="s">
        <v>337</v>
      </c>
      <c r="C1386" s="35" t="s">
        <v>50</v>
      </c>
      <c r="D1386" s="36">
        <v>1</v>
      </c>
      <c r="E1386" s="36">
        <v>4.7614000000000001</v>
      </c>
      <c r="F1386" s="36">
        <f t="shared" si="314"/>
        <v>4.7614000000000001</v>
      </c>
      <c r="G1386" s="37">
        <f t="shared" si="315"/>
        <v>0</v>
      </c>
      <c r="H1386" s="38">
        <f t="shared" si="316"/>
        <v>0</v>
      </c>
      <c r="I1386" s="37">
        <f t="shared" si="317"/>
        <v>0</v>
      </c>
      <c r="J1386" s="38">
        <v>0</v>
      </c>
      <c r="K1386" s="37">
        <f t="shared" si="318"/>
        <v>0</v>
      </c>
      <c r="L1386" s="38">
        <v>0</v>
      </c>
    </row>
    <row r="1387" spans="1:12" s="39" customFormat="1" ht="28.95" customHeight="1" outlineLevel="1" x14ac:dyDescent="0.25">
      <c r="A1387" s="33">
        <v>4</v>
      </c>
      <c r="B1387" s="34" t="s">
        <v>338</v>
      </c>
      <c r="C1387" s="35" t="s">
        <v>50</v>
      </c>
      <c r="D1387" s="36">
        <v>1</v>
      </c>
      <c r="E1387" s="36">
        <v>2.1787999999999998</v>
      </c>
      <c r="F1387" s="36">
        <f t="shared" si="314"/>
        <v>2.1787999999999998</v>
      </c>
      <c r="G1387" s="37">
        <f t="shared" si="315"/>
        <v>0</v>
      </c>
      <c r="H1387" s="38">
        <f t="shared" si="316"/>
        <v>0</v>
      </c>
      <c r="I1387" s="37">
        <f t="shared" si="317"/>
        <v>0</v>
      </c>
      <c r="J1387" s="38">
        <v>0</v>
      </c>
      <c r="K1387" s="37">
        <f t="shared" si="318"/>
        <v>0</v>
      </c>
      <c r="L1387" s="38">
        <v>0</v>
      </c>
    </row>
    <row r="1388" spans="1:12" s="39" customFormat="1" ht="28.95" customHeight="1" outlineLevel="1" x14ac:dyDescent="0.25">
      <c r="A1388" s="33">
        <v>5</v>
      </c>
      <c r="B1388" s="34" t="s">
        <v>339</v>
      </c>
      <c r="C1388" s="35" t="s">
        <v>50</v>
      </c>
      <c r="D1388" s="36">
        <v>11</v>
      </c>
      <c r="E1388" s="36">
        <v>1.1876</v>
      </c>
      <c r="F1388" s="36">
        <f t="shared" si="314"/>
        <v>13.063599999999999</v>
      </c>
      <c r="G1388" s="37">
        <f t="shared" si="315"/>
        <v>0</v>
      </c>
      <c r="H1388" s="38">
        <f t="shared" si="316"/>
        <v>0</v>
      </c>
      <c r="I1388" s="37">
        <f t="shared" si="317"/>
        <v>0</v>
      </c>
      <c r="J1388" s="38">
        <v>0</v>
      </c>
      <c r="K1388" s="37">
        <f t="shared" si="318"/>
        <v>0</v>
      </c>
      <c r="L1388" s="38">
        <v>0</v>
      </c>
    </row>
    <row r="1389" spans="1:12" s="39" customFormat="1" ht="43.5" customHeight="1" outlineLevel="1" x14ac:dyDescent="0.25">
      <c r="A1389" s="33">
        <v>6</v>
      </c>
      <c r="B1389" s="34" t="s">
        <v>967</v>
      </c>
      <c r="C1389" s="35" t="s">
        <v>55</v>
      </c>
      <c r="D1389" s="36">
        <v>2</v>
      </c>
      <c r="E1389" s="36">
        <v>23.631399999999999</v>
      </c>
      <c r="F1389" s="36">
        <f t="shared" si="314"/>
        <v>47.262799999999999</v>
      </c>
      <c r="G1389" s="37">
        <f t="shared" si="315"/>
        <v>0</v>
      </c>
      <c r="H1389" s="38">
        <f t="shared" si="316"/>
        <v>0</v>
      </c>
      <c r="I1389" s="37">
        <f t="shared" si="317"/>
        <v>0</v>
      </c>
      <c r="J1389" s="38">
        <v>0</v>
      </c>
      <c r="K1389" s="37">
        <f t="shared" si="318"/>
        <v>0</v>
      </c>
      <c r="L1389" s="38">
        <v>0</v>
      </c>
    </row>
    <row r="1390" spans="1:12" s="39" customFormat="1" ht="15.45" customHeight="1" outlineLevel="1" x14ac:dyDescent="0.25">
      <c r="A1390" s="33">
        <v>7</v>
      </c>
      <c r="B1390" s="34" t="s">
        <v>347</v>
      </c>
      <c r="C1390" s="35" t="s">
        <v>55</v>
      </c>
      <c r="D1390" s="36">
        <v>2</v>
      </c>
      <c r="E1390" s="36">
        <v>106.32080000000001</v>
      </c>
      <c r="F1390" s="36">
        <f t="shared" si="314"/>
        <v>212.64160000000001</v>
      </c>
      <c r="G1390" s="37">
        <f t="shared" si="315"/>
        <v>0</v>
      </c>
      <c r="H1390" s="38">
        <f t="shared" si="316"/>
        <v>0</v>
      </c>
      <c r="I1390" s="37">
        <f t="shared" si="317"/>
        <v>0</v>
      </c>
      <c r="J1390" s="38">
        <v>0</v>
      </c>
      <c r="K1390" s="37">
        <f t="shared" si="318"/>
        <v>0</v>
      </c>
      <c r="L1390" s="38">
        <v>0</v>
      </c>
    </row>
    <row r="1391" spans="1:12" s="39" customFormat="1" ht="28.95" customHeight="1" outlineLevel="1" x14ac:dyDescent="0.25">
      <c r="A1391" s="33">
        <v>8</v>
      </c>
      <c r="B1391" s="34" t="s">
        <v>348</v>
      </c>
      <c r="C1391" s="35" t="s">
        <v>55</v>
      </c>
      <c r="D1391" s="36">
        <v>4</v>
      </c>
      <c r="E1391" s="36">
        <v>6.4423999999999992</v>
      </c>
      <c r="F1391" s="36">
        <f t="shared" si="314"/>
        <v>25.769599999999997</v>
      </c>
      <c r="G1391" s="37">
        <f t="shared" si="315"/>
        <v>0</v>
      </c>
      <c r="H1391" s="38">
        <f t="shared" si="316"/>
        <v>0</v>
      </c>
      <c r="I1391" s="37">
        <f t="shared" si="317"/>
        <v>0</v>
      </c>
      <c r="J1391" s="38">
        <v>0</v>
      </c>
      <c r="K1391" s="37">
        <f t="shared" si="318"/>
        <v>0</v>
      </c>
      <c r="L1391" s="38">
        <v>0</v>
      </c>
    </row>
    <row r="1392" spans="1:12" s="39" customFormat="1" ht="28.95" customHeight="1" outlineLevel="1" x14ac:dyDescent="0.25">
      <c r="A1392" s="33">
        <v>9</v>
      </c>
      <c r="B1392" s="34" t="s">
        <v>968</v>
      </c>
      <c r="C1392" s="35" t="s">
        <v>55</v>
      </c>
      <c r="D1392" s="36">
        <v>1</v>
      </c>
      <c r="E1392" s="36">
        <v>38.694800000000008</v>
      </c>
      <c r="F1392" s="36">
        <f t="shared" si="314"/>
        <v>38.694800000000008</v>
      </c>
      <c r="G1392" s="37">
        <f t="shared" si="315"/>
        <v>0</v>
      </c>
      <c r="H1392" s="38">
        <f t="shared" si="316"/>
        <v>0</v>
      </c>
      <c r="I1392" s="37">
        <f t="shared" si="317"/>
        <v>0</v>
      </c>
      <c r="J1392" s="38">
        <v>0</v>
      </c>
      <c r="K1392" s="37">
        <f t="shared" si="318"/>
        <v>0</v>
      </c>
      <c r="L1392" s="38">
        <v>0</v>
      </c>
    </row>
    <row r="1393" spans="1:12" s="39" customFormat="1" ht="28.95" customHeight="1" outlineLevel="1" x14ac:dyDescent="0.25">
      <c r="A1393" s="31" t="s">
        <v>969</v>
      </c>
      <c r="B1393" s="40" t="s">
        <v>970</v>
      </c>
      <c r="C1393" s="41">
        <v>0</v>
      </c>
      <c r="D1393" s="42"/>
      <c r="E1393" s="42"/>
      <c r="F1393" s="42"/>
      <c r="G1393" s="43"/>
      <c r="H1393" s="44"/>
      <c r="I1393" s="43"/>
      <c r="J1393" s="44"/>
      <c r="K1393" s="43"/>
      <c r="L1393" s="44">
        <v>0</v>
      </c>
    </row>
    <row r="1394" spans="1:12" s="39" customFormat="1" ht="28.95" customHeight="1" outlineLevel="1" x14ac:dyDescent="0.25">
      <c r="A1394" s="33">
        <v>1</v>
      </c>
      <c r="B1394" s="34" t="s">
        <v>971</v>
      </c>
      <c r="C1394" s="35" t="s">
        <v>50</v>
      </c>
      <c r="D1394" s="36">
        <v>1</v>
      </c>
      <c r="E1394" s="36">
        <v>7.7805999999999997</v>
      </c>
      <c r="F1394" s="36">
        <f t="shared" ref="F1394:F1399" si="319">+E1394*D1394</f>
        <v>7.7805999999999997</v>
      </c>
      <c r="G1394" s="37">
        <f t="shared" ref="G1394:H1399" si="320">I1394+K1394</f>
        <v>0</v>
      </c>
      <c r="H1394" s="38">
        <f t="shared" si="320"/>
        <v>0</v>
      </c>
      <c r="I1394" s="37">
        <f t="shared" ref="I1394:I1399" si="321">J1394/F1394</f>
        <v>0</v>
      </c>
      <c r="J1394" s="38">
        <v>0</v>
      </c>
      <c r="K1394" s="37">
        <f t="shared" ref="K1394:K1399" si="322">L1394/F1394</f>
        <v>0</v>
      </c>
      <c r="L1394" s="38">
        <v>0</v>
      </c>
    </row>
    <row r="1395" spans="1:12" s="39" customFormat="1" ht="43.5" customHeight="1" outlineLevel="1" x14ac:dyDescent="0.25">
      <c r="A1395" s="33">
        <v>2</v>
      </c>
      <c r="B1395" s="34" t="s">
        <v>362</v>
      </c>
      <c r="C1395" s="35" t="s">
        <v>50</v>
      </c>
      <c r="D1395" s="36">
        <v>1</v>
      </c>
      <c r="E1395" s="36">
        <v>5.0959999999999992</v>
      </c>
      <c r="F1395" s="36">
        <f t="shared" si="319"/>
        <v>5.0959999999999992</v>
      </c>
      <c r="G1395" s="37">
        <f t="shared" si="320"/>
        <v>0</v>
      </c>
      <c r="H1395" s="38">
        <f t="shared" si="320"/>
        <v>0</v>
      </c>
      <c r="I1395" s="37">
        <f t="shared" si="321"/>
        <v>0</v>
      </c>
      <c r="J1395" s="38">
        <v>0</v>
      </c>
      <c r="K1395" s="37">
        <f t="shared" si="322"/>
        <v>0</v>
      </c>
      <c r="L1395" s="38">
        <v>0</v>
      </c>
    </row>
    <row r="1396" spans="1:12" s="39" customFormat="1" ht="28.95" customHeight="1" outlineLevel="1" x14ac:dyDescent="0.25">
      <c r="A1396" s="33">
        <v>3</v>
      </c>
      <c r="B1396" s="34" t="s">
        <v>337</v>
      </c>
      <c r="C1396" s="35" t="s">
        <v>50</v>
      </c>
      <c r="D1396" s="36">
        <v>10</v>
      </c>
      <c r="E1396" s="36">
        <v>4.7614000000000001</v>
      </c>
      <c r="F1396" s="36">
        <f t="shared" si="319"/>
        <v>47.614000000000004</v>
      </c>
      <c r="G1396" s="37">
        <f t="shared" si="320"/>
        <v>0</v>
      </c>
      <c r="H1396" s="38">
        <f t="shared" si="320"/>
        <v>0</v>
      </c>
      <c r="I1396" s="37">
        <f t="shared" si="321"/>
        <v>0</v>
      </c>
      <c r="J1396" s="38">
        <v>0</v>
      </c>
      <c r="K1396" s="37">
        <f t="shared" si="322"/>
        <v>0</v>
      </c>
      <c r="L1396" s="38">
        <v>0</v>
      </c>
    </row>
    <row r="1397" spans="1:12" s="39" customFormat="1" ht="28.95" customHeight="1" outlineLevel="1" x14ac:dyDescent="0.25">
      <c r="A1397" s="33">
        <v>4</v>
      </c>
      <c r="B1397" s="34" t="s">
        <v>338</v>
      </c>
      <c r="C1397" s="35" t="s">
        <v>50</v>
      </c>
      <c r="D1397" s="36">
        <v>10</v>
      </c>
      <c r="E1397" s="36">
        <v>2.1787999999999998</v>
      </c>
      <c r="F1397" s="36">
        <f t="shared" si="319"/>
        <v>21.787999999999997</v>
      </c>
      <c r="G1397" s="37">
        <f t="shared" si="320"/>
        <v>0</v>
      </c>
      <c r="H1397" s="38">
        <f t="shared" si="320"/>
        <v>0</v>
      </c>
      <c r="I1397" s="37">
        <f t="shared" si="321"/>
        <v>0</v>
      </c>
      <c r="J1397" s="38">
        <v>0</v>
      </c>
      <c r="K1397" s="37">
        <f t="shared" si="322"/>
        <v>0</v>
      </c>
      <c r="L1397" s="38">
        <v>0</v>
      </c>
    </row>
    <row r="1398" spans="1:12" s="39" customFormat="1" ht="28.95" customHeight="1" outlineLevel="1" x14ac:dyDescent="0.25">
      <c r="A1398" s="33">
        <v>5</v>
      </c>
      <c r="B1398" s="34" t="s">
        <v>339</v>
      </c>
      <c r="C1398" s="35" t="s">
        <v>50</v>
      </c>
      <c r="D1398" s="36">
        <v>11</v>
      </c>
      <c r="E1398" s="36">
        <v>1.1876</v>
      </c>
      <c r="F1398" s="36">
        <f t="shared" si="319"/>
        <v>13.063599999999999</v>
      </c>
      <c r="G1398" s="37">
        <f t="shared" si="320"/>
        <v>0</v>
      </c>
      <c r="H1398" s="38">
        <f t="shared" si="320"/>
        <v>0</v>
      </c>
      <c r="I1398" s="37">
        <f t="shared" si="321"/>
        <v>0</v>
      </c>
      <c r="J1398" s="38">
        <v>0</v>
      </c>
      <c r="K1398" s="37">
        <f t="shared" si="322"/>
        <v>0</v>
      </c>
      <c r="L1398" s="38">
        <v>0</v>
      </c>
    </row>
    <row r="1399" spans="1:12" s="45" customFormat="1" ht="28.95" customHeight="1" x14ac:dyDescent="0.3">
      <c r="A1399" s="33">
        <v>6</v>
      </c>
      <c r="B1399" s="34" t="s">
        <v>972</v>
      </c>
      <c r="C1399" s="35" t="s">
        <v>55</v>
      </c>
      <c r="D1399" s="36">
        <v>1</v>
      </c>
      <c r="E1399" s="36">
        <v>3.3212000000000002</v>
      </c>
      <c r="F1399" s="36">
        <f t="shared" si="319"/>
        <v>3.3212000000000002</v>
      </c>
      <c r="G1399" s="37">
        <f t="shared" si="320"/>
        <v>0</v>
      </c>
      <c r="H1399" s="38">
        <f t="shared" si="320"/>
        <v>0</v>
      </c>
      <c r="I1399" s="37">
        <f t="shared" si="321"/>
        <v>0</v>
      </c>
      <c r="J1399" s="38">
        <v>0</v>
      </c>
      <c r="K1399" s="37">
        <f t="shared" si="322"/>
        <v>0</v>
      </c>
      <c r="L1399" s="38">
        <v>0</v>
      </c>
    </row>
    <row r="1400" spans="1:12" s="39" customFormat="1" ht="28.95" customHeight="1" outlineLevel="1" x14ac:dyDescent="0.25">
      <c r="A1400" s="31" t="s">
        <v>973</v>
      </c>
      <c r="B1400" s="40" t="s">
        <v>974</v>
      </c>
      <c r="C1400" s="41">
        <v>0</v>
      </c>
      <c r="D1400" s="42"/>
      <c r="E1400" s="42"/>
      <c r="F1400" s="42"/>
      <c r="G1400" s="43"/>
      <c r="H1400" s="44"/>
      <c r="I1400" s="43"/>
      <c r="J1400" s="44"/>
      <c r="K1400" s="43"/>
      <c r="L1400" s="44">
        <v>0</v>
      </c>
    </row>
    <row r="1401" spans="1:12" s="39" customFormat="1" ht="28.95" customHeight="1" outlineLevel="1" x14ac:dyDescent="0.25">
      <c r="A1401" s="33">
        <v>1</v>
      </c>
      <c r="B1401" s="34" t="s">
        <v>383</v>
      </c>
      <c r="C1401" s="35" t="s">
        <v>50</v>
      </c>
      <c r="D1401" s="36">
        <v>18</v>
      </c>
      <c r="E1401" s="36">
        <v>7.5460000000000012</v>
      </c>
      <c r="F1401" s="36">
        <f t="shared" ref="F1401:F1408" si="323">+E1401*D1401</f>
        <v>135.82800000000003</v>
      </c>
      <c r="G1401" s="37">
        <f t="shared" ref="G1401:H1408" si="324">I1401+K1401</f>
        <v>0</v>
      </c>
      <c r="H1401" s="38">
        <f t="shared" si="324"/>
        <v>0</v>
      </c>
      <c r="I1401" s="37">
        <f t="shared" ref="I1401:I1408" si="325">J1401/F1401</f>
        <v>0</v>
      </c>
      <c r="J1401" s="38">
        <v>0</v>
      </c>
      <c r="K1401" s="37">
        <f t="shared" ref="K1401:K1408" si="326">L1401/F1401</f>
        <v>0</v>
      </c>
      <c r="L1401" s="38">
        <v>0</v>
      </c>
    </row>
    <row r="1402" spans="1:12" s="39" customFormat="1" ht="28.95" customHeight="1" outlineLevel="1" x14ac:dyDescent="0.25">
      <c r="A1402" s="33">
        <v>2</v>
      </c>
      <c r="B1402" s="34" t="s">
        <v>384</v>
      </c>
      <c r="C1402" s="35" t="s">
        <v>50</v>
      </c>
      <c r="D1402" s="36">
        <v>18</v>
      </c>
      <c r="E1402" s="36">
        <v>5.9222000000000001</v>
      </c>
      <c r="F1402" s="36">
        <f t="shared" si="323"/>
        <v>106.59960000000001</v>
      </c>
      <c r="G1402" s="37">
        <f t="shared" si="324"/>
        <v>0</v>
      </c>
      <c r="H1402" s="38">
        <f t="shared" si="324"/>
        <v>0</v>
      </c>
      <c r="I1402" s="37">
        <f t="shared" si="325"/>
        <v>0</v>
      </c>
      <c r="J1402" s="38">
        <v>0</v>
      </c>
      <c r="K1402" s="37">
        <f t="shared" si="326"/>
        <v>0</v>
      </c>
      <c r="L1402" s="38">
        <v>0</v>
      </c>
    </row>
    <row r="1403" spans="1:12" s="39" customFormat="1" ht="28.95" customHeight="1" outlineLevel="1" x14ac:dyDescent="0.25">
      <c r="A1403" s="33">
        <v>3</v>
      </c>
      <c r="B1403" s="34" t="s">
        <v>385</v>
      </c>
      <c r="C1403" s="35" t="s">
        <v>50</v>
      </c>
      <c r="D1403" s="36">
        <v>1</v>
      </c>
      <c r="E1403" s="36">
        <v>8.0661999999999985</v>
      </c>
      <c r="F1403" s="36">
        <f t="shared" si="323"/>
        <v>8.0661999999999985</v>
      </c>
      <c r="G1403" s="37">
        <f t="shared" si="324"/>
        <v>0</v>
      </c>
      <c r="H1403" s="38">
        <f t="shared" si="324"/>
        <v>0</v>
      </c>
      <c r="I1403" s="37">
        <f t="shared" si="325"/>
        <v>0</v>
      </c>
      <c r="J1403" s="38">
        <v>0</v>
      </c>
      <c r="K1403" s="37">
        <f t="shared" si="326"/>
        <v>0</v>
      </c>
      <c r="L1403" s="38">
        <v>0</v>
      </c>
    </row>
    <row r="1404" spans="1:12" s="39" customFormat="1" ht="28.95" customHeight="1" outlineLevel="1" x14ac:dyDescent="0.25">
      <c r="A1404" s="33">
        <v>4</v>
      </c>
      <c r="B1404" s="34" t="s">
        <v>386</v>
      </c>
      <c r="C1404" s="35" t="s">
        <v>50</v>
      </c>
      <c r="D1404" s="36">
        <v>1</v>
      </c>
      <c r="E1404" s="36">
        <v>3.3212000000000002</v>
      </c>
      <c r="F1404" s="36">
        <f t="shared" si="323"/>
        <v>3.3212000000000002</v>
      </c>
      <c r="G1404" s="37">
        <f t="shared" si="324"/>
        <v>0</v>
      </c>
      <c r="H1404" s="38">
        <f t="shared" si="324"/>
        <v>0</v>
      </c>
      <c r="I1404" s="37">
        <f t="shared" si="325"/>
        <v>0</v>
      </c>
      <c r="J1404" s="38">
        <v>0</v>
      </c>
      <c r="K1404" s="37">
        <f t="shared" si="326"/>
        <v>0</v>
      </c>
      <c r="L1404" s="38">
        <v>0</v>
      </c>
    </row>
    <row r="1405" spans="1:12" s="39" customFormat="1" ht="28.95" customHeight="1" outlineLevel="1" x14ac:dyDescent="0.25">
      <c r="A1405" s="33">
        <v>5</v>
      </c>
      <c r="B1405" s="34" t="s">
        <v>975</v>
      </c>
      <c r="C1405" s="35" t="s">
        <v>55</v>
      </c>
      <c r="D1405" s="36">
        <v>1</v>
      </c>
      <c r="E1405" s="36">
        <v>10.8916</v>
      </c>
      <c r="F1405" s="36">
        <f t="shared" si="323"/>
        <v>10.8916</v>
      </c>
      <c r="G1405" s="37">
        <f t="shared" si="324"/>
        <v>0</v>
      </c>
      <c r="H1405" s="38">
        <f t="shared" si="324"/>
        <v>0</v>
      </c>
      <c r="I1405" s="37">
        <f t="shared" si="325"/>
        <v>0</v>
      </c>
      <c r="J1405" s="38">
        <v>0</v>
      </c>
      <c r="K1405" s="37">
        <f t="shared" si="326"/>
        <v>0</v>
      </c>
      <c r="L1405" s="38">
        <v>0</v>
      </c>
    </row>
    <row r="1406" spans="1:12" s="39" customFormat="1" ht="28.95" customHeight="1" outlineLevel="1" x14ac:dyDescent="0.25">
      <c r="A1406" s="33">
        <v>6</v>
      </c>
      <c r="B1406" s="34" t="s">
        <v>976</v>
      </c>
      <c r="C1406" s="35" t="s">
        <v>115</v>
      </c>
      <c r="D1406" s="36">
        <v>1</v>
      </c>
      <c r="E1406" s="36">
        <v>2.9763999999999999</v>
      </c>
      <c r="F1406" s="36">
        <f t="shared" si="323"/>
        <v>2.9763999999999999</v>
      </c>
      <c r="G1406" s="37">
        <f t="shared" si="324"/>
        <v>0</v>
      </c>
      <c r="H1406" s="38">
        <f t="shared" si="324"/>
        <v>0</v>
      </c>
      <c r="I1406" s="37">
        <f t="shared" si="325"/>
        <v>0</v>
      </c>
      <c r="J1406" s="38">
        <v>0</v>
      </c>
      <c r="K1406" s="37">
        <f t="shared" si="326"/>
        <v>0</v>
      </c>
      <c r="L1406" s="38">
        <v>0</v>
      </c>
    </row>
    <row r="1407" spans="1:12" s="39" customFormat="1" ht="15.45" customHeight="1" outlineLevel="1" x14ac:dyDescent="0.25">
      <c r="A1407" s="33">
        <v>7</v>
      </c>
      <c r="B1407" s="34" t="s">
        <v>977</v>
      </c>
      <c r="C1407" s="35" t="s">
        <v>115</v>
      </c>
      <c r="D1407" s="36">
        <v>1</v>
      </c>
      <c r="E1407" s="36">
        <v>148.97720000000001</v>
      </c>
      <c r="F1407" s="36">
        <f t="shared" si="323"/>
        <v>148.97720000000001</v>
      </c>
      <c r="G1407" s="37">
        <f t="shared" si="324"/>
        <v>0</v>
      </c>
      <c r="H1407" s="38">
        <f t="shared" si="324"/>
        <v>0</v>
      </c>
      <c r="I1407" s="37">
        <f t="shared" si="325"/>
        <v>0</v>
      </c>
      <c r="J1407" s="38">
        <v>0</v>
      </c>
      <c r="K1407" s="37">
        <f t="shared" si="326"/>
        <v>0</v>
      </c>
      <c r="L1407" s="38">
        <v>0</v>
      </c>
    </row>
    <row r="1408" spans="1:12" s="39" customFormat="1" ht="15.45" customHeight="1" outlineLevel="1" x14ac:dyDescent="0.25">
      <c r="A1408" s="33">
        <v>8</v>
      </c>
      <c r="B1408" s="34" t="s">
        <v>395</v>
      </c>
      <c r="C1408" s="35" t="s">
        <v>115</v>
      </c>
      <c r="D1408" s="36">
        <v>1</v>
      </c>
      <c r="E1408" s="36">
        <v>7.0768000000000004</v>
      </c>
      <c r="F1408" s="36">
        <f t="shared" si="323"/>
        <v>7.0768000000000004</v>
      </c>
      <c r="G1408" s="37">
        <f t="shared" si="324"/>
        <v>0</v>
      </c>
      <c r="H1408" s="38">
        <f t="shared" si="324"/>
        <v>0</v>
      </c>
      <c r="I1408" s="37">
        <f t="shared" si="325"/>
        <v>0</v>
      </c>
      <c r="J1408" s="38">
        <v>0</v>
      </c>
      <c r="K1408" s="37">
        <f t="shared" si="326"/>
        <v>0</v>
      </c>
      <c r="L1408" s="38">
        <v>0</v>
      </c>
    </row>
    <row r="1409" spans="1:12" s="39" customFormat="1" ht="15.45" customHeight="1" outlineLevel="1" x14ac:dyDescent="0.25">
      <c r="A1409" s="31" t="s">
        <v>978</v>
      </c>
      <c r="B1409" s="40" t="s">
        <v>979</v>
      </c>
      <c r="C1409" s="41">
        <v>0</v>
      </c>
      <c r="D1409" s="42"/>
      <c r="E1409" s="42"/>
      <c r="F1409" s="42"/>
      <c r="G1409" s="43"/>
      <c r="H1409" s="44"/>
      <c r="I1409" s="43"/>
      <c r="J1409" s="44"/>
      <c r="K1409" s="43"/>
      <c r="L1409" s="44">
        <v>0</v>
      </c>
    </row>
    <row r="1410" spans="1:12" s="39" customFormat="1" ht="43.5" customHeight="1" outlineLevel="1" x14ac:dyDescent="0.25">
      <c r="A1410" s="33">
        <v>1</v>
      </c>
      <c r="B1410" s="34" t="s">
        <v>980</v>
      </c>
      <c r="C1410" s="35" t="s">
        <v>55</v>
      </c>
      <c r="D1410" s="36">
        <v>4</v>
      </c>
      <c r="E1410" s="36">
        <v>161.65780000000001</v>
      </c>
      <c r="F1410" s="36">
        <f t="shared" ref="F1410:F1453" si="327">+E1410*D1410</f>
        <v>646.63120000000004</v>
      </c>
      <c r="G1410" s="37">
        <f t="shared" ref="G1410:G1453" si="328">I1410+K1410</f>
        <v>0</v>
      </c>
      <c r="H1410" s="38">
        <f t="shared" ref="H1410:H1453" si="329">J1410+L1410</f>
        <v>0</v>
      </c>
      <c r="I1410" s="37">
        <f t="shared" ref="I1410:I1453" si="330">J1410/F1410</f>
        <v>0</v>
      </c>
      <c r="J1410" s="38">
        <v>0</v>
      </c>
      <c r="K1410" s="37">
        <f t="shared" ref="K1410:K1453" si="331">L1410/F1410</f>
        <v>0</v>
      </c>
      <c r="L1410" s="38">
        <v>0</v>
      </c>
    </row>
    <row r="1411" spans="1:12" s="39" customFormat="1" ht="28.95" customHeight="1" outlineLevel="1" x14ac:dyDescent="0.25">
      <c r="A1411" s="33">
        <v>2</v>
      </c>
      <c r="B1411" s="34" t="s">
        <v>981</v>
      </c>
      <c r="C1411" s="35" t="s">
        <v>55</v>
      </c>
      <c r="D1411" s="36">
        <v>4</v>
      </c>
      <c r="E1411" s="36">
        <v>4439.8621999999996</v>
      </c>
      <c r="F1411" s="36">
        <f t="shared" si="327"/>
        <v>17759.448799999998</v>
      </c>
      <c r="G1411" s="37">
        <f t="shared" si="328"/>
        <v>0</v>
      </c>
      <c r="H1411" s="38">
        <f t="shared" si="329"/>
        <v>0</v>
      </c>
      <c r="I1411" s="37">
        <f t="shared" si="330"/>
        <v>0</v>
      </c>
      <c r="J1411" s="38">
        <v>0</v>
      </c>
      <c r="K1411" s="37">
        <f t="shared" si="331"/>
        <v>0</v>
      </c>
      <c r="L1411" s="38">
        <v>0</v>
      </c>
    </row>
    <row r="1412" spans="1:12" s="39" customFormat="1" ht="43.5" customHeight="1" outlineLevel="1" x14ac:dyDescent="0.25">
      <c r="A1412" s="33">
        <v>3</v>
      </c>
      <c r="B1412" s="34" t="s">
        <v>982</v>
      </c>
      <c r="C1412" s="35" t="s">
        <v>55</v>
      </c>
      <c r="D1412" s="36">
        <v>2</v>
      </c>
      <c r="E1412" s="36">
        <v>201.04</v>
      </c>
      <c r="F1412" s="36">
        <f t="shared" si="327"/>
        <v>402.08</v>
      </c>
      <c r="G1412" s="37">
        <f t="shared" si="328"/>
        <v>0</v>
      </c>
      <c r="H1412" s="38">
        <f t="shared" si="329"/>
        <v>0</v>
      </c>
      <c r="I1412" s="37">
        <f t="shared" si="330"/>
        <v>0</v>
      </c>
      <c r="J1412" s="38">
        <v>0</v>
      </c>
      <c r="K1412" s="37">
        <f t="shared" si="331"/>
        <v>0</v>
      </c>
      <c r="L1412" s="38">
        <v>0</v>
      </c>
    </row>
    <row r="1413" spans="1:12" s="39" customFormat="1" ht="15.45" customHeight="1" outlineLevel="1" x14ac:dyDescent="0.25">
      <c r="A1413" s="33">
        <v>4</v>
      </c>
      <c r="B1413" s="34" t="s">
        <v>983</v>
      </c>
      <c r="C1413" s="35" t="s">
        <v>55</v>
      </c>
      <c r="D1413" s="36">
        <v>2</v>
      </c>
      <c r="E1413" s="36">
        <v>1235.0999999999999</v>
      </c>
      <c r="F1413" s="36">
        <f t="shared" si="327"/>
        <v>2470.1999999999998</v>
      </c>
      <c r="G1413" s="37">
        <f t="shared" si="328"/>
        <v>0</v>
      </c>
      <c r="H1413" s="38">
        <f t="shared" si="329"/>
        <v>0</v>
      </c>
      <c r="I1413" s="37">
        <f t="shared" si="330"/>
        <v>0</v>
      </c>
      <c r="J1413" s="38">
        <v>0</v>
      </c>
      <c r="K1413" s="37">
        <f t="shared" si="331"/>
        <v>0</v>
      </c>
      <c r="L1413" s="38">
        <v>0</v>
      </c>
    </row>
    <row r="1414" spans="1:12" s="39" customFormat="1" ht="28.95" customHeight="1" outlineLevel="1" x14ac:dyDescent="0.25">
      <c r="A1414" s="33">
        <v>5</v>
      </c>
      <c r="B1414" s="34" t="s">
        <v>984</v>
      </c>
      <c r="C1414" s="35" t="s">
        <v>55</v>
      </c>
      <c r="D1414" s="36">
        <v>4</v>
      </c>
      <c r="E1414" s="36">
        <v>201.04</v>
      </c>
      <c r="F1414" s="36">
        <f t="shared" si="327"/>
        <v>804.16</v>
      </c>
      <c r="G1414" s="37">
        <f t="shared" si="328"/>
        <v>0</v>
      </c>
      <c r="H1414" s="38">
        <f t="shared" si="329"/>
        <v>0</v>
      </c>
      <c r="I1414" s="37">
        <f t="shared" si="330"/>
        <v>0</v>
      </c>
      <c r="J1414" s="38">
        <v>0</v>
      </c>
      <c r="K1414" s="37">
        <f t="shared" si="331"/>
        <v>0</v>
      </c>
      <c r="L1414" s="38">
        <v>0</v>
      </c>
    </row>
    <row r="1415" spans="1:12" s="39" customFormat="1" ht="15.45" customHeight="1" outlineLevel="1" x14ac:dyDescent="0.25">
      <c r="A1415" s="33">
        <v>6</v>
      </c>
      <c r="B1415" s="34" t="s">
        <v>985</v>
      </c>
      <c r="C1415" s="35" t="s">
        <v>55</v>
      </c>
      <c r="D1415" s="36">
        <v>4</v>
      </c>
      <c r="E1415" s="36">
        <v>1000.2</v>
      </c>
      <c r="F1415" s="36">
        <f t="shared" si="327"/>
        <v>4000.8</v>
      </c>
      <c r="G1415" s="37">
        <f t="shared" si="328"/>
        <v>0</v>
      </c>
      <c r="H1415" s="38">
        <f t="shared" si="329"/>
        <v>0</v>
      </c>
      <c r="I1415" s="37">
        <f t="shared" si="330"/>
        <v>0</v>
      </c>
      <c r="J1415" s="38">
        <v>0</v>
      </c>
      <c r="K1415" s="37">
        <f t="shared" si="331"/>
        <v>0</v>
      </c>
      <c r="L1415" s="38">
        <v>0</v>
      </c>
    </row>
    <row r="1416" spans="1:12" s="39" customFormat="1" ht="28.95" customHeight="1" outlineLevel="1" x14ac:dyDescent="0.25">
      <c r="A1416" s="33">
        <v>7</v>
      </c>
      <c r="B1416" s="34" t="s">
        <v>986</v>
      </c>
      <c r="C1416" s="35" t="s">
        <v>55</v>
      </c>
      <c r="D1416" s="36">
        <v>2</v>
      </c>
      <c r="E1416" s="36">
        <v>240.58539999999999</v>
      </c>
      <c r="F1416" s="36">
        <f t="shared" si="327"/>
        <v>481.17079999999999</v>
      </c>
      <c r="G1416" s="37">
        <f t="shared" si="328"/>
        <v>0</v>
      </c>
      <c r="H1416" s="38">
        <f t="shared" si="329"/>
        <v>0</v>
      </c>
      <c r="I1416" s="37">
        <f t="shared" si="330"/>
        <v>0</v>
      </c>
      <c r="J1416" s="38">
        <v>0</v>
      </c>
      <c r="K1416" s="37">
        <f t="shared" si="331"/>
        <v>0</v>
      </c>
      <c r="L1416" s="38">
        <v>0</v>
      </c>
    </row>
    <row r="1417" spans="1:12" s="39" customFormat="1" ht="15.45" customHeight="1" outlineLevel="1" x14ac:dyDescent="0.25">
      <c r="A1417" s="33">
        <v>8</v>
      </c>
      <c r="B1417" s="34" t="s">
        <v>987</v>
      </c>
      <c r="C1417" s="35" t="s">
        <v>55</v>
      </c>
      <c r="D1417" s="36">
        <v>2</v>
      </c>
      <c r="E1417" s="36">
        <v>2198.8712</v>
      </c>
      <c r="F1417" s="36">
        <f t="shared" si="327"/>
        <v>4397.7424000000001</v>
      </c>
      <c r="G1417" s="37">
        <f t="shared" si="328"/>
        <v>0</v>
      </c>
      <c r="H1417" s="38">
        <f t="shared" si="329"/>
        <v>0</v>
      </c>
      <c r="I1417" s="37">
        <f t="shared" si="330"/>
        <v>0</v>
      </c>
      <c r="J1417" s="38">
        <v>0</v>
      </c>
      <c r="K1417" s="37">
        <f t="shared" si="331"/>
        <v>0</v>
      </c>
      <c r="L1417" s="38">
        <v>0</v>
      </c>
    </row>
    <row r="1418" spans="1:12" s="39" customFormat="1" ht="43.5" customHeight="1" outlineLevel="1" x14ac:dyDescent="0.25">
      <c r="A1418" s="33">
        <v>9</v>
      </c>
      <c r="B1418" s="34" t="s">
        <v>988</v>
      </c>
      <c r="C1418" s="35" t="s">
        <v>30</v>
      </c>
      <c r="D1418" s="36">
        <v>0.02</v>
      </c>
      <c r="E1418" s="36">
        <v>3360.9052000000001</v>
      </c>
      <c r="F1418" s="36">
        <f t="shared" si="327"/>
        <v>67.218104000000011</v>
      </c>
      <c r="G1418" s="37">
        <f t="shared" si="328"/>
        <v>0</v>
      </c>
      <c r="H1418" s="38">
        <f t="shared" si="329"/>
        <v>0</v>
      </c>
      <c r="I1418" s="37">
        <f t="shared" si="330"/>
        <v>0</v>
      </c>
      <c r="J1418" s="38">
        <v>0</v>
      </c>
      <c r="K1418" s="37">
        <f t="shared" si="331"/>
        <v>0</v>
      </c>
      <c r="L1418" s="38">
        <v>0</v>
      </c>
    </row>
    <row r="1419" spans="1:12" s="39" customFormat="1" ht="28.95" customHeight="1" outlineLevel="1" x14ac:dyDescent="0.25">
      <c r="A1419" s="33">
        <v>10</v>
      </c>
      <c r="B1419" s="34" t="s">
        <v>989</v>
      </c>
      <c r="C1419" s="35" t="s">
        <v>55</v>
      </c>
      <c r="D1419" s="36">
        <v>1</v>
      </c>
      <c r="E1419" s="36">
        <v>710.38520000000005</v>
      </c>
      <c r="F1419" s="36">
        <f t="shared" si="327"/>
        <v>710.38520000000005</v>
      </c>
      <c r="G1419" s="37">
        <f t="shared" si="328"/>
        <v>0</v>
      </c>
      <c r="H1419" s="38">
        <f t="shared" si="329"/>
        <v>0</v>
      </c>
      <c r="I1419" s="37">
        <f t="shared" si="330"/>
        <v>0</v>
      </c>
      <c r="J1419" s="38">
        <v>0</v>
      </c>
      <c r="K1419" s="37">
        <f t="shared" si="331"/>
        <v>0</v>
      </c>
      <c r="L1419" s="38">
        <v>0</v>
      </c>
    </row>
    <row r="1420" spans="1:12" s="39" customFormat="1" ht="43.5" customHeight="1" outlineLevel="1" x14ac:dyDescent="0.25">
      <c r="A1420" s="33">
        <v>11</v>
      </c>
      <c r="B1420" s="34" t="s">
        <v>990</v>
      </c>
      <c r="C1420" s="35" t="s">
        <v>30</v>
      </c>
      <c r="D1420" s="36">
        <v>0.02</v>
      </c>
      <c r="E1420" s="36">
        <v>3360.9052000000001</v>
      </c>
      <c r="F1420" s="36">
        <f t="shared" si="327"/>
        <v>67.218104000000011</v>
      </c>
      <c r="G1420" s="37">
        <f t="shared" si="328"/>
        <v>0</v>
      </c>
      <c r="H1420" s="38">
        <f t="shared" si="329"/>
        <v>0</v>
      </c>
      <c r="I1420" s="37">
        <f t="shared" si="330"/>
        <v>0</v>
      </c>
      <c r="J1420" s="38">
        <v>0</v>
      </c>
      <c r="K1420" s="37">
        <f t="shared" si="331"/>
        <v>0</v>
      </c>
      <c r="L1420" s="38">
        <v>0</v>
      </c>
    </row>
    <row r="1421" spans="1:12" s="39" customFormat="1" ht="15.45" customHeight="1" outlineLevel="1" x14ac:dyDescent="0.25">
      <c r="A1421" s="33">
        <v>12</v>
      </c>
      <c r="B1421" s="34" t="s">
        <v>991</v>
      </c>
      <c r="C1421" s="35" t="s">
        <v>55</v>
      </c>
      <c r="D1421" s="36">
        <v>2</v>
      </c>
      <c r="E1421" s="36">
        <v>825.99200000000008</v>
      </c>
      <c r="F1421" s="36">
        <f t="shared" si="327"/>
        <v>1651.9840000000002</v>
      </c>
      <c r="G1421" s="37">
        <f t="shared" si="328"/>
        <v>0</v>
      </c>
      <c r="H1421" s="38">
        <f t="shared" si="329"/>
        <v>0</v>
      </c>
      <c r="I1421" s="37">
        <f t="shared" si="330"/>
        <v>0</v>
      </c>
      <c r="J1421" s="38">
        <v>0</v>
      </c>
      <c r="K1421" s="37">
        <f t="shared" si="331"/>
        <v>0</v>
      </c>
      <c r="L1421" s="38">
        <v>0</v>
      </c>
    </row>
    <row r="1422" spans="1:12" s="39" customFormat="1" ht="28.95" customHeight="1" outlineLevel="1" x14ac:dyDescent="0.25">
      <c r="A1422" s="33">
        <v>13</v>
      </c>
      <c r="B1422" s="34" t="s">
        <v>992</v>
      </c>
      <c r="C1422" s="35" t="s">
        <v>55</v>
      </c>
      <c r="D1422" s="36">
        <v>1</v>
      </c>
      <c r="E1422" s="36">
        <v>51.242800000000003</v>
      </c>
      <c r="F1422" s="36">
        <f t="shared" si="327"/>
        <v>51.242800000000003</v>
      </c>
      <c r="G1422" s="37">
        <f t="shared" si="328"/>
        <v>0</v>
      </c>
      <c r="H1422" s="38">
        <f t="shared" si="329"/>
        <v>0</v>
      </c>
      <c r="I1422" s="37">
        <f t="shared" si="330"/>
        <v>0</v>
      </c>
      <c r="J1422" s="38">
        <v>0</v>
      </c>
      <c r="K1422" s="37">
        <f t="shared" si="331"/>
        <v>0</v>
      </c>
      <c r="L1422" s="38">
        <v>0</v>
      </c>
    </row>
    <row r="1423" spans="1:12" s="39" customFormat="1" ht="15.45" customHeight="1" outlineLevel="1" x14ac:dyDescent="0.25">
      <c r="A1423" s="33">
        <v>14</v>
      </c>
      <c r="B1423" s="34" t="s">
        <v>993</v>
      </c>
      <c r="C1423" s="35" t="s">
        <v>55</v>
      </c>
      <c r="D1423" s="36">
        <v>1</v>
      </c>
      <c r="E1423" s="36">
        <v>333.12799999999999</v>
      </c>
      <c r="F1423" s="36">
        <f t="shared" si="327"/>
        <v>333.12799999999999</v>
      </c>
      <c r="G1423" s="37">
        <f t="shared" si="328"/>
        <v>0</v>
      </c>
      <c r="H1423" s="38">
        <f t="shared" si="329"/>
        <v>0</v>
      </c>
      <c r="I1423" s="37">
        <f t="shared" si="330"/>
        <v>0</v>
      </c>
      <c r="J1423" s="38">
        <v>0</v>
      </c>
      <c r="K1423" s="37">
        <f t="shared" si="331"/>
        <v>0</v>
      </c>
      <c r="L1423" s="38">
        <v>0</v>
      </c>
    </row>
    <row r="1424" spans="1:12" s="39" customFormat="1" ht="15.45" customHeight="1" outlineLevel="1" x14ac:dyDescent="0.25">
      <c r="A1424" s="33">
        <v>15</v>
      </c>
      <c r="B1424" s="34" t="s">
        <v>994</v>
      </c>
      <c r="C1424" s="35" t="s">
        <v>55</v>
      </c>
      <c r="D1424" s="36">
        <v>1</v>
      </c>
      <c r="E1424" s="36">
        <v>79.048000000000002</v>
      </c>
      <c r="F1424" s="36">
        <f t="shared" si="327"/>
        <v>79.048000000000002</v>
      </c>
      <c r="G1424" s="37">
        <f t="shared" si="328"/>
        <v>0</v>
      </c>
      <c r="H1424" s="38">
        <f t="shared" si="329"/>
        <v>0</v>
      </c>
      <c r="I1424" s="37">
        <f t="shared" si="330"/>
        <v>0</v>
      </c>
      <c r="J1424" s="38">
        <v>0</v>
      </c>
      <c r="K1424" s="37">
        <f t="shared" si="331"/>
        <v>0</v>
      </c>
      <c r="L1424" s="38">
        <v>0</v>
      </c>
    </row>
    <row r="1425" spans="1:12" s="39" customFormat="1" ht="15.45" customHeight="1" outlineLevel="1" x14ac:dyDescent="0.25">
      <c r="A1425" s="33">
        <v>16</v>
      </c>
      <c r="B1425" s="34" t="s">
        <v>995</v>
      </c>
      <c r="C1425" s="35" t="s">
        <v>55</v>
      </c>
      <c r="D1425" s="36">
        <v>1</v>
      </c>
      <c r="E1425" s="36">
        <v>1614.9926</v>
      </c>
      <c r="F1425" s="36">
        <f t="shared" si="327"/>
        <v>1614.9926</v>
      </c>
      <c r="G1425" s="37">
        <f t="shared" si="328"/>
        <v>0</v>
      </c>
      <c r="H1425" s="38">
        <f t="shared" si="329"/>
        <v>0</v>
      </c>
      <c r="I1425" s="37">
        <f t="shared" si="330"/>
        <v>0</v>
      </c>
      <c r="J1425" s="38">
        <v>0</v>
      </c>
      <c r="K1425" s="37">
        <f t="shared" si="331"/>
        <v>0</v>
      </c>
      <c r="L1425" s="38">
        <v>0</v>
      </c>
    </row>
    <row r="1426" spans="1:12" s="39" customFormat="1" ht="15.45" customHeight="1" outlineLevel="1" x14ac:dyDescent="0.25">
      <c r="A1426" s="33">
        <v>17</v>
      </c>
      <c r="B1426" s="34" t="s">
        <v>996</v>
      </c>
      <c r="C1426" s="35" t="s">
        <v>55</v>
      </c>
      <c r="D1426" s="36">
        <v>1</v>
      </c>
      <c r="E1426" s="36">
        <v>210.779</v>
      </c>
      <c r="F1426" s="36">
        <f t="shared" si="327"/>
        <v>210.779</v>
      </c>
      <c r="G1426" s="37">
        <f t="shared" si="328"/>
        <v>0</v>
      </c>
      <c r="H1426" s="38">
        <f t="shared" si="329"/>
        <v>0</v>
      </c>
      <c r="I1426" s="37">
        <f t="shared" si="330"/>
        <v>0</v>
      </c>
      <c r="J1426" s="38">
        <v>0</v>
      </c>
      <c r="K1426" s="37">
        <f t="shared" si="331"/>
        <v>0</v>
      </c>
      <c r="L1426" s="38">
        <v>0</v>
      </c>
    </row>
    <row r="1427" spans="1:12" s="39" customFormat="1" ht="15.45" customHeight="1" outlineLevel="1" x14ac:dyDescent="0.25">
      <c r="A1427" s="33">
        <v>18</v>
      </c>
      <c r="B1427" s="34" t="s">
        <v>997</v>
      </c>
      <c r="C1427" s="35" t="s">
        <v>55</v>
      </c>
      <c r="D1427" s="36">
        <v>8</v>
      </c>
      <c r="E1427" s="36">
        <v>35.269599999999997</v>
      </c>
      <c r="F1427" s="36">
        <f t="shared" si="327"/>
        <v>282.15679999999998</v>
      </c>
      <c r="G1427" s="37">
        <f t="shared" si="328"/>
        <v>0</v>
      </c>
      <c r="H1427" s="38">
        <f t="shared" si="329"/>
        <v>0</v>
      </c>
      <c r="I1427" s="37">
        <f t="shared" si="330"/>
        <v>0</v>
      </c>
      <c r="J1427" s="38">
        <v>0</v>
      </c>
      <c r="K1427" s="37">
        <f t="shared" si="331"/>
        <v>0</v>
      </c>
      <c r="L1427" s="38">
        <v>0</v>
      </c>
    </row>
    <row r="1428" spans="1:12" s="39" customFormat="1" ht="28.95" customHeight="1" outlineLevel="1" x14ac:dyDescent="0.25">
      <c r="A1428" s="33">
        <v>19</v>
      </c>
      <c r="B1428" s="34" t="s">
        <v>972</v>
      </c>
      <c r="C1428" s="35" t="s">
        <v>55</v>
      </c>
      <c r="D1428" s="36">
        <v>11</v>
      </c>
      <c r="E1428" s="36">
        <v>3.3212000000000002</v>
      </c>
      <c r="F1428" s="36">
        <f t="shared" si="327"/>
        <v>36.533200000000001</v>
      </c>
      <c r="G1428" s="37">
        <f t="shared" si="328"/>
        <v>0</v>
      </c>
      <c r="H1428" s="38">
        <f t="shared" si="329"/>
        <v>0</v>
      </c>
      <c r="I1428" s="37">
        <f t="shared" si="330"/>
        <v>0</v>
      </c>
      <c r="J1428" s="38">
        <v>0</v>
      </c>
      <c r="K1428" s="37">
        <f t="shared" si="331"/>
        <v>0</v>
      </c>
      <c r="L1428" s="38">
        <v>0</v>
      </c>
    </row>
    <row r="1429" spans="1:12" s="39" customFormat="1" ht="15.45" customHeight="1" outlineLevel="1" x14ac:dyDescent="0.25">
      <c r="A1429" s="33">
        <v>20</v>
      </c>
      <c r="B1429" s="34" t="s">
        <v>351</v>
      </c>
      <c r="C1429" s="35" t="s">
        <v>55</v>
      </c>
      <c r="D1429" s="36">
        <v>3</v>
      </c>
      <c r="E1429" s="36">
        <v>4.8817999999999993</v>
      </c>
      <c r="F1429" s="36">
        <f t="shared" si="327"/>
        <v>14.645399999999999</v>
      </c>
      <c r="G1429" s="37">
        <f t="shared" si="328"/>
        <v>0</v>
      </c>
      <c r="H1429" s="38">
        <f t="shared" si="329"/>
        <v>0</v>
      </c>
      <c r="I1429" s="37">
        <f t="shared" si="330"/>
        <v>0</v>
      </c>
      <c r="J1429" s="38">
        <v>0</v>
      </c>
      <c r="K1429" s="37">
        <f t="shared" si="331"/>
        <v>0</v>
      </c>
      <c r="L1429" s="38">
        <v>0</v>
      </c>
    </row>
    <row r="1430" spans="1:12" s="39" customFormat="1" ht="28.95" customHeight="1" outlineLevel="1" x14ac:dyDescent="0.25">
      <c r="A1430" s="33">
        <v>21</v>
      </c>
      <c r="B1430" s="34" t="s">
        <v>998</v>
      </c>
      <c r="C1430" s="35" t="s">
        <v>55</v>
      </c>
      <c r="D1430" s="36">
        <v>11</v>
      </c>
      <c r="E1430" s="36">
        <v>5.4019999999999992</v>
      </c>
      <c r="F1430" s="36">
        <f t="shared" si="327"/>
        <v>59.42199999999999</v>
      </c>
      <c r="G1430" s="37">
        <f t="shared" si="328"/>
        <v>0</v>
      </c>
      <c r="H1430" s="38">
        <f t="shared" si="329"/>
        <v>0</v>
      </c>
      <c r="I1430" s="37">
        <f t="shared" si="330"/>
        <v>0</v>
      </c>
      <c r="J1430" s="38">
        <v>0</v>
      </c>
      <c r="K1430" s="37">
        <f t="shared" si="331"/>
        <v>0</v>
      </c>
      <c r="L1430" s="38">
        <v>0</v>
      </c>
    </row>
    <row r="1431" spans="1:12" s="39" customFormat="1" ht="28.95" customHeight="1" outlineLevel="1" x14ac:dyDescent="0.25">
      <c r="A1431" s="33">
        <v>22</v>
      </c>
      <c r="B1431" s="34" t="s">
        <v>999</v>
      </c>
      <c r="C1431" s="35" t="s">
        <v>55</v>
      </c>
      <c r="D1431" s="36">
        <v>16</v>
      </c>
      <c r="E1431" s="36">
        <v>6.4423999999999992</v>
      </c>
      <c r="F1431" s="36">
        <f t="shared" si="327"/>
        <v>103.07839999999999</v>
      </c>
      <c r="G1431" s="37">
        <f t="shared" si="328"/>
        <v>0</v>
      </c>
      <c r="H1431" s="38">
        <f t="shared" si="329"/>
        <v>0</v>
      </c>
      <c r="I1431" s="37">
        <f t="shared" si="330"/>
        <v>0</v>
      </c>
      <c r="J1431" s="38">
        <v>0</v>
      </c>
      <c r="K1431" s="37">
        <f t="shared" si="331"/>
        <v>0</v>
      </c>
      <c r="L1431" s="38">
        <v>0</v>
      </c>
    </row>
    <row r="1432" spans="1:12" s="39" customFormat="1" ht="28.95" customHeight="1" outlineLevel="1" x14ac:dyDescent="0.25">
      <c r="A1432" s="33">
        <v>23</v>
      </c>
      <c r="B1432" s="34" t="s">
        <v>1000</v>
      </c>
      <c r="C1432" s="35" t="s">
        <v>55</v>
      </c>
      <c r="D1432" s="36">
        <v>10</v>
      </c>
      <c r="E1432" s="36">
        <v>8.5231999999999992</v>
      </c>
      <c r="F1432" s="36">
        <f t="shared" si="327"/>
        <v>85.231999999999999</v>
      </c>
      <c r="G1432" s="37">
        <f t="shared" si="328"/>
        <v>0</v>
      </c>
      <c r="H1432" s="38">
        <f t="shared" si="329"/>
        <v>0</v>
      </c>
      <c r="I1432" s="37">
        <f t="shared" si="330"/>
        <v>0</v>
      </c>
      <c r="J1432" s="38">
        <v>0</v>
      </c>
      <c r="K1432" s="37">
        <f t="shared" si="331"/>
        <v>0</v>
      </c>
      <c r="L1432" s="38">
        <v>0</v>
      </c>
    </row>
    <row r="1433" spans="1:12" s="39" customFormat="1" ht="15.45" customHeight="1" outlineLevel="1" x14ac:dyDescent="0.25">
      <c r="A1433" s="33">
        <v>24</v>
      </c>
      <c r="B1433" s="34" t="s">
        <v>462</v>
      </c>
      <c r="C1433" s="35" t="s">
        <v>55</v>
      </c>
      <c r="D1433" s="36">
        <v>7</v>
      </c>
      <c r="E1433" s="36">
        <v>10.0838</v>
      </c>
      <c r="F1433" s="36">
        <f t="shared" si="327"/>
        <v>70.586600000000004</v>
      </c>
      <c r="G1433" s="37">
        <f t="shared" si="328"/>
        <v>0</v>
      </c>
      <c r="H1433" s="38">
        <f t="shared" si="329"/>
        <v>0</v>
      </c>
      <c r="I1433" s="37">
        <f t="shared" si="330"/>
        <v>0</v>
      </c>
      <c r="J1433" s="38">
        <v>0</v>
      </c>
      <c r="K1433" s="37">
        <f t="shared" si="331"/>
        <v>0</v>
      </c>
      <c r="L1433" s="38">
        <v>0</v>
      </c>
    </row>
    <row r="1434" spans="1:12" s="39" customFormat="1" ht="15.45" customHeight="1" outlineLevel="1" x14ac:dyDescent="0.25">
      <c r="A1434" s="33">
        <v>25</v>
      </c>
      <c r="B1434" s="34" t="s">
        <v>1001</v>
      </c>
      <c r="C1434" s="35" t="s">
        <v>55</v>
      </c>
      <c r="D1434" s="36">
        <v>5</v>
      </c>
      <c r="E1434" s="36">
        <v>10.808</v>
      </c>
      <c r="F1434" s="36">
        <f t="shared" si="327"/>
        <v>54.04</v>
      </c>
      <c r="G1434" s="37">
        <f t="shared" si="328"/>
        <v>0</v>
      </c>
      <c r="H1434" s="38">
        <f t="shared" si="329"/>
        <v>0</v>
      </c>
      <c r="I1434" s="37">
        <f t="shared" si="330"/>
        <v>0</v>
      </c>
      <c r="J1434" s="38">
        <v>0</v>
      </c>
      <c r="K1434" s="37">
        <f t="shared" si="331"/>
        <v>0</v>
      </c>
      <c r="L1434" s="38">
        <v>0</v>
      </c>
    </row>
    <row r="1435" spans="1:12" s="39" customFormat="1" ht="43.5" customHeight="1" outlineLevel="1" x14ac:dyDescent="0.25">
      <c r="A1435" s="33">
        <v>26</v>
      </c>
      <c r="B1435" s="34" t="s">
        <v>1002</v>
      </c>
      <c r="C1435" s="35" t="s">
        <v>55</v>
      </c>
      <c r="D1435" s="36">
        <v>6</v>
      </c>
      <c r="E1435" s="36">
        <v>54.792400000000001</v>
      </c>
      <c r="F1435" s="36">
        <f t="shared" si="327"/>
        <v>328.75440000000003</v>
      </c>
      <c r="G1435" s="37">
        <f t="shared" si="328"/>
        <v>0</v>
      </c>
      <c r="H1435" s="38">
        <f t="shared" si="329"/>
        <v>0</v>
      </c>
      <c r="I1435" s="37">
        <f t="shared" si="330"/>
        <v>0</v>
      </c>
      <c r="J1435" s="38">
        <v>0</v>
      </c>
      <c r="K1435" s="37">
        <f t="shared" si="331"/>
        <v>0</v>
      </c>
      <c r="L1435" s="38">
        <v>0</v>
      </c>
    </row>
    <row r="1436" spans="1:12" s="39" customFormat="1" ht="15.45" customHeight="1" outlineLevel="1" x14ac:dyDescent="0.25">
      <c r="A1436" s="33">
        <v>27</v>
      </c>
      <c r="B1436" s="34" t="s">
        <v>1003</v>
      </c>
      <c r="C1436" s="35" t="s">
        <v>55</v>
      </c>
      <c r="D1436" s="36">
        <v>6</v>
      </c>
      <c r="E1436" s="36">
        <v>104.24</v>
      </c>
      <c r="F1436" s="36">
        <f t="shared" si="327"/>
        <v>625.43999999999994</v>
      </c>
      <c r="G1436" s="37">
        <f t="shared" si="328"/>
        <v>0</v>
      </c>
      <c r="H1436" s="38">
        <f t="shared" si="329"/>
        <v>0</v>
      </c>
      <c r="I1436" s="37">
        <f t="shared" si="330"/>
        <v>0</v>
      </c>
      <c r="J1436" s="38">
        <v>0</v>
      </c>
      <c r="K1436" s="37">
        <f t="shared" si="331"/>
        <v>0</v>
      </c>
      <c r="L1436" s="38">
        <v>0</v>
      </c>
    </row>
    <row r="1437" spans="1:12" s="39" customFormat="1" ht="43.5" customHeight="1" outlineLevel="1" x14ac:dyDescent="0.25">
      <c r="A1437" s="33">
        <v>28</v>
      </c>
      <c r="B1437" s="34" t="s">
        <v>1004</v>
      </c>
      <c r="C1437" s="35" t="s">
        <v>55</v>
      </c>
      <c r="D1437" s="36">
        <v>7</v>
      </c>
      <c r="E1437" s="36">
        <v>35.024799999999999</v>
      </c>
      <c r="F1437" s="36">
        <f t="shared" si="327"/>
        <v>245.17359999999999</v>
      </c>
      <c r="G1437" s="37">
        <f t="shared" si="328"/>
        <v>0</v>
      </c>
      <c r="H1437" s="38">
        <f t="shared" si="329"/>
        <v>0</v>
      </c>
      <c r="I1437" s="37">
        <f t="shared" si="330"/>
        <v>0</v>
      </c>
      <c r="J1437" s="38">
        <v>0</v>
      </c>
      <c r="K1437" s="37">
        <f t="shared" si="331"/>
        <v>0</v>
      </c>
      <c r="L1437" s="38">
        <v>0</v>
      </c>
    </row>
    <row r="1438" spans="1:12" s="39" customFormat="1" ht="15.45" customHeight="1" outlineLevel="1" x14ac:dyDescent="0.25">
      <c r="A1438" s="33">
        <v>29</v>
      </c>
      <c r="B1438" s="34" t="s">
        <v>1005</v>
      </c>
      <c r="C1438" s="35" t="s">
        <v>55</v>
      </c>
      <c r="D1438" s="36">
        <v>1</v>
      </c>
      <c r="E1438" s="36">
        <v>76.291999999999987</v>
      </c>
      <c r="F1438" s="36">
        <f t="shared" si="327"/>
        <v>76.291999999999987</v>
      </c>
      <c r="G1438" s="37">
        <f t="shared" si="328"/>
        <v>0</v>
      </c>
      <c r="H1438" s="38">
        <f t="shared" si="329"/>
        <v>0</v>
      </c>
      <c r="I1438" s="37">
        <f t="shared" si="330"/>
        <v>0</v>
      </c>
      <c r="J1438" s="38">
        <v>0</v>
      </c>
      <c r="K1438" s="37">
        <f t="shared" si="331"/>
        <v>0</v>
      </c>
      <c r="L1438" s="38">
        <v>0</v>
      </c>
    </row>
    <row r="1439" spans="1:12" s="39" customFormat="1" ht="15.45" customHeight="1" outlineLevel="1" x14ac:dyDescent="0.25">
      <c r="A1439" s="33">
        <v>30</v>
      </c>
      <c r="B1439" s="34" t="s">
        <v>1006</v>
      </c>
      <c r="C1439" s="35" t="s">
        <v>55</v>
      </c>
      <c r="D1439" s="36">
        <v>2</v>
      </c>
      <c r="E1439" s="36">
        <v>89.929399999999987</v>
      </c>
      <c r="F1439" s="36">
        <f t="shared" si="327"/>
        <v>179.85879999999997</v>
      </c>
      <c r="G1439" s="37">
        <f t="shared" si="328"/>
        <v>0</v>
      </c>
      <c r="H1439" s="38">
        <f t="shared" si="329"/>
        <v>0</v>
      </c>
      <c r="I1439" s="37">
        <f t="shared" si="330"/>
        <v>0</v>
      </c>
      <c r="J1439" s="38">
        <v>0</v>
      </c>
      <c r="K1439" s="37">
        <f t="shared" si="331"/>
        <v>0</v>
      </c>
      <c r="L1439" s="38">
        <v>0</v>
      </c>
    </row>
    <row r="1440" spans="1:12" s="39" customFormat="1" ht="15.45" customHeight="1" outlineLevel="1" x14ac:dyDescent="0.25">
      <c r="A1440" s="33">
        <v>31</v>
      </c>
      <c r="B1440" s="34" t="s">
        <v>1007</v>
      </c>
      <c r="C1440" s="35" t="s">
        <v>55</v>
      </c>
      <c r="D1440" s="36">
        <v>4</v>
      </c>
      <c r="E1440" s="36">
        <v>103.9034</v>
      </c>
      <c r="F1440" s="36">
        <f t="shared" si="327"/>
        <v>415.61360000000002</v>
      </c>
      <c r="G1440" s="37">
        <f t="shared" si="328"/>
        <v>0</v>
      </c>
      <c r="H1440" s="38">
        <f t="shared" si="329"/>
        <v>0</v>
      </c>
      <c r="I1440" s="37">
        <f t="shared" si="330"/>
        <v>0</v>
      </c>
      <c r="J1440" s="38">
        <v>0</v>
      </c>
      <c r="K1440" s="37">
        <f t="shared" si="331"/>
        <v>0</v>
      </c>
      <c r="L1440" s="38">
        <v>0</v>
      </c>
    </row>
    <row r="1441" spans="1:12" s="39" customFormat="1" ht="15.45" customHeight="1" outlineLevel="1" x14ac:dyDescent="0.25">
      <c r="A1441" s="33">
        <v>32</v>
      </c>
      <c r="B1441" s="34" t="s">
        <v>1008</v>
      </c>
      <c r="C1441" s="35" t="s">
        <v>55</v>
      </c>
      <c r="D1441" s="36">
        <v>2</v>
      </c>
      <c r="E1441" s="36">
        <v>64.564000000000007</v>
      </c>
      <c r="F1441" s="36">
        <f t="shared" si="327"/>
        <v>129.12800000000001</v>
      </c>
      <c r="G1441" s="37">
        <f t="shared" si="328"/>
        <v>0</v>
      </c>
      <c r="H1441" s="38">
        <f t="shared" si="329"/>
        <v>0</v>
      </c>
      <c r="I1441" s="37">
        <f t="shared" si="330"/>
        <v>0</v>
      </c>
      <c r="J1441" s="38">
        <v>0</v>
      </c>
      <c r="K1441" s="37">
        <f t="shared" si="331"/>
        <v>0</v>
      </c>
      <c r="L1441" s="38">
        <v>0</v>
      </c>
    </row>
    <row r="1442" spans="1:12" s="39" customFormat="1" ht="15.45" customHeight="1" outlineLevel="1" x14ac:dyDescent="0.25">
      <c r="A1442" s="33">
        <v>33</v>
      </c>
      <c r="B1442" s="34" t="s">
        <v>1009</v>
      </c>
      <c r="C1442" s="35" t="s">
        <v>55</v>
      </c>
      <c r="D1442" s="36">
        <v>4</v>
      </c>
      <c r="E1442" s="36">
        <v>66.91</v>
      </c>
      <c r="F1442" s="36">
        <f t="shared" si="327"/>
        <v>267.64</v>
      </c>
      <c r="G1442" s="37">
        <f t="shared" si="328"/>
        <v>0</v>
      </c>
      <c r="H1442" s="38">
        <f t="shared" si="329"/>
        <v>0</v>
      </c>
      <c r="I1442" s="37">
        <f t="shared" si="330"/>
        <v>0</v>
      </c>
      <c r="J1442" s="38">
        <v>0</v>
      </c>
      <c r="K1442" s="37">
        <f t="shared" si="331"/>
        <v>0</v>
      </c>
      <c r="L1442" s="38">
        <v>0</v>
      </c>
    </row>
    <row r="1443" spans="1:12" s="39" customFormat="1" ht="15.45" customHeight="1" outlineLevel="1" x14ac:dyDescent="0.25">
      <c r="A1443" s="33">
        <v>34</v>
      </c>
      <c r="B1443" s="34" t="s">
        <v>1010</v>
      </c>
      <c r="C1443" s="35" t="s">
        <v>55</v>
      </c>
      <c r="D1443" s="36">
        <v>1</v>
      </c>
      <c r="E1443" s="36">
        <v>79.048000000000002</v>
      </c>
      <c r="F1443" s="36">
        <f t="shared" si="327"/>
        <v>79.048000000000002</v>
      </c>
      <c r="G1443" s="37">
        <f t="shared" si="328"/>
        <v>0</v>
      </c>
      <c r="H1443" s="38">
        <f t="shared" si="329"/>
        <v>0</v>
      </c>
      <c r="I1443" s="37">
        <f t="shared" si="330"/>
        <v>0</v>
      </c>
      <c r="J1443" s="38">
        <v>0</v>
      </c>
      <c r="K1443" s="37">
        <f t="shared" si="331"/>
        <v>0</v>
      </c>
      <c r="L1443" s="38">
        <v>0</v>
      </c>
    </row>
    <row r="1444" spans="1:12" s="39" customFormat="1" ht="15.45" customHeight="1" outlineLevel="1" x14ac:dyDescent="0.25">
      <c r="A1444" s="33">
        <v>35</v>
      </c>
      <c r="B1444" s="34" t="s">
        <v>1011</v>
      </c>
      <c r="C1444" s="35" t="s">
        <v>55</v>
      </c>
      <c r="D1444" s="36">
        <v>1</v>
      </c>
      <c r="E1444" s="36">
        <v>5.5039999999999996</v>
      </c>
      <c r="F1444" s="36">
        <f t="shared" si="327"/>
        <v>5.5039999999999996</v>
      </c>
      <c r="G1444" s="37">
        <f t="shared" si="328"/>
        <v>0</v>
      </c>
      <c r="H1444" s="38">
        <f t="shared" si="329"/>
        <v>0</v>
      </c>
      <c r="I1444" s="37">
        <f t="shared" si="330"/>
        <v>0</v>
      </c>
      <c r="J1444" s="38">
        <v>0</v>
      </c>
      <c r="K1444" s="37">
        <f t="shared" si="331"/>
        <v>0</v>
      </c>
      <c r="L1444" s="38">
        <v>0</v>
      </c>
    </row>
    <row r="1445" spans="1:12" s="39" customFormat="1" ht="15.45" customHeight="1" outlineLevel="1" x14ac:dyDescent="0.25">
      <c r="A1445" s="33">
        <v>36</v>
      </c>
      <c r="B1445" s="34" t="s">
        <v>1012</v>
      </c>
      <c r="C1445" s="35" t="s">
        <v>55</v>
      </c>
      <c r="D1445" s="36">
        <v>2</v>
      </c>
      <c r="E1445" s="36">
        <v>36.340600000000002</v>
      </c>
      <c r="F1445" s="36">
        <f t="shared" si="327"/>
        <v>72.681200000000004</v>
      </c>
      <c r="G1445" s="37">
        <f t="shared" si="328"/>
        <v>0</v>
      </c>
      <c r="H1445" s="38">
        <f t="shared" si="329"/>
        <v>0</v>
      </c>
      <c r="I1445" s="37">
        <f t="shared" si="330"/>
        <v>0</v>
      </c>
      <c r="J1445" s="38">
        <v>0</v>
      </c>
      <c r="K1445" s="37">
        <f t="shared" si="331"/>
        <v>0</v>
      </c>
      <c r="L1445" s="38">
        <v>0</v>
      </c>
    </row>
    <row r="1446" spans="1:12" s="39" customFormat="1" ht="15.45" customHeight="1" outlineLevel="1" x14ac:dyDescent="0.25">
      <c r="A1446" s="33">
        <v>37</v>
      </c>
      <c r="B1446" s="34" t="s">
        <v>1013</v>
      </c>
      <c r="C1446" s="35" t="s">
        <v>55</v>
      </c>
      <c r="D1446" s="36">
        <v>2</v>
      </c>
      <c r="E1446" s="36">
        <v>117.76519999999999</v>
      </c>
      <c r="F1446" s="36">
        <f t="shared" si="327"/>
        <v>235.53039999999999</v>
      </c>
      <c r="G1446" s="37">
        <f t="shared" si="328"/>
        <v>0</v>
      </c>
      <c r="H1446" s="38">
        <f t="shared" si="329"/>
        <v>0</v>
      </c>
      <c r="I1446" s="37">
        <f t="shared" si="330"/>
        <v>0</v>
      </c>
      <c r="J1446" s="38">
        <v>0</v>
      </c>
      <c r="K1446" s="37">
        <f t="shared" si="331"/>
        <v>0</v>
      </c>
      <c r="L1446" s="38">
        <v>0</v>
      </c>
    </row>
    <row r="1447" spans="1:12" s="39" customFormat="1" ht="15.45" customHeight="1" outlineLevel="1" x14ac:dyDescent="0.25">
      <c r="A1447" s="33">
        <v>38</v>
      </c>
      <c r="B1447" s="34" t="s">
        <v>1014</v>
      </c>
      <c r="C1447" s="35" t="s">
        <v>115</v>
      </c>
      <c r="D1447" s="36">
        <v>11</v>
      </c>
      <c r="E1447" s="36">
        <v>4.5880000000000001</v>
      </c>
      <c r="F1447" s="36">
        <f t="shared" si="327"/>
        <v>50.468000000000004</v>
      </c>
      <c r="G1447" s="37">
        <f t="shared" si="328"/>
        <v>0</v>
      </c>
      <c r="H1447" s="38">
        <f t="shared" si="329"/>
        <v>0</v>
      </c>
      <c r="I1447" s="37">
        <f t="shared" si="330"/>
        <v>0</v>
      </c>
      <c r="J1447" s="38">
        <v>0</v>
      </c>
      <c r="K1447" s="37">
        <f t="shared" si="331"/>
        <v>0</v>
      </c>
      <c r="L1447" s="38">
        <v>0</v>
      </c>
    </row>
    <row r="1448" spans="1:12" s="46" customFormat="1" ht="15.45" customHeight="1" outlineLevel="1" x14ac:dyDescent="0.35">
      <c r="A1448" s="33">
        <v>39</v>
      </c>
      <c r="B1448" s="34" t="s">
        <v>1015</v>
      </c>
      <c r="C1448" s="35" t="s">
        <v>55</v>
      </c>
      <c r="D1448" s="36">
        <v>11</v>
      </c>
      <c r="E1448" s="36">
        <v>19.814599999999999</v>
      </c>
      <c r="F1448" s="36">
        <f t="shared" si="327"/>
        <v>217.9606</v>
      </c>
      <c r="G1448" s="37">
        <f t="shared" si="328"/>
        <v>0</v>
      </c>
      <c r="H1448" s="38">
        <f t="shared" si="329"/>
        <v>0</v>
      </c>
      <c r="I1448" s="37">
        <f t="shared" si="330"/>
        <v>0</v>
      </c>
      <c r="J1448" s="38">
        <v>0</v>
      </c>
      <c r="K1448" s="37">
        <f t="shared" si="331"/>
        <v>0</v>
      </c>
      <c r="L1448" s="38">
        <v>0</v>
      </c>
    </row>
    <row r="1449" spans="1:12" s="39" customFormat="1" ht="15.45" customHeight="1" outlineLevel="1" x14ac:dyDescent="0.25">
      <c r="A1449" s="33">
        <v>40</v>
      </c>
      <c r="B1449" s="34" t="s">
        <v>471</v>
      </c>
      <c r="C1449" s="35" t="s">
        <v>115</v>
      </c>
      <c r="D1449" s="36">
        <v>10</v>
      </c>
      <c r="E1449" s="36">
        <v>4.6083999999999996</v>
      </c>
      <c r="F1449" s="36">
        <f t="shared" si="327"/>
        <v>46.083999999999996</v>
      </c>
      <c r="G1449" s="37">
        <f t="shared" si="328"/>
        <v>0</v>
      </c>
      <c r="H1449" s="38">
        <f t="shared" si="329"/>
        <v>0</v>
      </c>
      <c r="I1449" s="37">
        <f t="shared" si="330"/>
        <v>0</v>
      </c>
      <c r="J1449" s="38">
        <v>0</v>
      </c>
      <c r="K1449" s="37">
        <f t="shared" si="331"/>
        <v>0</v>
      </c>
      <c r="L1449" s="38">
        <v>0</v>
      </c>
    </row>
    <row r="1450" spans="1:12" s="45" customFormat="1" ht="15.45" customHeight="1" x14ac:dyDescent="0.3">
      <c r="A1450" s="33">
        <v>41</v>
      </c>
      <c r="B1450" s="34" t="s">
        <v>472</v>
      </c>
      <c r="C1450" s="35" t="s">
        <v>55</v>
      </c>
      <c r="D1450" s="36">
        <v>10</v>
      </c>
      <c r="E1450" s="36">
        <v>16.173200000000001</v>
      </c>
      <c r="F1450" s="36">
        <f t="shared" si="327"/>
        <v>161.73200000000003</v>
      </c>
      <c r="G1450" s="37">
        <f t="shared" si="328"/>
        <v>0</v>
      </c>
      <c r="H1450" s="38">
        <f t="shared" si="329"/>
        <v>0</v>
      </c>
      <c r="I1450" s="37">
        <f t="shared" si="330"/>
        <v>0</v>
      </c>
      <c r="J1450" s="38">
        <v>0</v>
      </c>
      <c r="K1450" s="37">
        <f t="shared" si="331"/>
        <v>0</v>
      </c>
      <c r="L1450" s="38">
        <v>0</v>
      </c>
    </row>
    <row r="1451" spans="1:12" s="39" customFormat="1" ht="28.95" customHeight="1" outlineLevel="1" x14ac:dyDescent="0.25">
      <c r="A1451" s="33">
        <v>42</v>
      </c>
      <c r="B1451" s="34" t="s">
        <v>1016</v>
      </c>
      <c r="C1451" s="35" t="s">
        <v>55</v>
      </c>
      <c r="D1451" s="36">
        <v>12</v>
      </c>
      <c r="E1451" s="36">
        <v>43.286799999999999</v>
      </c>
      <c r="F1451" s="36">
        <f t="shared" si="327"/>
        <v>519.44159999999999</v>
      </c>
      <c r="G1451" s="37">
        <f t="shared" si="328"/>
        <v>0</v>
      </c>
      <c r="H1451" s="38">
        <f t="shared" si="329"/>
        <v>0</v>
      </c>
      <c r="I1451" s="37">
        <f t="shared" si="330"/>
        <v>0</v>
      </c>
      <c r="J1451" s="38">
        <v>0</v>
      </c>
      <c r="K1451" s="37">
        <f t="shared" si="331"/>
        <v>0</v>
      </c>
      <c r="L1451" s="38">
        <v>0</v>
      </c>
    </row>
    <row r="1452" spans="1:12" s="39" customFormat="1" ht="15.45" customHeight="1" outlineLevel="1" x14ac:dyDescent="0.25">
      <c r="A1452" s="33">
        <v>43</v>
      </c>
      <c r="B1452" s="34" t="s">
        <v>1017</v>
      </c>
      <c r="C1452" s="35" t="s">
        <v>55</v>
      </c>
      <c r="D1452" s="36">
        <v>8</v>
      </c>
      <c r="E1452" s="36">
        <v>104.24</v>
      </c>
      <c r="F1452" s="36">
        <f t="shared" si="327"/>
        <v>833.92</v>
      </c>
      <c r="G1452" s="37">
        <f t="shared" si="328"/>
        <v>0</v>
      </c>
      <c r="H1452" s="38">
        <f t="shared" si="329"/>
        <v>0</v>
      </c>
      <c r="I1452" s="37">
        <f t="shared" si="330"/>
        <v>0</v>
      </c>
      <c r="J1452" s="38">
        <v>0</v>
      </c>
      <c r="K1452" s="37">
        <f t="shared" si="331"/>
        <v>0</v>
      </c>
      <c r="L1452" s="38">
        <v>0</v>
      </c>
    </row>
    <row r="1453" spans="1:12" s="39" customFormat="1" ht="15.45" customHeight="1" outlineLevel="1" x14ac:dyDescent="0.25">
      <c r="A1453" s="33">
        <v>44</v>
      </c>
      <c r="B1453" s="34" t="s">
        <v>1018</v>
      </c>
      <c r="C1453" s="35" t="s">
        <v>55</v>
      </c>
      <c r="D1453" s="36">
        <v>4</v>
      </c>
      <c r="E1453" s="36">
        <v>145.85599999999999</v>
      </c>
      <c r="F1453" s="36">
        <f t="shared" si="327"/>
        <v>583.42399999999998</v>
      </c>
      <c r="G1453" s="37">
        <f t="shared" si="328"/>
        <v>0</v>
      </c>
      <c r="H1453" s="38">
        <f t="shared" si="329"/>
        <v>0</v>
      </c>
      <c r="I1453" s="37">
        <f t="shared" si="330"/>
        <v>0</v>
      </c>
      <c r="J1453" s="38">
        <v>0</v>
      </c>
      <c r="K1453" s="37">
        <f t="shared" si="331"/>
        <v>0</v>
      </c>
      <c r="L1453" s="38">
        <v>0</v>
      </c>
    </row>
    <row r="1454" spans="1:12" s="39" customFormat="1" ht="15.45" customHeight="1" outlineLevel="1" x14ac:dyDescent="0.25">
      <c r="A1454" s="31" t="s">
        <v>1019</v>
      </c>
      <c r="B1454" s="40" t="s">
        <v>1020</v>
      </c>
      <c r="C1454" s="41">
        <v>0</v>
      </c>
      <c r="D1454" s="42"/>
      <c r="E1454" s="42"/>
      <c r="F1454" s="42"/>
      <c r="G1454" s="43"/>
      <c r="H1454" s="44"/>
      <c r="I1454" s="43"/>
      <c r="J1454" s="44"/>
      <c r="K1454" s="43"/>
      <c r="L1454" s="44">
        <v>0</v>
      </c>
    </row>
    <row r="1455" spans="1:12" s="39" customFormat="1" ht="28.95" customHeight="1" outlineLevel="1" x14ac:dyDescent="0.25">
      <c r="A1455" s="33">
        <v>1</v>
      </c>
      <c r="B1455" s="34" t="s">
        <v>1021</v>
      </c>
      <c r="C1455" s="35" t="s">
        <v>50</v>
      </c>
      <c r="D1455" s="36">
        <v>1</v>
      </c>
      <c r="E1455" s="36">
        <v>4.2105999999999986</v>
      </c>
      <c r="F1455" s="36">
        <f t="shared" ref="F1455:F1484" si="332">+E1455*D1455</f>
        <v>4.2105999999999986</v>
      </c>
      <c r="G1455" s="37">
        <f t="shared" ref="G1455:G1484" si="333">I1455+K1455</f>
        <v>0</v>
      </c>
      <c r="H1455" s="38">
        <f t="shared" ref="H1455:H1484" si="334">J1455+L1455</f>
        <v>0</v>
      </c>
      <c r="I1455" s="37">
        <f t="shared" ref="I1455:I1484" si="335">J1455/F1455</f>
        <v>0</v>
      </c>
      <c r="J1455" s="38">
        <v>0</v>
      </c>
      <c r="K1455" s="37">
        <f t="shared" ref="K1455:K1484" si="336">L1455/F1455</f>
        <v>0</v>
      </c>
      <c r="L1455" s="38">
        <v>0</v>
      </c>
    </row>
    <row r="1456" spans="1:12" s="39" customFormat="1" ht="15.45" customHeight="1" outlineLevel="1" x14ac:dyDescent="0.25">
      <c r="A1456" s="33">
        <v>2</v>
      </c>
      <c r="B1456" s="34" t="s">
        <v>1022</v>
      </c>
      <c r="C1456" s="35" t="s">
        <v>726</v>
      </c>
      <c r="D1456" s="36">
        <v>1</v>
      </c>
      <c r="E1456" s="36">
        <v>2.0768</v>
      </c>
      <c r="F1456" s="36">
        <f t="shared" si="332"/>
        <v>2.0768</v>
      </c>
      <c r="G1456" s="37">
        <f t="shared" si="333"/>
        <v>0</v>
      </c>
      <c r="H1456" s="38">
        <f t="shared" si="334"/>
        <v>0</v>
      </c>
      <c r="I1456" s="37">
        <f t="shared" si="335"/>
        <v>0</v>
      </c>
      <c r="J1456" s="38">
        <v>0</v>
      </c>
      <c r="K1456" s="37">
        <f t="shared" si="336"/>
        <v>0</v>
      </c>
      <c r="L1456" s="38">
        <v>0</v>
      </c>
    </row>
    <row r="1457" spans="1:12" s="39" customFormat="1" ht="28.95" customHeight="1" outlineLevel="1" x14ac:dyDescent="0.25">
      <c r="A1457" s="33">
        <v>3</v>
      </c>
      <c r="B1457" s="34" t="s">
        <v>1023</v>
      </c>
      <c r="C1457" s="35" t="s">
        <v>50</v>
      </c>
      <c r="D1457" s="36">
        <v>2</v>
      </c>
      <c r="E1457" s="36">
        <v>4.2105999999999986</v>
      </c>
      <c r="F1457" s="36">
        <f t="shared" si="332"/>
        <v>8.4211999999999971</v>
      </c>
      <c r="G1457" s="37">
        <f t="shared" si="333"/>
        <v>0</v>
      </c>
      <c r="H1457" s="38">
        <f t="shared" si="334"/>
        <v>0</v>
      </c>
      <c r="I1457" s="37">
        <f t="shared" si="335"/>
        <v>0</v>
      </c>
      <c r="J1457" s="38">
        <v>0</v>
      </c>
      <c r="K1457" s="37">
        <f t="shared" si="336"/>
        <v>0</v>
      </c>
      <c r="L1457" s="38">
        <v>0</v>
      </c>
    </row>
    <row r="1458" spans="1:12" s="39" customFormat="1" ht="15.45" customHeight="1" outlineLevel="1" x14ac:dyDescent="0.25">
      <c r="A1458" s="33">
        <v>4</v>
      </c>
      <c r="B1458" s="34" t="s">
        <v>1024</v>
      </c>
      <c r="C1458" s="35" t="s">
        <v>50</v>
      </c>
      <c r="D1458" s="36">
        <v>2</v>
      </c>
      <c r="E1458" s="36">
        <v>2.6581999999999999</v>
      </c>
      <c r="F1458" s="36">
        <f t="shared" si="332"/>
        <v>5.3163999999999998</v>
      </c>
      <c r="G1458" s="37">
        <f t="shared" si="333"/>
        <v>0</v>
      </c>
      <c r="H1458" s="38">
        <f t="shared" si="334"/>
        <v>0</v>
      </c>
      <c r="I1458" s="37">
        <f t="shared" si="335"/>
        <v>0</v>
      </c>
      <c r="J1458" s="38">
        <v>0</v>
      </c>
      <c r="K1458" s="37">
        <f t="shared" si="336"/>
        <v>0</v>
      </c>
      <c r="L1458" s="38">
        <v>0</v>
      </c>
    </row>
    <row r="1459" spans="1:12" s="39" customFormat="1" ht="28.95" customHeight="1" outlineLevel="1" x14ac:dyDescent="0.25">
      <c r="A1459" s="33">
        <v>5</v>
      </c>
      <c r="B1459" s="34" t="s">
        <v>1025</v>
      </c>
      <c r="C1459" s="35" t="s">
        <v>50</v>
      </c>
      <c r="D1459" s="36">
        <v>8</v>
      </c>
      <c r="E1459" s="36">
        <v>4.2105999999999986</v>
      </c>
      <c r="F1459" s="36">
        <f t="shared" si="332"/>
        <v>33.684799999999989</v>
      </c>
      <c r="G1459" s="37">
        <f t="shared" si="333"/>
        <v>0</v>
      </c>
      <c r="H1459" s="38">
        <f t="shared" si="334"/>
        <v>0</v>
      </c>
      <c r="I1459" s="37">
        <f t="shared" si="335"/>
        <v>0</v>
      </c>
      <c r="J1459" s="38">
        <v>0</v>
      </c>
      <c r="K1459" s="37">
        <f t="shared" si="336"/>
        <v>0</v>
      </c>
      <c r="L1459" s="38">
        <v>0</v>
      </c>
    </row>
    <row r="1460" spans="1:12" s="39" customFormat="1" ht="15.45" customHeight="1" outlineLevel="1" x14ac:dyDescent="0.25">
      <c r="A1460" s="33">
        <v>6</v>
      </c>
      <c r="B1460" s="34" t="s">
        <v>1026</v>
      </c>
      <c r="C1460" s="35" t="s">
        <v>50</v>
      </c>
      <c r="D1460" s="36">
        <v>8</v>
      </c>
      <c r="E1460" s="36">
        <v>2.7806000000000002</v>
      </c>
      <c r="F1460" s="36">
        <f t="shared" si="332"/>
        <v>22.244800000000001</v>
      </c>
      <c r="G1460" s="37">
        <f t="shared" si="333"/>
        <v>0</v>
      </c>
      <c r="H1460" s="38">
        <f t="shared" si="334"/>
        <v>0</v>
      </c>
      <c r="I1460" s="37">
        <f t="shared" si="335"/>
        <v>0</v>
      </c>
      <c r="J1460" s="38">
        <v>0</v>
      </c>
      <c r="K1460" s="37">
        <f t="shared" si="336"/>
        <v>0</v>
      </c>
      <c r="L1460" s="38">
        <v>0</v>
      </c>
    </row>
    <row r="1461" spans="1:12" s="39" customFormat="1" ht="28.95" customHeight="1" outlineLevel="1" x14ac:dyDescent="0.25">
      <c r="A1461" s="33">
        <v>7</v>
      </c>
      <c r="B1461" s="34" t="s">
        <v>1027</v>
      </c>
      <c r="C1461" s="35" t="s">
        <v>50</v>
      </c>
      <c r="D1461" s="36">
        <v>4</v>
      </c>
      <c r="E1461" s="36">
        <v>4.2105999999999986</v>
      </c>
      <c r="F1461" s="36">
        <f t="shared" si="332"/>
        <v>16.842399999999994</v>
      </c>
      <c r="G1461" s="37">
        <f t="shared" si="333"/>
        <v>0</v>
      </c>
      <c r="H1461" s="38">
        <f t="shared" si="334"/>
        <v>0</v>
      </c>
      <c r="I1461" s="37">
        <f t="shared" si="335"/>
        <v>0</v>
      </c>
      <c r="J1461" s="38">
        <v>0</v>
      </c>
      <c r="K1461" s="37">
        <f t="shared" si="336"/>
        <v>0</v>
      </c>
      <c r="L1461" s="38">
        <v>0</v>
      </c>
    </row>
    <row r="1462" spans="1:12" s="39" customFormat="1" ht="15.45" customHeight="1" outlineLevel="1" x14ac:dyDescent="0.25">
      <c r="A1462" s="33">
        <v>8</v>
      </c>
      <c r="B1462" s="34" t="s">
        <v>1028</v>
      </c>
      <c r="C1462" s="35" t="s">
        <v>50</v>
      </c>
      <c r="D1462" s="36">
        <v>4</v>
      </c>
      <c r="E1462" s="36">
        <v>5.3611999999999993</v>
      </c>
      <c r="F1462" s="36">
        <f t="shared" si="332"/>
        <v>21.444799999999997</v>
      </c>
      <c r="G1462" s="37">
        <f t="shared" si="333"/>
        <v>0</v>
      </c>
      <c r="H1462" s="38">
        <f t="shared" si="334"/>
        <v>0</v>
      </c>
      <c r="I1462" s="37">
        <f t="shared" si="335"/>
        <v>0</v>
      </c>
      <c r="J1462" s="38">
        <v>0</v>
      </c>
      <c r="K1462" s="37">
        <f t="shared" si="336"/>
        <v>0</v>
      </c>
      <c r="L1462" s="38">
        <v>0</v>
      </c>
    </row>
    <row r="1463" spans="1:12" s="39" customFormat="1" ht="28.95" customHeight="1" outlineLevel="1" x14ac:dyDescent="0.25">
      <c r="A1463" s="33">
        <v>9</v>
      </c>
      <c r="B1463" s="34" t="s">
        <v>1029</v>
      </c>
      <c r="C1463" s="35" t="s">
        <v>50</v>
      </c>
      <c r="D1463" s="36">
        <v>8</v>
      </c>
      <c r="E1463" s="36">
        <v>4.2208000000000014</v>
      </c>
      <c r="F1463" s="36">
        <f t="shared" si="332"/>
        <v>33.766400000000012</v>
      </c>
      <c r="G1463" s="37">
        <f t="shared" si="333"/>
        <v>0</v>
      </c>
      <c r="H1463" s="38">
        <f t="shared" si="334"/>
        <v>0</v>
      </c>
      <c r="I1463" s="37">
        <f t="shared" si="335"/>
        <v>0</v>
      </c>
      <c r="J1463" s="38">
        <v>0</v>
      </c>
      <c r="K1463" s="37">
        <f t="shared" si="336"/>
        <v>0</v>
      </c>
      <c r="L1463" s="38">
        <v>0</v>
      </c>
    </row>
    <row r="1464" spans="1:12" s="39" customFormat="1" ht="15.45" customHeight="1" outlineLevel="1" x14ac:dyDescent="0.25">
      <c r="A1464" s="33">
        <v>10</v>
      </c>
      <c r="B1464" s="34" t="s">
        <v>1030</v>
      </c>
      <c r="C1464" s="35" t="s">
        <v>50</v>
      </c>
      <c r="D1464" s="36">
        <v>8</v>
      </c>
      <c r="E1464" s="36">
        <v>7.3603999999999994</v>
      </c>
      <c r="F1464" s="36">
        <f t="shared" si="332"/>
        <v>58.883199999999995</v>
      </c>
      <c r="G1464" s="37">
        <f t="shared" si="333"/>
        <v>0</v>
      </c>
      <c r="H1464" s="38">
        <f t="shared" si="334"/>
        <v>0</v>
      </c>
      <c r="I1464" s="37">
        <f t="shared" si="335"/>
        <v>0</v>
      </c>
      <c r="J1464" s="38">
        <v>0</v>
      </c>
      <c r="K1464" s="37">
        <f t="shared" si="336"/>
        <v>0</v>
      </c>
      <c r="L1464" s="38">
        <v>0</v>
      </c>
    </row>
    <row r="1465" spans="1:12" s="39" customFormat="1" ht="28.95" customHeight="1" outlineLevel="1" x14ac:dyDescent="0.25">
      <c r="A1465" s="33">
        <v>11</v>
      </c>
      <c r="B1465" s="34" t="s">
        <v>1031</v>
      </c>
      <c r="C1465" s="35" t="s">
        <v>50</v>
      </c>
      <c r="D1465" s="36">
        <v>6</v>
      </c>
      <c r="E1465" s="36">
        <v>5.3224</v>
      </c>
      <c r="F1465" s="36">
        <f t="shared" si="332"/>
        <v>31.9344</v>
      </c>
      <c r="G1465" s="37">
        <f t="shared" si="333"/>
        <v>0</v>
      </c>
      <c r="H1465" s="38">
        <f t="shared" si="334"/>
        <v>0</v>
      </c>
      <c r="I1465" s="37">
        <f t="shared" si="335"/>
        <v>0</v>
      </c>
      <c r="J1465" s="38">
        <v>0</v>
      </c>
      <c r="K1465" s="37">
        <f t="shared" si="336"/>
        <v>0</v>
      </c>
      <c r="L1465" s="38">
        <v>0</v>
      </c>
    </row>
    <row r="1466" spans="1:12" s="39" customFormat="1" ht="15.45" customHeight="1" outlineLevel="1" x14ac:dyDescent="0.25">
      <c r="A1466" s="33">
        <v>12</v>
      </c>
      <c r="B1466" s="34" t="s">
        <v>1032</v>
      </c>
      <c r="C1466" s="35" t="s">
        <v>50</v>
      </c>
      <c r="D1466" s="36">
        <v>6</v>
      </c>
      <c r="E1466" s="36">
        <v>9.3187999999999995</v>
      </c>
      <c r="F1466" s="36">
        <f t="shared" si="332"/>
        <v>55.912799999999997</v>
      </c>
      <c r="G1466" s="37">
        <f t="shared" si="333"/>
        <v>0</v>
      </c>
      <c r="H1466" s="38">
        <f t="shared" si="334"/>
        <v>0</v>
      </c>
      <c r="I1466" s="37">
        <f t="shared" si="335"/>
        <v>0</v>
      </c>
      <c r="J1466" s="38">
        <v>0</v>
      </c>
      <c r="K1466" s="37">
        <f t="shared" si="336"/>
        <v>0</v>
      </c>
      <c r="L1466" s="38">
        <v>0</v>
      </c>
    </row>
    <row r="1467" spans="1:12" s="39" customFormat="1" ht="28.95" customHeight="1" outlineLevel="1" x14ac:dyDescent="0.25">
      <c r="A1467" s="33">
        <v>13</v>
      </c>
      <c r="B1467" s="34" t="s">
        <v>1033</v>
      </c>
      <c r="C1467" s="35" t="s">
        <v>50</v>
      </c>
      <c r="D1467" s="36">
        <v>8</v>
      </c>
      <c r="E1467" s="36">
        <v>10.4428</v>
      </c>
      <c r="F1467" s="36">
        <f t="shared" si="332"/>
        <v>83.542400000000001</v>
      </c>
      <c r="G1467" s="37">
        <f t="shared" si="333"/>
        <v>0</v>
      </c>
      <c r="H1467" s="38">
        <f t="shared" si="334"/>
        <v>0</v>
      </c>
      <c r="I1467" s="37">
        <f t="shared" si="335"/>
        <v>0</v>
      </c>
      <c r="J1467" s="38">
        <v>0</v>
      </c>
      <c r="K1467" s="37">
        <f t="shared" si="336"/>
        <v>0</v>
      </c>
      <c r="L1467" s="38">
        <v>0</v>
      </c>
    </row>
    <row r="1468" spans="1:12" s="39" customFormat="1" ht="15.45" customHeight="1" outlineLevel="1" x14ac:dyDescent="0.25">
      <c r="A1468" s="33">
        <v>14</v>
      </c>
      <c r="B1468" s="34" t="s">
        <v>1034</v>
      </c>
      <c r="C1468" s="35" t="s">
        <v>50</v>
      </c>
      <c r="D1468" s="36">
        <v>8</v>
      </c>
      <c r="E1468" s="36">
        <v>10.502000000000001</v>
      </c>
      <c r="F1468" s="36">
        <f t="shared" si="332"/>
        <v>84.016000000000005</v>
      </c>
      <c r="G1468" s="37">
        <f t="shared" si="333"/>
        <v>0</v>
      </c>
      <c r="H1468" s="38">
        <f t="shared" si="334"/>
        <v>0</v>
      </c>
      <c r="I1468" s="37">
        <f t="shared" si="335"/>
        <v>0</v>
      </c>
      <c r="J1468" s="38">
        <v>0</v>
      </c>
      <c r="K1468" s="37">
        <f t="shared" si="336"/>
        <v>0</v>
      </c>
      <c r="L1468" s="38">
        <v>0</v>
      </c>
    </row>
    <row r="1469" spans="1:12" s="45" customFormat="1" ht="28.95" customHeight="1" x14ac:dyDescent="0.3">
      <c r="A1469" s="33">
        <v>15</v>
      </c>
      <c r="B1469" s="34" t="s">
        <v>1035</v>
      </c>
      <c r="C1469" s="35" t="s">
        <v>50</v>
      </c>
      <c r="D1469" s="36">
        <v>7</v>
      </c>
      <c r="E1469" s="36">
        <v>10.4734</v>
      </c>
      <c r="F1469" s="36">
        <f t="shared" si="332"/>
        <v>73.313800000000001</v>
      </c>
      <c r="G1469" s="37">
        <f t="shared" si="333"/>
        <v>0</v>
      </c>
      <c r="H1469" s="38">
        <f t="shared" si="334"/>
        <v>0</v>
      </c>
      <c r="I1469" s="37">
        <f t="shared" si="335"/>
        <v>0</v>
      </c>
      <c r="J1469" s="38">
        <v>0</v>
      </c>
      <c r="K1469" s="37">
        <f t="shared" si="336"/>
        <v>0</v>
      </c>
      <c r="L1469" s="38">
        <v>0</v>
      </c>
    </row>
    <row r="1470" spans="1:12" s="39" customFormat="1" ht="15.45" customHeight="1" outlineLevel="1" x14ac:dyDescent="0.25">
      <c r="A1470" s="33">
        <v>16</v>
      </c>
      <c r="B1470" s="34" t="s">
        <v>1036</v>
      </c>
      <c r="C1470" s="35" t="s">
        <v>50</v>
      </c>
      <c r="D1470" s="36">
        <v>7</v>
      </c>
      <c r="E1470" s="36">
        <v>14.979799999999999</v>
      </c>
      <c r="F1470" s="36">
        <f t="shared" si="332"/>
        <v>104.8586</v>
      </c>
      <c r="G1470" s="37">
        <f t="shared" si="333"/>
        <v>0</v>
      </c>
      <c r="H1470" s="38">
        <f t="shared" si="334"/>
        <v>0</v>
      </c>
      <c r="I1470" s="37">
        <f t="shared" si="335"/>
        <v>0</v>
      </c>
      <c r="J1470" s="38">
        <v>0</v>
      </c>
      <c r="K1470" s="37">
        <f t="shared" si="336"/>
        <v>0</v>
      </c>
      <c r="L1470" s="38">
        <v>0</v>
      </c>
    </row>
    <row r="1471" spans="1:12" s="39" customFormat="1" ht="28.95" customHeight="1" outlineLevel="1" x14ac:dyDescent="0.25">
      <c r="A1471" s="33">
        <v>17</v>
      </c>
      <c r="B1471" s="34" t="s">
        <v>1037</v>
      </c>
      <c r="C1471" s="35" t="s">
        <v>55</v>
      </c>
      <c r="D1471" s="36">
        <v>6</v>
      </c>
      <c r="E1471" s="36">
        <v>120.001</v>
      </c>
      <c r="F1471" s="36">
        <f t="shared" si="332"/>
        <v>720.00600000000009</v>
      </c>
      <c r="G1471" s="37">
        <f t="shared" si="333"/>
        <v>0</v>
      </c>
      <c r="H1471" s="38">
        <f t="shared" si="334"/>
        <v>0</v>
      </c>
      <c r="I1471" s="37">
        <f t="shared" si="335"/>
        <v>0</v>
      </c>
      <c r="J1471" s="38">
        <v>0</v>
      </c>
      <c r="K1471" s="37">
        <f t="shared" si="336"/>
        <v>0</v>
      </c>
      <c r="L1471" s="38">
        <v>0</v>
      </c>
    </row>
    <row r="1472" spans="1:12" s="39" customFormat="1" ht="15.45" customHeight="1" outlineLevel="1" x14ac:dyDescent="0.25">
      <c r="A1472" s="33">
        <v>18</v>
      </c>
      <c r="B1472" s="34" t="s">
        <v>1038</v>
      </c>
      <c r="C1472" s="35" t="s">
        <v>55</v>
      </c>
      <c r="D1472" s="36">
        <v>2</v>
      </c>
      <c r="E1472" s="36">
        <v>59.706800000000008</v>
      </c>
      <c r="F1472" s="36">
        <f t="shared" si="332"/>
        <v>119.41360000000002</v>
      </c>
      <c r="G1472" s="37">
        <f t="shared" si="333"/>
        <v>0</v>
      </c>
      <c r="H1472" s="38">
        <f t="shared" si="334"/>
        <v>0</v>
      </c>
      <c r="I1472" s="37">
        <f t="shared" si="335"/>
        <v>0</v>
      </c>
      <c r="J1472" s="38">
        <v>0</v>
      </c>
      <c r="K1472" s="37">
        <f t="shared" si="336"/>
        <v>0</v>
      </c>
      <c r="L1472" s="38">
        <v>0</v>
      </c>
    </row>
    <row r="1473" spans="1:12" s="39" customFormat="1" ht="15.45" customHeight="1" outlineLevel="1" x14ac:dyDescent="0.25">
      <c r="A1473" s="33">
        <v>19</v>
      </c>
      <c r="B1473" s="34" t="s">
        <v>1039</v>
      </c>
      <c r="C1473" s="35" t="s">
        <v>55</v>
      </c>
      <c r="D1473" s="36">
        <v>4</v>
      </c>
      <c r="E1473" s="36">
        <v>31.48340000000001</v>
      </c>
      <c r="F1473" s="36">
        <f t="shared" si="332"/>
        <v>125.93360000000004</v>
      </c>
      <c r="G1473" s="37">
        <f t="shared" si="333"/>
        <v>0</v>
      </c>
      <c r="H1473" s="38">
        <f t="shared" si="334"/>
        <v>0</v>
      </c>
      <c r="I1473" s="37">
        <f t="shared" si="335"/>
        <v>0</v>
      </c>
      <c r="J1473" s="38">
        <v>0</v>
      </c>
      <c r="K1473" s="37">
        <f t="shared" si="336"/>
        <v>0</v>
      </c>
      <c r="L1473" s="38">
        <v>0</v>
      </c>
    </row>
    <row r="1474" spans="1:12" s="39" customFormat="1" ht="15.45" customHeight="1" outlineLevel="1" x14ac:dyDescent="0.25">
      <c r="A1474" s="33">
        <v>20</v>
      </c>
      <c r="B1474" s="34" t="s">
        <v>1040</v>
      </c>
      <c r="C1474" s="35" t="s">
        <v>55</v>
      </c>
      <c r="D1474" s="36">
        <v>8</v>
      </c>
      <c r="E1474" s="36">
        <v>2.2808000000000002</v>
      </c>
      <c r="F1474" s="36">
        <f t="shared" si="332"/>
        <v>18.246400000000001</v>
      </c>
      <c r="G1474" s="37">
        <f t="shared" si="333"/>
        <v>0</v>
      </c>
      <c r="H1474" s="38">
        <f t="shared" si="334"/>
        <v>0</v>
      </c>
      <c r="I1474" s="37">
        <f t="shared" si="335"/>
        <v>0</v>
      </c>
      <c r="J1474" s="38">
        <v>0</v>
      </c>
      <c r="K1474" s="37">
        <f t="shared" si="336"/>
        <v>0</v>
      </c>
      <c r="L1474" s="38">
        <v>0</v>
      </c>
    </row>
    <row r="1475" spans="1:12" s="39" customFormat="1" ht="15.45" customHeight="1" outlineLevel="1" x14ac:dyDescent="0.25">
      <c r="A1475" s="33">
        <v>21</v>
      </c>
      <c r="B1475" s="34" t="s">
        <v>1041</v>
      </c>
      <c r="C1475" s="35" t="s">
        <v>55</v>
      </c>
      <c r="D1475" s="36">
        <v>2</v>
      </c>
      <c r="E1475" s="36">
        <v>11.960599999999999</v>
      </c>
      <c r="F1475" s="36">
        <f t="shared" si="332"/>
        <v>23.921199999999999</v>
      </c>
      <c r="G1475" s="37">
        <f t="shared" si="333"/>
        <v>0</v>
      </c>
      <c r="H1475" s="38">
        <f t="shared" si="334"/>
        <v>0</v>
      </c>
      <c r="I1475" s="37">
        <f t="shared" si="335"/>
        <v>0</v>
      </c>
      <c r="J1475" s="38">
        <v>0</v>
      </c>
      <c r="K1475" s="37">
        <f t="shared" si="336"/>
        <v>0</v>
      </c>
      <c r="L1475" s="38">
        <v>0</v>
      </c>
    </row>
    <row r="1476" spans="1:12" s="39" customFormat="1" ht="15.45" customHeight="1" outlineLevel="1" x14ac:dyDescent="0.25">
      <c r="A1476" s="33">
        <v>22</v>
      </c>
      <c r="B1476" s="34" t="s">
        <v>1042</v>
      </c>
      <c r="C1476" s="35" t="s">
        <v>55</v>
      </c>
      <c r="D1476" s="36">
        <v>2</v>
      </c>
      <c r="E1476" s="36">
        <v>12.174799999999999</v>
      </c>
      <c r="F1476" s="36">
        <f t="shared" si="332"/>
        <v>24.349599999999999</v>
      </c>
      <c r="G1476" s="37">
        <f t="shared" si="333"/>
        <v>0</v>
      </c>
      <c r="H1476" s="38">
        <f t="shared" si="334"/>
        <v>0</v>
      </c>
      <c r="I1476" s="37">
        <f t="shared" si="335"/>
        <v>0</v>
      </c>
      <c r="J1476" s="38">
        <v>0</v>
      </c>
      <c r="K1476" s="37">
        <f t="shared" si="336"/>
        <v>0</v>
      </c>
      <c r="L1476" s="38">
        <v>0</v>
      </c>
    </row>
    <row r="1477" spans="1:12" s="39" customFormat="1" ht="15.45" customHeight="1" outlineLevel="1" x14ac:dyDescent="0.25">
      <c r="A1477" s="33">
        <v>23</v>
      </c>
      <c r="B1477" s="34" t="s">
        <v>1043</v>
      </c>
      <c r="C1477" s="35" t="s">
        <v>55</v>
      </c>
      <c r="D1477" s="36">
        <v>4</v>
      </c>
      <c r="E1477" s="36">
        <v>4.8817999999999993</v>
      </c>
      <c r="F1477" s="36">
        <f t="shared" si="332"/>
        <v>19.527199999999997</v>
      </c>
      <c r="G1477" s="37">
        <f t="shared" si="333"/>
        <v>0</v>
      </c>
      <c r="H1477" s="38">
        <f t="shared" si="334"/>
        <v>0</v>
      </c>
      <c r="I1477" s="37">
        <f t="shared" si="335"/>
        <v>0</v>
      </c>
      <c r="J1477" s="38">
        <v>0</v>
      </c>
      <c r="K1477" s="37">
        <f t="shared" si="336"/>
        <v>0</v>
      </c>
      <c r="L1477" s="38">
        <v>0</v>
      </c>
    </row>
    <row r="1478" spans="1:12" s="39" customFormat="1" ht="28.95" customHeight="1" outlineLevel="1" x14ac:dyDescent="0.25">
      <c r="A1478" s="33">
        <v>24</v>
      </c>
      <c r="B1478" s="34" t="s">
        <v>1044</v>
      </c>
      <c r="C1478" s="35" t="s">
        <v>50</v>
      </c>
      <c r="D1478" s="36">
        <v>7</v>
      </c>
      <c r="E1478" s="36">
        <v>14.7982</v>
      </c>
      <c r="F1478" s="36">
        <f t="shared" si="332"/>
        <v>103.5874</v>
      </c>
      <c r="G1478" s="37">
        <f t="shared" si="333"/>
        <v>0</v>
      </c>
      <c r="H1478" s="38">
        <f t="shared" si="334"/>
        <v>0</v>
      </c>
      <c r="I1478" s="37">
        <f t="shared" si="335"/>
        <v>0</v>
      </c>
      <c r="J1478" s="38">
        <v>0</v>
      </c>
      <c r="K1478" s="37">
        <f t="shared" si="336"/>
        <v>0</v>
      </c>
      <c r="L1478" s="38">
        <v>0</v>
      </c>
    </row>
    <row r="1479" spans="1:12" s="39" customFormat="1" ht="28.95" customHeight="1" outlineLevel="1" x14ac:dyDescent="0.25">
      <c r="A1479" s="33">
        <v>25</v>
      </c>
      <c r="B1479" s="34" t="s">
        <v>1045</v>
      </c>
      <c r="C1479" s="35" t="s">
        <v>50</v>
      </c>
      <c r="D1479" s="36">
        <v>7</v>
      </c>
      <c r="E1479" s="36">
        <v>50.506400000000014</v>
      </c>
      <c r="F1479" s="36">
        <f t="shared" si="332"/>
        <v>353.54480000000012</v>
      </c>
      <c r="G1479" s="37">
        <f t="shared" si="333"/>
        <v>0</v>
      </c>
      <c r="H1479" s="38">
        <f t="shared" si="334"/>
        <v>0</v>
      </c>
      <c r="I1479" s="37">
        <f t="shared" si="335"/>
        <v>0</v>
      </c>
      <c r="J1479" s="38">
        <v>0</v>
      </c>
      <c r="K1479" s="37">
        <f t="shared" si="336"/>
        <v>0</v>
      </c>
      <c r="L1479" s="38">
        <v>0</v>
      </c>
    </row>
    <row r="1480" spans="1:12" s="39" customFormat="1" ht="15.45" customHeight="1" outlineLevel="1" x14ac:dyDescent="0.25">
      <c r="A1480" s="33">
        <v>26</v>
      </c>
      <c r="B1480" s="34" t="s">
        <v>1046</v>
      </c>
      <c r="C1480" s="35" t="s">
        <v>55</v>
      </c>
      <c r="D1480" s="36">
        <v>1</v>
      </c>
      <c r="E1480" s="36">
        <v>17.042200000000001</v>
      </c>
      <c r="F1480" s="36">
        <f t="shared" si="332"/>
        <v>17.042200000000001</v>
      </c>
      <c r="G1480" s="37">
        <f t="shared" si="333"/>
        <v>0</v>
      </c>
      <c r="H1480" s="38">
        <f t="shared" si="334"/>
        <v>0</v>
      </c>
      <c r="I1480" s="37">
        <f t="shared" si="335"/>
        <v>0</v>
      </c>
      <c r="J1480" s="38">
        <v>0</v>
      </c>
      <c r="K1480" s="37">
        <f t="shared" si="336"/>
        <v>0</v>
      </c>
      <c r="L1480" s="38">
        <v>0</v>
      </c>
    </row>
    <row r="1481" spans="1:12" s="39" customFormat="1" ht="15.45" customHeight="1" outlineLevel="1" x14ac:dyDescent="0.25">
      <c r="A1481" s="33">
        <v>27</v>
      </c>
      <c r="B1481" s="34" t="s">
        <v>483</v>
      </c>
      <c r="C1481" s="35" t="s">
        <v>55</v>
      </c>
      <c r="D1481" s="36">
        <v>1</v>
      </c>
      <c r="E1481" s="36">
        <v>31.006</v>
      </c>
      <c r="F1481" s="36">
        <f t="shared" si="332"/>
        <v>31.006</v>
      </c>
      <c r="G1481" s="37">
        <f t="shared" si="333"/>
        <v>0</v>
      </c>
      <c r="H1481" s="38">
        <f t="shared" si="334"/>
        <v>0</v>
      </c>
      <c r="I1481" s="37">
        <f t="shared" si="335"/>
        <v>0</v>
      </c>
      <c r="J1481" s="38">
        <v>0</v>
      </c>
      <c r="K1481" s="37">
        <f t="shared" si="336"/>
        <v>0</v>
      </c>
      <c r="L1481" s="38">
        <v>0</v>
      </c>
    </row>
    <row r="1482" spans="1:12" s="39" customFormat="1" ht="28.95" customHeight="1" outlineLevel="1" x14ac:dyDescent="0.25">
      <c r="A1482" s="33">
        <v>28</v>
      </c>
      <c r="B1482" s="34" t="s">
        <v>1047</v>
      </c>
      <c r="C1482" s="35" t="s">
        <v>106</v>
      </c>
      <c r="D1482" s="36">
        <v>5.3</v>
      </c>
      <c r="E1482" s="36">
        <v>5.9139999999999997</v>
      </c>
      <c r="F1482" s="36">
        <f t="shared" si="332"/>
        <v>31.344199999999997</v>
      </c>
      <c r="G1482" s="37">
        <f t="shared" si="333"/>
        <v>0</v>
      </c>
      <c r="H1482" s="38">
        <f t="shared" si="334"/>
        <v>0</v>
      </c>
      <c r="I1482" s="37">
        <f t="shared" si="335"/>
        <v>0</v>
      </c>
      <c r="J1482" s="38">
        <v>0</v>
      </c>
      <c r="K1482" s="37">
        <f t="shared" si="336"/>
        <v>0</v>
      </c>
      <c r="L1482" s="38">
        <v>0</v>
      </c>
    </row>
    <row r="1483" spans="1:12" s="39" customFormat="1" ht="15.45" customHeight="1" outlineLevel="1" x14ac:dyDescent="0.25">
      <c r="A1483" s="33">
        <v>29</v>
      </c>
      <c r="B1483" s="34" t="s">
        <v>1048</v>
      </c>
      <c r="C1483" s="35" t="s">
        <v>106</v>
      </c>
      <c r="D1483" s="36">
        <v>18.28</v>
      </c>
      <c r="E1483" s="36">
        <v>0.9</v>
      </c>
      <c r="F1483" s="36">
        <f t="shared" si="332"/>
        <v>16.452000000000002</v>
      </c>
      <c r="G1483" s="37">
        <f t="shared" si="333"/>
        <v>0</v>
      </c>
      <c r="H1483" s="38">
        <f t="shared" si="334"/>
        <v>0</v>
      </c>
      <c r="I1483" s="37">
        <f t="shared" si="335"/>
        <v>0</v>
      </c>
      <c r="J1483" s="38">
        <v>0</v>
      </c>
      <c r="K1483" s="37">
        <f t="shared" si="336"/>
        <v>0</v>
      </c>
      <c r="L1483" s="38">
        <v>0</v>
      </c>
    </row>
    <row r="1484" spans="1:12" s="39" customFormat="1" ht="28.95" customHeight="1" outlineLevel="1" x14ac:dyDescent="0.25">
      <c r="A1484" s="33">
        <v>30</v>
      </c>
      <c r="B1484" s="34" t="s">
        <v>473</v>
      </c>
      <c r="C1484" s="35" t="s">
        <v>66</v>
      </c>
      <c r="D1484" s="36">
        <v>0.54400000000000004</v>
      </c>
      <c r="E1484" s="36">
        <v>508.26400000000001</v>
      </c>
      <c r="F1484" s="36">
        <f t="shared" si="332"/>
        <v>276.49561600000004</v>
      </c>
      <c r="G1484" s="37">
        <f t="shared" si="333"/>
        <v>0</v>
      </c>
      <c r="H1484" s="38">
        <f t="shared" si="334"/>
        <v>0</v>
      </c>
      <c r="I1484" s="37">
        <f t="shared" si="335"/>
        <v>0</v>
      </c>
      <c r="J1484" s="38">
        <v>0</v>
      </c>
      <c r="K1484" s="37">
        <f t="shared" si="336"/>
        <v>0</v>
      </c>
      <c r="L1484" s="38">
        <v>0</v>
      </c>
    </row>
    <row r="1485" spans="1:12" s="39" customFormat="1" ht="15.45" customHeight="1" outlineLevel="1" x14ac:dyDescent="0.25">
      <c r="A1485" s="31" t="s">
        <v>1049</v>
      </c>
      <c r="B1485" s="40" t="s">
        <v>1050</v>
      </c>
      <c r="C1485" s="41">
        <v>0</v>
      </c>
      <c r="D1485" s="42"/>
      <c r="E1485" s="42"/>
      <c r="F1485" s="42"/>
      <c r="G1485" s="43"/>
      <c r="H1485" s="44"/>
      <c r="I1485" s="43"/>
      <c r="J1485" s="44"/>
      <c r="K1485" s="43"/>
      <c r="L1485" s="44">
        <v>0</v>
      </c>
    </row>
    <row r="1486" spans="1:12" s="39" customFormat="1" ht="15.45" customHeight="1" outlineLevel="1" x14ac:dyDescent="0.25">
      <c r="A1486" s="33">
        <v>1</v>
      </c>
      <c r="B1486" s="34" t="s">
        <v>1051</v>
      </c>
      <c r="C1486" s="35" t="s">
        <v>55</v>
      </c>
      <c r="D1486" s="36">
        <v>5</v>
      </c>
      <c r="E1486" s="36">
        <v>21.426200000000001</v>
      </c>
      <c r="F1486" s="36">
        <f t="shared" ref="F1486:F1517" si="337">+E1486*D1486</f>
        <v>107.131</v>
      </c>
      <c r="G1486" s="37">
        <f t="shared" ref="G1486:G1517" si="338">I1486+K1486</f>
        <v>0</v>
      </c>
      <c r="H1486" s="38">
        <f t="shared" ref="H1486:H1517" si="339">J1486+L1486</f>
        <v>0</v>
      </c>
      <c r="I1486" s="37">
        <f t="shared" ref="I1486:I1517" si="340">J1486/F1486</f>
        <v>0</v>
      </c>
      <c r="J1486" s="38">
        <v>0</v>
      </c>
      <c r="K1486" s="37">
        <f t="shared" ref="K1486:K1517" si="341">L1486/F1486</f>
        <v>0</v>
      </c>
      <c r="L1486" s="38">
        <v>0</v>
      </c>
    </row>
    <row r="1487" spans="1:12" s="39" customFormat="1" ht="15.45" customHeight="1" outlineLevel="1" x14ac:dyDescent="0.25">
      <c r="A1487" s="33">
        <v>2</v>
      </c>
      <c r="B1487" s="34" t="s">
        <v>598</v>
      </c>
      <c r="C1487" s="35" t="s">
        <v>55</v>
      </c>
      <c r="D1487" s="36">
        <v>5</v>
      </c>
      <c r="E1487" s="36">
        <v>10.045</v>
      </c>
      <c r="F1487" s="36">
        <f t="shared" si="337"/>
        <v>50.225000000000001</v>
      </c>
      <c r="G1487" s="37">
        <f t="shared" si="338"/>
        <v>0</v>
      </c>
      <c r="H1487" s="38">
        <f t="shared" si="339"/>
        <v>0</v>
      </c>
      <c r="I1487" s="37">
        <f t="shared" si="340"/>
        <v>0</v>
      </c>
      <c r="J1487" s="38">
        <v>0</v>
      </c>
      <c r="K1487" s="37">
        <f t="shared" si="341"/>
        <v>0</v>
      </c>
      <c r="L1487" s="38">
        <v>0</v>
      </c>
    </row>
    <row r="1488" spans="1:12" s="39" customFormat="1" ht="15.45" customHeight="1" outlineLevel="1" x14ac:dyDescent="0.25">
      <c r="A1488" s="33">
        <v>3</v>
      </c>
      <c r="B1488" s="34" t="s">
        <v>1052</v>
      </c>
      <c r="C1488" s="35" t="s">
        <v>55</v>
      </c>
      <c r="D1488" s="36">
        <v>1</v>
      </c>
      <c r="E1488" s="36">
        <v>26.21</v>
      </c>
      <c r="F1488" s="36">
        <f t="shared" si="337"/>
        <v>26.21</v>
      </c>
      <c r="G1488" s="37">
        <f t="shared" si="338"/>
        <v>0</v>
      </c>
      <c r="H1488" s="38">
        <f t="shared" si="339"/>
        <v>0</v>
      </c>
      <c r="I1488" s="37">
        <f t="shared" si="340"/>
        <v>0</v>
      </c>
      <c r="J1488" s="38">
        <v>0</v>
      </c>
      <c r="K1488" s="37">
        <f t="shared" si="341"/>
        <v>0</v>
      </c>
      <c r="L1488" s="38">
        <v>0</v>
      </c>
    </row>
    <row r="1489" spans="1:12" s="39" customFormat="1" ht="28.95" customHeight="1" outlineLevel="1" x14ac:dyDescent="0.25">
      <c r="A1489" s="33">
        <v>4</v>
      </c>
      <c r="B1489" s="34" t="s">
        <v>594</v>
      </c>
      <c r="C1489" s="35" t="s">
        <v>55</v>
      </c>
      <c r="D1489" s="36">
        <v>1</v>
      </c>
      <c r="E1489" s="36">
        <v>14.002599999999999</v>
      </c>
      <c r="F1489" s="36">
        <f t="shared" si="337"/>
        <v>14.002599999999999</v>
      </c>
      <c r="G1489" s="37">
        <f t="shared" si="338"/>
        <v>0</v>
      </c>
      <c r="H1489" s="38">
        <f t="shared" si="339"/>
        <v>0</v>
      </c>
      <c r="I1489" s="37">
        <f t="shared" si="340"/>
        <v>0</v>
      </c>
      <c r="J1489" s="38">
        <v>0</v>
      </c>
      <c r="K1489" s="37">
        <f t="shared" si="341"/>
        <v>0</v>
      </c>
      <c r="L1489" s="38">
        <v>0</v>
      </c>
    </row>
    <row r="1490" spans="1:12" s="39" customFormat="1" ht="15.45" customHeight="1" outlineLevel="1" x14ac:dyDescent="0.25">
      <c r="A1490" s="33">
        <v>5</v>
      </c>
      <c r="B1490" s="34" t="s">
        <v>1053</v>
      </c>
      <c r="C1490" s="35" t="s">
        <v>55</v>
      </c>
      <c r="D1490" s="36">
        <v>5</v>
      </c>
      <c r="E1490" s="36">
        <v>1.4137999999999999</v>
      </c>
      <c r="F1490" s="36">
        <f t="shared" si="337"/>
        <v>7.069</v>
      </c>
      <c r="G1490" s="37">
        <f t="shared" si="338"/>
        <v>0</v>
      </c>
      <c r="H1490" s="38">
        <f t="shared" si="339"/>
        <v>0</v>
      </c>
      <c r="I1490" s="37">
        <f t="shared" si="340"/>
        <v>0</v>
      </c>
      <c r="J1490" s="38">
        <v>0</v>
      </c>
      <c r="K1490" s="37">
        <f t="shared" si="341"/>
        <v>0</v>
      </c>
      <c r="L1490" s="38">
        <v>0</v>
      </c>
    </row>
    <row r="1491" spans="1:12" s="39" customFormat="1" ht="15.45" customHeight="1" outlineLevel="1" x14ac:dyDescent="0.25">
      <c r="A1491" s="33">
        <v>6</v>
      </c>
      <c r="B1491" s="34" t="s">
        <v>1054</v>
      </c>
      <c r="C1491" s="35" t="s">
        <v>55</v>
      </c>
      <c r="D1491" s="36">
        <v>1</v>
      </c>
      <c r="E1491" s="36">
        <v>3.3212000000000002</v>
      </c>
      <c r="F1491" s="36">
        <f t="shared" si="337"/>
        <v>3.3212000000000002</v>
      </c>
      <c r="G1491" s="37">
        <f t="shared" si="338"/>
        <v>0</v>
      </c>
      <c r="H1491" s="38">
        <f t="shared" si="339"/>
        <v>0</v>
      </c>
      <c r="I1491" s="37">
        <f t="shared" si="340"/>
        <v>0</v>
      </c>
      <c r="J1491" s="38">
        <v>0</v>
      </c>
      <c r="K1491" s="37">
        <f t="shared" si="341"/>
        <v>0</v>
      </c>
      <c r="L1491" s="38">
        <v>0</v>
      </c>
    </row>
    <row r="1492" spans="1:12" s="39" customFormat="1" ht="28.95" customHeight="1" outlineLevel="1" x14ac:dyDescent="0.25">
      <c r="A1492" s="33">
        <v>7</v>
      </c>
      <c r="B1492" s="34" t="s">
        <v>1055</v>
      </c>
      <c r="C1492" s="35" t="s">
        <v>55</v>
      </c>
      <c r="D1492" s="36">
        <v>1</v>
      </c>
      <c r="E1492" s="36">
        <v>9.7064000000000004</v>
      </c>
      <c r="F1492" s="36">
        <f t="shared" si="337"/>
        <v>9.7064000000000004</v>
      </c>
      <c r="G1492" s="37">
        <f t="shared" si="338"/>
        <v>0</v>
      </c>
      <c r="H1492" s="38">
        <f t="shared" si="339"/>
        <v>0</v>
      </c>
      <c r="I1492" s="37">
        <f t="shared" si="340"/>
        <v>0</v>
      </c>
      <c r="J1492" s="38">
        <v>0</v>
      </c>
      <c r="K1492" s="37">
        <f t="shared" si="341"/>
        <v>0</v>
      </c>
      <c r="L1492" s="38">
        <v>0</v>
      </c>
    </row>
    <row r="1493" spans="1:12" s="46" customFormat="1" ht="15.45" customHeight="1" outlineLevel="1" x14ac:dyDescent="0.35">
      <c r="A1493" s="33">
        <v>8</v>
      </c>
      <c r="B1493" s="34" t="s">
        <v>604</v>
      </c>
      <c r="C1493" s="35" t="s">
        <v>115</v>
      </c>
      <c r="D1493" s="36">
        <v>1</v>
      </c>
      <c r="E1493" s="36">
        <v>134.3912</v>
      </c>
      <c r="F1493" s="36">
        <f t="shared" si="337"/>
        <v>134.3912</v>
      </c>
      <c r="G1493" s="37">
        <f t="shared" si="338"/>
        <v>0</v>
      </c>
      <c r="H1493" s="38">
        <f t="shared" si="339"/>
        <v>0</v>
      </c>
      <c r="I1493" s="37">
        <f t="shared" si="340"/>
        <v>0</v>
      </c>
      <c r="J1493" s="38">
        <v>0</v>
      </c>
      <c r="K1493" s="37">
        <f t="shared" si="341"/>
        <v>0</v>
      </c>
      <c r="L1493" s="38">
        <v>0</v>
      </c>
    </row>
    <row r="1494" spans="1:12" s="39" customFormat="1" ht="15.45" customHeight="1" outlineLevel="1" x14ac:dyDescent="0.25">
      <c r="A1494" s="33">
        <v>9</v>
      </c>
      <c r="B1494" s="34" t="s">
        <v>605</v>
      </c>
      <c r="C1494" s="35" t="s">
        <v>55</v>
      </c>
      <c r="D1494" s="36">
        <v>1</v>
      </c>
      <c r="E1494" s="36">
        <v>16.807600000000001</v>
      </c>
      <c r="F1494" s="36">
        <f t="shared" si="337"/>
        <v>16.807600000000001</v>
      </c>
      <c r="G1494" s="37">
        <f t="shared" si="338"/>
        <v>0</v>
      </c>
      <c r="H1494" s="38">
        <f t="shared" si="339"/>
        <v>0</v>
      </c>
      <c r="I1494" s="37">
        <f t="shared" si="340"/>
        <v>0</v>
      </c>
      <c r="J1494" s="38">
        <v>0</v>
      </c>
      <c r="K1494" s="37">
        <f t="shared" si="341"/>
        <v>0</v>
      </c>
      <c r="L1494" s="38">
        <v>0</v>
      </c>
    </row>
    <row r="1495" spans="1:12" s="45" customFormat="1" ht="28.95" customHeight="1" x14ac:dyDescent="0.3">
      <c r="A1495" s="33">
        <v>10</v>
      </c>
      <c r="B1495" s="34" t="s">
        <v>1056</v>
      </c>
      <c r="C1495" s="35" t="s">
        <v>55</v>
      </c>
      <c r="D1495" s="36">
        <v>1</v>
      </c>
      <c r="E1495" s="36">
        <v>6.5444000000000004</v>
      </c>
      <c r="F1495" s="36">
        <f t="shared" si="337"/>
        <v>6.5444000000000004</v>
      </c>
      <c r="G1495" s="37">
        <f t="shared" si="338"/>
        <v>0</v>
      </c>
      <c r="H1495" s="38">
        <f t="shared" si="339"/>
        <v>0</v>
      </c>
      <c r="I1495" s="37">
        <f t="shared" si="340"/>
        <v>0</v>
      </c>
      <c r="J1495" s="38">
        <v>0</v>
      </c>
      <c r="K1495" s="37">
        <f t="shared" si="341"/>
        <v>0</v>
      </c>
      <c r="L1495" s="38">
        <v>0</v>
      </c>
    </row>
    <row r="1496" spans="1:12" s="39" customFormat="1" ht="28.95" customHeight="1" outlineLevel="1" x14ac:dyDescent="0.25">
      <c r="A1496" s="33">
        <v>11</v>
      </c>
      <c r="B1496" s="34" t="s">
        <v>1057</v>
      </c>
      <c r="C1496" s="35" t="s">
        <v>55</v>
      </c>
      <c r="D1496" s="36">
        <v>1</v>
      </c>
      <c r="E1496" s="36">
        <v>7.0135999999999994</v>
      </c>
      <c r="F1496" s="36">
        <f t="shared" si="337"/>
        <v>7.0135999999999994</v>
      </c>
      <c r="G1496" s="37">
        <f t="shared" si="338"/>
        <v>0</v>
      </c>
      <c r="H1496" s="38">
        <f t="shared" si="339"/>
        <v>0</v>
      </c>
      <c r="I1496" s="37">
        <f t="shared" si="340"/>
        <v>0</v>
      </c>
      <c r="J1496" s="38">
        <v>0</v>
      </c>
      <c r="K1496" s="37">
        <f t="shared" si="341"/>
        <v>0</v>
      </c>
      <c r="L1496" s="38">
        <v>0</v>
      </c>
    </row>
    <row r="1497" spans="1:12" s="39" customFormat="1" ht="15.45" customHeight="1" outlineLevel="1" x14ac:dyDescent="0.25">
      <c r="A1497" s="33">
        <v>12</v>
      </c>
      <c r="B1497" s="34" t="s">
        <v>612</v>
      </c>
      <c r="C1497" s="35" t="s">
        <v>55</v>
      </c>
      <c r="D1497" s="36">
        <v>2</v>
      </c>
      <c r="E1497" s="36">
        <v>9.1780000000000008</v>
      </c>
      <c r="F1497" s="36">
        <f t="shared" si="337"/>
        <v>18.356000000000002</v>
      </c>
      <c r="G1497" s="37">
        <f t="shared" si="338"/>
        <v>0</v>
      </c>
      <c r="H1497" s="38">
        <f t="shared" si="339"/>
        <v>0</v>
      </c>
      <c r="I1497" s="37">
        <f t="shared" si="340"/>
        <v>0</v>
      </c>
      <c r="J1497" s="38">
        <v>0</v>
      </c>
      <c r="K1497" s="37">
        <f t="shared" si="341"/>
        <v>0</v>
      </c>
      <c r="L1497" s="38">
        <v>0</v>
      </c>
    </row>
    <row r="1498" spans="1:12" s="39" customFormat="1" ht="15.45" customHeight="1" outlineLevel="1" x14ac:dyDescent="0.25">
      <c r="A1498" s="33">
        <v>13</v>
      </c>
      <c r="B1498" s="34" t="s">
        <v>613</v>
      </c>
      <c r="C1498" s="35" t="s">
        <v>55</v>
      </c>
      <c r="D1498" s="36">
        <v>2</v>
      </c>
      <c r="E1498" s="36">
        <v>0.9</v>
      </c>
      <c r="F1498" s="36">
        <f t="shared" si="337"/>
        <v>1.8</v>
      </c>
      <c r="G1498" s="37">
        <f t="shared" si="338"/>
        <v>0</v>
      </c>
      <c r="H1498" s="38">
        <f t="shared" si="339"/>
        <v>0</v>
      </c>
      <c r="I1498" s="37">
        <f t="shared" si="340"/>
        <v>0</v>
      </c>
      <c r="J1498" s="38">
        <v>0</v>
      </c>
      <c r="K1498" s="37">
        <f t="shared" si="341"/>
        <v>0</v>
      </c>
      <c r="L1498" s="38">
        <v>0</v>
      </c>
    </row>
    <row r="1499" spans="1:12" s="39" customFormat="1" ht="15.45" customHeight="1" outlineLevel="1" x14ac:dyDescent="0.25">
      <c r="A1499" s="33">
        <v>14</v>
      </c>
      <c r="B1499" s="34" t="s">
        <v>549</v>
      </c>
      <c r="C1499" s="35" t="s">
        <v>55</v>
      </c>
      <c r="D1499" s="36">
        <v>2</v>
      </c>
      <c r="E1499" s="36">
        <v>0.9</v>
      </c>
      <c r="F1499" s="36">
        <f t="shared" si="337"/>
        <v>1.8</v>
      </c>
      <c r="G1499" s="37">
        <f t="shared" si="338"/>
        <v>0</v>
      </c>
      <c r="H1499" s="38">
        <f t="shared" si="339"/>
        <v>0</v>
      </c>
      <c r="I1499" s="37">
        <f t="shared" si="340"/>
        <v>0</v>
      </c>
      <c r="J1499" s="38">
        <v>0</v>
      </c>
      <c r="K1499" s="37">
        <f t="shared" si="341"/>
        <v>0</v>
      </c>
      <c r="L1499" s="38">
        <v>0</v>
      </c>
    </row>
    <row r="1500" spans="1:12" s="39" customFormat="1" ht="15.45" customHeight="1" outlineLevel="1" x14ac:dyDescent="0.25">
      <c r="A1500" s="33">
        <v>15</v>
      </c>
      <c r="B1500" s="34" t="s">
        <v>806</v>
      </c>
      <c r="C1500" s="35" t="s">
        <v>55</v>
      </c>
      <c r="D1500" s="36">
        <v>1</v>
      </c>
      <c r="E1500" s="36">
        <v>82.779199999999989</v>
      </c>
      <c r="F1500" s="36">
        <f t="shared" si="337"/>
        <v>82.779199999999989</v>
      </c>
      <c r="G1500" s="37">
        <f t="shared" si="338"/>
        <v>0</v>
      </c>
      <c r="H1500" s="38">
        <f t="shared" si="339"/>
        <v>0</v>
      </c>
      <c r="I1500" s="37">
        <f t="shared" si="340"/>
        <v>0</v>
      </c>
      <c r="J1500" s="38">
        <v>0</v>
      </c>
      <c r="K1500" s="37">
        <f t="shared" si="341"/>
        <v>0</v>
      </c>
      <c r="L1500" s="38">
        <v>0</v>
      </c>
    </row>
    <row r="1501" spans="1:12" s="39" customFormat="1" ht="15.45" customHeight="1" outlineLevel="1" x14ac:dyDescent="0.25">
      <c r="A1501" s="33">
        <v>16</v>
      </c>
      <c r="B1501" s="34" t="s">
        <v>1058</v>
      </c>
      <c r="C1501" s="35" t="s">
        <v>55</v>
      </c>
      <c r="D1501" s="36">
        <v>5</v>
      </c>
      <c r="E1501" s="36">
        <v>1.2505999999999999</v>
      </c>
      <c r="F1501" s="36">
        <f t="shared" si="337"/>
        <v>6.2530000000000001</v>
      </c>
      <c r="G1501" s="37">
        <f t="shared" si="338"/>
        <v>0</v>
      </c>
      <c r="H1501" s="38">
        <f t="shared" si="339"/>
        <v>0</v>
      </c>
      <c r="I1501" s="37">
        <f t="shared" si="340"/>
        <v>0</v>
      </c>
      <c r="J1501" s="38">
        <v>0</v>
      </c>
      <c r="K1501" s="37">
        <f t="shared" si="341"/>
        <v>0</v>
      </c>
      <c r="L1501" s="38">
        <v>0</v>
      </c>
    </row>
    <row r="1502" spans="1:12" s="39" customFormat="1" ht="15.45" customHeight="1" outlineLevel="1" x14ac:dyDescent="0.25">
      <c r="A1502" s="33">
        <v>17</v>
      </c>
      <c r="B1502" s="34" t="s">
        <v>653</v>
      </c>
      <c r="C1502" s="35" t="s">
        <v>55</v>
      </c>
      <c r="D1502" s="36">
        <v>5</v>
      </c>
      <c r="E1502" s="36">
        <v>13.2784</v>
      </c>
      <c r="F1502" s="36">
        <f t="shared" si="337"/>
        <v>66.391999999999996</v>
      </c>
      <c r="G1502" s="37">
        <f t="shared" si="338"/>
        <v>0</v>
      </c>
      <c r="H1502" s="38">
        <f t="shared" si="339"/>
        <v>0</v>
      </c>
      <c r="I1502" s="37">
        <f t="shared" si="340"/>
        <v>0</v>
      </c>
      <c r="J1502" s="38">
        <v>0</v>
      </c>
      <c r="K1502" s="37">
        <f t="shared" si="341"/>
        <v>0</v>
      </c>
      <c r="L1502" s="38">
        <v>0</v>
      </c>
    </row>
    <row r="1503" spans="1:12" s="39" customFormat="1" ht="28.95" customHeight="1" outlineLevel="1" x14ac:dyDescent="0.25">
      <c r="A1503" s="33">
        <v>18</v>
      </c>
      <c r="B1503" s="34" t="s">
        <v>1059</v>
      </c>
      <c r="C1503" s="35" t="s">
        <v>50</v>
      </c>
      <c r="D1503" s="36">
        <v>40</v>
      </c>
      <c r="E1503" s="36">
        <v>0.9</v>
      </c>
      <c r="F1503" s="36">
        <f t="shared" si="337"/>
        <v>36</v>
      </c>
      <c r="G1503" s="37">
        <f t="shared" si="338"/>
        <v>0</v>
      </c>
      <c r="H1503" s="38">
        <f t="shared" si="339"/>
        <v>0</v>
      </c>
      <c r="I1503" s="37">
        <f t="shared" si="340"/>
        <v>0</v>
      </c>
      <c r="J1503" s="38">
        <v>0</v>
      </c>
      <c r="K1503" s="37">
        <f t="shared" si="341"/>
        <v>0</v>
      </c>
      <c r="L1503" s="38">
        <v>0</v>
      </c>
    </row>
    <row r="1504" spans="1:12" s="39" customFormat="1" ht="28.95" customHeight="1" outlineLevel="1" x14ac:dyDescent="0.25">
      <c r="A1504" s="33">
        <v>19</v>
      </c>
      <c r="B1504" s="34" t="s">
        <v>554</v>
      </c>
      <c r="C1504" s="35" t="s">
        <v>50</v>
      </c>
      <c r="D1504" s="36">
        <v>40</v>
      </c>
      <c r="E1504" s="36">
        <v>2.242</v>
      </c>
      <c r="F1504" s="36">
        <f t="shared" si="337"/>
        <v>89.68</v>
      </c>
      <c r="G1504" s="37">
        <f t="shared" si="338"/>
        <v>0</v>
      </c>
      <c r="H1504" s="38">
        <f t="shared" si="339"/>
        <v>0</v>
      </c>
      <c r="I1504" s="37">
        <f t="shared" si="340"/>
        <v>0</v>
      </c>
      <c r="J1504" s="38">
        <v>0</v>
      </c>
      <c r="K1504" s="37">
        <f t="shared" si="341"/>
        <v>0</v>
      </c>
      <c r="L1504" s="38">
        <v>0</v>
      </c>
    </row>
    <row r="1505" spans="1:12" s="45" customFormat="1" ht="15.45" customHeight="1" x14ac:dyDescent="0.3">
      <c r="A1505" s="33">
        <v>20</v>
      </c>
      <c r="B1505" s="34" t="s">
        <v>564</v>
      </c>
      <c r="C1505" s="35" t="s">
        <v>50</v>
      </c>
      <c r="D1505" s="36">
        <v>40</v>
      </c>
      <c r="E1505" s="36">
        <v>2.2999999999999998</v>
      </c>
      <c r="F1505" s="36">
        <f t="shared" si="337"/>
        <v>92</v>
      </c>
      <c r="G1505" s="37">
        <f t="shared" si="338"/>
        <v>0</v>
      </c>
      <c r="H1505" s="38">
        <f t="shared" si="339"/>
        <v>0</v>
      </c>
      <c r="I1505" s="37">
        <f t="shared" si="340"/>
        <v>0</v>
      </c>
      <c r="J1505" s="38">
        <v>0</v>
      </c>
      <c r="K1505" s="37">
        <f t="shared" si="341"/>
        <v>0</v>
      </c>
      <c r="L1505" s="38">
        <v>0</v>
      </c>
    </row>
    <row r="1506" spans="1:12" s="39" customFormat="1" ht="28.95" customHeight="1" outlineLevel="1" x14ac:dyDescent="0.25">
      <c r="A1506" s="33">
        <v>21</v>
      </c>
      <c r="B1506" s="34" t="s">
        <v>617</v>
      </c>
      <c r="C1506" s="35" t="s">
        <v>50</v>
      </c>
      <c r="D1506" s="36">
        <v>40</v>
      </c>
      <c r="E1506" s="36">
        <v>2.0379999999999998</v>
      </c>
      <c r="F1506" s="36">
        <f t="shared" si="337"/>
        <v>81.52</v>
      </c>
      <c r="G1506" s="37">
        <f t="shared" si="338"/>
        <v>0</v>
      </c>
      <c r="H1506" s="38">
        <f t="shared" si="339"/>
        <v>0</v>
      </c>
      <c r="I1506" s="37">
        <f t="shared" si="340"/>
        <v>0</v>
      </c>
      <c r="J1506" s="38">
        <v>0</v>
      </c>
      <c r="K1506" s="37">
        <f t="shared" si="341"/>
        <v>0</v>
      </c>
      <c r="L1506" s="38">
        <v>0</v>
      </c>
    </row>
    <row r="1507" spans="1:12" s="39" customFormat="1" ht="28.95" customHeight="1" outlineLevel="1" x14ac:dyDescent="0.25">
      <c r="A1507" s="33">
        <v>22</v>
      </c>
      <c r="B1507" s="34" t="s">
        <v>1060</v>
      </c>
      <c r="C1507" s="35" t="s">
        <v>55</v>
      </c>
      <c r="D1507" s="36">
        <v>1</v>
      </c>
      <c r="E1507" s="36">
        <v>51.811999999999998</v>
      </c>
      <c r="F1507" s="36">
        <f t="shared" si="337"/>
        <v>51.811999999999998</v>
      </c>
      <c r="G1507" s="37">
        <f t="shared" si="338"/>
        <v>0</v>
      </c>
      <c r="H1507" s="38">
        <f t="shared" si="339"/>
        <v>0</v>
      </c>
      <c r="I1507" s="37">
        <f t="shared" si="340"/>
        <v>0</v>
      </c>
      <c r="J1507" s="38">
        <v>0</v>
      </c>
      <c r="K1507" s="37">
        <f t="shared" si="341"/>
        <v>0</v>
      </c>
      <c r="L1507" s="38">
        <v>0</v>
      </c>
    </row>
    <row r="1508" spans="1:12" s="39" customFormat="1" ht="28.95" customHeight="1" outlineLevel="1" x14ac:dyDescent="0.25">
      <c r="A1508" s="33">
        <v>23</v>
      </c>
      <c r="B1508" s="34" t="s">
        <v>521</v>
      </c>
      <c r="C1508" s="35" t="s">
        <v>55</v>
      </c>
      <c r="D1508" s="36">
        <v>1</v>
      </c>
      <c r="E1508" s="36">
        <v>36.146799999999999</v>
      </c>
      <c r="F1508" s="36">
        <f t="shared" si="337"/>
        <v>36.146799999999999</v>
      </c>
      <c r="G1508" s="37">
        <f t="shared" si="338"/>
        <v>0</v>
      </c>
      <c r="H1508" s="38">
        <f t="shared" si="339"/>
        <v>0</v>
      </c>
      <c r="I1508" s="37">
        <f t="shared" si="340"/>
        <v>0</v>
      </c>
      <c r="J1508" s="38">
        <v>0</v>
      </c>
      <c r="K1508" s="37">
        <f t="shared" si="341"/>
        <v>0</v>
      </c>
      <c r="L1508" s="38">
        <v>0</v>
      </c>
    </row>
    <row r="1509" spans="1:12" s="39" customFormat="1" ht="15.45" customHeight="1" outlineLevel="1" x14ac:dyDescent="0.25">
      <c r="A1509" s="33">
        <v>24</v>
      </c>
      <c r="B1509" s="34" t="s">
        <v>511</v>
      </c>
      <c r="C1509" s="35" t="s">
        <v>55</v>
      </c>
      <c r="D1509" s="36">
        <v>1</v>
      </c>
      <c r="E1509" s="36">
        <v>20.79</v>
      </c>
      <c r="F1509" s="36">
        <f t="shared" si="337"/>
        <v>20.79</v>
      </c>
      <c r="G1509" s="37">
        <f t="shared" si="338"/>
        <v>0</v>
      </c>
      <c r="H1509" s="38">
        <f t="shared" si="339"/>
        <v>0</v>
      </c>
      <c r="I1509" s="37">
        <f t="shared" si="340"/>
        <v>0</v>
      </c>
      <c r="J1509" s="38">
        <v>0</v>
      </c>
      <c r="K1509" s="37">
        <f t="shared" si="341"/>
        <v>0</v>
      </c>
      <c r="L1509" s="38">
        <v>0</v>
      </c>
    </row>
    <row r="1510" spans="1:12" s="39" customFormat="1" ht="15.45" customHeight="1" outlineLevel="1" x14ac:dyDescent="0.25">
      <c r="A1510" s="33">
        <v>25</v>
      </c>
      <c r="B1510" s="34" t="s">
        <v>1061</v>
      </c>
      <c r="C1510" s="35" t="s">
        <v>55</v>
      </c>
      <c r="D1510" s="36">
        <v>6</v>
      </c>
      <c r="E1510" s="36">
        <v>20.498000000000001</v>
      </c>
      <c r="F1510" s="36">
        <f t="shared" si="337"/>
        <v>122.988</v>
      </c>
      <c r="G1510" s="37">
        <f t="shared" si="338"/>
        <v>0</v>
      </c>
      <c r="H1510" s="38">
        <f t="shared" si="339"/>
        <v>0</v>
      </c>
      <c r="I1510" s="37">
        <f t="shared" si="340"/>
        <v>0</v>
      </c>
      <c r="J1510" s="38">
        <v>0</v>
      </c>
      <c r="K1510" s="37">
        <f t="shared" si="341"/>
        <v>0</v>
      </c>
      <c r="L1510" s="38">
        <v>0</v>
      </c>
    </row>
    <row r="1511" spans="1:12" s="39" customFormat="1" ht="15.45" customHeight="1" outlineLevel="1" x14ac:dyDescent="0.25">
      <c r="A1511" s="33">
        <v>26</v>
      </c>
      <c r="B1511" s="34" t="s">
        <v>523</v>
      </c>
      <c r="C1511" s="35" t="s">
        <v>55</v>
      </c>
      <c r="D1511" s="36">
        <v>7</v>
      </c>
      <c r="E1511" s="36">
        <v>4.3921999999999999</v>
      </c>
      <c r="F1511" s="36">
        <f t="shared" si="337"/>
        <v>30.7454</v>
      </c>
      <c r="G1511" s="37">
        <f t="shared" si="338"/>
        <v>0</v>
      </c>
      <c r="H1511" s="38">
        <f t="shared" si="339"/>
        <v>0</v>
      </c>
      <c r="I1511" s="37">
        <f t="shared" si="340"/>
        <v>0</v>
      </c>
      <c r="J1511" s="38">
        <v>0</v>
      </c>
      <c r="K1511" s="37">
        <f t="shared" si="341"/>
        <v>0</v>
      </c>
      <c r="L1511" s="38">
        <v>0</v>
      </c>
    </row>
    <row r="1512" spans="1:12" s="39" customFormat="1" ht="15.45" customHeight="1" outlineLevel="1" x14ac:dyDescent="0.25">
      <c r="A1512" s="33">
        <v>27</v>
      </c>
      <c r="B1512" s="34" t="s">
        <v>528</v>
      </c>
      <c r="C1512" s="35" t="s">
        <v>55</v>
      </c>
      <c r="D1512" s="36">
        <v>3</v>
      </c>
      <c r="E1512" s="36">
        <v>4.3921999999999999</v>
      </c>
      <c r="F1512" s="36">
        <f t="shared" si="337"/>
        <v>13.176600000000001</v>
      </c>
      <c r="G1512" s="37">
        <f t="shared" si="338"/>
        <v>0</v>
      </c>
      <c r="H1512" s="38">
        <f t="shared" si="339"/>
        <v>0</v>
      </c>
      <c r="I1512" s="37">
        <f t="shared" si="340"/>
        <v>0</v>
      </c>
      <c r="J1512" s="38">
        <v>0</v>
      </c>
      <c r="K1512" s="37">
        <f t="shared" si="341"/>
        <v>0</v>
      </c>
      <c r="L1512" s="38">
        <v>0</v>
      </c>
    </row>
    <row r="1513" spans="1:12" s="39" customFormat="1" ht="15.45" customHeight="1" outlineLevel="1" x14ac:dyDescent="0.25">
      <c r="A1513" s="33">
        <v>28</v>
      </c>
      <c r="B1513" s="34" t="s">
        <v>513</v>
      </c>
      <c r="C1513" s="35" t="s">
        <v>55</v>
      </c>
      <c r="D1513" s="36">
        <v>17</v>
      </c>
      <c r="E1513" s="36">
        <v>14.879799999999999</v>
      </c>
      <c r="F1513" s="36">
        <f t="shared" si="337"/>
        <v>252.95659999999998</v>
      </c>
      <c r="G1513" s="37">
        <f t="shared" si="338"/>
        <v>0</v>
      </c>
      <c r="H1513" s="38">
        <f t="shared" si="339"/>
        <v>0</v>
      </c>
      <c r="I1513" s="37">
        <f t="shared" si="340"/>
        <v>0</v>
      </c>
      <c r="J1513" s="38">
        <v>0</v>
      </c>
      <c r="K1513" s="37">
        <f t="shared" si="341"/>
        <v>0</v>
      </c>
      <c r="L1513" s="38">
        <v>0</v>
      </c>
    </row>
    <row r="1514" spans="1:12" s="45" customFormat="1" ht="15.45" customHeight="1" x14ac:dyDescent="0.3">
      <c r="A1514" s="33">
        <v>29</v>
      </c>
      <c r="B1514" s="34" t="s">
        <v>1062</v>
      </c>
      <c r="C1514" s="35" t="s">
        <v>55</v>
      </c>
      <c r="D1514" s="36">
        <v>1</v>
      </c>
      <c r="E1514" s="36">
        <v>10.930400000000001</v>
      </c>
      <c r="F1514" s="36">
        <f t="shared" si="337"/>
        <v>10.930400000000001</v>
      </c>
      <c r="G1514" s="37">
        <f t="shared" si="338"/>
        <v>0</v>
      </c>
      <c r="H1514" s="38">
        <f t="shared" si="339"/>
        <v>0</v>
      </c>
      <c r="I1514" s="37">
        <f t="shared" si="340"/>
        <v>0</v>
      </c>
      <c r="J1514" s="38">
        <v>0</v>
      </c>
      <c r="K1514" s="37">
        <f t="shared" si="341"/>
        <v>0</v>
      </c>
      <c r="L1514" s="38">
        <v>0</v>
      </c>
    </row>
    <row r="1515" spans="1:12" s="39" customFormat="1" ht="15.45" customHeight="1" outlineLevel="1" x14ac:dyDescent="0.25">
      <c r="A1515" s="33">
        <v>30</v>
      </c>
      <c r="B1515" s="34" t="s">
        <v>513</v>
      </c>
      <c r="C1515" s="35" t="s">
        <v>55</v>
      </c>
      <c r="D1515" s="36">
        <v>1</v>
      </c>
      <c r="E1515" s="36">
        <v>14.879799999999999</v>
      </c>
      <c r="F1515" s="36">
        <f t="shared" si="337"/>
        <v>14.879799999999999</v>
      </c>
      <c r="G1515" s="37">
        <f t="shared" si="338"/>
        <v>0</v>
      </c>
      <c r="H1515" s="38">
        <f t="shared" si="339"/>
        <v>0</v>
      </c>
      <c r="I1515" s="37">
        <f t="shared" si="340"/>
        <v>0</v>
      </c>
      <c r="J1515" s="38">
        <v>0</v>
      </c>
      <c r="K1515" s="37">
        <f t="shared" si="341"/>
        <v>0</v>
      </c>
      <c r="L1515" s="38">
        <v>0</v>
      </c>
    </row>
    <row r="1516" spans="1:12" s="39" customFormat="1" ht="15.45" customHeight="1" outlineLevel="1" x14ac:dyDescent="0.25">
      <c r="A1516" s="33">
        <v>31</v>
      </c>
      <c r="B1516" s="34" t="s">
        <v>616</v>
      </c>
      <c r="C1516" s="35" t="s">
        <v>50</v>
      </c>
      <c r="D1516" s="36">
        <v>3</v>
      </c>
      <c r="E1516" s="36">
        <v>4.4499999999999993</v>
      </c>
      <c r="F1516" s="36">
        <f t="shared" si="337"/>
        <v>13.349999999999998</v>
      </c>
      <c r="G1516" s="37">
        <f t="shared" si="338"/>
        <v>0</v>
      </c>
      <c r="H1516" s="38">
        <f t="shared" si="339"/>
        <v>0</v>
      </c>
      <c r="I1516" s="37">
        <f t="shared" si="340"/>
        <v>0</v>
      </c>
      <c r="J1516" s="38">
        <v>0</v>
      </c>
      <c r="K1516" s="37">
        <f t="shared" si="341"/>
        <v>0</v>
      </c>
      <c r="L1516" s="38">
        <v>0</v>
      </c>
    </row>
    <row r="1517" spans="1:12" s="39" customFormat="1" ht="15.45" customHeight="1" outlineLevel="1" x14ac:dyDescent="0.25">
      <c r="A1517" s="33">
        <v>32</v>
      </c>
      <c r="B1517" s="34" t="s">
        <v>566</v>
      </c>
      <c r="C1517" s="35" t="s">
        <v>50</v>
      </c>
      <c r="D1517" s="36">
        <v>2</v>
      </c>
      <c r="E1517" s="36">
        <v>6.2209999999999992</v>
      </c>
      <c r="F1517" s="36">
        <f t="shared" si="337"/>
        <v>12.441999999999998</v>
      </c>
      <c r="G1517" s="37">
        <f t="shared" si="338"/>
        <v>0</v>
      </c>
      <c r="H1517" s="38">
        <f t="shared" si="339"/>
        <v>0</v>
      </c>
      <c r="I1517" s="37">
        <f t="shared" si="340"/>
        <v>0</v>
      </c>
      <c r="J1517" s="38">
        <v>0</v>
      </c>
      <c r="K1517" s="37">
        <f t="shared" si="341"/>
        <v>0</v>
      </c>
      <c r="L1517" s="38">
        <v>0</v>
      </c>
    </row>
    <row r="1518" spans="1:12" s="39" customFormat="1" ht="15.45" customHeight="1" outlineLevel="1" x14ac:dyDescent="0.25">
      <c r="A1518" s="33">
        <v>33</v>
      </c>
      <c r="B1518" s="34" t="s">
        <v>1063</v>
      </c>
      <c r="C1518" s="35" t="s">
        <v>55</v>
      </c>
      <c r="D1518" s="36">
        <v>4</v>
      </c>
      <c r="E1518" s="36">
        <v>15.887600000000001</v>
      </c>
      <c r="F1518" s="36">
        <f t="shared" ref="F1518:F1549" si="342">+E1518*D1518</f>
        <v>63.550400000000003</v>
      </c>
      <c r="G1518" s="37">
        <f t="shared" ref="G1518:G1535" si="343">I1518+K1518</f>
        <v>0</v>
      </c>
      <c r="H1518" s="38">
        <f t="shared" ref="H1518:H1535" si="344">J1518+L1518</f>
        <v>0</v>
      </c>
      <c r="I1518" s="37">
        <f t="shared" ref="I1518:I1549" si="345">J1518/F1518</f>
        <v>0</v>
      </c>
      <c r="J1518" s="38">
        <v>0</v>
      </c>
      <c r="K1518" s="37">
        <f t="shared" ref="K1518:K1549" si="346">L1518/F1518</f>
        <v>0</v>
      </c>
      <c r="L1518" s="38">
        <v>0</v>
      </c>
    </row>
    <row r="1519" spans="1:12" s="39" customFormat="1" ht="15.45" customHeight="1" outlineLevel="1" x14ac:dyDescent="0.25">
      <c r="A1519" s="33">
        <v>34</v>
      </c>
      <c r="B1519" s="34" t="s">
        <v>1064</v>
      </c>
      <c r="C1519" s="35" t="s">
        <v>55</v>
      </c>
      <c r="D1519" s="36">
        <v>2</v>
      </c>
      <c r="E1519" s="36">
        <v>20.844799999999999</v>
      </c>
      <c r="F1519" s="36">
        <f t="shared" si="342"/>
        <v>41.689599999999999</v>
      </c>
      <c r="G1519" s="37">
        <f t="shared" si="343"/>
        <v>0</v>
      </c>
      <c r="H1519" s="38">
        <f t="shared" si="344"/>
        <v>0</v>
      </c>
      <c r="I1519" s="37">
        <f t="shared" si="345"/>
        <v>0</v>
      </c>
      <c r="J1519" s="38">
        <v>0</v>
      </c>
      <c r="K1519" s="37">
        <f t="shared" si="346"/>
        <v>0</v>
      </c>
      <c r="L1519" s="38">
        <v>0</v>
      </c>
    </row>
    <row r="1520" spans="1:12" s="39" customFormat="1" ht="28.95" customHeight="1" outlineLevel="1" x14ac:dyDescent="0.25">
      <c r="A1520" s="33">
        <v>35</v>
      </c>
      <c r="B1520" s="34" t="s">
        <v>533</v>
      </c>
      <c r="C1520" s="35" t="s">
        <v>55</v>
      </c>
      <c r="D1520" s="36">
        <v>6</v>
      </c>
      <c r="E1520" s="36">
        <v>29.598400000000002</v>
      </c>
      <c r="F1520" s="36">
        <f t="shared" si="342"/>
        <v>177.59040000000002</v>
      </c>
      <c r="G1520" s="37">
        <f t="shared" si="343"/>
        <v>0</v>
      </c>
      <c r="H1520" s="38">
        <f t="shared" si="344"/>
        <v>0</v>
      </c>
      <c r="I1520" s="37">
        <f t="shared" si="345"/>
        <v>0</v>
      </c>
      <c r="J1520" s="38">
        <v>0</v>
      </c>
      <c r="K1520" s="37">
        <f t="shared" si="346"/>
        <v>0</v>
      </c>
      <c r="L1520" s="38">
        <v>0</v>
      </c>
    </row>
    <row r="1521" spans="1:12" s="39" customFormat="1" ht="15.45" customHeight="1" outlineLevel="1" x14ac:dyDescent="0.25">
      <c r="A1521" s="33">
        <v>36</v>
      </c>
      <c r="B1521" s="34" t="s">
        <v>1065</v>
      </c>
      <c r="C1521" s="35" t="s">
        <v>55</v>
      </c>
      <c r="D1521" s="36">
        <v>6</v>
      </c>
      <c r="E1521" s="36">
        <v>13.990399999999999</v>
      </c>
      <c r="F1521" s="36">
        <f t="shared" si="342"/>
        <v>83.942399999999992</v>
      </c>
      <c r="G1521" s="37">
        <f t="shared" si="343"/>
        <v>0</v>
      </c>
      <c r="H1521" s="38">
        <f t="shared" si="344"/>
        <v>0</v>
      </c>
      <c r="I1521" s="37">
        <f t="shared" si="345"/>
        <v>0</v>
      </c>
      <c r="J1521" s="38">
        <v>0</v>
      </c>
      <c r="K1521" s="37">
        <f t="shared" si="346"/>
        <v>0</v>
      </c>
      <c r="L1521" s="38">
        <v>0</v>
      </c>
    </row>
    <row r="1522" spans="1:12" s="39" customFormat="1" ht="43.5" customHeight="1" outlineLevel="1" x14ac:dyDescent="0.25">
      <c r="A1522" s="33">
        <v>37</v>
      </c>
      <c r="B1522" s="34" t="s">
        <v>535</v>
      </c>
      <c r="C1522" s="35" t="s">
        <v>55</v>
      </c>
      <c r="D1522" s="36">
        <v>6</v>
      </c>
      <c r="E1522" s="36">
        <v>21.183399999999999</v>
      </c>
      <c r="F1522" s="36">
        <f t="shared" si="342"/>
        <v>127.10039999999999</v>
      </c>
      <c r="G1522" s="37">
        <f t="shared" si="343"/>
        <v>0</v>
      </c>
      <c r="H1522" s="38">
        <f t="shared" si="344"/>
        <v>0</v>
      </c>
      <c r="I1522" s="37">
        <f t="shared" si="345"/>
        <v>0</v>
      </c>
      <c r="J1522" s="38">
        <v>0</v>
      </c>
      <c r="K1522" s="37">
        <f t="shared" si="346"/>
        <v>0</v>
      </c>
      <c r="L1522" s="38">
        <v>0</v>
      </c>
    </row>
    <row r="1523" spans="1:12" s="39" customFormat="1" ht="28.95" customHeight="1" outlineLevel="1" x14ac:dyDescent="0.25">
      <c r="A1523" s="33">
        <v>38</v>
      </c>
      <c r="B1523" s="34" t="s">
        <v>1066</v>
      </c>
      <c r="C1523" s="35" t="s">
        <v>50</v>
      </c>
      <c r="D1523" s="36">
        <v>139</v>
      </c>
      <c r="E1523" s="36">
        <v>0.9</v>
      </c>
      <c r="F1523" s="36">
        <f t="shared" si="342"/>
        <v>125.10000000000001</v>
      </c>
      <c r="G1523" s="37">
        <f t="shared" si="343"/>
        <v>0</v>
      </c>
      <c r="H1523" s="38">
        <f t="shared" si="344"/>
        <v>0</v>
      </c>
      <c r="I1523" s="37">
        <f t="shared" si="345"/>
        <v>0</v>
      </c>
      <c r="J1523" s="38">
        <v>0</v>
      </c>
      <c r="K1523" s="37">
        <f t="shared" si="346"/>
        <v>0</v>
      </c>
      <c r="L1523" s="38">
        <v>0</v>
      </c>
    </row>
    <row r="1524" spans="1:12" s="39" customFormat="1" ht="28.95" customHeight="1" outlineLevel="1" x14ac:dyDescent="0.25">
      <c r="A1524" s="33">
        <v>39</v>
      </c>
      <c r="B1524" s="34" t="s">
        <v>554</v>
      </c>
      <c r="C1524" s="35" t="s">
        <v>50</v>
      </c>
      <c r="D1524" s="36">
        <v>139</v>
      </c>
      <c r="E1524" s="36">
        <v>2.242</v>
      </c>
      <c r="F1524" s="36">
        <f t="shared" si="342"/>
        <v>311.63799999999998</v>
      </c>
      <c r="G1524" s="37">
        <f t="shared" si="343"/>
        <v>0</v>
      </c>
      <c r="H1524" s="38">
        <f t="shared" si="344"/>
        <v>0</v>
      </c>
      <c r="I1524" s="37">
        <f t="shared" si="345"/>
        <v>0</v>
      </c>
      <c r="J1524" s="38">
        <v>0</v>
      </c>
      <c r="K1524" s="37">
        <f t="shared" si="346"/>
        <v>0</v>
      </c>
      <c r="L1524" s="38">
        <v>0</v>
      </c>
    </row>
    <row r="1525" spans="1:12" s="39" customFormat="1" ht="15.45" customHeight="1" outlineLevel="1" x14ac:dyDescent="0.25">
      <c r="A1525" s="33">
        <v>40</v>
      </c>
      <c r="B1525" s="34" t="s">
        <v>558</v>
      </c>
      <c r="C1525" s="35" t="s">
        <v>50</v>
      </c>
      <c r="D1525" s="36">
        <v>18</v>
      </c>
      <c r="E1525" s="36">
        <v>2.7704</v>
      </c>
      <c r="F1525" s="36">
        <f t="shared" si="342"/>
        <v>49.867199999999997</v>
      </c>
      <c r="G1525" s="37">
        <f t="shared" si="343"/>
        <v>0</v>
      </c>
      <c r="H1525" s="38">
        <f t="shared" si="344"/>
        <v>0</v>
      </c>
      <c r="I1525" s="37">
        <f t="shared" si="345"/>
        <v>0</v>
      </c>
      <c r="J1525" s="38">
        <v>0</v>
      </c>
      <c r="K1525" s="37">
        <f t="shared" si="346"/>
        <v>0</v>
      </c>
      <c r="L1525" s="38">
        <v>0</v>
      </c>
    </row>
    <row r="1526" spans="1:12" s="39" customFormat="1" ht="28.95" customHeight="1" outlineLevel="1" x14ac:dyDescent="0.25">
      <c r="A1526" s="33">
        <v>41</v>
      </c>
      <c r="B1526" s="34" t="s">
        <v>559</v>
      </c>
      <c r="C1526" s="35" t="s">
        <v>50</v>
      </c>
      <c r="D1526" s="36">
        <v>18</v>
      </c>
      <c r="E1526" s="36">
        <v>2.548</v>
      </c>
      <c r="F1526" s="36">
        <f t="shared" si="342"/>
        <v>45.864000000000004</v>
      </c>
      <c r="G1526" s="37">
        <f t="shared" si="343"/>
        <v>0</v>
      </c>
      <c r="H1526" s="38">
        <f t="shared" si="344"/>
        <v>0</v>
      </c>
      <c r="I1526" s="37">
        <f t="shared" si="345"/>
        <v>0</v>
      </c>
      <c r="J1526" s="38">
        <v>0</v>
      </c>
      <c r="K1526" s="37">
        <f t="shared" si="346"/>
        <v>0</v>
      </c>
      <c r="L1526" s="38">
        <v>0</v>
      </c>
    </row>
    <row r="1527" spans="1:12" s="39" customFormat="1" ht="15.45" customHeight="1" outlineLevel="1" x14ac:dyDescent="0.25">
      <c r="A1527" s="33">
        <v>42</v>
      </c>
      <c r="B1527" s="34" t="s">
        <v>564</v>
      </c>
      <c r="C1527" s="35" t="s">
        <v>50</v>
      </c>
      <c r="D1527" s="36">
        <v>97</v>
      </c>
      <c r="E1527" s="36">
        <v>2.2999999999999998</v>
      </c>
      <c r="F1527" s="36">
        <f t="shared" si="342"/>
        <v>223.1</v>
      </c>
      <c r="G1527" s="37">
        <f t="shared" si="343"/>
        <v>0</v>
      </c>
      <c r="H1527" s="38">
        <f t="shared" si="344"/>
        <v>0</v>
      </c>
      <c r="I1527" s="37">
        <f t="shared" si="345"/>
        <v>0</v>
      </c>
      <c r="J1527" s="38">
        <v>0</v>
      </c>
      <c r="K1527" s="37">
        <f t="shared" si="346"/>
        <v>0</v>
      </c>
      <c r="L1527" s="38">
        <v>0</v>
      </c>
    </row>
    <row r="1528" spans="1:12" s="39" customFormat="1" ht="15.45" customHeight="1" outlineLevel="1" x14ac:dyDescent="0.25">
      <c r="A1528" s="33">
        <v>43</v>
      </c>
      <c r="B1528" s="34" t="s">
        <v>1067</v>
      </c>
      <c r="C1528" s="35" t="s">
        <v>50</v>
      </c>
      <c r="D1528" s="36">
        <v>60</v>
      </c>
      <c r="E1528" s="36">
        <v>3.52</v>
      </c>
      <c r="F1528" s="36">
        <f t="shared" si="342"/>
        <v>211.2</v>
      </c>
      <c r="G1528" s="37">
        <f t="shared" si="343"/>
        <v>0</v>
      </c>
      <c r="H1528" s="38">
        <f t="shared" si="344"/>
        <v>0</v>
      </c>
      <c r="I1528" s="37">
        <f t="shared" si="345"/>
        <v>0</v>
      </c>
      <c r="J1528" s="38">
        <v>0</v>
      </c>
      <c r="K1528" s="37">
        <f t="shared" si="346"/>
        <v>0</v>
      </c>
      <c r="L1528" s="38">
        <v>0</v>
      </c>
    </row>
    <row r="1529" spans="1:12" s="39" customFormat="1" ht="28.95" customHeight="1" outlineLevel="1" x14ac:dyDescent="0.25">
      <c r="A1529" s="33">
        <v>44</v>
      </c>
      <c r="B1529" s="34" t="s">
        <v>617</v>
      </c>
      <c r="C1529" s="35" t="s">
        <v>50</v>
      </c>
      <c r="D1529" s="36">
        <v>157</v>
      </c>
      <c r="E1529" s="36">
        <v>2.0379999999999998</v>
      </c>
      <c r="F1529" s="36">
        <f t="shared" si="342"/>
        <v>319.96599999999995</v>
      </c>
      <c r="G1529" s="37">
        <f t="shared" si="343"/>
        <v>0</v>
      </c>
      <c r="H1529" s="38">
        <f t="shared" si="344"/>
        <v>0</v>
      </c>
      <c r="I1529" s="37">
        <f t="shared" si="345"/>
        <v>0</v>
      </c>
      <c r="J1529" s="38">
        <v>0</v>
      </c>
      <c r="K1529" s="37">
        <f t="shared" si="346"/>
        <v>0</v>
      </c>
      <c r="L1529" s="38">
        <v>0</v>
      </c>
    </row>
    <row r="1530" spans="1:12" s="39" customFormat="1" ht="15.45" customHeight="1" outlineLevel="1" x14ac:dyDescent="0.25">
      <c r="A1530" s="33">
        <v>45</v>
      </c>
      <c r="B1530" s="34" t="s">
        <v>1068</v>
      </c>
      <c r="C1530" s="35" t="s">
        <v>289</v>
      </c>
      <c r="D1530" s="36">
        <v>23.4</v>
      </c>
      <c r="E1530" s="36">
        <v>1.4239999999999999</v>
      </c>
      <c r="F1530" s="36">
        <f t="shared" si="342"/>
        <v>33.321599999999997</v>
      </c>
      <c r="G1530" s="37">
        <f t="shared" si="343"/>
        <v>0</v>
      </c>
      <c r="H1530" s="38">
        <f t="shared" si="344"/>
        <v>0</v>
      </c>
      <c r="I1530" s="37">
        <f t="shared" si="345"/>
        <v>0</v>
      </c>
      <c r="J1530" s="38">
        <v>0</v>
      </c>
      <c r="K1530" s="37">
        <f t="shared" si="346"/>
        <v>0</v>
      </c>
      <c r="L1530" s="38">
        <v>0</v>
      </c>
    </row>
    <row r="1531" spans="1:12" s="39" customFormat="1" ht="15.45" customHeight="1" outlineLevel="1" x14ac:dyDescent="0.25">
      <c r="A1531" s="33">
        <v>46</v>
      </c>
      <c r="B1531" s="34" t="s">
        <v>574</v>
      </c>
      <c r="C1531" s="35" t="s">
        <v>55</v>
      </c>
      <c r="D1531" s="36">
        <v>3</v>
      </c>
      <c r="E1531" s="36">
        <v>11.116</v>
      </c>
      <c r="F1531" s="36">
        <f t="shared" si="342"/>
        <v>33.347999999999999</v>
      </c>
      <c r="G1531" s="37">
        <f t="shared" si="343"/>
        <v>0</v>
      </c>
      <c r="H1531" s="38">
        <f t="shared" si="344"/>
        <v>0</v>
      </c>
      <c r="I1531" s="37">
        <f t="shared" si="345"/>
        <v>0</v>
      </c>
      <c r="J1531" s="38">
        <v>0</v>
      </c>
      <c r="K1531" s="37">
        <f t="shared" si="346"/>
        <v>0</v>
      </c>
      <c r="L1531" s="38">
        <v>0</v>
      </c>
    </row>
    <row r="1532" spans="1:12" s="39" customFormat="1" ht="15.45" customHeight="1" outlineLevel="1" x14ac:dyDescent="0.25">
      <c r="A1532" s="33">
        <v>47</v>
      </c>
      <c r="B1532" s="34" t="s">
        <v>575</v>
      </c>
      <c r="C1532" s="35" t="s">
        <v>50</v>
      </c>
      <c r="D1532" s="36">
        <v>20</v>
      </c>
      <c r="E1532" s="36">
        <v>4.9429999999999996</v>
      </c>
      <c r="F1532" s="36">
        <f t="shared" si="342"/>
        <v>98.859999999999985</v>
      </c>
      <c r="G1532" s="37">
        <f t="shared" si="343"/>
        <v>0</v>
      </c>
      <c r="H1532" s="38">
        <f t="shared" si="344"/>
        <v>0</v>
      </c>
      <c r="I1532" s="37">
        <f t="shared" si="345"/>
        <v>0</v>
      </c>
      <c r="J1532" s="38">
        <v>0</v>
      </c>
      <c r="K1532" s="37">
        <f t="shared" si="346"/>
        <v>0</v>
      </c>
      <c r="L1532" s="38">
        <v>0</v>
      </c>
    </row>
    <row r="1533" spans="1:12" s="39" customFormat="1" ht="28.95" customHeight="1" outlineLevel="1" x14ac:dyDescent="0.25">
      <c r="A1533" s="33">
        <v>48</v>
      </c>
      <c r="B1533" s="34" t="s">
        <v>576</v>
      </c>
      <c r="C1533" s="35" t="s">
        <v>50</v>
      </c>
      <c r="D1533" s="36">
        <v>20</v>
      </c>
      <c r="E1533" s="36">
        <v>2.2624</v>
      </c>
      <c r="F1533" s="36">
        <f t="shared" si="342"/>
        <v>45.247999999999998</v>
      </c>
      <c r="G1533" s="37">
        <f t="shared" si="343"/>
        <v>0</v>
      </c>
      <c r="H1533" s="38">
        <f t="shared" si="344"/>
        <v>0</v>
      </c>
      <c r="I1533" s="37">
        <f t="shared" si="345"/>
        <v>0</v>
      </c>
      <c r="J1533" s="38">
        <v>0</v>
      </c>
      <c r="K1533" s="37">
        <f t="shared" si="346"/>
        <v>0</v>
      </c>
      <c r="L1533" s="38">
        <v>0</v>
      </c>
    </row>
    <row r="1534" spans="1:12" s="45" customFormat="1" ht="15.45" customHeight="1" x14ac:dyDescent="0.3">
      <c r="A1534" s="33">
        <v>49</v>
      </c>
      <c r="B1534" s="34" t="s">
        <v>577</v>
      </c>
      <c r="C1534" s="35" t="s">
        <v>50</v>
      </c>
      <c r="D1534" s="36">
        <v>15</v>
      </c>
      <c r="E1534" s="36">
        <v>7.3807999999999998</v>
      </c>
      <c r="F1534" s="36">
        <f t="shared" si="342"/>
        <v>110.712</v>
      </c>
      <c r="G1534" s="37">
        <f t="shared" si="343"/>
        <v>0</v>
      </c>
      <c r="H1534" s="38">
        <f t="shared" si="344"/>
        <v>0</v>
      </c>
      <c r="I1534" s="37">
        <f t="shared" si="345"/>
        <v>0</v>
      </c>
      <c r="J1534" s="38">
        <v>0</v>
      </c>
      <c r="K1534" s="37">
        <f t="shared" si="346"/>
        <v>0</v>
      </c>
      <c r="L1534" s="38">
        <v>0</v>
      </c>
    </row>
    <row r="1535" spans="1:12" s="39" customFormat="1" ht="15.45" customHeight="1" outlineLevel="1" x14ac:dyDescent="0.25">
      <c r="A1535" s="33">
        <v>50</v>
      </c>
      <c r="B1535" s="34" t="s">
        <v>578</v>
      </c>
      <c r="C1535" s="35" t="s">
        <v>50</v>
      </c>
      <c r="D1535" s="36">
        <v>15</v>
      </c>
      <c r="E1535" s="36">
        <v>2.2317999999999998</v>
      </c>
      <c r="F1535" s="36">
        <f t="shared" si="342"/>
        <v>33.476999999999997</v>
      </c>
      <c r="G1535" s="37">
        <f t="shared" si="343"/>
        <v>0</v>
      </c>
      <c r="H1535" s="38">
        <f t="shared" si="344"/>
        <v>0</v>
      </c>
      <c r="I1535" s="37">
        <f t="shared" si="345"/>
        <v>0</v>
      </c>
      <c r="J1535" s="38">
        <v>0</v>
      </c>
      <c r="K1535" s="37">
        <f t="shared" si="346"/>
        <v>0</v>
      </c>
      <c r="L1535" s="38">
        <v>0</v>
      </c>
    </row>
    <row r="1536" spans="1:12" s="39" customFormat="1" ht="15.45" customHeight="1" outlineLevel="1" x14ac:dyDescent="0.25">
      <c r="A1536" s="31" t="s">
        <v>1069</v>
      </c>
      <c r="B1536" s="40" t="s">
        <v>1070</v>
      </c>
      <c r="C1536" s="41">
        <v>0</v>
      </c>
      <c r="D1536" s="42"/>
      <c r="E1536" s="42"/>
      <c r="F1536" s="42"/>
      <c r="G1536" s="43"/>
      <c r="H1536" s="44"/>
      <c r="I1536" s="43"/>
      <c r="J1536" s="44"/>
      <c r="K1536" s="43"/>
      <c r="L1536" s="44">
        <v>0</v>
      </c>
    </row>
    <row r="1537" spans="1:12" s="46" customFormat="1" ht="15.45" customHeight="1" outlineLevel="1" x14ac:dyDescent="0.35">
      <c r="A1537" s="33">
        <v>1</v>
      </c>
      <c r="B1537" s="34" t="s">
        <v>1071</v>
      </c>
      <c r="C1537" s="35" t="s">
        <v>55</v>
      </c>
      <c r="D1537" s="36">
        <v>1</v>
      </c>
      <c r="E1537" s="36">
        <v>437.87180000000001</v>
      </c>
      <c r="F1537" s="36">
        <f t="shared" ref="F1537:F1554" si="347">+E1537*D1537</f>
        <v>437.87180000000001</v>
      </c>
      <c r="G1537" s="37">
        <f t="shared" ref="G1537:G1554" si="348">I1537+K1537</f>
        <v>0</v>
      </c>
      <c r="H1537" s="38">
        <f t="shared" ref="H1537:H1554" si="349">J1537+L1537</f>
        <v>0</v>
      </c>
      <c r="I1537" s="37">
        <f t="shared" ref="I1537:I1554" si="350">J1537/F1537</f>
        <v>0</v>
      </c>
      <c r="J1537" s="38">
        <v>0</v>
      </c>
      <c r="K1537" s="37">
        <f t="shared" ref="K1537:K1554" si="351">L1537/F1537</f>
        <v>0</v>
      </c>
      <c r="L1537" s="38">
        <v>0</v>
      </c>
    </row>
    <row r="1538" spans="1:12" s="39" customFormat="1" ht="15.45" customHeight="1" outlineLevel="1" x14ac:dyDescent="0.25">
      <c r="A1538" s="33">
        <v>2</v>
      </c>
      <c r="B1538" s="34" t="s">
        <v>1072</v>
      </c>
      <c r="C1538" s="35" t="s">
        <v>55</v>
      </c>
      <c r="D1538" s="36">
        <v>1</v>
      </c>
      <c r="E1538" s="36">
        <v>48.519399999999997</v>
      </c>
      <c r="F1538" s="36">
        <f t="shared" si="347"/>
        <v>48.519399999999997</v>
      </c>
      <c r="G1538" s="37">
        <f t="shared" si="348"/>
        <v>0</v>
      </c>
      <c r="H1538" s="38">
        <f t="shared" si="349"/>
        <v>0</v>
      </c>
      <c r="I1538" s="37">
        <f t="shared" si="350"/>
        <v>0</v>
      </c>
      <c r="J1538" s="38">
        <v>0</v>
      </c>
      <c r="K1538" s="37">
        <f t="shared" si="351"/>
        <v>0</v>
      </c>
      <c r="L1538" s="38">
        <v>0</v>
      </c>
    </row>
    <row r="1539" spans="1:12" s="39" customFormat="1" ht="28.95" customHeight="1" outlineLevel="1" x14ac:dyDescent="0.25">
      <c r="A1539" s="33">
        <v>3</v>
      </c>
      <c r="B1539" s="34" t="s">
        <v>624</v>
      </c>
      <c r="C1539" s="35" t="s">
        <v>55</v>
      </c>
      <c r="D1539" s="36">
        <v>2</v>
      </c>
      <c r="E1539" s="36">
        <v>18.784400000000002</v>
      </c>
      <c r="F1539" s="36">
        <f t="shared" si="347"/>
        <v>37.568800000000003</v>
      </c>
      <c r="G1539" s="37">
        <f t="shared" si="348"/>
        <v>0</v>
      </c>
      <c r="H1539" s="38">
        <f t="shared" si="349"/>
        <v>0</v>
      </c>
      <c r="I1539" s="37">
        <f t="shared" si="350"/>
        <v>0</v>
      </c>
      <c r="J1539" s="38">
        <v>0</v>
      </c>
      <c r="K1539" s="37">
        <f t="shared" si="351"/>
        <v>0</v>
      </c>
      <c r="L1539" s="38">
        <v>0</v>
      </c>
    </row>
    <row r="1540" spans="1:12" s="39" customFormat="1" ht="28.95" customHeight="1" outlineLevel="1" x14ac:dyDescent="0.25">
      <c r="A1540" s="33">
        <v>4</v>
      </c>
      <c r="B1540" s="34" t="s">
        <v>1073</v>
      </c>
      <c r="C1540" s="35" t="s">
        <v>55</v>
      </c>
      <c r="D1540" s="36">
        <v>1</v>
      </c>
      <c r="E1540" s="36">
        <v>22.905200000000001</v>
      </c>
      <c r="F1540" s="36">
        <f t="shared" si="347"/>
        <v>22.905200000000001</v>
      </c>
      <c r="G1540" s="37">
        <f t="shared" si="348"/>
        <v>0</v>
      </c>
      <c r="H1540" s="38">
        <f t="shared" si="349"/>
        <v>0</v>
      </c>
      <c r="I1540" s="37">
        <f t="shared" si="350"/>
        <v>0</v>
      </c>
      <c r="J1540" s="38">
        <v>0</v>
      </c>
      <c r="K1540" s="37">
        <f t="shared" si="351"/>
        <v>0</v>
      </c>
      <c r="L1540" s="38">
        <v>0</v>
      </c>
    </row>
    <row r="1541" spans="1:12" s="39" customFormat="1" ht="28.95" customHeight="1" outlineLevel="1" x14ac:dyDescent="0.25">
      <c r="A1541" s="33">
        <v>5</v>
      </c>
      <c r="B1541" s="34" t="s">
        <v>1074</v>
      </c>
      <c r="C1541" s="35" t="s">
        <v>55</v>
      </c>
      <c r="D1541" s="36">
        <v>3</v>
      </c>
      <c r="E1541" s="36">
        <v>27.2014</v>
      </c>
      <c r="F1541" s="36">
        <f t="shared" si="347"/>
        <v>81.604199999999992</v>
      </c>
      <c r="G1541" s="37">
        <f t="shared" si="348"/>
        <v>0</v>
      </c>
      <c r="H1541" s="38">
        <f t="shared" si="349"/>
        <v>0</v>
      </c>
      <c r="I1541" s="37">
        <f t="shared" si="350"/>
        <v>0</v>
      </c>
      <c r="J1541" s="38">
        <v>0</v>
      </c>
      <c r="K1541" s="37">
        <f t="shared" si="351"/>
        <v>0</v>
      </c>
      <c r="L1541" s="38">
        <v>0</v>
      </c>
    </row>
    <row r="1542" spans="1:12" s="39" customFormat="1" ht="28.95" customHeight="1" outlineLevel="1" x14ac:dyDescent="0.25">
      <c r="A1542" s="33">
        <v>6</v>
      </c>
      <c r="B1542" s="34" t="s">
        <v>627</v>
      </c>
      <c r="C1542" s="35" t="s">
        <v>55</v>
      </c>
      <c r="D1542" s="36">
        <v>2</v>
      </c>
      <c r="E1542" s="36">
        <v>22.905200000000001</v>
      </c>
      <c r="F1542" s="36">
        <f t="shared" si="347"/>
        <v>45.810400000000001</v>
      </c>
      <c r="G1542" s="37">
        <f t="shared" si="348"/>
        <v>0</v>
      </c>
      <c r="H1542" s="38">
        <f t="shared" si="349"/>
        <v>0</v>
      </c>
      <c r="I1542" s="37">
        <f t="shared" si="350"/>
        <v>0</v>
      </c>
      <c r="J1542" s="38">
        <v>0</v>
      </c>
      <c r="K1542" s="37">
        <f t="shared" si="351"/>
        <v>0</v>
      </c>
      <c r="L1542" s="38">
        <v>0</v>
      </c>
    </row>
    <row r="1543" spans="1:12" s="39" customFormat="1" ht="28.95" customHeight="1" outlineLevel="1" x14ac:dyDescent="0.25">
      <c r="A1543" s="33">
        <v>7</v>
      </c>
      <c r="B1543" s="34" t="s">
        <v>1075</v>
      </c>
      <c r="C1543" s="35" t="s">
        <v>55</v>
      </c>
      <c r="D1543" s="36">
        <v>2</v>
      </c>
      <c r="E1543" s="36">
        <v>11.779</v>
      </c>
      <c r="F1543" s="36">
        <f t="shared" si="347"/>
        <v>23.558</v>
      </c>
      <c r="G1543" s="37">
        <f t="shared" si="348"/>
        <v>0</v>
      </c>
      <c r="H1543" s="38">
        <f t="shared" si="349"/>
        <v>0</v>
      </c>
      <c r="I1543" s="37">
        <f t="shared" si="350"/>
        <v>0</v>
      </c>
      <c r="J1543" s="38">
        <v>0</v>
      </c>
      <c r="K1543" s="37">
        <f t="shared" si="351"/>
        <v>0</v>
      </c>
      <c r="L1543" s="38">
        <v>0</v>
      </c>
    </row>
    <row r="1544" spans="1:12" s="39" customFormat="1" ht="15.45" customHeight="1" outlineLevel="1" x14ac:dyDescent="0.25">
      <c r="A1544" s="33">
        <v>8</v>
      </c>
      <c r="B1544" s="34" t="s">
        <v>629</v>
      </c>
      <c r="C1544" s="35" t="s">
        <v>50</v>
      </c>
      <c r="D1544" s="36">
        <v>20</v>
      </c>
      <c r="E1544" s="36">
        <v>0.9</v>
      </c>
      <c r="F1544" s="36">
        <f t="shared" si="347"/>
        <v>18</v>
      </c>
      <c r="G1544" s="37">
        <f t="shared" si="348"/>
        <v>0</v>
      </c>
      <c r="H1544" s="38">
        <f t="shared" si="349"/>
        <v>0</v>
      </c>
      <c r="I1544" s="37">
        <f t="shared" si="350"/>
        <v>0</v>
      </c>
      <c r="J1544" s="38">
        <v>0</v>
      </c>
      <c r="K1544" s="37">
        <f t="shared" si="351"/>
        <v>0</v>
      </c>
      <c r="L1544" s="38">
        <v>0</v>
      </c>
    </row>
    <row r="1545" spans="1:12" s="39" customFormat="1" ht="28.95" customHeight="1" outlineLevel="1" x14ac:dyDescent="0.25">
      <c r="A1545" s="33">
        <v>9</v>
      </c>
      <c r="B1545" s="34" t="s">
        <v>617</v>
      </c>
      <c r="C1545" s="35" t="s">
        <v>50</v>
      </c>
      <c r="D1545" s="36">
        <v>20</v>
      </c>
      <c r="E1545" s="36">
        <v>2.0175999999999998</v>
      </c>
      <c r="F1545" s="36">
        <f t="shared" si="347"/>
        <v>40.351999999999997</v>
      </c>
      <c r="G1545" s="37">
        <f t="shared" si="348"/>
        <v>0</v>
      </c>
      <c r="H1545" s="38">
        <f t="shared" si="349"/>
        <v>0</v>
      </c>
      <c r="I1545" s="37">
        <f t="shared" si="350"/>
        <v>0</v>
      </c>
      <c r="J1545" s="38">
        <v>0</v>
      </c>
      <c r="K1545" s="37">
        <f t="shared" si="351"/>
        <v>0</v>
      </c>
      <c r="L1545" s="38">
        <v>0</v>
      </c>
    </row>
    <row r="1546" spans="1:12" s="39" customFormat="1" ht="28.95" customHeight="1" outlineLevel="1" x14ac:dyDescent="0.25">
      <c r="A1546" s="33">
        <v>10</v>
      </c>
      <c r="B1546" s="34" t="s">
        <v>1076</v>
      </c>
      <c r="C1546" s="35" t="s">
        <v>55</v>
      </c>
      <c r="D1546" s="36">
        <v>1</v>
      </c>
      <c r="E1546" s="36">
        <v>39.429200000000002</v>
      </c>
      <c r="F1546" s="36">
        <f t="shared" si="347"/>
        <v>39.429200000000002</v>
      </c>
      <c r="G1546" s="37">
        <f t="shared" si="348"/>
        <v>0</v>
      </c>
      <c r="H1546" s="38">
        <f t="shared" si="349"/>
        <v>0</v>
      </c>
      <c r="I1546" s="37">
        <f t="shared" si="350"/>
        <v>0</v>
      </c>
      <c r="J1546" s="38">
        <v>0</v>
      </c>
      <c r="K1546" s="37">
        <f t="shared" si="351"/>
        <v>0</v>
      </c>
      <c r="L1546" s="38">
        <v>0</v>
      </c>
    </row>
    <row r="1547" spans="1:12" s="39" customFormat="1" ht="15.45" customHeight="1" outlineLevel="1" x14ac:dyDescent="0.25">
      <c r="A1547" s="33">
        <v>11</v>
      </c>
      <c r="B1547" s="34" t="s">
        <v>631</v>
      </c>
      <c r="C1547" s="35" t="s">
        <v>55</v>
      </c>
      <c r="D1547" s="36">
        <v>1</v>
      </c>
      <c r="E1547" s="36">
        <v>51.946599999999997</v>
      </c>
      <c r="F1547" s="36">
        <f t="shared" si="347"/>
        <v>51.946599999999997</v>
      </c>
      <c r="G1547" s="37">
        <f t="shared" si="348"/>
        <v>0</v>
      </c>
      <c r="H1547" s="38">
        <f t="shared" si="349"/>
        <v>0</v>
      </c>
      <c r="I1547" s="37">
        <f t="shared" si="350"/>
        <v>0</v>
      </c>
      <c r="J1547" s="38">
        <v>0</v>
      </c>
      <c r="K1547" s="37">
        <f t="shared" si="351"/>
        <v>0</v>
      </c>
      <c r="L1547" s="38">
        <v>0</v>
      </c>
    </row>
    <row r="1548" spans="1:12" s="39" customFormat="1" ht="15.45" customHeight="1" outlineLevel="1" x14ac:dyDescent="0.25">
      <c r="A1548" s="33">
        <v>12</v>
      </c>
      <c r="B1548" s="34" t="s">
        <v>1077</v>
      </c>
      <c r="C1548" s="35" t="s">
        <v>55</v>
      </c>
      <c r="D1548" s="36">
        <v>2</v>
      </c>
      <c r="E1548" s="36">
        <v>2.6785999999999999</v>
      </c>
      <c r="F1548" s="36">
        <f t="shared" si="347"/>
        <v>5.3571999999999997</v>
      </c>
      <c r="G1548" s="37">
        <f t="shared" si="348"/>
        <v>0</v>
      </c>
      <c r="H1548" s="38">
        <f t="shared" si="349"/>
        <v>0</v>
      </c>
      <c r="I1548" s="37">
        <f t="shared" si="350"/>
        <v>0</v>
      </c>
      <c r="J1548" s="38">
        <v>0</v>
      </c>
      <c r="K1548" s="37">
        <f t="shared" si="351"/>
        <v>0</v>
      </c>
      <c r="L1548" s="38">
        <v>0</v>
      </c>
    </row>
    <row r="1549" spans="1:12" s="46" customFormat="1" ht="15.45" customHeight="1" outlineLevel="1" x14ac:dyDescent="0.35">
      <c r="A1549" s="33">
        <v>13</v>
      </c>
      <c r="B1549" s="34" t="s">
        <v>1078</v>
      </c>
      <c r="C1549" s="35" t="s">
        <v>50</v>
      </c>
      <c r="D1549" s="36">
        <v>10</v>
      </c>
      <c r="E1549" s="36">
        <v>0.9</v>
      </c>
      <c r="F1549" s="36">
        <f t="shared" si="347"/>
        <v>9</v>
      </c>
      <c r="G1549" s="37">
        <f t="shared" si="348"/>
        <v>0</v>
      </c>
      <c r="H1549" s="38">
        <f t="shared" si="349"/>
        <v>0</v>
      </c>
      <c r="I1549" s="37">
        <f t="shared" si="350"/>
        <v>0</v>
      </c>
      <c r="J1549" s="38">
        <v>0</v>
      </c>
      <c r="K1549" s="37">
        <f t="shared" si="351"/>
        <v>0</v>
      </c>
      <c r="L1549" s="38">
        <v>0</v>
      </c>
    </row>
    <row r="1550" spans="1:12" s="39" customFormat="1" ht="28.95" customHeight="1" outlineLevel="1" x14ac:dyDescent="0.25">
      <c r="A1550" s="33">
        <v>14</v>
      </c>
      <c r="B1550" s="34" t="s">
        <v>617</v>
      </c>
      <c r="C1550" s="35" t="s">
        <v>50</v>
      </c>
      <c r="D1550" s="36">
        <v>10</v>
      </c>
      <c r="E1550" s="36">
        <v>2.0175999999999998</v>
      </c>
      <c r="F1550" s="36">
        <f t="shared" si="347"/>
        <v>20.175999999999998</v>
      </c>
      <c r="G1550" s="37">
        <f t="shared" si="348"/>
        <v>0</v>
      </c>
      <c r="H1550" s="38">
        <f t="shared" si="349"/>
        <v>0</v>
      </c>
      <c r="I1550" s="37">
        <f t="shared" si="350"/>
        <v>0</v>
      </c>
      <c r="J1550" s="38">
        <v>0</v>
      </c>
      <c r="K1550" s="37">
        <f t="shared" si="351"/>
        <v>0</v>
      </c>
      <c r="L1550" s="38">
        <v>0</v>
      </c>
    </row>
    <row r="1551" spans="1:12" s="39" customFormat="1" ht="43.5" customHeight="1" outlineLevel="1" x14ac:dyDescent="0.25">
      <c r="A1551" s="33">
        <v>15</v>
      </c>
      <c r="B1551" s="34" t="s">
        <v>1079</v>
      </c>
      <c r="C1551" s="35" t="s">
        <v>50</v>
      </c>
      <c r="D1551" s="36">
        <v>5</v>
      </c>
      <c r="E1551" s="36">
        <v>1.8728</v>
      </c>
      <c r="F1551" s="36">
        <f t="shared" si="347"/>
        <v>9.3640000000000008</v>
      </c>
      <c r="G1551" s="37">
        <f t="shared" si="348"/>
        <v>0</v>
      </c>
      <c r="H1551" s="38">
        <f t="shared" si="349"/>
        <v>0</v>
      </c>
      <c r="I1551" s="37">
        <f t="shared" si="350"/>
        <v>0</v>
      </c>
      <c r="J1551" s="38">
        <v>0</v>
      </c>
      <c r="K1551" s="37">
        <f t="shared" si="351"/>
        <v>0</v>
      </c>
      <c r="L1551" s="38">
        <v>0</v>
      </c>
    </row>
    <row r="1552" spans="1:12" s="39" customFormat="1" ht="28.95" customHeight="1" outlineLevel="1" x14ac:dyDescent="0.25">
      <c r="A1552" s="33">
        <v>16</v>
      </c>
      <c r="B1552" s="34" t="s">
        <v>557</v>
      </c>
      <c r="C1552" s="35" t="s">
        <v>50</v>
      </c>
      <c r="D1552" s="36">
        <v>5</v>
      </c>
      <c r="E1552" s="36">
        <v>2.4664000000000001</v>
      </c>
      <c r="F1552" s="36">
        <f t="shared" si="347"/>
        <v>12.332000000000001</v>
      </c>
      <c r="G1552" s="37">
        <f t="shared" si="348"/>
        <v>0</v>
      </c>
      <c r="H1552" s="38">
        <f t="shared" si="349"/>
        <v>0</v>
      </c>
      <c r="I1552" s="37">
        <f t="shared" si="350"/>
        <v>0</v>
      </c>
      <c r="J1552" s="38">
        <v>0</v>
      </c>
      <c r="K1552" s="37">
        <f t="shared" si="351"/>
        <v>0</v>
      </c>
      <c r="L1552" s="38">
        <v>0</v>
      </c>
    </row>
    <row r="1553" spans="1:12" s="46" customFormat="1" ht="28.95" customHeight="1" outlineLevel="1" x14ac:dyDescent="0.35">
      <c r="A1553" s="33">
        <v>17</v>
      </c>
      <c r="B1553" s="34" t="s">
        <v>1080</v>
      </c>
      <c r="C1553" s="35" t="s">
        <v>50</v>
      </c>
      <c r="D1553" s="36">
        <v>15</v>
      </c>
      <c r="E1553" s="36">
        <v>0.9</v>
      </c>
      <c r="F1553" s="36">
        <f t="shared" si="347"/>
        <v>13.5</v>
      </c>
      <c r="G1553" s="37">
        <f t="shared" si="348"/>
        <v>0</v>
      </c>
      <c r="H1553" s="38">
        <f t="shared" si="349"/>
        <v>0</v>
      </c>
      <c r="I1553" s="37">
        <f t="shared" si="350"/>
        <v>0</v>
      </c>
      <c r="J1553" s="38">
        <v>0</v>
      </c>
      <c r="K1553" s="37">
        <f t="shared" si="351"/>
        <v>0</v>
      </c>
      <c r="L1553" s="38">
        <v>0</v>
      </c>
    </row>
    <row r="1554" spans="1:12" s="39" customFormat="1" ht="28.95" customHeight="1" outlineLevel="1" x14ac:dyDescent="0.25">
      <c r="A1554" s="33">
        <v>18</v>
      </c>
      <c r="B1554" s="34" t="s">
        <v>554</v>
      </c>
      <c r="C1554" s="35" t="s">
        <v>50</v>
      </c>
      <c r="D1554" s="36">
        <v>15</v>
      </c>
      <c r="E1554" s="36">
        <v>2.1604000000000001</v>
      </c>
      <c r="F1554" s="36">
        <f t="shared" si="347"/>
        <v>32.405999999999999</v>
      </c>
      <c r="G1554" s="37">
        <f t="shared" si="348"/>
        <v>0</v>
      </c>
      <c r="H1554" s="38">
        <f t="shared" si="349"/>
        <v>0</v>
      </c>
      <c r="I1554" s="37">
        <f t="shared" si="350"/>
        <v>0</v>
      </c>
      <c r="J1554" s="38">
        <v>0</v>
      </c>
      <c r="K1554" s="37">
        <f t="shared" si="351"/>
        <v>0</v>
      </c>
      <c r="L1554" s="38">
        <v>0</v>
      </c>
    </row>
    <row r="1555" spans="1:12" s="39" customFormat="1" ht="15.45" customHeight="1" outlineLevel="1" x14ac:dyDescent="0.25">
      <c r="A1555" s="31" t="s">
        <v>1081</v>
      </c>
      <c r="B1555" s="40" t="s">
        <v>1082</v>
      </c>
      <c r="C1555" s="41">
        <v>0</v>
      </c>
      <c r="D1555" s="42"/>
      <c r="E1555" s="42"/>
      <c r="F1555" s="42"/>
      <c r="G1555" s="43"/>
      <c r="H1555" s="44"/>
      <c r="I1555" s="43"/>
      <c r="J1555" s="44"/>
      <c r="K1555" s="43"/>
      <c r="L1555" s="44">
        <v>0</v>
      </c>
    </row>
    <row r="1556" spans="1:12" s="39" customFormat="1" ht="43.5" customHeight="1" outlineLevel="1" x14ac:dyDescent="0.25">
      <c r="A1556" s="33">
        <v>1</v>
      </c>
      <c r="B1556" s="34" t="s">
        <v>1083</v>
      </c>
      <c r="C1556" s="35" t="s">
        <v>55</v>
      </c>
      <c r="D1556" s="36">
        <v>2</v>
      </c>
      <c r="E1556" s="36">
        <v>59.6068</v>
      </c>
      <c r="F1556" s="36">
        <f t="shared" ref="F1556:F1580" si="352">+E1556*D1556</f>
        <v>119.2136</v>
      </c>
      <c r="G1556" s="37">
        <f t="shared" ref="G1556:G1580" si="353">I1556+K1556</f>
        <v>0</v>
      </c>
      <c r="H1556" s="38">
        <f t="shared" ref="H1556:H1580" si="354">J1556+L1556</f>
        <v>0</v>
      </c>
      <c r="I1556" s="37">
        <f t="shared" ref="I1556:I1580" si="355">J1556/F1556</f>
        <v>0</v>
      </c>
      <c r="J1556" s="38">
        <v>0</v>
      </c>
      <c r="K1556" s="37">
        <f t="shared" ref="K1556:K1580" si="356">L1556/F1556</f>
        <v>0</v>
      </c>
      <c r="L1556" s="38">
        <v>0</v>
      </c>
    </row>
    <row r="1557" spans="1:12" s="39" customFormat="1" ht="15.45" customHeight="1" outlineLevel="1" x14ac:dyDescent="0.25">
      <c r="A1557" s="33">
        <v>2</v>
      </c>
      <c r="B1557" s="34" t="s">
        <v>1084</v>
      </c>
      <c r="C1557" s="35" t="s">
        <v>55</v>
      </c>
      <c r="D1557" s="36">
        <v>2</v>
      </c>
      <c r="E1557" s="36">
        <v>90.398600000000002</v>
      </c>
      <c r="F1557" s="36">
        <f t="shared" si="352"/>
        <v>180.7972</v>
      </c>
      <c r="G1557" s="37">
        <f t="shared" si="353"/>
        <v>0</v>
      </c>
      <c r="H1557" s="38">
        <f t="shared" si="354"/>
        <v>0</v>
      </c>
      <c r="I1557" s="37">
        <f t="shared" si="355"/>
        <v>0</v>
      </c>
      <c r="J1557" s="38">
        <v>0</v>
      </c>
      <c r="K1557" s="37">
        <f t="shared" si="356"/>
        <v>0</v>
      </c>
      <c r="L1557" s="38">
        <v>0</v>
      </c>
    </row>
    <row r="1558" spans="1:12" s="39" customFormat="1" ht="15.45" customHeight="1" outlineLevel="1" x14ac:dyDescent="0.25">
      <c r="A1558" s="33">
        <v>3</v>
      </c>
      <c r="B1558" s="34" t="s">
        <v>1012</v>
      </c>
      <c r="C1558" s="35" t="s">
        <v>55</v>
      </c>
      <c r="D1558" s="36">
        <v>4</v>
      </c>
      <c r="E1558" s="36">
        <v>32.913400000000003</v>
      </c>
      <c r="F1558" s="36">
        <f t="shared" si="352"/>
        <v>131.65360000000001</v>
      </c>
      <c r="G1558" s="37">
        <f t="shared" si="353"/>
        <v>0</v>
      </c>
      <c r="H1558" s="38">
        <f t="shared" si="354"/>
        <v>0</v>
      </c>
      <c r="I1558" s="37">
        <f t="shared" si="355"/>
        <v>0</v>
      </c>
      <c r="J1558" s="38">
        <v>0</v>
      </c>
      <c r="K1558" s="37">
        <f t="shared" si="356"/>
        <v>0</v>
      </c>
      <c r="L1558" s="38">
        <v>0</v>
      </c>
    </row>
    <row r="1559" spans="1:12" s="39" customFormat="1" ht="15.45" customHeight="1" outlineLevel="1" x14ac:dyDescent="0.25">
      <c r="A1559" s="33">
        <v>4</v>
      </c>
      <c r="B1559" s="34" t="s">
        <v>1085</v>
      </c>
      <c r="C1559" s="35" t="s">
        <v>55</v>
      </c>
      <c r="D1559" s="36">
        <v>4</v>
      </c>
      <c r="E1559" s="36">
        <v>117.76519999999999</v>
      </c>
      <c r="F1559" s="36">
        <f t="shared" si="352"/>
        <v>471.06079999999997</v>
      </c>
      <c r="G1559" s="37">
        <f t="shared" si="353"/>
        <v>0</v>
      </c>
      <c r="H1559" s="38">
        <f t="shared" si="354"/>
        <v>0</v>
      </c>
      <c r="I1559" s="37">
        <f t="shared" si="355"/>
        <v>0</v>
      </c>
      <c r="J1559" s="38">
        <v>0</v>
      </c>
      <c r="K1559" s="37">
        <f t="shared" si="356"/>
        <v>0</v>
      </c>
      <c r="L1559" s="38">
        <v>0</v>
      </c>
    </row>
    <row r="1560" spans="1:12" s="39" customFormat="1" ht="43.5" customHeight="1" outlineLevel="1" x14ac:dyDescent="0.25">
      <c r="A1560" s="33">
        <v>5</v>
      </c>
      <c r="B1560" s="34" t="s">
        <v>1086</v>
      </c>
      <c r="C1560" s="35" t="s">
        <v>55</v>
      </c>
      <c r="D1560" s="36">
        <v>12</v>
      </c>
      <c r="E1560" s="36">
        <v>35.024799999999999</v>
      </c>
      <c r="F1560" s="36">
        <f t="shared" si="352"/>
        <v>420.29759999999999</v>
      </c>
      <c r="G1560" s="37">
        <f t="shared" si="353"/>
        <v>0</v>
      </c>
      <c r="H1560" s="38">
        <f t="shared" si="354"/>
        <v>0</v>
      </c>
      <c r="I1560" s="37">
        <f t="shared" si="355"/>
        <v>0</v>
      </c>
      <c r="J1560" s="38">
        <v>0</v>
      </c>
      <c r="K1560" s="37">
        <f t="shared" si="356"/>
        <v>0</v>
      </c>
      <c r="L1560" s="38">
        <v>0</v>
      </c>
    </row>
    <row r="1561" spans="1:12" s="39" customFormat="1" ht="15.45" customHeight="1" outlineLevel="1" x14ac:dyDescent="0.25">
      <c r="A1561" s="33">
        <v>6</v>
      </c>
      <c r="B1561" s="34" t="s">
        <v>1087</v>
      </c>
      <c r="C1561" s="35" t="s">
        <v>55</v>
      </c>
      <c r="D1561" s="36">
        <v>4</v>
      </c>
      <c r="E1561" s="36">
        <v>3.3212000000000002</v>
      </c>
      <c r="F1561" s="36">
        <f t="shared" si="352"/>
        <v>13.284800000000001</v>
      </c>
      <c r="G1561" s="37">
        <f t="shared" si="353"/>
        <v>0</v>
      </c>
      <c r="H1561" s="38">
        <f t="shared" si="354"/>
        <v>0</v>
      </c>
      <c r="I1561" s="37">
        <f t="shared" si="355"/>
        <v>0</v>
      </c>
      <c r="J1561" s="38">
        <v>0</v>
      </c>
      <c r="K1561" s="37">
        <f t="shared" si="356"/>
        <v>0</v>
      </c>
      <c r="L1561" s="38">
        <v>0</v>
      </c>
    </row>
    <row r="1562" spans="1:12" s="39" customFormat="1" ht="15.45" customHeight="1" outlineLevel="1" x14ac:dyDescent="0.25">
      <c r="A1562" s="33">
        <v>7</v>
      </c>
      <c r="B1562" s="34" t="s">
        <v>1088</v>
      </c>
      <c r="C1562" s="35" t="s">
        <v>55</v>
      </c>
      <c r="D1562" s="36">
        <v>8</v>
      </c>
      <c r="E1562" s="36">
        <v>6.0242000000000004</v>
      </c>
      <c r="F1562" s="36">
        <f t="shared" si="352"/>
        <v>48.193600000000004</v>
      </c>
      <c r="G1562" s="37">
        <f t="shared" si="353"/>
        <v>0</v>
      </c>
      <c r="H1562" s="38">
        <f t="shared" si="354"/>
        <v>0</v>
      </c>
      <c r="I1562" s="37">
        <f t="shared" si="355"/>
        <v>0</v>
      </c>
      <c r="J1562" s="38">
        <v>0</v>
      </c>
      <c r="K1562" s="37">
        <f t="shared" si="356"/>
        <v>0</v>
      </c>
      <c r="L1562" s="38">
        <v>0</v>
      </c>
    </row>
    <row r="1563" spans="1:12" s="39" customFormat="1" ht="15.45" customHeight="1" outlineLevel="1" x14ac:dyDescent="0.25">
      <c r="A1563" s="33">
        <v>8</v>
      </c>
      <c r="B1563" s="34" t="s">
        <v>1089</v>
      </c>
      <c r="C1563" s="35" t="s">
        <v>55</v>
      </c>
      <c r="D1563" s="36">
        <v>5</v>
      </c>
      <c r="E1563" s="36">
        <v>3.3212000000000002</v>
      </c>
      <c r="F1563" s="36">
        <f t="shared" si="352"/>
        <v>16.606000000000002</v>
      </c>
      <c r="G1563" s="37">
        <f t="shared" si="353"/>
        <v>0</v>
      </c>
      <c r="H1563" s="38">
        <f t="shared" si="354"/>
        <v>0</v>
      </c>
      <c r="I1563" s="37">
        <f t="shared" si="355"/>
        <v>0</v>
      </c>
      <c r="J1563" s="38">
        <v>0</v>
      </c>
      <c r="K1563" s="37">
        <f t="shared" si="356"/>
        <v>0</v>
      </c>
      <c r="L1563" s="38">
        <v>0</v>
      </c>
    </row>
    <row r="1564" spans="1:12" s="39" customFormat="1" ht="15.45" customHeight="1" outlineLevel="1" x14ac:dyDescent="0.25">
      <c r="A1564" s="33">
        <v>9</v>
      </c>
      <c r="B1564" s="34" t="s">
        <v>469</v>
      </c>
      <c r="C1564" s="35" t="s">
        <v>115</v>
      </c>
      <c r="D1564" s="36">
        <v>5</v>
      </c>
      <c r="E1564" s="36">
        <v>3.3435999999999999</v>
      </c>
      <c r="F1564" s="36">
        <f t="shared" si="352"/>
        <v>16.718</v>
      </c>
      <c r="G1564" s="37">
        <f t="shared" si="353"/>
        <v>0</v>
      </c>
      <c r="H1564" s="38">
        <f t="shared" si="354"/>
        <v>0</v>
      </c>
      <c r="I1564" s="37">
        <f t="shared" si="355"/>
        <v>0</v>
      </c>
      <c r="J1564" s="38">
        <v>0</v>
      </c>
      <c r="K1564" s="37">
        <f t="shared" si="356"/>
        <v>0</v>
      </c>
      <c r="L1564" s="38">
        <v>0</v>
      </c>
    </row>
    <row r="1565" spans="1:12" s="39" customFormat="1" ht="15.45" customHeight="1" outlineLevel="1" x14ac:dyDescent="0.25">
      <c r="A1565" s="33">
        <v>10</v>
      </c>
      <c r="B1565" s="34" t="s">
        <v>470</v>
      </c>
      <c r="C1565" s="35" t="s">
        <v>55</v>
      </c>
      <c r="D1565" s="36">
        <v>5</v>
      </c>
      <c r="E1565" s="36">
        <v>13.205</v>
      </c>
      <c r="F1565" s="36">
        <f t="shared" si="352"/>
        <v>66.025000000000006</v>
      </c>
      <c r="G1565" s="37">
        <f t="shared" si="353"/>
        <v>0</v>
      </c>
      <c r="H1565" s="38">
        <f t="shared" si="354"/>
        <v>0</v>
      </c>
      <c r="I1565" s="37">
        <f t="shared" si="355"/>
        <v>0</v>
      </c>
      <c r="J1565" s="38">
        <v>0</v>
      </c>
      <c r="K1565" s="37">
        <f t="shared" si="356"/>
        <v>0</v>
      </c>
      <c r="L1565" s="38">
        <v>0</v>
      </c>
    </row>
    <row r="1566" spans="1:12" s="39" customFormat="1" ht="28.95" customHeight="1" outlineLevel="1" x14ac:dyDescent="0.25">
      <c r="A1566" s="33">
        <v>11</v>
      </c>
      <c r="B1566" s="34" t="s">
        <v>1090</v>
      </c>
      <c r="C1566" s="35" t="s">
        <v>55</v>
      </c>
      <c r="D1566" s="36">
        <v>4</v>
      </c>
      <c r="E1566" s="36">
        <v>132.94479999999999</v>
      </c>
      <c r="F1566" s="36">
        <f t="shared" si="352"/>
        <v>531.77919999999995</v>
      </c>
      <c r="G1566" s="37">
        <f t="shared" si="353"/>
        <v>0</v>
      </c>
      <c r="H1566" s="38">
        <f t="shared" si="354"/>
        <v>0</v>
      </c>
      <c r="I1566" s="37">
        <f t="shared" si="355"/>
        <v>0</v>
      </c>
      <c r="J1566" s="38">
        <v>0</v>
      </c>
      <c r="K1566" s="37">
        <f t="shared" si="356"/>
        <v>0</v>
      </c>
      <c r="L1566" s="38">
        <v>0</v>
      </c>
    </row>
    <row r="1567" spans="1:12" s="39" customFormat="1" ht="28.95" customHeight="1" outlineLevel="1" x14ac:dyDescent="0.25">
      <c r="A1567" s="33">
        <v>12</v>
      </c>
      <c r="B1567" s="34" t="s">
        <v>1091</v>
      </c>
      <c r="C1567" s="35" t="s">
        <v>55</v>
      </c>
      <c r="D1567" s="36">
        <v>4</v>
      </c>
      <c r="E1567" s="36">
        <v>61.697800000000001</v>
      </c>
      <c r="F1567" s="36">
        <f t="shared" si="352"/>
        <v>246.7912</v>
      </c>
      <c r="G1567" s="37">
        <f t="shared" si="353"/>
        <v>0</v>
      </c>
      <c r="H1567" s="38">
        <f t="shared" si="354"/>
        <v>0</v>
      </c>
      <c r="I1567" s="37">
        <f t="shared" si="355"/>
        <v>0</v>
      </c>
      <c r="J1567" s="38">
        <v>0</v>
      </c>
      <c r="K1567" s="37">
        <f t="shared" si="356"/>
        <v>0</v>
      </c>
      <c r="L1567" s="38">
        <v>0</v>
      </c>
    </row>
    <row r="1568" spans="1:12" s="39" customFormat="1" ht="15.45" customHeight="1" outlineLevel="1" x14ac:dyDescent="0.25">
      <c r="A1568" s="33">
        <v>13</v>
      </c>
      <c r="B1568" s="34" t="s">
        <v>1092</v>
      </c>
      <c r="C1568" s="35" t="s">
        <v>55</v>
      </c>
      <c r="D1568" s="36">
        <v>4</v>
      </c>
      <c r="E1568" s="36">
        <v>104.24</v>
      </c>
      <c r="F1568" s="36">
        <f t="shared" si="352"/>
        <v>416.96</v>
      </c>
      <c r="G1568" s="37">
        <f t="shared" si="353"/>
        <v>0</v>
      </c>
      <c r="H1568" s="38">
        <f t="shared" si="354"/>
        <v>0</v>
      </c>
      <c r="I1568" s="37">
        <f t="shared" si="355"/>
        <v>0</v>
      </c>
      <c r="J1568" s="38">
        <v>0</v>
      </c>
      <c r="K1568" s="37">
        <f t="shared" si="356"/>
        <v>0</v>
      </c>
      <c r="L1568" s="38">
        <v>0</v>
      </c>
    </row>
    <row r="1569" spans="1:12" s="39" customFormat="1" ht="28.95" customHeight="1" outlineLevel="1" x14ac:dyDescent="0.25">
      <c r="A1569" s="33">
        <v>14</v>
      </c>
      <c r="B1569" s="34" t="s">
        <v>1093</v>
      </c>
      <c r="C1569" s="35" t="s">
        <v>50</v>
      </c>
      <c r="D1569" s="36">
        <v>0.5</v>
      </c>
      <c r="E1569" s="36">
        <v>15.389799999999999</v>
      </c>
      <c r="F1569" s="36">
        <f t="shared" si="352"/>
        <v>7.6948999999999996</v>
      </c>
      <c r="G1569" s="37">
        <f t="shared" si="353"/>
        <v>0</v>
      </c>
      <c r="H1569" s="38">
        <f t="shared" si="354"/>
        <v>0</v>
      </c>
      <c r="I1569" s="37">
        <f t="shared" si="355"/>
        <v>0</v>
      </c>
      <c r="J1569" s="38">
        <v>0</v>
      </c>
      <c r="K1569" s="37">
        <f t="shared" si="356"/>
        <v>0</v>
      </c>
      <c r="L1569" s="38">
        <v>0</v>
      </c>
    </row>
    <row r="1570" spans="1:12" s="39" customFormat="1" ht="15.45" customHeight="1" outlineLevel="1" x14ac:dyDescent="0.25">
      <c r="A1570" s="33">
        <v>15</v>
      </c>
      <c r="B1570" s="34" t="s">
        <v>1094</v>
      </c>
      <c r="C1570" s="35" t="s">
        <v>50</v>
      </c>
      <c r="D1570" s="36">
        <v>0.5</v>
      </c>
      <c r="E1570" s="36">
        <v>18.478400000000001</v>
      </c>
      <c r="F1570" s="36">
        <f t="shared" si="352"/>
        <v>9.2392000000000003</v>
      </c>
      <c r="G1570" s="37">
        <f t="shared" si="353"/>
        <v>0</v>
      </c>
      <c r="H1570" s="38">
        <f t="shared" si="354"/>
        <v>0</v>
      </c>
      <c r="I1570" s="37">
        <f t="shared" si="355"/>
        <v>0</v>
      </c>
      <c r="J1570" s="38">
        <v>0</v>
      </c>
      <c r="K1570" s="37">
        <f t="shared" si="356"/>
        <v>0</v>
      </c>
      <c r="L1570" s="38">
        <v>0</v>
      </c>
    </row>
    <row r="1571" spans="1:12" s="39" customFormat="1" ht="28.95" customHeight="1" outlineLevel="1" x14ac:dyDescent="0.25">
      <c r="A1571" s="33">
        <v>16</v>
      </c>
      <c r="B1571" s="34" t="s">
        <v>1095</v>
      </c>
      <c r="C1571" s="35" t="s">
        <v>50</v>
      </c>
      <c r="D1571" s="36">
        <v>0.5</v>
      </c>
      <c r="E1571" s="36">
        <v>8.1988000000000003</v>
      </c>
      <c r="F1571" s="36">
        <f t="shared" si="352"/>
        <v>4.0994000000000002</v>
      </c>
      <c r="G1571" s="37">
        <f t="shared" si="353"/>
        <v>0</v>
      </c>
      <c r="H1571" s="38">
        <f t="shared" si="354"/>
        <v>0</v>
      </c>
      <c r="I1571" s="37">
        <f t="shared" si="355"/>
        <v>0</v>
      </c>
      <c r="J1571" s="38">
        <v>0</v>
      </c>
      <c r="K1571" s="37">
        <f t="shared" si="356"/>
        <v>0</v>
      </c>
      <c r="L1571" s="38">
        <v>0</v>
      </c>
    </row>
    <row r="1572" spans="1:12" s="45" customFormat="1" ht="15.45" customHeight="1" x14ac:dyDescent="0.3">
      <c r="A1572" s="33">
        <v>17</v>
      </c>
      <c r="B1572" s="34" t="s">
        <v>1096</v>
      </c>
      <c r="C1572" s="35" t="s">
        <v>50</v>
      </c>
      <c r="D1572" s="36">
        <v>0.5</v>
      </c>
      <c r="E1572" s="36">
        <v>6.1976000000000004</v>
      </c>
      <c r="F1572" s="36">
        <f t="shared" si="352"/>
        <v>3.0988000000000002</v>
      </c>
      <c r="G1572" s="37">
        <f t="shared" si="353"/>
        <v>0</v>
      </c>
      <c r="H1572" s="38">
        <f t="shared" si="354"/>
        <v>0</v>
      </c>
      <c r="I1572" s="37">
        <f t="shared" si="355"/>
        <v>0</v>
      </c>
      <c r="J1572" s="38">
        <v>0</v>
      </c>
      <c r="K1572" s="37">
        <f t="shared" si="356"/>
        <v>0</v>
      </c>
      <c r="L1572" s="38">
        <v>0</v>
      </c>
    </row>
    <row r="1573" spans="1:12" s="39" customFormat="1" ht="28.95" customHeight="1" outlineLevel="1" x14ac:dyDescent="0.25">
      <c r="A1573" s="33">
        <v>18</v>
      </c>
      <c r="B1573" s="34" t="s">
        <v>1035</v>
      </c>
      <c r="C1573" s="35" t="s">
        <v>50</v>
      </c>
      <c r="D1573" s="36">
        <v>7.5</v>
      </c>
      <c r="E1573" s="36">
        <v>10.932399999999999</v>
      </c>
      <c r="F1573" s="36">
        <f t="shared" si="352"/>
        <v>81.992999999999995</v>
      </c>
      <c r="G1573" s="37">
        <f t="shared" si="353"/>
        <v>0</v>
      </c>
      <c r="H1573" s="38">
        <f t="shared" si="354"/>
        <v>0</v>
      </c>
      <c r="I1573" s="37">
        <f t="shared" si="355"/>
        <v>0</v>
      </c>
      <c r="J1573" s="38">
        <v>0</v>
      </c>
      <c r="K1573" s="37">
        <f t="shared" si="356"/>
        <v>0</v>
      </c>
      <c r="L1573" s="38">
        <v>0</v>
      </c>
    </row>
    <row r="1574" spans="1:12" s="39" customFormat="1" ht="15.45" customHeight="1" outlineLevel="1" x14ac:dyDescent="0.25">
      <c r="A1574" s="33">
        <v>19</v>
      </c>
      <c r="B1574" s="34" t="s">
        <v>1036</v>
      </c>
      <c r="C1574" s="35" t="s">
        <v>50</v>
      </c>
      <c r="D1574" s="36">
        <v>7.5</v>
      </c>
      <c r="E1574" s="36">
        <v>14.979799999999999</v>
      </c>
      <c r="F1574" s="36">
        <f t="shared" si="352"/>
        <v>112.34849999999999</v>
      </c>
      <c r="G1574" s="37">
        <f t="shared" si="353"/>
        <v>0</v>
      </c>
      <c r="H1574" s="38">
        <f t="shared" si="354"/>
        <v>0</v>
      </c>
      <c r="I1574" s="37">
        <f t="shared" si="355"/>
        <v>0</v>
      </c>
      <c r="J1574" s="38">
        <v>0</v>
      </c>
      <c r="K1574" s="37">
        <f t="shared" si="356"/>
        <v>0</v>
      </c>
      <c r="L1574" s="38">
        <v>0</v>
      </c>
    </row>
    <row r="1575" spans="1:12" s="39" customFormat="1" ht="28.95" customHeight="1" outlineLevel="1" x14ac:dyDescent="0.25">
      <c r="A1575" s="33">
        <v>20</v>
      </c>
      <c r="B1575" s="34" t="s">
        <v>1097</v>
      </c>
      <c r="C1575" s="35" t="s">
        <v>50</v>
      </c>
      <c r="D1575" s="36">
        <v>19.5</v>
      </c>
      <c r="E1575" s="36">
        <v>8.1783999999999999</v>
      </c>
      <c r="F1575" s="36">
        <f t="shared" si="352"/>
        <v>159.47880000000001</v>
      </c>
      <c r="G1575" s="37">
        <f t="shared" si="353"/>
        <v>0</v>
      </c>
      <c r="H1575" s="38">
        <f t="shared" si="354"/>
        <v>0</v>
      </c>
      <c r="I1575" s="37">
        <f t="shared" si="355"/>
        <v>0</v>
      </c>
      <c r="J1575" s="38">
        <v>0</v>
      </c>
      <c r="K1575" s="37">
        <f t="shared" si="356"/>
        <v>0</v>
      </c>
      <c r="L1575" s="38">
        <v>0</v>
      </c>
    </row>
    <row r="1576" spans="1:12" s="39" customFormat="1" ht="15.45" customHeight="1" outlineLevel="1" x14ac:dyDescent="0.25">
      <c r="A1576" s="33">
        <v>21</v>
      </c>
      <c r="B1576" s="34" t="s">
        <v>1098</v>
      </c>
      <c r="C1576" s="35" t="s">
        <v>50</v>
      </c>
      <c r="D1576" s="36">
        <v>1.5</v>
      </c>
      <c r="E1576" s="36">
        <v>3.3517999999999999</v>
      </c>
      <c r="F1576" s="36">
        <f t="shared" si="352"/>
        <v>5.0276999999999994</v>
      </c>
      <c r="G1576" s="37">
        <f t="shared" si="353"/>
        <v>0</v>
      </c>
      <c r="H1576" s="38">
        <f t="shared" si="354"/>
        <v>0</v>
      </c>
      <c r="I1576" s="37">
        <f t="shared" si="355"/>
        <v>0</v>
      </c>
      <c r="J1576" s="38">
        <v>0</v>
      </c>
      <c r="K1576" s="37">
        <f t="shared" si="356"/>
        <v>0</v>
      </c>
      <c r="L1576" s="38">
        <v>0</v>
      </c>
    </row>
    <row r="1577" spans="1:12" s="39" customFormat="1" ht="28.95" customHeight="1" outlineLevel="1" x14ac:dyDescent="0.25">
      <c r="A1577" s="33">
        <v>22</v>
      </c>
      <c r="B1577" s="34" t="s">
        <v>1099</v>
      </c>
      <c r="C1577" s="35" t="s">
        <v>50</v>
      </c>
      <c r="D1577" s="36">
        <v>18</v>
      </c>
      <c r="E1577" s="36">
        <v>2.6581999999999999</v>
      </c>
      <c r="F1577" s="36">
        <f t="shared" si="352"/>
        <v>47.8476</v>
      </c>
      <c r="G1577" s="37">
        <f t="shared" si="353"/>
        <v>0</v>
      </c>
      <c r="H1577" s="38">
        <f t="shared" si="354"/>
        <v>0</v>
      </c>
      <c r="I1577" s="37">
        <f t="shared" si="355"/>
        <v>0</v>
      </c>
      <c r="J1577" s="38">
        <v>0</v>
      </c>
      <c r="K1577" s="37">
        <f t="shared" si="356"/>
        <v>0</v>
      </c>
      <c r="L1577" s="38">
        <v>0</v>
      </c>
    </row>
    <row r="1578" spans="1:12" s="39" customFormat="1" ht="28.95" customHeight="1" outlineLevel="1" x14ac:dyDescent="0.25">
      <c r="A1578" s="33">
        <v>23</v>
      </c>
      <c r="B1578" s="34" t="s">
        <v>1100</v>
      </c>
      <c r="C1578" s="35" t="s">
        <v>289</v>
      </c>
      <c r="D1578" s="36">
        <v>6.7</v>
      </c>
      <c r="E1578" s="36">
        <v>2.2909999999999999</v>
      </c>
      <c r="F1578" s="36">
        <f t="shared" si="352"/>
        <v>15.3497</v>
      </c>
      <c r="G1578" s="37">
        <f t="shared" si="353"/>
        <v>0</v>
      </c>
      <c r="H1578" s="38">
        <f t="shared" si="354"/>
        <v>0</v>
      </c>
      <c r="I1578" s="37">
        <f t="shared" si="355"/>
        <v>0</v>
      </c>
      <c r="J1578" s="38">
        <v>0</v>
      </c>
      <c r="K1578" s="37">
        <f t="shared" si="356"/>
        <v>0</v>
      </c>
      <c r="L1578" s="38">
        <v>0</v>
      </c>
    </row>
    <row r="1579" spans="1:12" s="45" customFormat="1" ht="15.45" customHeight="1" x14ac:dyDescent="0.3">
      <c r="A1579" s="33">
        <v>24</v>
      </c>
      <c r="B1579" s="34" t="s">
        <v>1048</v>
      </c>
      <c r="C1579" s="35" t="s">
        <v>106</v>
      </c>
      <c r="D1579" s="36">
        <v>3.5</v>
      </c>
      <c r="E1579" s="36">
        <v>1.5688</v>
      </c>
      <c r="F1579" s="36">
        <f t="shared" si="352"/>
        <v>5.4908000000000001</v>
      </c>
      <c r="G1579" s="37">
        <f t="shared" si="353"/>
        <v>0</v>
      </c>
      <c r="H1579" s="38">
        <f t="shared" si="354"/>
        <v>0</v>
      </c>
      <c r="I1579" s="37">
        <f t="shared" si="355"/>
        <v>0</v>
      </c>
      <c r="J1579" s="38">
        <v>0</v>
      </c>
      <c r="K1579" s="37">
        <f t="shared" si="356"/>
        <v>0</v>
      </c>
      <c r="L1579" s="38">
        <v>0</v>
      </c>
    </row>
    <row r="1580" spans="1:12" s="39" customFormat="1" ht="15.45" customHeight="1" outlineLevel="1" x14ac:dyDescent="0.25">
      <c r="A1580" s="33">
        <v>25</v>
      </c>
      <c r="B1580" s="34" t="s">
        <v>1101</v>
      </c>
      <c r="C1580" s="35" t="s">
        <v>106</v>
      </c>
      <c r="D1580" s="36">
        <v>3.5</v>
      </c>
      <c r="E1580" s="36">
        <v>1.2525999999999999</v>
      </c>
      <c r="F1580" s="36">
        <f t="shared" si="352"/>
        <v>4.3841000000000001</v>
      </c>
      <c r="G1580" s="37">
        <f t="shared" si="353"/>
        <v>0</v>
      </c>
      <c r="H1580" s="38">
        <f t="shared" si="354"/>
        <v>0</v>
      </c>
      <c r="I1580" s="37">
        <f t="shared" si="355"/>
        <v>0</v>
      </c>
      <c r="J1580" s="38">
        <v>0</v>
      </c>
      <c r="K1580" s="37">
        <f t="shared" si="356"/>
        <v>0</v>
      </c>
      <c r="L1580" s="38">
        <v>0</v>
      </c>
    </row>
    <row r="1581" spans="1:12" s="39" customFormat="1" ht="15.45" customHeight="1" outlineLevel="1" x14ac:dyDescent="0.25">
      <c r="A1581" s="31" t="s">
        <v>1102</v>
      </c>
      <c r="B1581" s="40" t="s">
        <v>1103</v>
      </c>
      <c r="C1581" s="41">
        <v>0</v>
      </c>
      <c r="D1581" s="42"/>
      <c r="E1581" s="42"/>
      <c r="F1581" s="42"/>
      <c r="G1581" s="43"/>
      <c r="H1581" s="44"/>
      <c r="I1581" s="43"/>
      <c r="J1581" s="44"/>
      <c r="K1581" s="43"/>
      <c r="L1581" s="44">
        <v>0</v>
      </c>
    </row>
    <row r="1582" spans="1:12" s="46" customFormat="1" ht="28.95" customHeight="1" outlineLevel="1" x14ac:dyDescent="0.35">
      <c r="A1582" s="33">
        <v>1</v>
      </c>
      <c r="B1582" s="34" t="s">
        <v>1104</v>
      </c>
      <c r="C1582" s="35" t="s">
        <v>55</v>
      </c>
      <c r="D1582" s="36">
        <v>1</v>
      </c>
      <c r="E1582" s="36">
        <v>92.103999999999985</v>
      </c>
      <c r="F1582" s="36">
        <f t="shared" ref="F1582:F1590" si="357">+E1582*D1582</f>
        <v>92.103999999999985</v>
      </c>
      <c r="G1582" s="37">
        <f t="shared" ref="G1582:G1590" si="358">I1582+K1582</f>
        <v>0</v>
      </c>
      <c r="H1582" s="38">
        <f t="shared" ref="H1582:H1590" si="359">J1582+L1582</f>
        <v>0</v>
      </c>
      <c r="I1582" s="37">
        <f t="shared" ref="I1582:I1590" si="360">J1582/F1582</f>
        <v>0</v>
      </c>
      <c r="J1582" s="38">
        <v>0</v>
      </c>
      <c r="K1582" s="37">
        <f t="shared" ref="K1582:K1590" si="361">L1582/F1582</f>
        <v>0</v>
      </c>
      <c r="L1582" s="38">
        <v>0</v>
      </c>
    </row>
    <row r="1583" spans="1:12" s="39" customFormat="1" ht="15.45" customHeight="1" outlineLevel="1" x14ac:dyDescent="0.25">
      <c r="A1583" s="33">
        <v>2</v>
      </c>
      <c r="B1583" s="34" t="s">
        <v>1105</v>
      </c>
      <c r="C1583" s="35" t="s">
        <v>55</v>
      </c>
      <c r="D1583" s="36">
        <v>1</v>
      </c>
      <c r="E1583" s="36">
        <v>844.57640000000015</v>
      </c>
      <c r="F1583" s="36">
        <f t="shared" si="357"/>
        <v>844.57640000000015</v>
      </c>
      <c r="G1583" s="37">
        <f t="shared" si="358"/>
        <v>0</v>
      </c>
      <c r="H1583" s="38">
        <f t="shared" si="359"/>
        <v>0</v>
      </c>
      <c r="I1583" s="37">
        <f t="shared" si="360"/>
        <v>0</v>
      </c>
      <c r="J1583" s="38">
        <v>0</v>
      </c>
      <c r="K1583" s="37">
        <f t="shared" si="361"/>
        <v>0</v>
      </c>
      <c r="L1583" s="38">
        <v>0</v>
      </c>
    </row>
    <row r="1584" spans="1:12" s="39" customFormat="1" ht="28.95" customHeight="1" outlineLevel="1" x14ac:dyDescent="0.25">
      <c r="A1584" s="33">
        <v>3</v>
      </c>
      <c r="B1584" s="34" t="s">
        <v>1106</v>
      </c>
      <c r="C1584" s="35" t="s">
        <v>115</v>
      </c>
      <c r="D1584" s="36">
        <v>3</v>
      </c>
      <c r="E1584" s="36">
        <v>1173.7295999999999</v>
      </c>
      <c r="F1584" s="36">
        <f t="shared" si="357"/>
        <v>3521.1887999999999</v>
      </c>
      <c r="G1584" s="37">
        <f t="shared" si="358"/>
        <v>0</v>
      </c>
      <c r="H1584" s="38">
        <f t="shared" si="359"/>
        <v>0</v>
      </c>
      <c r="I1584" s="37">
        <f t="shared" si="360"/>
        <v>0</v>
      </c>
      <c r="J1584" s="38">
        <v>0</v>
      </c>
      <c r="K1584" s="37">
        <f t="shared" si="361"/>
        <v>0</v>
      </c>
      <c r="L1584" s="38">
        <v>0</v>
      </c>
    </row>
    <row r="1585" spans="1:12" s="39" customFormat="1" ht="15.45" customHeight="1" outlineLevel="1" x14ac:dyDescent="0.25">
      <c r="A1585" s="33">
        <v>4</v>
      </c>
      <c r="B1585" s="34" t="s">
        <v>1107</v>
      </c>
      <c r="C1585" s="35" t="s">
        <v>55</v>
      </c>
      <c r="D1585" s="36">
        <v>3</v>
      </c>
      <c r="E1585" s="36">
        <v>101.2504</v>
      </c>
      <c r="F1585" s="36">
        <f t="shared" si="357"/>
        <v>303.75119999999998</v>
      </c>
      <c r="G1585" s="37">
        <f t="shared" si="358"/>
        <v>0</v>
      </c>
      <c r="H1585" s="38">
        <f t="shared" si="359"/>
        <v>0</v>
      </c>
      <c r="I1585" s="37">
        <f t="shared" si="360"/>
        <v>0</v>
      </c>
      <c r="J1585" s="38">
        <v>0</v>
      </c>
      <c r="K1585" s="37">
        <f t="shared" si="361"/>
        <v>0</v>
      </c>
      <c r="L1585" s="38">
        <v>0</v>
      </c>
    </row>
    <row r="1586" spans="1:12" s="39" customFormat="1" ht="15.45" customHeight="1" outlineLevel="1" x14ac:dyDescent="0.25">
      <c r="A1586" s="33">
        <v>5</v>
      </c>
      <c r="B1586" s="34" t="s">
        <v>1108</v>
      </c>
      <c r="C1586" s="35" t="s">
        <v>50</v>
      </c>
      <c r="D1586" s="36">
        <v>70</v>
      </c>
      <c r="E1586" s="36">
        <v>2.1787999999999998</v>
      </c>
      <c r="F1586" s="36">
        <f t="shared" si="357"/>
        <v>152.51599999999999</v>
      </c>
      <c r="G1586" s="37">
        <f t="shared" si="358"/>
        <v>0</v>
      </c>
      <c r="H1586" s="38">
        <f t="shared" si="359"/>
        <v>0</v>
      </c>
      <c r="I1586" s="37">
        <f t="shared" si="360"/>
        <v>0</v>
      </c>
      <c r="J1586" s="38">
        <v>0</v>
      </c>
      <c r="K1586" s="37">
        <f t="shared" si="361"/>
        <v>0</v>
      </c>
      <c r="L1586" s="38">
        <v>0</v>
      </c>
    </row>
    <row r="1587" spans="1:12" s="39" customFormat="1" ht="28.95" customHeight="1" outlineLevel="1" x14ac:dyDescent="0.25">
      <c r="A1587" s="33">
        <v>6</v>
      </c>
      <c r="B1587" s="34" t="s">
        <v>617</v>
      </c>
      <c r="C1587" s="35" t="s">
        <v>50</v>
      </c>
      <c r="D1587" s="36">
        <v>35</v>
      </c>
      <c r="E1587" s="36">
        <v>2.0379999999999998</v>
      </c>
      <c r="F1587" s="36">
        <f t="shared" si="357"/>
        <v>71.33</v>
      </c>
      <c r="G1587" s="37">
        <f t="shared" si="358"/>
        <v>0</v>
      </c>
      <c r="H1587" s="38">
        <f t="shared" si="359"/>
        <v>0</v>
      </c>
      <c r="I1587" s="37">
        <f t="shared" si="360"/>
        <v>0</v>
      </c>
      <c r="J1587" s="38">
        <v>0</v>
      </c>
      <c r="K1587" s="37">
        <f t="shared" si="361"/>
        <v>0</v>
      </c>
      <c r="L1587" s="38">
        <v>0</v>
      </c>
    </row>
    <row r="1588" spans="1:12" s="39" customFormat="1" ht="28.95" customHeight="1" outlineLevel="1" x14ac:dyDescent="0.25">
      <c r="A1588" s="33">
        <v>7</v>
      </c>
      <c r="B1588" s="34" t="s">
        <v>1109</v>
      </c>
      <c r="C1588" s="35" t="s">
        <v>50</v>
      </c>
      <c r="D1588" s="36">
        <v>35</v>
      </c>
      <c r="E1588" s="36">
        <v>1.8952</v>
      </c>
      <c r="F1588" s="36">
        <f t="shared" si="357"/>
        <v>66.331999999999994</v>
      </c>
      <c r="G1588" s="37">
        <f t="shared" si="358"/>
        <v>0</v>
      </c>
      <c r="H1588" s="38">
        <f t="shared" si="359"/>
        <v>0</v>
      </c>
      <c r="I1588" s="37">
        <f t="shared" si="360"/>
        <v>0</v>
      </c>
      <c r="J1588" s="38">
        <v>0</v>
      </c>
      <c r="K1588" s="37">
        <f t="shared" si="361"/>
        <v>0</v>
      </c>
      <c r="L1588" s="38">
        <v>0</v>
      </c>
    </row>
    <row r="1589" spans="1:12" s="39" customFormat="1" ht="15.45" customHeight="1" outlineLevel="1" x14ac:dyDescent="0.25">
      <c r="A1589" s="33">
        <v>8</v>
      </c>
      <c r="B1589" s="34" t="s">
        <v>1110</v>
      </c>
      <c r="C1589" s="35" t="s">
        <v>50</v>
      </c>
      <c r="D1589" s="36">
        <v>35</v>
      </c>
      <c r="E1589" s="36">
        <v>3.3517999999999999</v>
      </c>
      <c r="F1589" s="36">
        <f t="shared" si="357"/>
        <v>117.313</v>
      </c>
      <c r="G1589" s="37">
        <f t="shared" si="358"/>
        <v>0</v>
      </c>
      <c r="H1589" s="38">
        <f t="shared" si="359"/>
        <v>0</v>
      </c>
      <c r="I1589" s="37">
        <f t="shared" si="360"/>
        <v>0</v>
      </c>
      <c r="J1589" s="38">
        <v>0</v>
      </c>
      <c r="K1589" s="37">
        <f t="shared" si="361"/>
        <v>0</v>
      </c>
      <c r="L1589" s="38">
        <v>0</v>
      </c>
    </row>
    <row r="1590" spans="1:12" s="39" customFormat="1" ht="28.95" customHeight="1" outlineLevel="1" x14ac:dyDescent="0.25">
      <c r="A1590" s="33">
        <v>9</v>
      </c>
      <c r="B1590" s="34" t="s">
        <v>559</v>
      </c>
      <c r="C1590" s="35" t="s">
        <v>50</v>
      </c>
      <c r="D1590" s="36">
        <v>35</v>
      </c>
      <c r="E1590" s="36">
        <v>2.4765999999999999</v>
      </c>
      <c r="F1590" s="36">
        <f t="shared" si="357"/>
        <v>86.680999999999997</v>
      </c>
      <c r="G1590" s="37">
        <f t="shared" si="358"/>
        <v>0</v>
      </c>
      <c r="H1590" s="38">
        <f t="shared" si="359"/>
        <v>0</v>
      </c>
      <c r="I1590" s="37">
        <f t="shared" si="360"/>
        <v>0</v>
      </c>
      <c r="J1590" s="38">
        <v>0</v>
      </c>
      <c r="K1590" s="37">
        <f t="shared" si="361"/>
        <v>0</v>
      </c>
      <c r="L1590" s="38">
        <v>0</v>
      </c>
    </row>
    <row r="1591" spans="1:12" s="39" customFormat="1" ht="15.45" customHeight="1" outlineLevel="1" x14ac:dyDescent="0.25">
      <c r="A1591" s="31" t="s">
        <v>1111</v>
      </c>
      <c r="B1591" s="40" t="s">
        <v>1112</v>
      </c>
      <c r="C1591" s="41">
        <v>0</v>
      </c>
      <c r="D1591" s="42"/>
      <c r="E1591" s="42"/>
      <c r="F1591" s="42"/>
      <c r="G1591" s="43"/>
      <c r="H1591" s="44"/>
      <c r="I1591" s="43"/>
      <c r="J1591" s="44"/>
      <c r="K1591" s="43"/>
      <c r="L1591" s="44">
        <v>0</v>
      </c>
    </row>
    <row r="1592" spans="1:12" s="39" customFormat="1" ht="15.45" customHeight="1" outlineLevel="1" x14ac:dyDescent="0.25">
      <c r="A1592" s="33">
        <v>1</v>
      </c>
      <c r="B1592" s="34" t="s">
        <v>1113</v>
      </c>
      <c r="C1592" s="35" t="s">
        <v>55</v>
      </c>
      <c r="D1592" s="36">
        <v>1</v>
      </c>
      <c r="E1592" s="36">
        <v>26.006</v>
      </c>
      <c r="F1592" s="36">
        <f t="shared" ref="F1592:F1599" si="362">+E1592*D1592</f>
        <v>26.006</v>
      </c>
      <c r="G1592" s="37">
        <f t="shared" ref="G1592:H1599" si="363">I1592+K1592</f>
        <v>0</v>
      </c>
      <c r="H1592" s="38">
        <f t="shared" si="363"/>
        <v>0</v>
      </c>
      <c r="I1592" s="37">
        <f t="shared" ref="I1592:I1599" si="364">J1592/F1592</f>
        <v>0</v>
      </c>
      <c r="J1592" s="38">
        <v>0</v>
      </c>
      <c r="K1592" s="37">
        <f t="shared" ref="K1592:K1599" si="365">L1592/F1592</f>
        <v>0</v>
      </c>
      <c r="L1592" s="38">
        <v>0</v>
      </c>
    </row>
    <row r="1593" spans="1:12" s="39" customFormat="1" ht="15.45" customHeight="1" outlineLevel="1" x14ac:dyDescent="0.25">
      <c r="A1593" s="33">
        <v>2</v>
      </c>
      <c r="B1593" s="34" t="s">
        <v>636</v>
      </c>
      <c r="C1593" s="35" t="s">
        <v>55</v>
      </c>
      <c r="D1593" s="36">
        <v>1</v>
      </c>
      <c r="E1593" s="36">
        <v>24.641200000000001</v>
      </c>
      <c r="F1593" s="36">
        <f t="shared" si="362"/>
        <v>24.641200000000001</v>
      </c>
      <c r="G1593" s="37">
        <f t="shared" si="363"/>
        <v>0</v>
      </c>
      <c r="H1593" s="38">
        <f t="shared" si="363"/>
        <v>0</v>
      </c>
      <c r="I1593" s="37">
        <f t="shared" si="364"/>
        <v>0</v>
      </c>
      <c r="J1593" s="38">
        <v>0</v>
      </c>
      <c r="K1593" s="37">
        <f t="shared" si="365"/>
        <v>0</v>
      </c>
      <c r="L1593" s="38">
        <v>0</v>
      </c>
    </row>
    <row r="1594" spans="1:12" s="39" customFormat="1" ht="28.95" customHeight="1" outlineLevel="1" x14ac:dyDescent="0.25">
      <c r="A1594" s="33">
        <v>3</v>
      </c>
      <c r="B1594" s="34" t="s">
        <v>1114</v>
      </c>
      <c r="C1594" s="35" t="s">
        <v>55</v>
      </c>
      <c r="D1594" s="36">
        <v>1</v>
      </c>
      <c r="E1594" s="36">
        <v>285.26960000000008</v>
      </c>
      <c r="F1594" s="36">
        <f t="shared" si="362"/>
        <v>285.26960000000008</v>
      </c>
      <c r="G1594" s="37">
        <f t="shared" si="363"/>
        <v>0</v>
      </c>
      <c r="H1594" s="38">
        <f t="shared" si="363"/>
        <v>0</v>
      </c>
      <c r="I1594" s="37">
        <f t="shared" si="364"/>
        <v>0</v>
      </c>
      <c r="J1594" s="38">
        <v>0</v>
      </c>
      <c r="K1594" s="37">
        <f t="shared" si="365"/>
        <v>0</v>
      </c>
      <c r="L1594" s="38">
        <v>0</v>
      </c>
    </row>
    <row r="1595" spans="1:12" s="39" customFormat="1" ht="15.45" customHeight="1" outlineLevel="1" x14ac:dyDescent="0.25">
      <c r="A1595" s="33">
        <v>4</v>
      </c>
      <c r="B1595" s="34" t="s">
        <v>1115</v>
      </c>
      <c r="C1595" s="35" t="s">
        <v>50</v>
      </c>
      <c r="D1595" s="36">
        <v>65</v>
      </c>
      <c r="E1595" s="36">
        <v>2.3216000000000001</v>
      </c>
      <c r="F1595" s="36">
        <f t="shared" si="362"/>
        <v>150.904</v>
      </c>
      <c r="G1595" s="37">
        <f t="shared" si="363"/>
        <v>0</v>
      </c>
      <c r="H1595" s="38">
        <f t="shared" si="363"/>
        <v>0</v>
      </c>
      <c r="I1595" s="37">
        <f t="shared" si="364"/>
        <v>0</v>
      </c>
      <c r="J1595" s="38">
        <v>0</v>
      </c>
      <c r="K1595" s="37">
        <f t="shared" si="365"/>
        <v>0</v>
      </c>
      <c r="L1595" s="38">
        <v>0</v>
      </c>
    </row>
    <row r="1596" spans="1:12" s="39" customFormat="1" ht="28.95" customHeight="1" outlineLevel="1" x14ac:dyDescent="0.25">
      <c r="A1596" s="33">
        <v>5</v>
      </c>
      <c r="B1596" s="34" t="s">
        <v>1116</v>
      </c>
      <c r="C1596" s="35" t="s">
        <v>50</v>
      </c>
      <c r="D1596" s="36">
        <v>65</v>
      </c>
      <c r="E1596" s="36">
        <v>1.885</v>
      </c>
      <c r="F1596" s="36">
        <f t="shared" si="362"/>
        <v>122.52500000000001</v>
      </c>
      <c r="G1596" s="37">
        <f t="shared" si="363"/>
        <v>0</v>
      </c>
      <c r="H1596" s="38">
        <f t="shared" si="363"/>
        <v>0</v>
      </c>
      <c r="I1596" s="37">
        <f t="shared" si="364"/>
        <v>0</v>
      </c>
      <c r="J1596" s="38">
        <v>0</v>
      </c>
      <c r="K1596" s="37">
        <f t="shared" si="365"/>
        <v>0</v>
      </c>
      <c r="L1596" s="38">
        <v>0</v>
      </c>
    </row>
    <row r="1597" spans="1:12" s="39" customFormat="1" ht="15.45" customHeight="1" outlineLevel="1" x14ac:dyDescent="0.25">
      <c r="A1597" s="33">
        <v>6</v>
      </c>
      <c r="B1597" s="34" t="s">
        <v>1117</v>
      </c>
      <c r="C1597" s="35" t="s">
        <v>55</v>
      </c>
      <c r="D1597" s="36">
        <v>1</v>
      </c>
      <c r="E1597" s="36">
        <v>109.61539999999999</v>
      </c>
      <c r="F1597" s="36">
        <f t="shared" si="362"/>
        <v>109.61539999999999</v>
      </c>
      <c r="G1597" s="37">
        <f t="shared" si="363"/>
        <v>0</v>
      </c>
      <c r="H1597" s="38">
        <f t="shared" si="363"/>
        <v>0</v>
      </c>
      <c r="I1597" s="37">
        <f t="shared" si="364"/>
        <v>0</v>
      </c>
      <c r="J1597" s="38">
        <v>0</v>
      </c>
      <c r="K1597" s="37">
        <f t="shared" si="365"/>
        <v>0</v>
      </c>
      <c r="L1597" s="38">
        <v>0</v>
      </c>
    </row>
    <row r="1598" spans="1:12" s="39" customFormat="1" ht="15.45" customHeight="1" outlineLevel="1" x14ac:dyDescent="0.25">
      <c r="A1598" s="33">
        <v>7</v>
      </c>
      <c r="B1598" s="34" t="s">
        <v>1118</v>
      </c>
      <c r="C1598" s="35" t="s">
        <v>55</v>
      </c>
      <c r="D1598" s="36">
        <v>1</v>
      </c>
      <c r="E1598" s="36">
        <v>6.4852000000000007</v>
      </c>
      <c r="F1598" s="36">
        <f t="shared" si="362"/>
        <v>6.4852000000000007</v>
      </c>
      <c r="G1598" s="37">
        <f t="shared" si="363"/>
        <v>0</v>
      </c>
      <c r="H1598" s="38">
        <f t="shared" si="363"/>
        <v>0</v>
      </c>
      <c r="I1598" s="37">
        <f t="shared" si="364"/>
        <v>0</v>
      </c>
      <c r="J1598" s="38">
        <v>0</v>
      </c>
      <c r="K1598" s="37">
        <f t="shared" si="365"/>
        <v>0</v>
      </c>
      <c r="L1598" s="38">
        <v>0</v>
      </c>
    </row>
    <row r="1599" spans="1:12" s="39" customFormat="1" ht="15.45" customHeight="1" outlineLevel="1" x14ac:dyDescent="0.25">
      <c r="A1599" s="33">
        <v>8</v>
      </c>
      <c r="B1599" s="34" t="s">
        <v>1119</v>
      </c>
      <c r="C1599" s="35" t="s">
        <v>30</v>
      </c>
      <c r="D1599" s="36">
        <v>5.0000000000000001E-3</v>
      </c>
      <c r="E1599" s="36">
        <v>3488.2959999999989</v>
      </c>
      <c r="F1599" s="36">
        <f t="shared" si="362"/>
        <v>17.441479999999995</v>
      </c>
      <c r="G1599" s="37">
        <f t="shared" si="363"/>
        <v>0</v>
      </c>
      <c r="H1599" s="38">
        <f t="shared" si="363"/>
        <v>0</v>
      </c>
      <c r="I1599" s="37">
        <f t="shared" si="364"/>
        <v>0</v>
      </c>
      <c r="J1599" s="38">
        <v>0</v>
      </c>
      <c r="K1599" s="37">
        <f t="shared" si="365"/>
        <v>0</v>
      </c>
      <c r="L1599" s="38">
        <v>0</v>
      </c>
    </row>
    <row r="1600" spans="1:12" s="39" customFormat="1" ht="15.45" customHeight="1" outlineLevel="1" x14ac:dyDescent="0.25">
      <c r="A1600" s="31" t="s">
        <v>1120</v>
      </c>
      <c r="B1600" s="40" t="s">
        <v>1121</v>
      </c>
      <c r="C1600" s="41">
        <v>0</v>
      </c>
      <c r="D1600" s="42"/>
      <c r="E1600" s="42"/>
      <c r="F1600" s="42"/>
      <c r="G1600" s="43"/>
      <c r="H1600" s="44"/>
      <c r="I1600" s="43"/>
      <c r="J1600" s="44"/>
      <c r="K1600" s="43"/>
      <c r="L1600" s="44">
        <v>0</v>
      </c>
    </row>
    <row r="1601" spans="1:12" s="39" customFormat="1" ht="43.5" customHeight="1" outlineLevel="1" x14ac:dyDescent="0.25">
      <c r="A1601" s="33">
        <v>1</v>
      </c>
      <c r="B1601" s="34" t="s">
        <v>1122</v>
      </c>
      <c r="C1601" s="35" t="s">
        <v>1123</v>
      </c>
      <c r="D1601" s="36">
        <v>8.0000000000000002E-3</v>
      </c>
      <c r="E1601" s="36">
        <v>8181.7954000000009</v>
      </c>
      <c r="F1601" s="36">
        <f t="shared" ref="F1601:F1619" si="366">+E1601*D1601</f>
        <v>65.454363200000003</v>
      </c>
      <c r="G1601" s="37">
        <f t="shared" ref="G1601:G1619" si="367">I1601+K1601</f>
        <v>0</v>
      </c>
      <c r="H1601" s="38">
        <f t="shared" ref="H1601:H1619" si="368">J1601+L1601</f>
        <v>0</v>
      </c>
      <c r="I1601" s="37">
        <f t="shared" ref="I1601:I1619" si="369">J1601/F1601</f>
        <v>0</v>
      </c>
      <c r="J1601" s="38">
        <v>0</v>
      </c>
      <c r="K1601" s="37">
        <f t="shared" ref="K1601:K1619" si="370">L1601/F1601</f>
        <v>0</v>
      </c>
      <c r="L1601" s="38">
        <v>0</v>
      </c>
    </row>
    <row r="1602" spans="1:12" s="39" customFormat="1" ht="28.95" customHeight="1" outlineLevel="1" x14ac:dyDescent="0.25">
      <c r="A1602" s="33">
        <v>2</v>
      </c>
      <c r="B1602" s="34" t="s">
        <v>334</v>
      </c>
      <c r="C1602" s="35" t="s">
        <v>50</v>
      </c>
      <c r="D1602" s="36">
        <v>8</v>
      </c>
      <c r="E1602" s="36">
        <v>4.1167999999999996</v>
      </c>
      <c r="F1602" s="36">
        <f t="shared" si="366"/>
        <v>32.934399999999997</v>
      </c>
      <c r="G1602" s="37">
        <f t="shared" si="367"/>
        <v>0</v>
      </c>
      <c r="H1602" s="38">
        <f t="shared" si="368"/>
        <v>0</v>
      </c>
      <c r="I1602" s="37">
        <f t="shared" si="369"/>
        <v>0</v>
      </c>
      <c r="J1602" s="38">
        <v>0</v>
      </c>
      <c r="K1602" s="37">
        <f t="shared" si="370"/>
        <v>0</v>
      </c>
      <c r="L1602" s="38">
        <v>0</v>
      </c>
    </row>
    <row r="1603" spans="1:12" s="39" customFormat="1" ht="43.5" customHeight="1" outlineLevel="1" x14ac:dyDescent="0.25">
      <c r="A1603" s="33">
        <v>3</v>
      </c>
      <c r="B1603" s="34" t="s">
        <v>1124</v>
      </c>
      <c r="C1603" s="35" t="s">
        <v>1123</v>
      </c>
      <c r="D1603" s="36">
        <v>0.01</v>
      </c>
      <c r="E1603" s="36">
        <v>13262.7112</v>
      </c>
      <c r="F1603" s="36">
        <f t="shared" si="366"/>
        <v>132.62711200000001</v>
      </c>
      <c r="G1603" s="37">
        <f t="shared" si="367"/>
        <v>0</v>
      </c>
      <c r="H1603" s="38">
        <f t="shared" si="368"/>
        <v>0</v>
      </c>
      <c r="I1603" s="37">
        <f t="shared" si="369"/>
        <v>0</v>
      </c>
      <c r="J1603" s="38">
        <v>0</v>
      </c>
      <c r="K1603" s="37">
        <f t="shared" si="370"/>
        <v>0</v>
      </c>
      <c r="L1603" s="38">
        <v>0</v>
      </c>
    </row>
    <row r="1604" spans="1:12" s="39" customFormat="1" ht="28.95" customHeight="1" outlineLevel="1" x14ac:dyDescent="0.25">
      <c r="A1604" s="33">
        <v>4</v>
      </c>
      <c r="B1604" s="34" t="s">
        <v>1125</v>
      </c>
      <c r="C1604" s="35" t="s">
        <v>50</v>
      </c>
      <c r="D1604" s="36">
        <v>10</v>
      </c>
      <c r="E1604" s="36">
        <v>13.3172</v>
      </c>
      <c r="F1604" s="36">
        <f t="shared" si="366"/>
        <v>133.172</v>
      </c>
      <c r="G1604" s="37">
        <f t="shared" si="367"/>
        <v>0</v>
      </c>
      <c r="H1604" s="38">
        <f t="shared" si="368"/>
        <v>0</v>
      </c>
      <c r="I1604" s="37">
        <f t="shared" si="369"/>
        <v>0</v>
      </c>
      <c r="J1604" s="38">
        <v>0</v>
      </c>
      <c r="K1604" s="37">
        <f t="shared" si="370"/>
        <v>0</v>
      </c>
      <c r="L1604" s="38">
        <v>0</v>
      </c>
    </row>
    <row r="1605" spans="1:12" s="39" customFormat="1" ht="43.5" customHeight="1" outlineLevel="1" x14ac:dyDescent="0.25">
      <c r="A1605" s="33">
        <v>5</v>
      </c>
      <c r="B1605" s="34" t="s">
        <v>1126</v>
      </c>
      <c r="C1605" s="35" t="s">
        <v>1123</v>
      </c>
      <c r="D1605" s="36">
        <v>0.03</v>
      </c>
      <c r="E1605" s="36">
        <v>14257.496800000001</v>
      </c>
      <c r="F1605" s="36">
        <f t="shared" si="366"/>
        <v>427.72490399999998</v>
      </c>
      <c r="G1605" s="37">
        <f t="shared" si="367"/>
        <v>0</v>
      </c>
      <c r="H1605" s="38">
        <f t="shared" si="368"/>
        <v>0</v>
      </c>
      <c r="I1605" s="37">
        <f t="shared" si="369"/>
        <v>0</v>
      </c>
      <c r="J1605" s="38">
        <v>0</v>
      </c>
      <c r="K1605" s="37">
        <f t="shared" si="370"/>
        <v>0</v>
      </c>
      <c r="L1605" s="38">
        <v>0</v>
      </c>
    </row>
    <row r="1606" spans="1:12" s="39" customFormat="1" ht="28.95" customHeight="1" outlineLevel="1" x14ac:dyDescent="0.25">
      <c r="A1606" s="33">
        <v>6</v>
      </c>
      <c r="B1606" s="34" t="s">
        <v>1127</v>
      </c>
      <c r="C1606" s="35" t="s">
        <v>50</v>
      </c>
      <c r="D1606" s="36">
        <v>30</v>
      </c>
      <c r="E1606" s="36">
        <v>27.872599999999998</v>
      </c>
      <c r="F1606" s="36">
        <f t="shared" si="366"/>
        <v>836.178</v>
      </c>
      <c r="G1606" s="37">
        <f t="shared" si="367"/>
        <v>0</v>
      </c>
      <c r="H1606" s="38">
        <f t="shared" si="368"/>
        <v>0</v>
      </c>
      <c r="I1606" s="37">
        <f t="shared" si="369"/>
        <v>0</v>
      </c>
      <c r="J1606" s="38">
        <v>0</v>
      </c>
      <c r="K1606" s="37">
        <f t="shared" si="370"/>
        <v>0</v>
      </c>
      <c r="L1606" s="38">
        <v>0</v>
      </c>
    </row>
    <row r="1607" spans="1:12" s="39" customFormat="1" ht="28.95" customHeight="1" outlineLevel="1" x14ac:dyDescent="0.25">
      <c r="A1607" s="33">
        <v>7</v>
      </c>
      <c r="B1607" s="34" t="s">
        <v>1128</v>
      </c>
      <c r="C1607" s="35" t="s">
        <v>50</v>
      </c>
      <c r="D1607" s="36">
        <v>3.5</v>
      </c>
      <c r="E1607" s="36">
        <v>13.3172</v>
      </c>
      <c r="F1607" s="36">
        <f t="shared" si="366"/>
        <v>46.610199999999999</v>
      </c>
      <c r="G1607" s="37">
        <f t="shared" si="367"/>
        <v>0</v>
      </c>
      <c r="H1607" s="38">
        <f t="shared" si="368"/>
        <v>0</v>
      </c>
      <c r="I1607" s="37">
        <f t="shared" si="369"/>
        <v>0</v>
      </c>
      <c r="J1607" s="38">
        <v>0</v>
      </c>
      <c r="K1607" s="37">
        <f t="shared" si="370"/>
        <v>0</v>
      </c>
      <c r="L1607" s="38">
        <v>0</v>
      </c>
    </row>
    <row r="1608" spans="1:12" s="39" customFormat="1" ht="43.5" customHeight="1" outlineLevel="1" x14ac:dyDescent="0.25">
      <c r="A1608" s="33">
        <v>8</v>
      </c>
      <c r="B1608" s="34" t="s">
        <v>1129</v>
      </c>
      <c r="C1608" s="35" t="s">
        <v>50</v>
      </c>
      <c r="D1608" s="36">
        <v>3.5</v>
      </c>
      <c r="E1608" s="36">
        <v>27.872599999999998</v>
      </c>
      <c r="F1608" s="36">
        <f t="shared" si="366"/>
        <v>97.554099999999991</v>
      </c>
      <c r="G1608" s="37">
        <f t="shared" si="367"/>
        <v>0</v>
      </c>
      <c r="H1608" s="38">
        <f t="shared" si="368"/>
        <v>0</v>
      </c>
      <c r="I1608" s="37">
        <f t="shared" si="369"/>
        <v>0</v>
      </c>
      <c r="J1608" s="38">
        <v>0</v>
      </c>
      <c r="K1608" s="37">
        <f t="shared" si="370"/>
        <v>0</v>
      </c>
      <c r="L1608" s="38">
        <v>0</v>
      </c>
    </row>
    <row r="1609" spans="1:12" s="39" customFormat="1" ht="28.95" customHeight="1" outlineLevel="1" x14ac:dyDescent="0.25">
      <c r="A1609" s="33">
        <v>9</v>
      </c>
      <c r="B1609" s="34" t="s">
        <v>1130</v>
      </c>
      <c r="C1609" s="35" t="s">
        <v>115</v>
      </c>
      <c r="D1609" s="36">
        <v>4</v>
      </c>
      <c r="E1609" s="36">
        <v>33.148000000000003</v>
      </c>
      <c r="F1609" s="36">
        <f t="shared" si="366"/>
        <v>132.59200000000001</v>
      </c>
      <c r="G1609" s="37">
        <f t="shared" si="367"/>
        <v>0</v>
      </c>
      <c r="H1609" s="38">
        <f t="shared" si="368"/>
        <v>0</v>
      </c>
      <c r="I1609" s="37">
        <f t="shared" si="369"/>
        <v>0</v>
      </c>
      <c r="J1609" s="38">
        <v>0</v>
      </c>
      <c r="K1609" s="37">
        <f t="shared" si="370"/>
        <v>0</v>
      </c>
      <c r="L1609" s="38">
        <v>0</v>
      </c>
    </row>
    <row r="1610" spans="1:12" s="39" customFormat="1" ht="15.45" customHeight="1" outlineLevel="1" x14ac:dyDescent="0.25">
      <c r="A1610" s="33">
        <v>10</v>
      </c>
      <c r="B1610" s="34" t="s">
        <v>1131</v>
      </c>
      <c r="C1610" s="35" t="s">
        <v>55</v>
      </c>
      <c r="D1610" s="36">
        <v>4</v>
      </c>
      <c r="E1610" s="36">
        <v>6.6463999999999999</v>
      </c>
      <c r="F1610" s="36">
        <f t="shared" si="366"/>
        <v>26.585599999999999</v>
      </c>
      <c r="G1610" s="37">
        <f t="shared" si="367"/>
        <v>0</v>
      </c>
      <c r="H1610" s="38">
        <f t="shared" si="368"/>
        <v>0</v>
      </c>
      <c r="I1610" s="37">
        <f t="shared" si="369"/>
        <v>0</v>
      </c>
      <c r="J1610" s="38">
        <v>0</v>
      </c>
      <c r="K1610" s="37">
        <f t="shared" si="370"/>
        <v>0</v>
      </c>
      <c r="L1610" s="38">
        <v>0</v>
      </c>
    </row>
    <row r="1611" spans="1:12" s="39" customFormat="1" ht="28.95" customHeight="1" outlineLevel="1" x14ac:dyDescent="0.25">
      <c r="A1611" s="33">
        <v>11</v>
      </c>
      <c r="B1611" s="34" t="s">
        <v>1132</v>
      </c>
      <c r="C1611" s="35" t="s">
        <v>55</v>
      </c>
      <c r="D1611" s="36">
        <v>8</v>
      </c>
      <c r="E1611" s="36">
        <v>21.958600000000001</v>
      </c>
      <c r="F1611" s="36">
        <f t="shared" si="366"/>
        <v>175.6688</v>
      </c>
      <c r="G1611" s="37">
        <f t="shared" si="367"/>
        <v>0</v>
      </c>
      <c r="H1611" s="38">
        <f t="shared" si="368"/>
        <v>0</v>
      </c>
      <c r="I1611" s="37">
        <f t="shared" si="369"/>
        <v>0</v>
      </c>
      <c r="J1611" s="38">
        <v>0</v>
      </c>
      <c r="K1611" s="37">
        <f t="shared" si="370"/>
        <v>0</v>
      </c>
      <c r="L1611" s="38">
        <v>0</v>
      </c>
    </row>
    <row r="1612" spans="1:12" s="39" customFormat="1" ht="28.95" customHeight="1" outlineLevel="1" x14ac:dyDescent="0.25">
      <c r="A1612" s="33">
        <v>12</v>
      </c>
      <c r="B1612" s="34" t="s">
        <v>1133</v>
      </c>
      <c r="C1612" s="35" t="s">
        <v>55</v>
      </c>
      <c r="D1612" s="36">
        <v>8</v>
      </c>
      <c r="E1612" s="36">
        <v>4.3615999999999993</v>
      </c>
      <c r="F1612" s="36">
        <f t="shared" si="366"/>
        <v>34.892799999999994</v>
      </c>
      <c r="G1612" s="37">
        <f t="shared" si="367"/>
        <v>0</v>
      </c>
      <c r="H1612" s="38">
        <f t="shared" si="368"/>
        <v>0</v>
      </c>
      <c r="I1612" s="37">
        <f t="shared" si="369"/>
        <v>0</v>
      </c>
      <c r="J1612" s="38">
        <v>0</v>
      </c>
      <c r="K1612" s="37">
        <f t="shared" si="370"/>
        <v>0</v>
      </c>
      <c r="L1612" s="38">
        <v>0</v>
      </c>
    </row>
    <row r="1613" spans="1:12" s="39" customFormat="1" ht="28.95" customHeight="1" outlineLevel="1" x14ac:dyDescent="0.25">
      <c r="A1613" s="33">
        <v>13</v>
      </c>
      <c r="B1613" s="34" t="s">
        <v>1047</v>
      </c>
      <c r="C1613" s="35" t="s">
        <v>106</v>
      </c>
      <c r="D1613" s="36">
        <v>0.8</v>
      </c>
      <c r="E1613" s="36">
        <v>6.1689999999999996</v>
      </c>
      <c r="F1613" s="36">
        <f t="shared" si="366"/>
        <v>4.9352</v>
      </c>
      <c r="G1613" s="37">
        <f t="shared" si="367"/>
        <v>0</v>
      </c>
      <c r="H1613" s="38">
        <f t="shared" si="368"/>
        <v>0</v>
      </c>
      <c r="I1613" s="37">
        <f t="shared" si="369"/>
        <v>0</v>
      </c>
      <c r="J1613" s="38">
        <v>0</v>
      </c>
      <c r="K1613" s="37">
        <f t="shared" si="370"/>
        <v>0</v>
      </c>
      <c r="L1613" s="38">
        <v>0</v>
      </c>
    </row>
    <row r="1614" spans="1:12" s="39" customFormat="1" ht="28.95" customHeight="1" outlineLevel="1" x14ac:dyDescent="0.25">
      <c r="A1614" s="33">
        <v>14</v>
      </c>
      <c r="B1614" s="34" t="s">
        <v>923</v>
      </c>
      <c r="C1614" s="35" t="s">
        <v>66</v>
      </c>
      <c r="D1614" s="36">
        <v>11</v>
      </c>
      <c r="E1614" s="36">
        <v>0.86120000000000008</v>
      </c>
      <c r="F1614" s="36">
        <f t="shared" si="366"/>
        <v>9.4732000000000003</v>
      </c>
      <c r="G1614" s="37">
        <f t="shared" si="367"/>
        <v>0</v>
      </c>
      <c r="H1614" s="38">
        <f t="shared" si="368"/>
        <v>0</v>
      </c>
      <c r="I1614" s="37">
        <f t="shared" si="369"/>
        <v>0</v>
      </c>
      <c r="J1614" s="38">
        <v>0</v>
      </c>
      <c r="K1614" s="37">
        <f t="shared" si="370"/>
        <v>0</v>
      </c>
      <c r="L1614" s="38">
        <v>0</v>
      </c>
    </row>
    <row r="1615" spans="1:12" s="39" customFormat="1" ht="28.95" customHeight="1" outlineLevel="1" x14ac:dyDescent="0.25">
      <c r="A1615" s="33">
        <v>15</v>
      </c>
      <c r="B1615" s="34" t="s">
        <v>765</v>
      </c>
      <c r="C1615" s="35" t="s">
        <v>66</v>
      </c>
      <c r="D1615" s="36">
        <v>1.2</v>
      </c>
      <c r="E1615" s="36">
        <v>8.9600000000000009</v>
      </c>
      <c r="F1615" s="36">
        <f t="shared" si="366"/>
        <v>10.752000000000001</v>
      </c>
      <c r="G1615" s="37">
        <f t="shared" si="367"/>
        <v>0</v>
      </c>
      <c r="H1615" s="38">
        <f t="shared" si="368"/>
        <v>0</v>
      </c>
      <c r="I1615" s="37">
        <f t="shared" si="369"/>
        <v>0</v>
      </c>
      <c r="J1615" s="38">
        <v>0</v>
      </c>
      <c r="K1615" s="37">
        <f t="shared" si="370"/>
        <v>0</v>
      </c>
      <c r="L1615" s="38">
        <v>0</v>
      </c>
    </row>
    <row r="1616" spans="1:12" s="39" customFormat="1" ht="15.45" customHeight="1" outlineLevel="1" x14ac:dyDescent="0.25">
      <c r="A1616" s="33">
        <v>16</v>
      </c>
      <c r="B1616" s="34" t="s">
        <v>1134</v>
      </c>
      <c r="C1616" s="35" t="s">
        <v>66</v>
      </c>
      <c r="D1616" s="36">
        <v>2.4</v>
      </c>
      <c r="E1616" s="36">
        <v>24.9574</v>
      </c>
      <c r="F1616" s="36">
        <f t="shared" si="366"/>
        <v>59.897759999999998</v>
      </c>
      <c r="G1616" s="37">
        <f t="shared" si="367"/>
        <v>0</v>
      </c>
      <c r="H1616" s="38">
        <f t="shared" si="368"/>
        <v>0</v>
      </c>
      <c r="I1616" s="37">
        <f t="shared" si="369"/>
        <v>0</v>
      </c>
      <c r="J1616" s="38">
        <v>0</v>
      </c>
      <c r="K1616" s="37">
        <f t="shared" si="370"/>
        <v>0</v>
      </c>
      <c r="L1616" s="38">
        <v>0</v>
      </c>
    </row>
    <row r="1617" spans="1:12" s="45" customFormat="1" ht="43.5" customHeight="1" x14ac:dyDescent="0.3">
      <c r="A1617" s="33">
        <v>17</v>
      </c>
      <c r="B1617" s="34" t="s">
        <v>766</v>
      </c>
      <c r="C1617" s="35" t="s">
        <v>66</v>
      </c>
      <c r="D1617" s="36">
        <v>8.1</v>
      </c>
      <c r="E1617" s="36">
        <v>0.9</v>
      </c>
      <c r="F1617" s="36">
        <f t="shared" si="366"/>
        <v>7.29</v>
      </c>
      <c r="G1617" s="37">
        <f t="shared" si="367"/>
        <v>0</v>
      </c>
      <c r="H1617" s="38">
        <f t="shared" si="368"/>
        <v>0</v>
      </c>
      <c r="I1617" s="37">
        <f t="shared" si="369"/>
        <v>0</v>
      </c>
      <c r="J1617" s="38">
        <v>0</v>
      </c>
      <c r="K1617" s="37">
        <f t="shared" si="370"/>
        <v>0</v>
      </c>
      <c r="L1617" s="38">
        <v>0</v>
      </c>
    </row>
    <row r="1618" spans="1:12" s="46" customFormat="1" ht="28.95" customHeight="1" outlineLevel="1" x14ac:dyDescent="0.35">
      <c r="A1618" s="33">
        <v>18</v>
      </c>
      <c r="B1618" s="34" t="s">
        <v>316</v>
      </c>
      <c r="C1618" s="35" t="s">
        <v>66</v>
      </c>
      <c r="D1618" s="36">
        <v>0.9</v>
      </c>
      <c r="E1618" s="36">
        <v>8.16</v>
      </c>
      <c r="F1618" s="36">
        <f t="shared" si="366"/>
        <v>7.3440000000000003</v>
      </c>
      <c r="G1618" s="37">
        <f t="shared" si="367"/>
        <v>0</v>
      </c>
      <c r="H1618" s="38">
        <f t="shared" si="368"/>
        <v>0</v>
      </c>
      <c r="I1618" s="37">
        <f t="shared" si="369"/>
        <v>0</v>
      </c>
      <c r="J1618" s="38">
        <v>0</v>
      </c>
      <c r="K1618" s="37">
        <f t="shared" si="370"/>
        <v>0</v>
      </c>
      <c r="L1618" s="38">
        <v>0</v>
      </c>
    </row>
    <row r="1619" spans="1:12" s="46" customFormat="1" ht="28.95" customHeight="1" outlineLevel="1" x14ac:dyDescent="0.35">
      <c r="A1619" s="33">
        <v>19</v>
      </c>
      <c r="B1619" s="34" t="s">
        <v>234</v>
      </c>
      <c r="C1619" s="35" t="s">
        <v>66</v>
      </c>
      <c r="D1619" s="36">
        <v>8.1</v>
      </c>
      <c r="E1619" s="36">
        <v>2</v>
      </c>
      <c r="F1619" s="36">
        <f t="shared" si="366"/>
        <v>16.2</v>
      </c>
      <c r="G1619" s="37">
        <f t="shared" si="367"/>
        <v>0</v>
      </c>
      <c r="H1619" s="38">
        <f t="shared" si="368"/>
        <v>0</v>
      </c>
      <c r="I1619" s="37">
        <f t="shared" si="369"/>
        <v>0</v>
      </c>
      <c r="J1619" s="38">
        <v>0</v>
      </c>
      <c r="K1619" s="37">
        <f t="shared" si="370"/>
        <v>0</v>
      </c>
      <c r="L1619" s="38">
        <v>0</v>
      </c>
    </row>
    <row r="1620" spans="1:12" s="39" customFormat="1" ht="15.45" customHeight="1" outlineLevel="1" x14ac:dyDescent="0.25">
      <c r="A1620" s="31" t="s">
        <v>52</v>
      </c>
      <c r="B1620" s="40" t="s">
        <v>53</v>
      </c>
      <c r="C1620" s="41">
        <v>0</v>
      </c>
      <c r="D1620" s="42"/>
      <c r="E1620" s="42"/>
      <c r="F1620" s="42"/>
      <c r="G1620" s="43"/>
      <c r="H1620" s="44"/>
      <c r="I1620" s="43"/>
      <c r="J1620" s="44"/>
      <c r="K1620" s="43"/>
      <c r="L1620" s="44">
        <v>0</v>
      </c>
    </row>
    <row r="1621" spans="1:12" s="39" customFormat="1" ht="43.5" customHeight="1" outlineLevel="1" x14ac:dyDescent="0.25">
      <c r="A1621" s="33">
        <v>1</v>
      </c>
      <c r="B1621" s="34" t="s">
        <v>830</v>
      </c>
      <c r="C1621" s="35" t="s">
        <v>66</v>
      </c>
      <c r="D1621" s="36">
        <v>430</v>
      </c>
      <c r="E1621" s="36">
        <v>0.9</v>
      </c>
      <c r="F1621" s="36">
        <f t="shared" ref="F1621:F1654" si="371">+E1621*D1621</f>
        <v>387</v>
      </c>
      <c r="G1621" s="37">
        <f t="shared" ref="G1621:G1654" si="372">I1621+K1621</f>
        <v>0</v>
      </c>
      <c r="H1621" s="38">
        <f t="shared" ref="H1621:H1654" si="373">J1621+L1621</f>
        <v>0</v>
      </c>
      <c r="I1621" s="37">
        <f t="shared" ref="I1621:I1654" si="374">J1621/F1621</f>
        <v>0</v>
      </c>
      <c r="J1621" s="38">
        <v>0</v>
      </c>
      <c r="K1621" s="37">
        <f t="shared" ref="K1621:K1654" si="375">L1621/F1621</f>
        <v>0</v>
      </c>
      <c r="L1621" s="38">
        <v>0</v>
      </c>
    </row>
    <row r="1622" spans="1:12" s="39" customFormat="1" ht="28.95" customHeight="1" outlineLevel="1" x14ac:dyDescent="0.25">
      <c r="A1622" s="33">
        <v>2</v>
      </c>
      <c r="B1622" s="34" t="s">
        <v>765</v>
      </c>
      <c r="C1622" s="35" t="s">
        <v>66</v>
      </c>
      <c r="D1622" s="36">
        <v>13</v>
      </c>
      <c r="E1622" s="36">
        <v>8.9600000000000009</v>
      </c>
      <c r="F1622" s="36">
        <f t="shared" si="371"/>
        <v>116.48000000000002</v>
      </c>
      <c r="G1622" s="37">
        <f t="shared" si="372"/>
        <v>0</v>
      </c>
      <c r="H1622" s="38">
        <f t="shared" si="373"/>
        <v>0</v>
      </c>
      <c r="I1622" s="37">
        <f t="shared" si="374"/>
        <v>0</v>
      </c>
      <c r="J1622" s="38">
        <v>0</v>
      </c>
      <c r="K1622" s="37">
        <f t="shared" si="375"/>
        <v>0</v>
      </c>
      <c r="L1622" s="38">
        <v>0</v>
      </c>
    </row>
    <row r="1623" spans="1:12" s="39" customFormat="1" ht="43.5" customHeight="1" outlineLevel="1" x14ac:dyDescent="0.25">
      <c r="A1623" s="33">
        <v>3</v>
      </c>
      <c r="B1623" s="34" t="s">
        <v>766</v>
      </c>
      <c r="C1623" s="35" t="s">
        <v>66</v>
      </c>
      <c r="D1623" s="36">
        <v>225</v>
      </c>
      <c r="E1623" s="36">
        <v>0.9</v>
      </c>
      <c r="F1623" s="36">
        <f t="shared" si="371"/>
        <v>202.5</v>
      </c>
      <c r="G1623" s="37">
        <f t="shared" si="372"/>
        <v>0</v>
      </c>
      <c r="H1623" s="38">
        <f t="shared" si="373"/>
        <v>0</v>
      </c>
      <c r="I1623" s="37">
        <f t="shared" si="374"/>
        <v>0</v>
      </c>
      <c r="J1623" s="38">
        <v>0</v>
      </c>
      <c r="K1623" s="37">
        <f t="shared" si="375"/>
        <v>0</v>
      </c>
      <c r="L1623" s="38">
        <v>0</v>
      </c>
    </row>
    <row r="1624" spans="1:12" s="45" customFormat="1" ht="28.95" customHeight="1" x14ac:dyDescent="0.3">
      <c r="A1624" s="33">
        <v>4</v>
      </c>
      <c r="B1624" s="34" t="s">
        <v>234</v>
      </c>
      <c r="C1624" s="35" t="s">
        <v>66</v>
      </c>
      <c r="D1624" s="36">
        <v>225</v>
      </c>
      <c r="E1624" s="36">
        <v>2</v>
      </c>
      <c r="F1624" s="36">
        <f t="shared" si="371"/>
        <v>450</v>
      </c>
      <c r="G1624" s="37">
        <f t="shared" si="372"/>
        <v>0</v>
      </c>
      <c r="H1624" s="38">
        <f t="shared" si="373"/>
        <v>0</v>
      </c>
      <c r="I1624" s="37">
        <f t="shared" si="374"/>
        <v>0</v>
      </c>
      <c r="J1624" s="38">
        <v>0</v>
      </c>
      <c r="K1624" s="37">
        <f t="shared" si="375"/>
        <v>0</v>
      </c>
      <c r="L1624" s="38">
        <v>0</v>
      </c>
    </row>
    <row r="1625" spans="1:12" s="39" customFormat="1" ht="28.95" customHeight="1" outlineLevel="1" x14ac:dyDescent="0.25">
      <c r="A1625" s="33">
        <v>5</v>
      </c>
      <c r="B1625" s="34" t="s">
        <v>316</v>
      </c>
      <c r="C1625" s="35" t="s">
        <v>66</v>
      </c>
      <c r="D1625" s="36">
        <v>56</v>
      </c>
      <c r="E1625" s="36">
        <v>8.16</v>
      </c>
      <c r="F1625" s="36">
        <f t="shared" si="371"/>
        <v>456.96000000000004</v>
      </c>
      <c r="G1625" s="37">
        <f t="shared" si="372"/>
        <v>0</v>
      </c>
      <c r="H1625" s="38">
        <f t="shared" si="373"/>
        <v>0</v>
      </c>
      <c r="I1625" s="37">
        <f t="shared" si="374"/>
        <v>0</v>
      </c>
      <c r="J1625" s="38">
        <v>0</v>
      </c>
      <c r="K1625" s="37">
        <f t="shared" si="375"/>
        <v>0</v>
      </c>
      <c r="L1625" s="38">
        <v>0</v>
      </c>
    </row>
    <row r="1626" spans="1:12" s="39" customFormat="1" ht="43.5" customHeight="1" outlineLevel="1" x14ac:dyDescent="0.25">
      <c r="A1626" s="33">
        <v>6</v>
      </c>
      <c r="B1626" s="34" t="s">
        <v>1135</v>
      </c>
      <c r="C1626" s="35" t="s">
        <v>66</v>
      </c>
      <c r="D1626" s="36">
        <v>62</v>
      </c>
      <c r="E1626" s="36">
        <v>0.9</v>
      </c>
      <c r="F1626" s="36">
        <f t="shared" si="371"/>
        <v>55.800000000000004</v>
      </c>
      <c r="G1626" s="37">
        <f t="shared" si="372"/>
        <v>0</v>
      </c>
      <c r="H1626" s="38">
        <f t="shared" si="373"/>
        <v>0</v>
      </c>
      <c r="I1626" s="37">
        <f t="shared" si="374"/>
        <v>0</v>
      </c>
      <c r="J1626" s="38">
        <v>0</v>
      </c>
      <c r="K1626" s="37">
        <f t="shared" si="375"/>
        <v>0</v>
      </c>
      <c r="L1626" s="38">
        <v>0</v>
      </c>
    </row>
    <row r="1627" spans="1:12" s="39" customFormat="1" ht="28.95" customHeight="1" outlineLevel="1" x14ac:dyDescent="0.25">
      <c r="A1627" s="33">
        <v>7</v>
      </c>
      <c r="B1627" s="34" t="s">
        <v>923</v>
      </c>
      <c r="C1627" s="35" t="s">
        <v>66</v>
      </c>
      <c r="D1627" s="36">
        <v>87</v>
      </c>
      <c r="E1627" s="36">
        <v>0.9</v>
      </c>
      <c r="F1627" s="36">
        <f t="shared" si="371"/>
        <v>78.3</v>
      </c>
      <c r="G1627" s="37">
        <f t="shared" si="372"/>
        <v>0</v>
      </c>
      <c r="H1627" s="38">
        <f t="shared" si="373"/>
        <v>0</v>
      </c>
      <c r="I1627" s="37">
        <f t="shared" si="374"/>
        <v>0</v>
      </c>
      <c r="J1627" s="38">
        <v>0</v>
      </c>
      <c r="K1627" s="37">
        <f t="shared" si="375"/>
        <v>0</v>
      </c>
      <c r="L1627" s="38">
        <v>0</v>
      </c>
    </row>
    <row r="1628" spans="1:12" s="39" customFormat="1" ht="15.45" customHeight="1" outlineLevel="1" x14ac:dyDescent="0.25">
      <c r="A1628" s="33">
        <v>8</v>
      </c>
      <c r="B1628" s="34" t="s">
        <v>225</v>
      </c>
      <c r="C1628" s="35" t="s">
        <v>30</v>
      </c>
      <c r="D1628" s="36">
        <v>156.6</v>
      </c>
      <c r="E1628" s="36">
        <v>1.63</v>
      </c>
      <c r="F1628" s="36">
        <f t="shared" si="371"/>
        <v>255.25799999999998</v>
      </c>
      <c r="G1628" s="37">
        <f t="shared" si="372"/>
        <v>0</v>
      </c>
      <c r="H1628" s="38">
        <f t="shared" si="373"/>
        <v>0</v>
      </c>
      <c r="I1628" s="37">
        <f t="shared" si="374"/>
        <v>0</v>
      </c>
      <c r="J1628" s="38">
        <v>0</v>
      </c>
      <c r="K1628" s="37">
        <f t="shared" si="375"/>
        <v>0</v>
      </c>
      <c r="L1628" s="38">
        <v>0</v>
      </c>
    </row>
    <row r="1629" spans="1:12" s="39" customFormat="1" ht="28.95" customHeight="1" outlineLevel="1" x14ac:dyDescent="0.25">
      <c r="A1629" s="33">
        <v>9</v>
      </c>
      <c r="B1629" s="34" t="s">
        <v>226</v>
      </c>
      <c r="C1629" s="35" t="s">
        <v>66</v>
      </c>
      <c r="D1629" s="36">
        <v>87</v>
      </c>
      <c r="E1629" s="36">
        <v>0.90200000000000002</v>
      </c>
      <c r="F1629" s="36">
        <f t="shared" si="371"/>
        <v>78.474000000000004</v>
      </c>
      <c r="G1629" s="37">
        <f t="shared" si="372"/>
        <v>0</v>
      </c>
      <c r="H1629" s="38">
        <f t="shared" si="373"/>
        <v>0</v>
      </c>
      <c r="I1629" s="37">
        <f t="shared" si="374"/>
        <v>0</v>
      </c>
      <c r="J1629" s="38">
        <v>0</v>
      </c>
      <c r="K1629" s="37">
        <f t="shared" si="375"/>
        <v>0</v>
      </c>
      <c r="L1629" s="38">
        <v>0</v>
      </c>
    </row>
    <row r="1630" spans="1:12" s="39" customFormat="1" ht="15.45" customHeight="1" outlineLevel="1" x14ac:dyDescent="0.25">
      <c r="A1630" s="33">
        <v>10</v>
      </c>
      <c r="B1630" s="34" t="s">
        <v>41</v>
      </c>
      <c r="C1630" s="35" t="s">
        <v>66</v>
      </c>
      <c r="D1630" s="36">
        <v>7.2</v>
      </c>
      <c r="E1630" s="36">
        <v>34.412799999999997</v>
      </c>
      <c r="F1630" s="36">
        <f t="shared" si="371"/>
        <v>247.77215999999999</v>
      </c>
      <c r="G1630" s="37">
        <f t="shared" si="372"/>
        <v>0</v>
      </c>
      <c r="H1630" s="38">
        <f t="shared" si="373"/>
        <v>0</v>
      </c>
      <c r="I1630" s="37">
        <f t="shared" si="374"/>
        <v>0</v>
      </c>
      <c r="J1630" s="38">
        <v>0</v>
      </c>
      <c r="K1630" s="37">
        <f t="shared" si="375"/>
        <v>0</v>
      </c>
      <c r="L1630" s="38">
        <v>0</v>
      </c>
    </row>
    <row r="1631" spans="1:12" s="46" customFormat="1" ht="15.45" customHeight="1" outlineLevel="1" x14ac:dyDescent="0.35">
      <c r="A1631" s="33">
        <v>11</v>
      </c>
      <c r="B1631" s="34" t="s">
        <v>833</v>
      </c>
      <c r="C1631" s="35" t="s">
        <v>66</v>
      </c>
      <c r="D1631" s="36">
        <v>3.4</v>
      </c>
      <c r="E1631" s="36">
        <v>97.984999999999999</v>
      </c>
      <c r="F1631" s="36">
        <f t="shared" si="371"/>
        <v>333.149</v>
      </c>
      <c r="G1631" s="37">
        <f t="shared" si="372"/>
        <v>0</v>
      </c>
      <c r="H1631" s="38">
        <f t="shared" si="373"/>
        <v>0</v>
      </c>
      <c r="I1631" s="37">
        <f t="shared" si="374"/>
        <v>0</v>
      </c>
      <c r="J1631" s="38">
        <v>0</v>
      </c>
      <c r="K1631" s="37">
        <f t="shared" si="375"/>
        <v>0</v>
      </c>
      <c r="L1631" s="38">
        <v>0</v>
      </c>
    </row>
    <row r="1632" spans="1:12" s="39" customFormat="1" ht="15.45" customHeight="1" outlineLevel="1" x14ac:dyDescent="0.25">
      <c r="A1632" s="33">
        <v>12</v>
      </c>
      <c r="B1632" s="34" t="s">
        <v>1136</v>
      </c>
      <c r="C1632" s="35" t="s">
        <v>106</v>
      </c>
      <c r="D1632" s="36">
        <v>34</v>
      </c>
      <c r="E1632" s="36">
        <v>9.8818000000000001</v>
      </c>
      <c r="F1632" s="36">
        <f t="shared" si="371"/>
        <v>335.9812</v>
      </c>
      <c r="G1632" s="37">
        <f t="shared" si="372"/>
        <v>0</v>
      </c>
      <c r="H1632" s="38">
        <f t="shared" si="373"/>
        <v>0</v>
      </c>
      <c r="I1632" s="37">
        <f t="shared" si="374"/>
        <v>0</v>
      </c>
      <c r="J1632" s="38">
        <v>0</v>
      </c>
      <c r="K1632" s="37">
        <f t="shared" si="375"/>
        <v>0</v>
      </c>
      <c r="L1632" s="38">
        <v>0</v>
      </c>
    </row>
    <row r="1633" spans="1:12" s="39" customFormat="1" ht="15.45" customHeight="1" outlineLevel="1" x14ac:dyDescent="0.25">
      <c r="A1633" s="33">
        <v>13</v>
      </c>
      <c r="B1633" s="34" t="s">
        <v>47</v>
      </c>
      <c r="C1633" s="35" t="s">
        <v>106</v>
      </c>
      <c r="D1633" s="36">
        <v>34</v>
      </c>
      <c r="E1633" s="36">
        <v>5.4732580000000004</v>
      </c>
      <c r="F1633" s="36">
        <f t="shared" si="371"/>
        <v>186.09077200000002</v>
      </c>
      <c r="G1633" s="37">
        <f t="shared" si="372"/>
        <v>0</v>
      </c>
      <c r="H1633" s="38">
        <f t="shared" si="373"/>
        <v>0</v>
      </c>
      <c r="I1633" s="37">
        <f t="shared" si="374"/>
        <v>0</v>
      </c>
      <c r="J1633" s="38">
        <v>0</v>
      </c>
      <c r="K1633" s="37">
        <f t="shared" si="375"/>
        <v>0</v>
      </c>
      <c r="L1633" s="38">
        <v>0</v>
      </c>
    </row>
    <row r="1634" spans="1:12" s="39" customFormat="1" ht="15.45" customHeight="1" outlineLevel="1" x14ac:dyDescent="0.25">
      <c r="A1634" s="33">
        <v>14</v>
      </c>
      <c r="B1634" s="34" t="s">
        <v>960</v>
      </c>
      <c r="C1634" s="35" t="s">
        <v>106</v>
      </c>
      <c r="D1634" s="36">
        <v>34</v>
      </c>
      <c r="E1634" s="36">
        <v>1.4770000000000001</v>
      </c>
      <c r="F1634" s="36">
        <f t="shared" si="371"/>
        <v>50.218000000000004</v>
      </c>
      <c r="G1634" s="37">
        <f t="shared" si="372"/>
        <v>0</v>
      </c>
      <c r="H1634" s="38">
        <f t="shared" si="373"/>
        <v>0</v>
      </c>
      <c r="I1634" s="37">
        <f t="shared" si="374"/>
        <v>0</v>
      </c>
      <c r="J1634" s="38">
        <v>0</v>
      </c>
      <c r="K1634" s="37">
        <f t="shared" si="375"/>
        <v>0</v>
      </c>
      <c r="L1634" s="38">
        <v>0</v>
      </c>
    </row>
    <row r="1635" spans="1:12" s="46" customFormat="1" ht="28.95" customHeight="1" outlineLevel="1" x14ac:dyDescent="0.35">
      <c r="A1635" s="33">
        <v>15</v>
      </c>
      <c r="B1635" s="34" t="s">
        <v>1137</v>
      </c>
      <c r="C1635" s="35" t="s">
        <v>66</v>
      </c>
      <c r="D1635" s="36">
        <v>27.73</v>
      </c>
      <c r="E1635" s="36">
        <v>212.52520000000001</v>
      </c>
      <c r="F1635" s="36">
        <f t="shared" si="371"/>
        <v>5893.3237960000006</v>
      </c>
      <c r="G1635" s="37">
        <f t="shared" si="372"/>
        <v>0</v>
      </c>
      <c r="H1635" s="38">
        <f t="shared" si="373"/>
        <v>0</v>
      </c>
      <c r="I1635" s="37">
        <f t="shared" si="374"/>
        <v>0</v>
      </c>
      <c r="J1635" s="38">
        <v>0</v>
      </c>
      <c r="K1635" s="37">
        <f t="shared" si="375"/>
        <v>0</v>
      </c>
      <c r="L1635" s="38">
        <v>0</v>
      </c>
    </row>
    <row r="1636" spans="1:12" s="39" customFormat="1" ht="15.45" customHeight="1" outlineLevel="1" x14ac:dyDescent="0.25">
      <c r="A1636" s="33">
        <v>16</v>
      </c>
      <c r="B1636" s="34" t="s">
        <v>45</v>
      </c>
      <c r="C1636" s="35" t="s">
        <v>30</v>
      </c>
      <c r="D1636" s="36">
        <v>6.7000000000000004E-2</v>
      </c>
      <c r="E1636" s="36">
        <v>1325.1</v>
      </c>
      <c r="F1636" s="36">
        <f t="shared" si="371"/>
        <v>88.781700000000001</v>
      </c>
      <c r="G1636" s="37">
        <f t="shared" si="372"/>
        <v>0</v>
      </c>
      <c r="H1636" s="38">
        <f t="shared" si="373"/>
        <v>0</v>
      </c>
      <c r="I1636" s="37">
        <f t="shared" si="374"/>
        <v>0</v>
      </c>
      <c r="J1636" s="38">
        <v>0</v>
      </c>
      <c r="K1636" s="37">
        <f t="shared" si="375"/>
        <v>0</v>
      </c>
      <c r="L1636" s="38">
        <v>0</v>
      </c>
    </row>
    <row r="1637" spans="1:12" s="39" customFormat="1" ht="15.45" customHeight="1" outlineLevel="1" x14ac:dyDescent="0.25">
      <c r="A1637" s="33">
        <v>17</v>
      </c>
      <c r="B1637" s="34" t="s">
        <v>46</v>
      </c>
      <c r="C1637" s="35" t="s">
        <v>30</v>
      </c>
      <c r="D1637" s="36">
        <v>3.1589999999999998</v>
      </c>
      <c r="E1637" s="36">
        <v>1200.0999999999999</v>
      </c>
      <c r="F1637" s="36">
        <f t="shared" si="371"/>
        <v>3791.1158999999993</v>
      </c>
      <c r="G1637" s="37">
        <f t="shared" si="372"/>
        <v>0</v>
      </c>
      <c r="H1637" s="38">
        <f t="shared" si="373"/>
        <v>0</v>
      </c>
      <c r="I1637" s="37">
        <f t="shared" si="374"/>
        <v>0</v>
      </c>
      <c r="J1637" s="38">
        <v>0</v>
      </c>
      <c r="K1637" s="37">
        <f t="shared" si="375"/>
        <v>0</v>
      </c>
      <c r="L1637" s="38">
        <v>0</v>
      </c>
    </row>
    <row r="1638" spans="1:12" s="39" customFormat="1" ht="28.95" customHeight="1" outlineLevel="1" x14ac:dyDescent="0.25">
      <c r="A1638" s="33">
        <v>18</v>
      </c>
      <c r="B1638" s="34" t="s">
        <v>1138</v>
      </c>
      <c r="C1638" s="35" t="s">
        <v>106</v>
      </c>
      <c r="D1638" s="36">
        <v>31.4</v>
      </c>
      <c r="E1638" s="36">
        <v>5.4732580000000004</v>
      </c>
      <c r="F1638" s="36">
        <f t="shared" si="371"/>
        <v>171.86030120000001</v>
      </c>
      <c r="G1638" s="37">
        <f t="shared" si="372"/>
        <v>0</v>
      </c>
      <c r="H1638" s="38">
        <f t="shared" si="373"/>
        <v>0</v>
      </c>
      <c r="I1638" s="37">
        <f t="shared" si="374"/>
        <v>0</v>
      </c>
      <c r="J1638" s="38">
        <v>0</v>
      </c>
      <c r="K1638" s="37">
        <f t="shared" si="375"/>
        <v>0</v>
      </c>
      <c r="L1638" s="38">
        <v>0</v>
      </c>
    </row>
    <row r="1639" spans="1:12" s="39" customFormat="1" ht="15.45" customHeight="1" outlineLevel="1" x14ac:dyDescent="0.25">
      <c r="A1639" s="33">
        <v>19</v>
      </c>
      <c r="B1639" s="34" t="s">
        <v>1139</v>
      </c>
      <c r="C1639" s="35" t="s">
        <v>106</v>
      </c>
      <c r="D1639" s="36">
        <v>31.4</v>
      </c>
      <c r="E1639" s="36">
        <v>1.514</v>
      </c>
      <c r="F1639" s="36">
        <f t="shared" si="371"/>
        <v>47.5396</v>
      </c>
      <c r="G1639" s="37">
        <f t="shared" si="372"/>
        <v>0</v>
      </c>
      <c r="H1639" s="38">
        <f t="shared" si="373"/>
        <v>0</v>
      </c>
      <c r="I1639" s="37">
        <f t="shared" si="374"/>
        <v>0</v>
      </c>
      <c r="J1639" s="38">
        <v>0</v>
      </c>
      <c r="K1639" s="37">
        <f t="shared" si="375"/>
        <v>0</v>
      </c>
      <c r="L1639" s="38">
        <v>0</v>
      </c>
    </row>
    <row r="1640" spans="1:12" s="39" customFormat="1" ht="28.95" customHeight="1" outlineLevel="1" x14ac:dyDescent="0.25">
      <c r="A1640" s="33">
        <v>20</v>
      </c>
      <c r="B1640" s="34" t="s">
        <v>306</v>
      </c>
      <c r="C1640" s="35" t="s">
        <v>106</v>
      </c>
      <c r="D1640" s="36">
        <v>104.2</v>
      </c>
      <c r="E1640" s="36">
        <v>10.504</v>
      </c>
      <c r="F1640" s="36">
        <f t="shared" si="371"/>
        <v>1094.5167999999999</v>
      </c>
      <c r="G1640" s="37">
        <f t="shared" si="372"/>
        <v>0</v>
      </c>
      <c r="H1640" s="38">
        <f t="shared" si="373"/>
        <v>0</v>
      </c>
      <c r="I1640" s="37">
        <f t="shared" si="374"/>
        <v>0</v>
      </c>
      <c r="J1640" s="38">
        <v>0</v>
      </c>
      <c r="K1640" s="37">
        <f t="shared" si="375"/>
        <v>0</v>
      </c>
      <c r="L1640" s="38">
        <v>0</v>
      </c>
    </row>
    <row r="1641" spans="1:12" s="39" customFormat="1" ht="28.95" customHeight="1" outlineLevel="1" x14ac:dyDescent="0.25">
      <c r="A1641" s="33">
        <v>21</v>
      </c>
      <c r="B1641" s="34" t="s">
        <v>949</v>
      </c>
      <c r="C1641" s="35" t="s">
        <v>106</v>
      </c>
      <c r="D1641" s="36">
        <v>104.2</v>
      </c>
      <c r="E1641" s="36">
        <v>11.8912</v>
      </c>
      <c r="F1641" s="36">
        <f t="shared" si="371"/>
        <v>1239.06304</v>
      </c>
      <c r="G1641" s="37">
        <f t="shared" si="372"/>
        <v>0</v>
      </c>
      <c r="H1641" s="38">
        <f t="shared" si="373"/>
        <v>0</v>
      </c>
      <c r="I1641" s="37">
        <f t="shared" si="374"/>
        <v>0</v>
      </c>
      <c r="J1641" s="38">
        <v>0</v>
      </c>
      <c r="K1641" s="37">
        <f t="shared" si="375"/>
        <v>0</v>
      </c>
      <c r="L1641" s="38">
        <v>0</v>
      </c>
    </row>
    <row r="1642" spans="1:12" s="39" customFormat="1" ht="28.95" customHeight="1" outlineLevel="1" x14ac:dyDescent="0.25">
      <c r="A1642" s="33">
        <v>22</v>
      </c>
      <c r="B1642" s="34" t="s">
        <v>1140</v>
      </c>
      <c r="C1642" s="35" t="s">
        <v>66</v>
      </c>
      <c r="D1642" s="36">
        <v>2.1</v>
      </c>
      <c r="E1642" s="36">
        <v>69.327399999999997</v>
      </c>
      <c r="F1642" s="36">
        <f t="shared" si="371"/>
        <v>145.58753999999999</v>
      </c>
      <c r="G1642" s="37">
        <f t="shared" si="372"/>
        <v>0</v>
      </c>
      <c r="H1642" s="38">
        <f t="shared" si="373"/>
        <v>0</v>
      </c>
      <c r="I1642" s="37">
        <f t="shared" si="374"/>
        <v>0</v>
      </c>
      <c r="J1642" s="38">
        <v>0</v>
      </c>
      <c r="K1642" s="37">
        <f t="shared" si="375"/>
        <v>0</v>
      </c>
      <c r="L1642" s="38">
        <v>0</v>
      </c>
    </row>
    <row r="1643" spans="1:12" s="39" customFormat="1" ht="15.45" customHeight="1" outlineLevel="1" x14ac:dyDescent="0.25">
      <c r="A1643" s="33">
        <v>23</v>
      </c>
      <c r="B1643" s="34" t="s">
        <v>156</v>
      </c>
      <c r="C1643" s="35" t="s">
        <v>66</v>
      </c>
      <c r="D1643" s="36">
        <v>2.1</v>
      </c>
      <c r="E1643" s="36">
        <v>66.499999999999986</v>
      </c>
      <c r="F1643" s="36">
        <f t="shared" si="371"/>
        <v>139.64999999999998</v>
      </c>
      <c r="G1643" s="37">
        <f t="shared" si="372"/>
        <v>0</v>
      </c>
      <c r="H1643" s="38">
        <f t="shared" si="373"/>
        <v>0</v>
      </c>
      <c r="I1643" s="37">
        <f t="shared" si="374"/>
        <v>0</v>
      </c>
      <c r="J1643" s="38">
        <v>0</v>
      </c>
      <c r="K1643" s="37">
        <f t="shared" si="375"/>
        <v>0</v>
      </c>
      <c r="L1643" s="38">
        <v>0</v>
      </c>
    </row>
    <row r="1644" spans="1:12" s="39" customFormat="1" ht="28.95" customHeight="1" outlineLevel="1" x14ac:dyDescent="0.25">
      <c r="A1644" s="33">
        <v>24</v>
      </c>
      <c r="B1644" s="34" t="s">
        <v>843</v>
      </c>
      <c r="C1644" s="35" t="s">
        <v>66</v>
      </c>
      <c r="D1644" s="36">
        <v>4.13</v>
      </c>
      <c r="E1644" s="36">
        <v>280</v>
      </c>
      <c r="F1644" s="36">
        <f t="shared" si="371"/>
        <v>1156.3999999999999</v>
      </c>
      <c r="G1644" s="37">
        <f t="shared" si="372"/>
        <v>0</v>
      </c>
      <c r="H1644" s="38">
        <f t="shared" si="373"/>
        <v>0</v>
      </c>
      <c r="I1644" s="37">
        <f t="shared" si="374"/>
        <v>0</v>
      </c>
      <c r="J1644" s="38">
        <v>0</v>
      </c>
      <c r="K1644" s="37">
        <f t="shared" si="375"/>
        <v>0</v>
      </c>
      <c r="L1644" s="38">
        <v>0</v>
      </c>
    </row>
    <row r="1645" spans="1:12" s="39" customFormat="1" ht="15.45" customHeight="1" outlineLevel="1" x14ac:dyDescent="0.25">
      <c r="A1645" s="33">
        <v>25</v>
      </c>
      <c r="B1645" s="34" t="s">
        <v>45</v>
      </c>
      <c r="C1645" s="35" t="s">
        <v>30</v>
      </c>
      <c r="D1645" s="36">
        <v>2.8000000000000001E-2</v>
      </c>
      <c r="E1645" s="36">
        <v>1325.1</v>
      </c>
      <c r="F1645" s="36">
        <f t="shared" si="371"/>
        <v>37.102799999999995</v>
      </c>
      <c r="G1645" s="37">
        <f t="shared" si="372"/>
        <v>0</v>
      </c>
      <c r="H1645" s="38">
        <f t="shared" si="373"/>
        <v>0</v>
      </c>
      <c r="I1645" s="37">
        <f t="shared" si="374"/>
        <v>0</v>
      </c>
      <c r="J1645" s="38">
        <v>0</v>
      </c>
      <c r="K1645" s="37">
        <f t="shared" si="375"/>
        <v>0</v>
      </c>
      <c r="L1645" s="38">
        <v>0</v>
      </c>
    </row>
    <row r="1646" spans="1:12" s="39" customFormat="1" ht="15.45" customHeight="1" outlineLevel="1" x14ac:dyDescent="0.25">
      <c r="A1646" s="33">
        <v>26</v>
      </c>
      <c r="B1646" s="34" t="s">
        <v>46</v>
      </c>
      <c r="C1646" s="35" t="s">
        <v>30</v>
      </c>
      <c r="D1646" s="36">
        <v>0.5</v>
      </c>
      <c r="E1646" s="36">
        <v>1200.0999999999999</v>
      </c>
      <c r="F1646" s="36">
        <f t="shared" si="371"/>
        <v>600.04999999999995</v>
      </c>
      <c r="G1646" s="37">
        <f t="shared" si="372"/>
        <v>0</v>
      </c>
      <c r="H1646" s="38">
        <f t="shared" si="373"/>
        <v>0</v>
      </c>
      <c r="I1646" s="37">
        <f t="shared" si="374"/>
        <v>0</v>
      </c>
      <c r="J1646" s="38">
        <v>0</v>
      </c>
      <c r="K1646" s="37">
        <f t="shared" si="375"/>
        <v>0</v>
      </c>
      <c r="L1646" s="38">
        <v>0</v>
      </c>
    </row>
    <row r="1647" spans="1:12" s="39" customFormat="1" ht="15.45" customHeight="1" outlineLevel="1" x14ac:dyDescent="0.25">
      <c r="A1647" s="33">
        <v>28</v>
      </c>
      <c r="B1647" s="34" t="s">
        <v>1141</v>
      </c>
      <c r="C1647" s="35" t="s">
        <v>55</v>
      </c>
      <c r="D1647" s="36">
        <v>1</v>
      </c>
      <c r="E1647" s="36">
        <v>136.59639999999999</v>
      </c>
      <c r="F1647" s="36">
        <f t="shared" si="371"/>
        <v>136.59639999999999</v>
      </c>
      <c r="G1647" s="37">
        <f t="shared" si="372"/>
        <v>0</v>
      </c>
      <c r="H1647" s="38">
        <f t="shared" si="373"/>
        <v>0</v>
      </c>
      <c r="I1647" s="37">
        <f t="shared" si="374"/>
        <v>0</v>
      </c>
      <c r="J1647" s="38">
        <v>0</v>
      </c>
      <c r="K1647" s="37">
        <f t="shared" si="375"/>
        <v>0</v>
      </c>
      <c r="L1647" s="38">
        <v>0</v>
      </c>
    </row>
    <row r="1648" spans="1:12" s="39" customFormat="1" ht="28.95" customHeight="1" outlineLevel="1" x14ac:dyDescent="0.25">
      <c r="A1648" s="33">
        <v>29</v>
      </c>
      <c r="B1648" s="34" t="s">
        <v>168</v>
      </c>
      <c r="C1648" s="35" t="s">
        <v>30</v>
      </c>
      <c r="D1648" s="36">
        <v>5.3999999999999999E-2</v>
      </c>
      <c r="E1648" s="36">
        <v>3264.1</v>
      </c>
      <c r="F1648" s="36">
        <f t="shared" si="371"/>
        <v>176.26139999999998</v>
      </c>
      <c r="G1648" s="37">
        <f t="shared" si="372"/>
        <v>0</v>
      </c>
      <c r="H1648" s="38">
        <f t="shared" si="373"/>
        <v>0</v>
      </c>
      <c r="I1648" s="37">
        <f t="shared" si="374"/>
        <v>0</v>
      </c>
      <c r="J1648" s="38">
        <v>0</v>
      </c>
      <c r="K1648" s="37">
        <f t="shared" si="375"/>
        <v>0</v>
      </c>
      <c r="L1648" s="38">
        <v>0</v>
      </c>
    </row>
    <row r="1649" spans="1:12" s="39" customFormat="1" ht="28.95" customHeight="1" outlineLevel="1" x14ac:dyDescent="0.25">
      <c r="A1649" s="33">
        <v>31</v>
      </c>
      <c r="B1649" s="34" t="s">
        <v>1035</v>
      </c>
      <c r="C1649" s="35" t="s">
        <v>50</v>
      </c>
      <c r="D1649" s="36">
        <v>2.2000000000000002</v>
      </c>
      <c r="E1649" s="36">
        <v>12.0646</v>
      </c>
      <c r="F1649" s="36">
        <f t="shared" si="371"/>
        <v>26.542120000000004</v>
      </c>
      <c r="G1649" s="37">
        <f t="shared" si="372"/>
        <v>0</v>
      </c>
      <c r="H1649" s="38">
        <f t="shared" si="373"/>
        <v>0</v>
      </c>
      <c r="I1649" s="37">
        <f t="shared" si="374"/>
        <v>0</v>
      </c>
      <c r="J1649" s="38">
        <v>0</v>
      </c>
      <c r="K1649" s="37">
        <f t="shared" si="375"/>
        <v>0</v>
      </c>
      <c r="L1649" s="38">
        <v>0</v>
      </c>
    </row>
    <row r="1650" spans="1:12" s="39" customFormat="1" ht="15.45" customHeight="1" outlineLevel="1" x14ac:dyDescent="0.25">
      <c r="A1650" s="33">
        <v>32</v>
      </c>
      <c r="B1650" s="34" t="s">
        <v>153</v>
      </c>
      <c r="C1650" s="35" t="s">
        <v>106</v>
      </c>
      <c r="D1650" s="36">
        <v>38.5</v>
      </c>
      <c r="E1650" s="36">
        <v>3.7719999999999998</v>
      </c>
      <c r="F1650" s="36">
        <f t="shared" si="371"/>
        <v>145.22199999999998</v>
      </c>
      <c r="G1650" s="37">
        <f t="shared" si="372"/>
        <v>0</v>
      </c>
      <c r="H1650" s="38">
        <f t="shared" si="373"/>
        <v>0</v>
      </c>
      <c r="I1650" s="37">
        <f t="shared" si="374"/>
        <v>0</v>
      </c>
      <c r="J1650" s="38">
        <v>0</v>
      </c>
      <c r="K1650" s="37">
        <f t="shared" si="375"/>
        <v>0</v>
      </c>
      <c r="L1650" s="38">
        <v>0</v>
      </c>
    </row>
    <row r="1651" spans="1:12" s="39" customFormat="1" ht="15.45" customHeight="1" outlineLevel="1" x14ac:dyDescent="0.25">
      <c r="A1651" s="33">
        <v>33</v>
      </c>
      <c r="B1651" s="34" t="s">
        <v>1142</v>
      </c>
      <c r="C1651" s="35" t="s">
        <v>106</v>
      </c>
      <c r="D1651" s="36">
        <v>38.5</v>
      </c>
      <c r="E1651" s="36">
        <v>0.95300000000000007</v>
      </c>
      <c r="F1651" s="36">
        <f t="shared" si="371"/>
        <v>36.6905</v>
      </c>
      <c r="G1651" s="37">
        <f t="shared" si="372"/>
        <v>0</v>
      </c>
      <c r="H1651" s="38">
        <f t="shared" si="373"/>
        <v>0</v>
      </c>
      <c r="I1651" s="37">
        <f t="shared" si="374"/>
        <v>0</v>
      </c>
      <c r="J1651" s="38">
        <v>0</v>
      </c>
      <c r="K1651" s="37">
        <f t="shared" si="375"/>
        <v>0</v>
      </c>
      <c r="L1651" s="38">
        <v>0</v>
      </c>
    </row>
    <row r="1652" spans="1:12" s="39" customFormat="1" ht="15.45" customHeight="1" outlineLevel="1" x14ac:dyDescent="0.25">
      <c r="A1652" s="33">
        <v>35</v>
      </c>
      <c r="B1652" s="34" t="s">
        <v>153</v>
      </c>
      <c r="C1652" s="35" t="s">
        <v>106</v>
      </c>
      <c r="D1652" s="36">
        <v>38.5</v>
      </c>
      <c r="E1652" s="36">
        <v>3.7719999999999998</v>
      </c>
      <c r="F1652" s="36">
        <f t="shared" si="371"/>
        <v>145.22199999999998</v>
      </c>
      <c r="G1652" s="37">
        <f t="shared" si="372"/>
        <v>0</v>
      </c>
      <c r="H1652" s="38">
        <f t="shared" si="373"/>
        <v>0</v>
      </c>
      <c r="I1652" s="37">
        <f t="shared" si="374"/>
        <v>0</v>
      </c>
      <c r="J1652" s="38">
        <v>0</v>
      </c>
      <c r="K1652" s="37">
        <f t="shared" si="375"/>
        <v>0</v>
      </c>
      <c r="L1652" s="38">
        <v>0</v>
      </c>
    </row>
    <row r="1653" spans="1:12" s="39" customFormat="1" ht="15.45" customHeight="1" outlineLevel="1" x14ac:dyDescent="0.25">
      <c r="A1653" s="33">
        <v>36</v>
      </c>
      <c r="B1653" s="34" t="s">
        <v>1143</v>
      </c>
      <c r="C1653" s="35" t="s">
        <v>106</v>
      </c>
      <c r="D1653" s="36">
        <v>38.5</v>
      </c>
      <c r="E1653" s="36">
        <v>0.95300000000000007</v>
      </c>
      <c r="F1653" s="36">
        <f t="shared" si="371"/>
        <v>36.6905</v>
      </c>
      <c r="G1653" s="37">
        <f t="shared" si="372"/>
        <v>0</v>
      </c>
      <c r="H1653" s="38">
        <f t="shared" si="373"/>
        <v>0</v>
      </c>
      <c r="I1653" s="37">
        <f t="shared" si="374"/>
        <v>0</v>
      </c>
      <c r="J1653" s="38">
        <v>0</v>
      </c>
      <c r="K1653" s="37">
        <f t="shared" si="375"/>
        <v>0</v>
      </c>
      <c r="L1653" s="38">
        <v>0</v>
      </c>
    </row>
    <row r="1654" spans="1:12" s="39" customFormat="1" ht="15.45" customHeight="1" outlineLevel="1" x14ac:dyDescent="0.25">
      <c r="A1654" s="33">
        <v>37</v>
      </c>
      <c r="B1654" s="34" t="s">
        <v>1144</v>
      </c>
      <c r="C1654" s="35" t="s">
        <v>66</v>
      </c>
      <c r="D1654" s="36">
        <v>81</v>
      </c>
      <c r="E1654" s="36">
        <v>1.9461999999999999</v>
      </c>
      <c r="F1654" s="36">
        <f t="shared" si="371"/>
        <v>157.6422</v>
      </c>
      <c r="G1654" s="37">
        <f t="shared" si="372"/>
        <v>0</v>
      </c>
      <c r="H1654" s="38">
        <f t="shared" si="373"/>
        <v>0</v>
      </c>
      <c r="I1654" s="37">
        <f t="shared" si="374"/>
        <v>0</v>
      </c>
      <c r="J1654" s="38">
        <v>0</v>
      </c>
      <c r="K1654" s="37">
        <f t="shared" si="375"/>
        <v>0</v>
      </c>
      <c r="L1654" s="38">
        <v>0</v>
      </c>
    </row>
    <row r="1655" spans="1:12" s="39" customFormat="1" ht="15.45" customHeight="1" outlineLevel="1" x14ac:dyDescent="0.25">
      <c r="A1655" s="31" t="s">
        <v>1145</v>
      </c>
      <c r="B1655" s="40" t="s">
        <v>1146</v>
      </c>
      <c r="C1655" s="41">
        <v>0</v>
      </c>
      <c r="D1655" s="42"/>
      <c r="E1655" s="42"/>
      <c r="F1655" s="42"/>
      <c r="G1655" s="43"/>
      <c r="H1655" s="44"/>
      <c r="I1655" s="43"/>
      <c r="J1655" s="44"/>
      <c r="K1655" s="43"/>
      <c r="L1655" s="44">
        <v>0</v>
      </c>
    </row>
    <row r="1656" spans="1:12" s="39" customFormat="1" ht="43.5" customHeight="1" outlineLevel="1" x14ac:dyDescent="0.25">
      <c r="A1656" s="33">
        <v>1</v>
      </c>
      <c r="B1656" s="34" t="s">
        <v>1147</v>
      </c>
      <c r="C1656" s="35" t="s">
        <v>50</v>
      </c>
      <c r="D1656" s="36">
        <v>5</v>
      </c>
      <c r="E1656" s="36">
        <v>14.757400000000001</v>
      </c>
      <c r="F1656" s="36">
        <f t="shared" ref="F1656:F1661" si="376">+E1656*D1656</f>
        <v>73.787000000000006</v>
      </c>
      <c r="G1656" s="37">
        <f t="shared" ref="G1656:H1661" si="377">I1656+K1656</f>
        <v>0</v>
      </c>
      <c r="H1656" s="38">
        <f t="shared" si="377"/>
        <v>0</v>
      </c>
      <c r="I1656" s="37">
        <f t="shared" ref="I1656:I1661" si="378">J1656/F1656</f>
        <v>0</v>
      </c>
      <c r="J1656" s="38">
        <v>0</v>
      </c>
      <c r="K1656" s="37">
        <f t="shared" ref="K1656:K1661" si="379">L1656/F1656</f>
        <v>0</v>
      </c>
      <c r="L1656" s="38">
        <v>0</v>
      </c>
    </row>
    <row r="1657" spans="1:12" s="39" customFormat="1" ht="15.45" customHeight="1" outlineLevel="1" x14ac:dyDescent="0.25">
      <c r="A1657" s="33">
        <v>2</v>
      </c>
      <c r="B1657" s="34" t="s">
        <v>1148</v>
      </c>
      <c r="C1657" s="35" t="s">
        <v>50</v>
      </c>
      <c r="D1657" s="36">
        <v>5</v>
      </c>
      <c r="E1657" s="36">
        <v>27.811399999999999</v>
      </c>
      <c r="F1657" s="36">
        <f t="shared" si="376"/>
        <v>139.05699999999999</v>
      </c>
      <c r="G1657" s="37">
        <f t="shared" si="377"/>
        <v>0</v>
      </c>
      <c r="H1657" s="38">
        <f t="shared" si="377"/>
        <v>0</v>
      </c>
      <c r="I1657" s="37">
        <f t="shared" si="378"/>
        <v>0</v>
      </c>
      <c r="J1657" s="38">
        <v>0</v>
      </c>
      <c r="K1657" s="37">
        <f t="shared" si="379"/>
        <v>0</v>
      </c>
      <c r="L1657" s="38">
        <v>0</v>
      </c>
    </row>
    <row r="1658" spans="1:12" s="39" customFormat="1" ht="28.95" customHeight="1" outlineLevel="1" x14ac:dyDescent="0.25">
      <c r="A1658" s="33">
        <v>3</v>
      </c>
      <c r="B1658" s="34" t="s">
        <v>331</v>
      </c>
      <c r="C1658" s="35" t="s">
        <v>50</v>
      </c>
      <c r="D1658" s="36">
        <v>5</v>
      </c>
      <c r="E1658" s="36">
        <v>85.882000000000005</v>
      </c>
      <c r="F1658" s="36">
        <f t="shared" si="376"/>
        <v>429.41</v>
      </c>
      <c r="G1658" s="37">
        <f t="shared" si="377"/>
        <v>0</v>
      </c>
      <c r="H1658" s="38">
        <f t="shared" si="377"/>
        <v>0</v>
      </c>
      <c r="I1658" s="37">
        <f t="shared" si="378"/>
        <v>0</v>
      </c>
      <c r="J1658" s="38">
        <v>0</v>
      </c>
      <c r="K1658" s="37">
        <f t="shared" si="379"/>
        <v>0</v>
      </c>
      <c r="L1658" s="38">
        <v>0</v>
      </c>
    </row>
    <row r="1659" spans="1:12" s="39" customFormat="1" ht="15.45" customHeight="1" outlineLevel="1" x14ac:dyDescent="0.25">
      <c r="A1659" s="33">
        <v>4</v>
      </c>
      <c r="B1659" s="34" t="s">
        <v>1149</v>
      </c>
      <c r="C1659" s="35" t="s">
        <v>55</v>
      </c>
      <c r="D1659" s="36">
        <v>2</v>
      </c>
      <c r="E1659" s="36">
        <v>12.1646</v>
      </c>
      <c r="F1659" s="36">
        <f t="shared" si="376"/>
        <v>24.3292</v>
      </c>
      <c r="G1659" s="37">
        <f t="shared" si="377"/>
        <v>0</v>
      </c>
      <c r="H1659" s="38">
        <f t="shared" si="377"/>
        <v>0</v>
      </c>
      <c r="I1659" s="37">
        <f t="shared" si="378"/>
        <v>0</v>
      </c>
      <c r="J1659" s="38">
        <v>0</v>
      </c>
      <c r="K1659" s="37">
        <f t="shared" si="379"/>
        <v>0</v>
      </c>
      <c r="L1659" s="38">
        <v>0</v>
      </c>
    </row>
    <row r="1660" spans="1:12" s="39" customFormat="1" ht="15.45" customHeight="1" outlineLevel="1" x14ac:dyDescent="0.25">
      <c r="A1660" s="33">
        <v>5</v>
      </c>
      <c r="B1660" s="34" t="s">
        <v>1048</v>
      </c>
      <c r="C1660" s="35" t="s">
        <v>106</v>
      </c>
      <c r="D1660" s="36">
        <v>0.6</v>
      </c>
      <c r="E1660" s="36">
        <v>113.4118</v>
      </c>
      <c r="F1660" s="36">
        <f t="shared" si="376"/>
        <v>68.047079999999994</v>
      </c>
      <c r="G1660" s="37">
        <f t="shared" si="377"/>
        <v>0</v>
      </c>
      <c r="H1660" s="38">
        <f t="shared" si="377"/>
        <v>0</v>
      </c>
      <c r="I1660" s="37">
        <f t="shared" si="378"/>
        <v>0</v>
      </c>
      <c r="J1660" s="38">
        <v>0</v>
      </c>
      <c r="K1660" s="37">
        <f t="shared" si="379"/>
        <v>0</v>
      </c>
      <c r="L1660" s="38">
        <v>0</v>
      </c>
    </row>
    <row r="1661" spans="1:12" s="45" customFormat="1" ht="28.95" customHeight="1" x14ac:dyDescent="0.3">
      <c r="A1661" s="33">
        <v>6</v>
      </c>
      <c r="B1661" s="34" t="s">
        <v>1047</v>
      </c>
      <c r="C1661" s="35" t="s">
        <v>106</v>
      </c>
      <c r="D1661" s="36">
        <v>0.6</v>
      </c>
      <c r="E1661" s="36">
        <v>591.72040000000004</v>
      </c>
      <c r="F1661" s="36">
        <f t="shared" si="376"/>
        <v>355.03224</v>
      </c>
      <c r="G1661" s="37">
        <f t="shared" si="377"/>
        <v>0</v>
      </c>
      <c r="H1661" s="38">
        <f t="shared" si="377"/>
        <v>0</v>
      </c>
      <c r="I1661" s="37">
        <f t="shared" si="378"/>
        <v>0</v>
      </c>
      <c r="J1661" s="38">
        <v>0</v>
      </c>
      <c r="K1661" s="37">
        <f t="shared" si="379"/>
        <v>0</v>
      </c>
      <c r="L1661" s="38">
        <v>0</v>
      </c>
    </row>
    <row r="1662" spans="1:12" s="39" customFormat="1" ht="15.45" customHeight="1" outlineLevel="1" x14ac:dyDescent="0.25">
      <c r="A1662" s="31" t="s">
        <v>56</v>
      </c>
      <c r="B1662" s="40" t="s">
        <v>57</v>
      </c>
      <c r="C1662" s="41">
        <v>0</v>
      </c>
      <c r="D1662" s="42"/>
      <c r="E1662" s="42"/>
      <c r="F1662" s="42"/>
      <c r="G1662" s="43"/>
      <c r="H1662" s="44"/>
      <c r="I1662" s="43"/>
      <c r="J1662" s="44"/>
      <c r="K1662" s="43"/>
      <c r="L1662" s="44">
        <v>0</v>
      </c>
    </row>
    <row r="1663" spans="1:12" s="39" customFormat="1" ht="43.5" customHeight="1" outlineLevel="1" x14ac:dyDescent="0.25">
      <c r="A1663" s="33">
        <v>1</v>
      </c>
      <c r="B1663" s="34" t="s">
        <v>830</v>
      </c>
      <c r="C1663" s="35" t="s">
        <v>66</v>
      </c>
      <c r="D1663" s="36">
        <v>430</v>
      </c>
      <c r="E1663" s="36">
        <v>0.9</v>
      </c>
      <c r="F1663" s="36">
        <f t="shared" ref="F1663:F1696" si="380">+E1663*D1663</f>
        <v>387</v>
      </c>
      <c r="G1663" s="37">
        <f t="shared" ref="G1663:G1696" si="381">I1663+K1663</f>
        <v>0</v>
      </c>
      <c r="H1663" s="38">
        <f t="shared" ref="H1663:H1696" si="382">J1663+L1663</f>
        <v>0</v>
      </c>
      <c r="I1663" s="37">
        <f t="shared" ref="I1663:I1696" si="383">J1663/F1663</f>
        <v>0</v>
      </c>
      <c r="J1663" s="38">
        <v>0</v>
      </c>
      <c r="K1663" s="37">
        <f t="shared" ref="K1663:K1696" si="384">L1663/F1663</f>
        <v>0</v>
      </c>
      <c r="L1663" s="38">
        <v>0</v>
      </c>
    </row>
    <row r="1664" spans="1:12" s="39" customFormat="1" ht="28.95" customHeight="1" outlineLevel="1" x14ac:dyDescent="0.25">
      <c r="A1664" s="33">
        <v>2</v>
      </c>
      <c r="B1664" s="34" t="s">
        <v>765</v>
      </c>
      <c r="C1664" s="35" t="s">
        <v>66</v>
      </c>
      <c r="D1664" s="36">
        <v>13</v>
      </c>
      <c r="E1664" s="36">
        <v>8.9600000000000009</v>
      </c>
      <c r="F1664" s="36">
        <f t="shared" si="380"/>
        <v>116.48000000000002</v>
      </c>
      <c r="G1664" s="37">
        <f t="shared" si="381"/>
        <v>0</v>
      </c>
      <c r="H1664" s="38">
        <f t="shared" si="382"/>
        <v>0</v>
      </c>
      <c r="I1664" s="37">
        <f t="shared" si="383"/>
        <v>0</v>
      </c>
      <c r="J1664" s="38">
        <v>0</v>
      </c>
      <c r="K1664" s="37">
        <f t="shared" si="384"/>
        <v>0</v>
      </c>
      <c r="L1664" s="38">
        <v>0</v>
      </c>
    </row>
    <row r="1665" spans="1:12" s="39" customFormat="1" ht="43.5" customHeight="1" outlineLevel="1" x14ac:dyDescent="0.25">
      <c r="A1665" s="33">
        <v>3</v>
      </c>
      <c r="B1665" s="34" t="s">
        <v>766</v>
      </c>
      <c r="C1665" s="35" t="s">
        <v>66</v>
      </c>
      <c r="D1665" s="36">
        <v>225</v>
      </c>
      <c r="E1665" s="36">
        <v>0.9</v>
      </c>
      <c r="F1665" s="36">
        <f t="shared" si="380"/>
        <v>202.5</v>
      </c>
      <c r="G1665" s="37">
        <f t="shared" si="381"/>
        <v>0</v>
      </c>
      <c r="H1665" s="38">
        <f t="shared" si="382"/>
        <v>0</v>
      </c>
      <c r="I1665" s="37">
        <f t="shared" si="383"/>
        <v>0</v>
      </c>
      <c r="J1665" s="38">
        <v>0</v>
      </c>
      <c r="K1665" s="37">
        <f t="shared" si="384"/>
        <v>0</v>
      </c>
      <c r="L1665" s="38">
        <v>0</v>
      </c>
    </row>
    <row r="1666" spans="1:12" s="39" customFormat="1" ht="28.95" customHeight="1" outlineLevel="1" x14ac:dyDescent="0.25">
      <c r="A1666" s="33">
        <v>4</v>
      </c>
      <c r="B1666" s="34" t="s">
        <v>234</v>
      </c>
      <c r="C1666" s="35" t="s">
        <v>66</v>
      </c>
      <c r="D1666" s="36">
        <v>225</v>
      </c>
      <c r="E1666" s="36">
        <v>2</v>
      </c>
      <c r="F1666" s="36">
        <f t="shared" si="380"/>
        <v>450</v>
      </c>
      <c r="G1666" s="37">
        <f t="shared" si="381"/>
        <v>0</v>
      </c>
      <c r="H1666" s="38">
        <f t="shared" si="382"/>
        <v>0</v>
      </c>
      <c r="I1666" s="37">
        <f t="shared" si="383"/>
        <v>0</v>
      </c>
      <c r="J1666" s="38">
        <v>0</v>
      </c>
      <c r="K1666" s="37">
        <f t="shared" si="384"/>
        <v>0</v>
      </c>
      <c r="L1666" s="38">
        <v>0</v>
      </c>
    </row>
    <row r="1667" spans="1:12" s="39" customFormat="1" ht="28.95" customHeight="1" outlineLevel="1" x14ac:dyDescent="0.25">
      <c r="A1667" s="33">
        <v>5</v>
      </c>
      <c r="B1667" s="34" t="s">
        <v>316</v>
      </c>
      <c r="C1667" s="35" t="s">
        <v>66</v>
      </c>
      <c r="D1667" s="36">
        <v>56</v>
      </c>
      <c r="E1667" s="36">
        <v>8.16</v>
      </c>
      <c r="F1667" s="36">
        <f t="shared" si="380"/>
        <v>456.96000000000004</v>
      </c>
      <c r="G1667" s="37">
        <f t="shared" si="381"/>
        <v>0</v>
      </c>
      <c r="H1667" s="38">
        <f t="shared" si="382"/>
        <v>0</v>
      </c>
      <c r="I1667" s="37">
        <f t="shared" si="383"/>
        <v>0</v>
      </c>
      <c r="J1667" s="38">
        <v>0</v>
      </c>
      <c r="K1667" s="37">
        <f t="shared" si="384"/>
        <v>0</v>
      </c>
      <c r="L1667" s="38">
        <v>0</v>
      </c>
    </row>
    <row r="1668" spans="1:12" s="39" customFormat="1" ht="43.5" customHeight="1" outlineLevel="1" x14ac:dyDescent="0.25">
      <c r="A1668" s="33">
        <v>6</v>
      </c>
      <c r="B1668" s="34" t="s">
        <v>1135</v>
      </c>
      <c r="C1668" s="35" t="s">
        <v>66</v>
      </c>
      <c r="D1668" s="36">
        <v>62</v>
      </c>
      <c r="E1668" s="36">
        <v>0.9</v>
      </c>
      <c r="F1668" s="36">
        <f t="shared" si="380"/>
        <v>55.800000000000004</v>
      </c>
      <c r="G1668" s="37">
        <f t="shared" si="381"/>
        <v>0</v>
      </c>
      <c r="H1668" s="38">
        <f t="shared" si="382"/>
        <v>0</v>
      </c>
      <c r="I1668" s="37">
        <f t="shared" si="383"/>
        <v>0</v>
      </c>
      <c r="J1668" s="38">
        <v>0</v>
      </c>
      <c r="K1668" s="37">
        <f t="shared" si="384"/>
        <v>0</v>
      </c>
      <c r="L1668" s="38">
        <v>0</v>
      </c>
    </row>
    <row r="1669" spans="1:12" s="39" customFormat="1" ht="28.95" customHeight="1" outlineLevel="1" x14ac:dyDescent="0.25">
      <c r="A1669" s="33">
        <v>7</v>
      </c>
      <c r="B1669" s="34" t="s">
        <v>923</v>
      </c>
      <c r="C1669" s="35" t="s">
        <v>66</v>
      </c>
      <c r="D1669" s="36">
        <v>87</v>
      </c>
      <c r="E1669" s="36">
        <v>0.9</v>
      </c>
      <c r="F1669" s="36">
        <f t="shared" si="380"/>
        <v>78.3</v>
      </c>
      <c r="G1669" s="37">
        <f t="shared" si="381"/>
        <v>0</v>
      </c>
      <c r="H1669" s="38">
        <f t="shared" si="382"/>
        <v>0</v>
      </c>
      <c r="I1669" s="37">
        <f t="shared" si="383"/>
        <v>0</v>
      </c>
      <c r="J1669" s="38">
        <v>0</v>
      </c>
      <c r="K1669" s="37">
        <f t="shared" si="384"/>
        <v>0</v>
      </c>
      <c r="L1669" s="38">
        <v>0</v>
      </c>
    </row>
    <row r="1670" spans="1:12" s="39" customFormat="1" ht="15.45" customHeight="1" outlineLevel="1" x14ac:dyDescent="0.25">
      <c r="A1670" s="33">
        <v>8</v>
      </c>
      <c r="B1670" s="34" t="s">
        <v>225</v>
      </c>
      <c r="C1670" s="35" t="s">
        <v>30</v>
      </c>
      <c r="D1670" s="36">
        <v>156.6</v>
      </c>
      <c r="E1670" s="36">
        <v>1.63</v>
      </c>
      <c r="F1670" s="36">
        <f t="shared" si="380"/>
        <v>255.25799999999998</v>
      </c>
      <c r="G1670" s="37">
        <f t="shared" si="381"/>
        <v>0</v>
      </c>
      <c r="H1670" s="38">
        <f t="shared" si="382"/>
        <v>0</v>
      </c>
      <c r="I1670" s="37">
        <f t="shared" si="383"/>
        <v>0</v>
      </c>
      <c r="J1670" s="38">
        <v>0</v>
      </c>
      <c r="K1670" s="37">
        <f t="shared" si="384"/>
        <v>0</v>
      </c>
      <c r="L1670" s="38">
        <v>0</v>
      </c>
    </row>
    <row r="1671" spans="1:12" s="39" customFormat="1" ht="28.95" customHeight="1" outlineLevel="1" x14ac:dyDescent="0.25">
      <c r="A1671" s="33">
        <v>9</v>
      </c>
      <c r="B1671" s="34" t="s">
        <v>226</v>
      </c>
      <c r="C1671" s="35" t="s">
        <v>66</v>
      </c>
      <c r="D1671" s="36">
        <v>87</v>
      </c>
      <c r="E1671" s="36">
        <v>0.90200000000000002</v>
      </c>
      <c r="F1671" s="36">
        <f t="shared" si="380"/>
        <v>78.474000000000004</v>
      </c>
      <c r="G1671" s="37">
        <f t="shared" si="381"/>
        <v>0</v>
      </c>
      <c r="H1671" s="38">
        <f t="shared" si="382"/>
        <v>0</v>
      </c>
      <c r="I1671" s="37">
        <f t="shared" si="383"/>
        <v>0</v>
      </c>
      <c r="J1671" s="38">
        <v>0</v>
      </c>
      <c r="K1671" s="37">
        <f t="shared" si="384"/>
        <v>0</v>
      </c>
      <c r="L1671" s="38">
        <v>0</v>
      </c>
    </row>
    <row r="1672" spans="1:12" s="39" customFormat="1" ht="15.45" customHeight="1" outlineLevel="1" x14ac:dyDescent="0.25">
      <c r="A1672" s="33">
        <v>10</v>
      </c>
      <c r="B1672" s="34" t="s">
        <v>41</v>
      </c>
      <c r="C1672" s="35" t="s">
        <v>66</v>
      </c>
      <c r="D1672" s="36">
        <v>7.2</v>
      </c>
      <c r="E1672" s="36">
        <v>34.412799999999997</v>
      </c>
      <c r="F1672" s="36">
        <f t="shared" si="380"/>
        <v>247.77215999999999</v>
      </c>
      <c r="G1672" s="37">
        <f t="shared" si="381"/>
        <v>0</v>
      </c>
      <c r="H1672" s="38">
        <f t="shared" si="382"/>
        <v>0</v>
      </c>
      <c r="I1672" s="37">
        <f t="shared" si="383"/>
        <v>0</v>
      </c>
      <c r="J1672" s="38">
        <v>0</v>
      </c>
      <c r="K1672" s="37">
        <f t="shared" si="384"/>
        <v>0</v>
      </c>
      <c r="L1672" s="38">
        <v>0</v>
      </c>
    </row>
    <row r="1673" spans="1:12" s="39" customFormat="1" ht="15.45" customHeight="1" outlineLevel="1" x14ac:dyDescent="0.25">
      <c r="A1673" s="33">
        <v>11</v>
      </c>
      <c r="B1673" s="34" t="s">
        <v>833</v>
      </c>
      <c r="C1673" s="35" t="s">
        <v>66</v>
      </c>
      <c r="D1673" s="36">
        <v>3.4</v>
      </c>
      <c r="E1673" s="36">
        <v>97.984999999999999</v>
      </c>
      <c r="F1673" s="36">
        <f t="shared" si="380"/>
        <v>333.149</v>
      </c>
      <c r="G1673" s="37">
        <f t="shared" si="381"/>
        <v>0</v>
      </c>
      <c r="H1673" s="38">
        <f t="shared" si="382"/>
        <v>0</v>
      </c>
      <c r="I1673" s="37">
        <f t="shared" si="383"/>
        <v>0</v>
      </c>
      <c r="J1673" s="38">
        <v>0</v>
      </c>
      <c r="K1673" s="37">
        <f t="shared" si="384"/>
        <v>0</v>
      </c>
      <c r="L1673" s="38">
        <v>0</v>
      </c>
    </row>
    <row r="1674" spans="1:12" s="39" customFormat="1" ht="15.45" customHeight="1" outlineLevel="1" x14ac:dyDescent="0.25">
      <c r="A1674" s="33">
        <v>12</v>
      </c>
      <c r="B1674" s="34" t="s">
        <v>1136</v>
      </c>
      <c r="C1674" s="35" t="s">
        <v>106</v>
      </c>
      <c r="D1674" s="36">
        <v>34</v>
      </c>
      <c r="E1674" s="36">
        <v>9.8818000000000001</v>
      </c>
      <c r="F1674" s="36">
        <f t="shared" si="380"/>
        <v>335.9812</v>
      </c>
      <c r="G1674" s="37">
        <f t="shared" si="381"/>
        <v>0</v>
      </c>
      <c r="H1674" s="38">
        <f t="shared" si="382"/>
        <v>0</v>
      </c>
      <c r="I1674" s="37">
        <f t="shared" si="383"/>
        <v>0</v>
      </c>
      <c r="J1674" s="38">
        <v>0</v>
      </c>
      <c r="K1674" s="37">
        <f t="shared" si="384"/>
        <v>0</v>
      </c>
      <c r="L1674" s="38">
        <v>0</v>
      </c>
    </row>
    <row r="1675" spans="1:12" s="39" customFormat="1" ht="15.45" customHeight="1" outlineLevel="1" x14ac:dyDescent="0.25">
      <c r="A1675" s="33">
        <v>13</v>
      </c>
      <c r="B1675" s="34" t="s">
        <v>47</v>
      </c>
      <c r="C1675" s="35" t="s">
        <v>106</v>
      </c>
      <c r="D1675" s="36">
        <v>34</v>
      </c>
      <c r="E1675" s="36">
        <v>5.4732580000000004</v>
      </c>
      <c r="F1675" s="36">
        <f t="shared" si="380"/>
        <v>186.09077200000002</v>
      </c>
      <c r="G1675" s="37">
        <f t="shared" si="381"/>
        <v>0</v>
      </c>
      <c r="H1675" s="38">
        <f t="shared" si="382"/>
        <v>0</v>
      </c>
      <c r="I1675" s="37">
        <f t="shared" si="383"/>
        <v>0</v>
      </c>
      <c r="J1675" s="38">
        <v>0</v>
      </c>
      <c r="K1675" s="37">
        <f t="shared" si="384"/>
        <v>0</v>
      </c>
      <c r="L1675" s="38">
        <v>0</v>
      </c>
    </row>
    <row r="1676" spans="1:12" s="39" customFormat="1" ht="15.45" customHeight="1" outlineLevel="1" x14ac:dyDescent="0.25">
      <c r="A1676" s="33">
        <v>14</v>
      </c>
      <c r="B1676" s="34" t="s">
        <v>960</v>
      </c>
      <c r="C1676" s="35" t="s">
        <v>106</v>
      </c>
      <c r="D1676" s="36">
        <v>34</v>
      </c>
      <c r="E1676" s="36">
        <v>1.4770000000000001</v>
      </c>
      <c r="F1676" s="36">
        <f t="shared" si="380"/>
        <v>50.218000000000004</v>
      </c>
      <c r="G1676" s="37">
        <f t="shared" si="381"/>
        <v>0</v>
      </c>
      <c r="H1676" s="38">
        <f t="shared" si="382"/>
        <v>0</v>
      </c>
      <c r="I1676" s="37">
        <f t="shared" si="383"/>
        <v>0</v>
      </c>
      <c r="J1676" s="38">
        <v>0</v>
      </c>
      <c r="K1676" s="37">
        <f t="shared" si="384"/>
        <v>0</v>
      </c>
      <c r="L1676" s="38">
        <v>0</v>
      </c>
    </row>
    <row r="1677" spans="1:12" s="39" customFormat="1" ht="28.95" customHeight="1" outlineLevel="1" x14ac:dyDescent="0.25">
      <c r="A1677" s="33">
        <v>15</v>
      </c>
      <c r="B1677" s="34" t="s">
        <v>1137</v>
      </c>
      <c r="C1677" s="35" t="s">
        <v>66</v>
      </c>
      <c r="D1677" s="36">
        <v>27.73</v>
      </c>
      <c r="E1677" s="36">
        <v>212.52520000000001</v>
      </c>
      <c r="F1677" s="36">
        <f t="shared" si="380"/>
        <v>5893.3237960000006</v>
      </c>
      <c r="G1677" s="37">
        <f t="shared" si="381"/>
        <v>0</v>
      </c>
      <c r="H1677" s="38">
        <f t="shared" si="382"/>
        <v>0</v>
      </c>
      <c r="I1677" s="37">
        <f t="shared" si="383"/>
        <v>0</v>
      </c>
      <c r="J1677" s="38">
        <v>0</v>
      </c>
      <c r="K1677" s="37">
        <f t="shared" si="384"/>
        <v>0</v>
      </c>
      <c r="L1677" s="38">
        <v>0</v>
      </c>
    </row>
    <row r="1678" spans="1:12" s="39" customFormat="1" ht="15.45" customHeight="1" outlineLevel="1" x14ac:dyDescent="0.25">
      <c r="A1678" s="33">
        <v>16</v>
      </c>
      <c r="B1678" s="34" t="s">
        <v>45</v>
      </c>
      <c r="C1678" s="35" t="s">
        <v>30</v>
      </c>
      <c r="D1678" s="36">
        <v>6.7000000000000004E-2</v>
      </c>
      <c r="E1678" s="36">
        <v>1325.1</v>
      </c>
      <c r="F1678" s="36">
        <f t="shared" si="380"/>
        <v>88.781700000000001</v>
      </c>
      <c r="G1678" s="37">
        <f t="shared" si="381"/>
        <v>0</v>
      </c>
      <c r="H1678" s="38">
        <f t="shared" si="382"/>
        <v>0</v>
      </c>
      <c r="I1678" s="37">
        <f t="shared" si="383"/>
        <v>0</v>
      </c>
      <c r="J1678" s="38">
        <v>0</v>
      </c>
      <c r="K1678" s="37">
        <f t="shared" si="384"/>
        <v>0</v>
      </c>
      <c r="L1678" s="38">
        <v>0</v>
      </c>
    </row>
    <row r="1679" spans="1:12" s="39" customFormat="1" ht="15.45" customHeight="1" outlineLevel="1" x14ac:dyDescent="0.25">
      <c r="A1679" s="33">
        <v>17</v>
      </c>
      <c r="B1679" s="34" t="s">
        <v>46</v>
      </c>
      <c r="C1679" s="35" t="s">
        <v>30</v>
      </c>
      <c r="D1679" s="36">
        <v>3.1589999999999998</v>
      </c>
      <c r="E1679" s="36">
        <v>1200.0999999999999</v>
      </c>
      <c r="F1679" s="36">
        <f t="shared" si="380"/>
        <v>3791.1158999999993</v>
      </c>
      <c r="G1679" s="37">
        <f t="shared" si="381"/>
        <v>0</v>
      </c>
      <c r="H1679" s="38">
        <f t="shared" si="382"/>
        <v>0</v>
      </c>
      <c r="I1679" s="37">
        <f t="shared" si="383"/>
        <v>0</v>
      </c>
      <c r="J1679" s="38">
        <v>0</v>
      </c>
      <c r="K1679" s="37">
        <f t="shared" si="384"/>
        <v>0</v>
      </c>
      <c r="L1679" s="38">
        <v>0</v>
      </c>
    </row>
    <row r="1680" spans="1:12" s="39" customFormat="1" ht="28.95" customHeight="1" outlineLevel="1" x14ac:dyDescent="0.25">
      <c r="A1680" s="33">
        <v>18</v>
      </c>
      <c r="B1680" s="34" t="s">
        <v>1138</v>
      </c>
      <c r="C1680" s="35" t="s">
        <v>106</v>
      </c>
      <c r="D1680" s="36">
        <v>31.4</v>
      </c>
      <c r="E1680" s="36">
        <v>5.4732580000000004</v>
      </c>
      <c r="F1680" s="36">
        <f t="shared" si="380"/>
        <v>171.86030120000001</v>
      </c>
      <c r="G1680" s="37">
        <f t="shared" si="381"/>
        <v>0</v>
      </c>
      <c r="H1680" s="38">
        <f t="shared" si="382"/>
        <v>0</v>
      </c>
      <c r="I1680" s="37">
        <f t="shared" si="383"/>
        <v>0</v>
      </c>
      <c r="J1680" s="38">
        <v>0</v>
      </c>
      <c r="K1680" s="37">
        <f t="shared" si="384"/>
        <v>0</v>
      </c>
      <c r="L1680" s="38">
        <v>0</v>
      </c>
    </row>
    <row r="1681" spans="1:12" s="39" customFormat="1" ht="15.45" customHeight="1" outlineLevel="1" x14ac:dyDescent="0.25">
      <c r="A1681" s="33">
        <v>19</v>
      </c>
      <c r="B1681" s="34" t="s">
        <v>1139</v>
      </c>
      <c r="C1681" s="35" t="s">
        <v>106</v>
      </c>
      <c r="D1681" s="36">
        <v>31.4</v>
      </c>
      <c r="E1681" s="36">
        <v>1.514</v>
      </c>
      <c r="F1681" s="36">
        <f t="shared" si="380"/>
        <v>47.5396</v>
      </c>
      <c r="G1681" s="37">
        <f t="shared" si="381"/>
        <v>0</v>
      </c>
      <c r="H1681" s="38">
        <f t="shared" si="382"/>
        <v>0</v>
      </c>
      <c r="I1681" s="37">
        <f t="shared" si="383"/>
        <v>0</v>
      </c>
      <c r="J1681" s="38">
        <v>0</v>
      </c>
      <c r="K1681" s="37">
        <f t="shared" si="384"/>
        <v>0</v>
      </c>
      <c r="L1681" s="38">
        <v>0</v>
      </c>
    </row>
    <row r="1682" spans="1:12" s="39" customFormat="1" ht="28.95" customHeight="1" outlineLevel="1" x14ac:dyDescent="0.25">
      <c r="A1682" s="33">
        <v>20</v>
      </c>
      <c r="B1682" s="34" t="s">
        <v>306</v>
      </c>
      <c r="C1682" s="35" t="s">
        <v>106</v>
      </c>
      <c r="D1682" s="36">
        <v>104.2</v>
      </c>
      <c r="E1682" s="36">
        <v>10.504</v>
      </c>
      <c r="F1682" s="36">
        <f t="shared" si="380"/>
        <v>1094.5167999999999</v>
      </c>
      <c r="G1682" s="37">
        <f t="shared" si="381"/>
        <v>0</v>
      </c>
      <c r="H1682" s="38">
        <f t="shared" si="382"/>
        <v>0</v>
      </c>
      <c r="I1682" s="37">
        <f t="shared" si="383"/>
        <v>0</v>
      </c>
      <c r="J1682" s="38">
        <v>0</v>
      </c>
      <c r="K1682" s="37">
        <f t="shared" si="384"/>
        <v>0</v>
      </c>
      <c r="L1682" s="38">
        <v>0</v>
      </c>
    </row>
    <row r="1683" spans="1:12" s="45" customFormat="1" ht="28.95" customHeight="1" x14ac:dyDescent="0.3">
      <c r="A1683" s="33">
        <v>21</v>
      </c>
      <c r="B1683" s="34" t="s">
        <v>949</v>
      </c>
      <c r="C1683" s="35" t="s">
        <v>106</v>
      </c>
      <c r="D1683" s="36">
        <v>104.2</v>
      </c>
      <c r="E1683" s="36">
        <v>11.8912</v>
      </c>
      <c r="F1683" s="36">
        <f t="shared" si="380"/>
        <v>1239.06304</v>
      </c>
      <c r="G1683" s="37">
        <f t="shared" si="381"/>
        <v>0</v>
      </c>
      <c r="H1683" s="38">
        <f t="shared" si="382"/>
        <v>0</v>
      </c>
      <c r="I1683" s="37">
        <f t="shared" si="383"/>
        <v>0</v>
      </c>
      <c r="J1683" s="38">
        <v>0</v>
      </c>
      <c r="K1683" s="37">
        <f t="shared" si="384"/>
        <v>0</v>
      </c>
      <c r="L1683" s="38">
        <v>0</v>
      </c>
    </row>
    <row r="1684" spans="1:12" s="39" customFormat="1" ht="28.95" customHeight="1" outlineLevel="1" x14ac:dyDescent="0.25">
      <c r="A1684" s="33">
        <v>22</v>
      </c>
      <c r="B1684" s="34" t="s">
        <v>1140</v>
      </c>
      <c r="C1684" s="35" t="s">
        <v>66</v>
      </c>
      <c r="D1684" s="36">
        <v>2.1</v>
      </c>
      <c r="E1684" s="36">
        <v>69.327399999999997</v>
      </c>
      <c r="F1684" s="36">
        <f t="shared" si="380"/>
        <v>145.58753999999999</v>
      </c>
      <c r="G1684" s="37">
        <f t="shared" si="381"/>
        <v>0</v>
      </c>
      <c r="H1684" s="38">
        <f t="shared" si="382"/>
        <v>0</v>
      </c>
      <c r="I1684" s="37">
        <f t="shared" si="383"/>
        <v>0</v>
      </c>
      <c r="J1684" s="38">
        <v>0</v>
      </c>
      <c r="K1684" s="37">
        <f t="shared" si="384"/>
        <v>0</v>
      </c>
      <c r="L1684" s="38">
        <v>0</v>
      </c>
    </row>
    <row r="1685" spans="1:12" s="39" customFormat="1" ht="15.45" customHeight="1" outlineLevel="1" x14ac:dyDescent="0.25">
      <c r="A1685" s="33">
        <v>23</v>
      </c>
      <c r="B1685" s="34" t="s">
        <v>156</v>
      </c>
      <c r="C1685" s="35" t="s">
        <v>66</v>
      </c>
      <c r="D1685" s="36">
        <v>2.1</v>
      </c>
      <c r="E1685" s="36">
        <v>66.499999999999986</v>
      </c>
      <c r="F1685" s="36">
        <f t="shared" si="380"/>
        <v>139.64999999999998</v>
      </c>
      <c r="G1685" s="37">
        <f t="shared" si="381"/>
        <v>0</v>
      </c>
      <c r="H1685" s="38">
        <f t="shared" si="382"/>
        <v>0</v>
      </c>
      <c r="I1685" s="37">
        <f t="shared" si="383"/>
        <v>0</v>
      </c>
      <c r="J1685" s="38">
        <v>0</v>
      </c>
      <c r="K1685" s="37">
        <f t="shared" si="384"/>
        <v>0</v>
      </c>
      <c r="L1685" s="38">
        <v>0</v>
      </c>
    </row>
    <row r="1686" spans="1:12" s="39" customFormat="1" ht="28.95" customHeight="1" outlineLevel="1" x14ac:dyDescent="0.25">
      <c r="A1686" s="33">
        <v>24</v>
      </c>
      <c r="B1686" s="34" t="s">
        <v>843</v>
      </c>
      <c r="C1686" s="35" t="s">
        <v>66</v>
      </c>
      <c r="D1686" s="36">
        <v>4.13</v>
      </c>
      <c r="E1686" s="36">
        <v>280</v>
      </c>
      <c r="F1686" s="36">
        <f t="shared" si="380"/>
        <v>1156.3999999999999</v>
      </c>
      <c r="G1686" s="37">
        <f t="shared" si="381"/>
        <v>0</v>
      </c>
      <c r="H1686" s="38">
        <f t="shared" si="382"/>
        <v>0</v>
      </c>
      <c r="I1686" s="37">
        <f t="shared" si="383"/>
        <v>0</v>
      </c>
      <c r="J1686" s="38">
        <v>0</v>
      </c>
      <c r="K1686" s="37">
        <f t="shared" si="384"/>
        <v>0</v>
      </c>
      <c r="L1686" s="38">
        <v>0</v>
      </c>
    </row>
    <row r="1687" spans="1:12" s="39" customFormat="1" ht="15.45" customHeight="1" outlineLevel="1" x14ac:dyDescent="0.25">
      <c r="A1687" s="33">
        <v>25</v>
      </c>
      <c r="B1687" s="34" t="s">
        <v>45</v>
      </c>
      <c r="C1687" s="35" t="s">
        <v>30</v>
      </c>
      <c r="D1687" s="36">
        <v>2.8000000000000001E-2</v>
      </c>
      <c r="E1687" s="36">
        <v>1325.1</v>
      </c>
      <c r="F1687" s="36">
        <f t="shared" si="380"/>
        <v>37.102799999999995</v>
      </c>
      <c r="G1687" s="37">
        <f t="shared" si="381"/>
        <v>0</v>
      </c>
      <c r="H1687" s="38">
        <f t="shared" si="382"/>
        <v>0</v>
      </c>
      <c r="I1687" s="37">
        <f t="shared" si="383"/>
        <v>0</v>
      </c>
      <c r="J1687" s="38">
        <v>0</v>
      </c>
      <c r="K1687" s="37">
        <f t="shared" si="384"/>
        <v>0</v>
      </c>
      <c r="L1687" s="38">
        <v>0</v>
      </c>
    </row>
    <row r="1688" spans="1:12" s="39" customFormat="1" ht="15.45" customHeight="1" outlineLevel="1" x14ac:dyDescent="0.25">
      <c r="A1688" s="33">
        <v>26</v>
      </c>
      <c r="B1688" s="34" t="s">
        <v>46</v>
      </c>
      <c r="C1688" s="35" t="s">
        <v>30</v>
      </c>
      <c r="D1688" s="36">
        <v>0.5</v>
      </c>
      <c r="E1688" s="36">
        <v>1200.0999999999999</v>
      </c>
      <c r="F1688" s="36">
        <f t="shared" si="380"/>
        <v>600.04999999999995</v>
      </c>
      <c r="G1688" s="37">
        <f t="shared" si="381"/>
        <v>0</v>
      </c>
      <c r="H1688" s="38">
        <f t="shared" si="382"/>
        <v>0</v>
      </c>
      <c r="I1688" s="37">
        <f t="shared" si="383"/>
        <v>0</v>
      </c>
      <c r="J1688" s="38">
        <v>0</v>
      </c>
      <c r="K1688" s="37">
        <f t="shared" si="384"/>
        <v>0</v>
      </c>
      <c r="L1688" s="38">
        <v>0</v>
      </c>
    </row>
    <row r="1689" spans="1:12" s="39" customFormat="1" ht="15.45" customHeight="1" outlineLevel="1" x14ac:dyDescent="0.25">
      <c r="A1689" s="33">
        <v>28</v>
      </c>
      <c r="B1689" s="34" t="s">
        <v>1141</v>
      </c>
      <c r="C1689" s="35" t="s">
        <v>55</v>
      </c>
      <c r="D1689" s="36">
        <v>1</v>
      </c>
      <c r="E1689" s="36">
        <v>136.59639999999999</v>
      </c>
      <c r="F1689" s="36">
        <f t="shared" si="380"/>
        <v>136.59639999999999</v>
      </c>
      <c r="G1689" s="37">
        <f t="shared" si="381"/>
        <v>0</v>
      </c>
      <c r="H1689" s="38">
        <f t="shared" si="382"/>
        <v>0</v>
      </c>
      <c r="I1689" s="37">
        <f t="shared" si="383"/>
        <v>0</v>
      </c>
      <c r="J1689" s="38">
        <v>0</v>
      </c>
      <c r="K1689" s="37">
        <f t="shared" si="384"/>
        <v>0</v>
      </c>
      <c r="L1689" s="38">
        <v>0</v>
      </c>
    </row>
    <row r="1690" spans="1:12" s="39" customFormat="1" ht="28.95" customHeight="1" outlineLevel="1" x14ac:dyDescent="0.25">
      <c r="A1690" s="33">
        <v>29</v>
      </c>
      <c r="B1690" s="34" t="s">
        <v>168</v>
      </c>
      <c r="C1690" s="35" t="s">
        <v>30</v>
      </c>
      <c r="D1690" s="36">
        <v>5.3999999999999999E-2</v>
      </c>
      <c r="E1690" s="36">
        <v>3264.1</v>
      </c>
      <c r="F1690" s="36">
        <f t="shared" si="380"/>
        <v>176.26139999999998</v>
      </c>
      <c r="G1690" s="37">
        <f t="shared" si="381"/>
        <v>0</v>
      </c>
      <c r="H1690" s="38">
        <f t="shared" si="382"/>
        <v>0</v>
      </c>
      <c r="I1690" s="37">
        <f t="shared" si="383"/>
        <v>0</v>
      </c>
      <c r="J1690" s="38">
        <v>0</v>
      </c>
      <c r="K1690" s="37">
        <f t="shared" si="384"/>
        <v>0</v>
      </c>
      <c r="L1690" s="38">
        <v>0</v>
      </c>
    </row>
    <row r="1691" spans="1:12" s="39" customFormat="1" ht="28.95" customHeight="1" outlineLevel="1" x14ac:dyDescent="0.25">
      <c r="A1691" s="33">
        <v>31</v>
      </c>
      <c r="B1691" s="34" t="s">
        <v>1035</v>
      </c>
      <c r="C1691" s="35" t="s">
        <v>50</v>
      </c>
      <c r="D1691" s="36">
        <v>2.2000000000000002</v>
      </c>
      <c r="E1691" s="36">
        <v>12.0646</v>
      </c>
      <c r="F1691" s="36">
        <f t="shared" si="380"/>
        <v>26.542120000000004</v>
      </c>
      <c r="G1691" s="37">
        <f t="shared" si="381"/>
        <v>0</v>
      </c>
      <c r="H1691" s="38">
        <f t="shared" si="382"/>
        <v>0</v>
      </c>
      <c r="I1691" s="37">
        <f t="shared" si="383"/>
        <v>0</v>
      </c>
      <c r="J1691" s="38">
        <v>0</v>
      </c>
      <c r="K1691" s="37">
        <f t="shared" si="384"/>
        <v>0</v>
      </c>
      <c r="L1691" s="38">
        <v>0</v>
      </c>
    </row>
    <row r="1692" spans="1:12" s="39" customFormat="1" ht="15.45" customHeight="1" outlineLevel="1" x14ac:dyDescent="0.25">
      <c r="A1692" s="33">
        <v>32</v>
      </c>
      <c r="B1692" s="34" t="s">
        <v>153</v>
      </c>
      <c r="C1692" s="35" t="s">
        <v>106</v>
      </c>
      <c r="D1692" s="36">
        <v>38.5</v>
      </c>
      <c r="E1692" s="36">
        <v>3.7719999999999998</v>
      </c>
      <c r="F1692" s="36">
        <f t="shared" si="380"/>
        <v>145.22199999999998</v>
      </c>
      <c r="G1692" s="37">
        <f t="shared" si="381"/>
        <v>0</v>
      </c>
      <c r="H1692" s="38">
        <f t="shared" si="382"/>
        <v>0</v>
      </c>
      <c r="I1692" s="37">
        <f t="shared" si="383"/>
        <v>0</v>
      </c>
      <c r="J1692" s="38">
        <v>0</v>
      </c>
      <c r="K1692" s="37">
        <f t="shared" si="384"/>
        <v>0</v>
      </c>
      <c r="L1692" s="38">
        <v>0</v>
      </c>
    </row>
    <row r="1693" spans="1:12" s="39" customFormat="1" ht="15.45" customHeight="1" outlineLevel="1" x14ac:dyDescent="0.25">
      <c r="A1693" s="33">
        <v>33</v>
      </c>
      <c r="B1693" s="34" t="s">
        <v>1142</v>
      </c>
      <c r="C1693" s="35" t="s">
        <v>106</v>
      </c>
      <c r="D1693" s="36">
        <v>38.5</v>
      </c>
      <c r="E1693" s="36">
        <v>0.95300000000000007</v>
      </c>
      <c r="F1693" s="36">
        <f t="shared" si="380"/>
        <v>36.6905</v>
      </c>
      <c r="G1693" s="37">
        <f t="shared" si="381"/>
        <v>0</v>
      </c>
      <c r="H1693" s="38">
        <f t="shared" si="382"/>
        <v>0</v>
      </c>
      <c r="I1693" s="37">
        <f t="shared" si="383"/>
        <v>0</v>
      </c>
      <c r="J1693" s="38">
        <v>0</v>
      </c>
      <c r="K1693" s="37">
        <f t="shared" si="384"/>
        <v>0</v>
      </c>
      <c r="L1693" s="38">
        <v>0</v>
      </c>
    </row>
    <row r="1694" spans="1:12" s="46" customFormat="1" ht="15.45" customHeight="1" outlineLevel="1" x14ac:dyDescent="0.35">
      <c r="A1694" s="33">
        <v>35</v>
      </c>
      <c r="B1694" s="34" t="s">
        <v>153</v>
      </c>
      <c r="C1694" s="35" t="s">
        <v>106</v>
      </c>
      <c r="D1694" s="36">
        <v>38.5</v>
      </c>
      <c r="E1694" s="36">
        <v>3.7719999999999998</v>
      </c>
      <c r="F1694" s="36">
        <f t="shared" si="380"/>
        <v>145.22199999999998</v>
      </c>
      <c r="G1694" s="37">
        <f t="shared" si="381"/>
        <v>0</v>
      </c>
      <c r="H1694" s="38">
        <f t="shared" si="382"/>
        <v>0</v>
      </c>
      <c r="I1694" s="37">
        <f t="shared" si="383"/>
        <v>0</v>
      </c>
      <c r="J1694" s="38">
        <v>0</v>
      </c>
      <c r="K1694" s="37">
        <f t="shared" si="384"/>
        <v>0</v>
      </c>
      <c r="L1694" s="38">
        <v>0</v>
      </c>
    </row>
    <row r="1695" spans="1:12" s="39" customFormat="1" ht="15.45" customHeight="1" outlineLevel="1" x14ac:dyDescent="0.25">
      <c r="A1695" s="33">
        <v>36</v>
      </c>
      <c r="B1695" s="34" t="s">
        <v>1143</v>
      </c>
      <c r="C1695" s="35" t="s">
        <v>106</v>
      </c>
      <c r="D1695" s="36">
        <v>38.5</v>
      </c>
      <c r="E1695" s="36">
        <v>0.95300000000000007</v>
      </c>
      <c r="F1695" s="36">
        <f t="shared" si="380"/>
        <v>36.6905</v>
      </c>
      <c r="G1695" s="37">
        <f t="shared" si="381"/>
        <v>0</v>
      </c>
      <c r="H1695" s="38">
        <f t="shared" si="382"/>
        <v>0</v>
      </c>
      <c r="I1695" s="37">
        <f t="shared" si="383"/>
        <v>0</v>
      </c>
      <c r="J1695" s="38">
        <v>0</v>
      </c>
      <c r="K1695" s="37">
        <f t="shared" si="384"/>
        <v>0</v>
      </c>
      <c r="L1695" s="38">
        <v>0</v>
      </c>
    </row>
    <row r="1696" spans="1:12" s="39" customFormat="1" ht="15.45" customHeight="1" outlineLevel="1" x14ac:dyDescent="0.25">
      <c r="A1696" s="33">
        <v>37</v>
      </c>
      <c r="B1696" s="34" t="s">
        <v>1144</v>
      </c>
      <c r="C1696" s="35" t="s">
        <v>66</v>
      </c>
      <c r="D1696" s="36">
        <v>81</v>
      </c>
      <c r="E1696" s="36">
        <v>1.9461999999999999</v>
      </c>
      <c r="F1696" s="36">
        <f t="shared" si="380"/>
        <v>157.6422</v>
      </c>
      <c r="G1696" s="37">
        <f t="shared" si="381"/>
        <v>0</v>
      </c>
      <c r="H1696" s="38">
        <f t="shared" si="382"/>
        <v>0</v>
      </c>
      <c r="I1696" s="37">
        <f t="shared" si="383"/>
        <v>0</v>
      </c>
      <c r="J1696" s="38">
        <v>0</v>
      </c>
      <c r="K1696" s="37">
        <f t="shared" si="384"/>
        <v>0</v>
      </c>
      <c r="L1696" s="38">
        <v>0</v>
      </c>
    </row>
    <row r="1697" spans="1:12" s="39" customFormat="1" ht="15.45" customHeight="1" outlineLevel="1" x14ac:dyDescent="0.25">
      <c r="A1697" s="31" t="s">
        <v>1150</v>
      </c>
      <c r="B1697" s="40" t="s">
        <v>1151</v>
      </c>
      <c r="C1697" s="41">
        <v>0</v>
      </c>
      <c r="D1697" s="42"/>
      <c r="E1697" s="42"/>
      <c r="F1697" s="42"/>
      <c r="G1697" s="43"/>
      <c r="H1697" s="44"/>
      <c r="I1697" s="43"/>
      <c r="J1697" s="44"/>
      <c r="K1697" s="43"/>
      <c r="L1697" s="44">
        <v>0</v>
      </c>
    </row>
    <row r="1698" spans="1:12" s="39" customFormat="1" ht="43.5" customHeight="1" outlineLevel="1" x14ac:dyDescent="0.25">
      <c r="A1698" s="33">
        <v>1</v>
      </c>
      <c r="B1698" s="34" t="s">
        <v>1147</v>
      </c>
      <c r="C1698" s="35" t="s">
        <v>50</v>
      </c>
      <c r="D1698" s="36">
        <v>5</v>
      </c>
      <c r="E1698" s="36">
        <v>14.757400000000001</v>
      </c>
      <c r="F1698" s="36">
        <f t="shared" ref="F1698:F1703" si="385">+E1698*D1698</f>
        <v>73.787000000000006</v>
      </c>
      <c r="G1698" s="37">
        <f t="shared" ref="G1698:H1703" si="386">I1698+K1698</f>
        <v>0</v>
      </c>
      <c r="H1698" s="38">
        <f t="shared" si="386"/>
        <v>0</v>
      </c>
      <c r="I1698" s="37">
        <f t="shared" ref="I1698:I1703" si="387">J1698/F1698</f>
        <v>0</v>
      </c>
      <c r="J1698" s="38">
        <v>0</v>
      </c>
      <c r="K1698" s="37">
        <f t="shared" ref="K1698:K1703" si="388">L1698/F1698</f>
        <v>0</v>
      </c>
      <c r="L1698" s="38">
        <v>0</v>
      </c>
    </row>
    <row r="1699" spans="1:12" s="39" customFormat="1" ht="15.45" customHeight="1" outlineLevel="1" x14ac:dyDescent="0.25">
      <c r="A1699" s="33">
        <v>2</v>
      </c>
      <c r="B1699" s="34" t="s">
        <v>1148</v>
      </c>
      <c r="C1699" s="35" t="s">
        <v>50</v>
      </c>
      <c r="D1699" s="36">
        <v>5</v>
      </c>
      <c r="E1699" s="36">
        <v>27.811399999999999</v>
      </c>
      <c r="F1699" s="36">
        <f t="shared" si="385"/>
        <v>139.05699999999999</v>
      </c>
      <c r="G1699" s="37">
        <f t="shared" si="386"/>
        <v>0</v>
      </c>
      <c r="H1699" s="38">
        <f t="shared" si="386"/>
        <v>0</v>
      </c>
      <c r="I1699" s="37">
        <f t="shared" si="387"/>
        <v>0</v>
      </c>
      <c r="J1699" s="38">
        <v>0</v>
      </c>
      <c r="K1699" s="37">
        <f t="shared" si="388"/>
        <v>0</v>
      </c>
      <c r="L1699" s="38">
        <v>0</v>
      </c>
    </row>
    <row r="1700" spans="1:12" s="39" customFormat="1" ht="28.95" customHeight="1" outlineLevel="1" x14ac:dyDescent="0.25">
      <c r="A1700" s="33">
        <v>3</v>
      </c>
      <c r="B1700" s="34" t="s">
        <v>331</v>
      </c>
      <c r="C1700" s="35" t="s">
        <v>50</v>
      </c>
      <c r="D1700" s="36">
        <v>5</v>
      </c>
      <c r="E1700" s="36">
        <v>85.882000000000005</v>
      </c>
      <c r="F1700" s="36">
        <f t="shared" si="385"/>
        <v>429.41</v>
      </c>
      <c r="G1700" s="37">
        <f t="shared" si="386"/>
        <v>0</v>
      </c>
      <c r="H1700" s="38">
        <f t="shared" si="386"/>
        <v>0</v>
      </c>
      <c r="I1700" s="37">
        <f t="shared" si="387"/>
        <v>0</v>
      </c>
      <c r="J1700" s="38">
        <v>0</v>
      </c>
      <c r="K1700" s="37">
        <f t="shared" si="388"/>
        <v>0</v>
      </c>
      <c r="L1700" s="38">
        <v>0</v>
      </c>
    </row>
    <row r="1701" spans="1:12" s="39" customFormat="1" ht="15.45" customHeight="1" outlineLevel="1" x14ac:dyDescent="0.25">
      <c r="A1701" s="33">
        <v>4</v>
      </c>
      <c r="B1701" s="34" t="s">
        <v>1149</v>
      </c>
      <c r="C1701" s="35" t="s">
        <v>55</v>
      </c>
      <c r="D1701" s="36">
        <v>2</v>
      </c>
      <c r="E1701" s="36">
        <v>12.1646</v>
      </c>
      <c r="F1701" s="36">
        <f t="shared" si="385"/>
        <v>24.3292</v>
      </c>
      <c r="G1701" s="37">
        <f t="shared" si="386"/>
        <v>0</v>
      </c>
      <c r="H1701" s="38">
        <f t="shared" si="386"/>
        <v>0</v>
      </c>
      <c r="I1701" s="37">
        <f t="shared" si="387"/>
        <v>0</v>
      </c>
      <c r="J1701" s="38">
        <v>0</v>
      </c>
      <c r="K1701" s="37">
        <f t="shared" si="388"/>
        <v>0</v>
      </c>
      <c r="L1701" s="38">
        <v>0</v>
      </c>
    </row>
    <row r="1702" spans="1:12" s="39" customFormat="1" ht="15.45" customHeight="1" outlineLevel="1" x14ac:dyDescent="0.25">
      <c r="A1702" s="33">
        <v>5</v>
      </c>
      <c r="B1702" s="34" t="s">
        <v>1152</v>
      </c>
      <c r="C1702" s="35" t="s">
        <v>106</v>
      </c>
      <c r="D1702" s="36">
        <v>0.6</v>
      </c>
      <c r="E1702" s="36">
        <v>113.4118</v>
      </c>
      <c r="F1702" s="36">
        <f t="shared" si="385"/>
        <v>68.047079999999994</v>
      </c>
      <c r="G1702" s="37">
        <f t="shared" si="386"/>
        <v>0</v>
      </c>
      <c r="H1702" s="38">
        <f t="shared" si="386"/>
        <v>0</v>
      </c>
      <c r="I1702" s="37">
        <f t="shared" si="387"/>
        <v>0</v>
      </c>
      <c r="J1702" s="38">
        <v>0</v>
      </c>
      <c r="K1702" s="37">
        <f t="shared" si="388"/>
        <v>0</v>
      </c>
      <c r="L1702" s="38">
        <v>0</v>
      </c>
    </row>
    <row r="1703" spans="1:12" s="39" customFormat="1" ht="28.95" customHeight="1" outlineLevel="1" x14ac:dyDescent="0.25">
      <c r="A1703" s="33">
        <v>6</v>
      </c>
      <c r="B1703" s="34" t="s">
        <v>1047</v>
      </c>
      <c r="C1703" s="35" t="s">
        <v>106</v>
      </c>
      <c r="D1703" s="36">
        <v>0.6</v>
      </c>
      <c r="E1703" s="36">
        <v>591.72040000000004</v>
      </c>
      <c r="F1703" s="36">
        <f t="shared" si="385"/>
        <v>355.03224</v>
      </c>
      <c r="G1703" s="37">
        <f t="shared" si="386"/>
        <v>0</v>
      </c>
      <c r="H1703" s="38">
        <f t="shared" si="386"/>
        <v>0</v>
      </c>
      <c r="I1703" s="37">
        <f t="shared" si="387"/>
        <v>0</v>
      </c>
      <c r="J1703" s="38">
        <v>0</v>
      </c>
      <c r="K1703" s="37">
        <f t="shared" si="388"/>
        <v>0</v>
      </c>
      <c r="L1703" s="38">
        <v>0</v>
      </c>
    </row>
    <row r="1704" spans="1:12" s="39" customFormat="1" ht="15.45" customHeight="1" outlineLevel="1" x14ac:dyDescent="0.25">
      <c r="A1704" s="31" t="s">
        <v>58</v>
      </c>
      <c r="B1704" s="40" t="s">
        <v>59</v>
      </c>
      <c r="C1704" s="41">
        <v>0</v>
      </c>
      <c r="D1704" s="42"/>
      <c r="E1704" s="42"/>
      <c r="F1704" s="42"/>
      <c r="G1704" s="43"/>
      <c r="H1704" s="44"/>
      <c r="I1704" s="43"/>
      <c r="J1704" s="44"/>
      <c r="K1704" s="43"/>
      <c r="L1704" s="44">
        <v>0</v>
      </c>
    </row>
    <row r="1705" spans="1:12" s="39" customFormat="1" ht="43.5" customHeight="1" outlineLevel="1" x14ac:dyDescent="0.25">
      <c r="A1705" s="33">
        <v>1</v>
      </c>
      <c r="B1705" s="34" t="s">
        <v>830</v>
      </c>
      <c r="C1705" s="35" t="s">
        <v>66</v>
      </c>
      <c r="D1705" s="36">
        <v>143</v>
      </c>
      <c r="E1705" s="36">
        <v>0.9</v>
      </c>
      <c r="F1705" s="36">
        <f t="shared" ref="F1705:F1736" si="389">+E1705*D1705</f>
        <v>128.70000000000002</v>
      </c>
      <c r="G1705" s="37">
        <f t="shared" ref="G1705:G1736" si="390">I1705+K1705</f>
        <v>0</v>
      </c>
      <c r="H1705" s="38">
        <f t="shared" ref="H1705:H1736" si="391">J1705+L1705</f>
        <v>0</v>
      </c>
      <c r="I1705" s="37">
        <f t="shared" ref="I1705:I1736" si="392">J1705/F1705</f>
        <v>0</v>
      </c>
      <c r="J1705" s="38">
        <v>0</v>
      </c>
      <c r="K1705" s="37">
        <f t="shared" ref="K1705:K1736" si="393">L1705/F1705</f>
        <v>0</v>
      </c>
      <c r="L1705" s="38">
        <v>0</v>
      </c>
    </row>
    <row r="1706" spans="1:12" s="39" customFormat="1" ht="28.95" customHeight="1" outlineLevel="1" x14ac:dyDescent="0.25">
      <c r="A1706" s="33">
        <v>2</v>
      </c>
      <c r="B1706" s="34" t="s">
        <v>765</v>
      </c>
      <c r="C1706" s="35" t="s">
        <v>66</v>
      </c>
      <c r="D1706" s="36">
        <v>4</v>
      </c>
      <c r="E1706" s="36">
        <v>8.9600000000000009</v>
      </c>
      <c r="F1706" s="36">
        <f t="shared" si="389"/>
        <v>35.840000000000003</v>
      </c>
      <c r="G1706" s="37">
        <f t="shared" si="390"/>
        <v>0</v>
      </c>
      <c r="H1706" s="38">
        <f t="shared" si="391"/>
        <v>0</v>
      </c>
      <c r="I1706" s="37">
        <f t="shared" si="392"/>
        <v>0</v>
      </c>
      <c r="J1706" s="38">
        <v>0</v>
      </c>
      <c r="K1706" s="37">
        <f t="shared" si="393"/>
        <v>0</v>
      </c>
      <c r="L1706" s="38">
        <v>0</v>
      </c>
    </row>
    <row r="1707" spans="1:12" s="39" customFormat="1" ht="28.95" customHeight="1" outlineLevel="1" x14ac:dyDescent="0.25">
      <c r="A1707" s="33">
        <v>3</v>
      </c>
      <c r="B1707" s="34" t="s">
        <v>226</v>
      </c>
      <c r="C1707" s="35" t="s">
        <v>66</v>
      </c>
      <c r="D1707" s="36">
        <v>147</v>
      </c>
      <c r="E1707" s="36">
        <v>0.90200000000000002</v>
      </c>
      <c r="F1707" s="36">
        <f t="shared" si="389"/>
        <v>132.59399999999999</v>
      </c>
      <c r="G1707" s="37">
        <f t="shared" si="390"/>
        <v>0</v>
      </c>
      <c r="H1707" s="38">
        <f t="shared" si="391"/>
        <v>0</v>
      </c>
      <c r="I1707" s="37">
        <f t="shared" si="392"/>
        <v>0</v>
      </c>
      <c r="J1707" s="38">
        <v>0</v>
      </c>
      <c r="K1707" s="37">
        <f t="shared" si="393"/>
        <v>0</v>
      </c>
      <c r="L1707" s="38">
        <v>0</v>
      </c>
    </row>
    <row r="1708" spans="1:12" s="39" customFormat="1" ht="43.5" customHeight="1" outlineLevel="1" x14ac:dyDescent="0.25">
      <c r="A1708" s="33">
        <v>4</v>
      </c>
      <c r="B1708" s="34" t="s">
        <v>766</v>
      </c>
      <c r="C1708" s="35" t="s">
        <v>66</v>
      </c>
      <c r="D1708" s="36">
        <v>86</v>
      </c>
      <c r="E1708" s="36">
        <v>0.9</v>
      </c>
      <c r="F1708" s="36">
        <f t="shared" si="389"/>
        <v>77.400000000000006</v>
      </c>
      <c r="G1708" s="37">
        <f t="shared" si="390"/>
        <v>0</v>
      </c>
      <c r="H1708" s="38">
        <f t="shared" si="391"/>
        <v>0</v>
      </c>
      <c r="I1708" s="37">
        <f t="shared" si="392"/>
        <v>0</v>
      </c>
      <c r="J1708" s="38">
        <v>0</v>
      </c>
      <c r="K1708" s="37">
        <f t="shared" si="393"/>
        <v>0</v>
      </c>
      <c r="L1708" s="38">
        <v>0</v>
      </c>
    </row>
    <row r="1709" spans="1:12" s="39" customFormat="1" ht="28.95" customHeight="1" outlineLevel="1" x14ac:dyDescent="0.25">
      <c r="A1709" s="33">
        <v>5</v>
      </c>
      <c r="B1709" s="34" t="s">
        <v>316</v>
      </c>
      <c r="C1709" s="35" t="s">
        <v>66</v>
      </c>
      <c r="D1709" s="36">
        <v>21</v>
      </c>
      <c r="E1709" s="36">
        <v>8.16</v>
      </c>
      <c r="F1709" s="36">
        <f t="shared" si="389"/>
        <v>171.36</v>
      </c>
      <c r="G1709" s="37">
        <f t="shared" si="390"/>
        <v>0</v>
      </c>
      <c r="H1709" s="38">
        <f t="shared" si="391"/>
        <v>0</v>
      </c>
      <c r="I1709" s="37">
        <f t="shared" si="392"/>
        <v>0</v>
      </c>
      <c r="J1709" s="38">
        <v>0</v>
      </c>
      <c r="K1709" s="37">
        <f t="shared" si="393"/>
        <v>0</v>
      </c>
      <c r="L1709" s="38">
        <v>0</v>
      </c>
    </row>
    <row r="1710" spans="1:12" s="39" customFormat="1" ht="28.95" customHeight="1" outlineLevel="1" x14ac:dyDescent="0.25">
      <c r="A1710" s="33">
        <v>6</v>
      </c>
      <c r="B1710" s="34" t="s">
        <v>234</v>
      </c>
      <c r="C1710" s="35" t="s">
        <v>66</v>
      </c>
      <c r="D1710" s="36">
        <v>86</v>
      </c>
      <c r="E1710" s="36">
        <v>2</v>
      </c>
      <c r="F1710" s="36">
        <f t="shared" si="389"/>
        <v>172</v>
      </c>
      <c r="G1710" s="37">
        <f t="shared" si="390"/>
        <v>0</v>
      </c>
      <c r="H1710" s="38">
        <f t="shared" si="391"/>
        <v>0</v>
      </c>
      <c r="I1710" s="37">
        <f t="shared" si="392"/>
        <v>0</v>
      </c>
      <c r="J1710" s="38">
        <v>0</v>
      </c>
      <c r="K1710" s="37">
        <f t="shared" si="393"/>
        <v>0</v>
      </c>
      <c r="L1710" s="38">
        <v>0</v>
      </c>
    </row>
    <row r="1711" spans="1:12" s="39" customFormat="1" ht="43.5" customHeight="1" outlineLevel="1" x14ac:dyDescent="0.25">
      <c r="A1711" s="33">
        <v>7</v>
      </c>
      <c r="B1711" s="34" t="s">
        <v>830</v>
      </c>
      <c r="C1711" s="35" t="s">
        <v>66</v>
      </c>
      <c r="D1711" s="36">
        <v>26</v>
      </c>
      <c r="E1711" s="36">
        <v>0.9</v>
      </c>
      <c r="F1711" s="36">
        <f t="shared" si="389"/>
        <v>23.400000000000002</v>
      </c>
      <c r="G1711" s="37">
        <f t="shared" si="390"/>
        <v>0</v>
      </c>
      <c r="H1711" s="38">
        <f t="shared" si="391"/>
        <v>0</v>
      </c>
      <c r="I1711" s="37">
        <f t="shared" si="392"/>
        <v>0</v>
      </c>
      <c r="J1711" s="38">
        <v>0</v>
      </c>
      <c r="K1711" s="37">
        <f t="shared" si="393"/>
        <v>0</v>
      </c>
      <c r="L1711" s="38">
        <v>0</v>
      </c>
    </row>
    <row r="1712" spans="1:12" s="39" customFormat="1" ht="15.45" customHeight="1" outlineLevel="1" x14ac:dyDescent="0.25">
      <c r="A1712" s="33">
        <v>8</v>
      </c>
      <c r="B1712" s="34" t="s">
        <v>41</v>
      </c>
      <c r="C1712" s="35" t="s">
        <v>66</v>
      </c>
      <c r="D1712" s="36">
        <v>3.2</v>
      </c>
      <c r="E1712" s="36">
        <v>34.412799999999997</v>
      </c>
      <c r="F1712" s="36">
        <f t="shared" si="389"/>
        <v>110.12096</v>
      </c>
      <c r="G1712" s="37">
        <f t="shared" si="390"/>
        <v>0</v>
      </c>
      <c r="H1712" s="38">
        <f t="shared" si="391"/>
        <v>0</v>
      </c>
      <c r="I1712" s="37">
        <f t="shared" si="392"/>
        <v>0</v>
      </c>
      <c r="J1712" s="38">
        <v>0</v>
      </c>
      <c r="K1712" s="37">
        <f t="shared" si="393"/>
        <v>0</v>
      </c>
      <c r="L1712" s="38">
        <v>0</v>
      </c>
    </row>
    <row r="1713" spans="1:12" s="39" customFormat="1" ht="15.45" customHeight="1" outlineLevel="1" x14ac:dyDescent="0.25">
      <c r="A1713" s="33">
        <v>9</v>
      </c>
      <c r="B1713" s="34" t="s">
        <v>833</v>
      </c>
      <c r="C1713" s="35" t="s">
        <v>66</v>
      </c>
      <c r="D1713" s="36">
        <v>1.44</v>
      </c>
      <c r="E1713" s="36">
        <v>10.788500000000001</v>
      </c>
      <c r="F1713" s="36">
        <f t="shared" si="389"/>
        <v>15.535440000000001</v>
      </c>
      <c r="G1713" s="37">
        <f t="shared" si="390"/>
        <v>0</v>
      </c>
      <c r="H1713" s="38">
        <f t="shared" si="391"/>
        <v>0</v>
      </c>
      <c r="I1713" s="37">
        <f t="shared" si="392"/>
        <v>0</v>
      </c>
      <c r="J1713" s="38">
        <v>0</v>
      </c>
      <c r="K1713" s="37">
        <f t="shared" si="393"/>
        <v>0</v>
      </c>
      <c r="L1713" s="38">
        <v>0</v>
      </c>
    </row>
    <row r="1714" spans="1:12" s="39" customFormat="1" ht="15.45" customHeight="1" outlineLevel="1" x14ac:dyDescent="0.25">
      <c r="A1714" s="33">
        <v>10</v>
      </c>
      <c r="B1714" s="34" t="s">
        <v>1136</v>
      </c>
      <c r="C1714" s="35" t="s">
        <v>106</v>
      </c>
      <c r="D1714" s="36">
        <v>14.4</v>
      </c>
      <c r="E1714" s="36">
        <v>9.8818000000000001</v>
      </c>
      <c r="F1714" s="36">
        <f t="shared" si="389"/>
        <v>142.29792</v>
      </c>
      <c r="G1714" s="37">
        <f t="shared" si="390"/>
        <v>0</v>
      </c>
      <c r="H1714" s="38">
        <f t="shared" si="391"/>
        <v>0</v>
      </c>
      <c r="I1714" s="37">
        <f t="shared" si="392"/>
        <v>0</v>
      </c>
      <c r="J1714" s="38">
        <v>0</v>
      </c>
      <c r="K1714" s="37">
        <f t="shared" si="393"/>
        <v>0</v>
      </c>
      <c r="L1714" s="38">
        <v>0</v>
      </c>
    </row>
    <row r="1715" spans="1:12" s="39" customFormat="1" ht="15.45" customHeight="1" outlineLevel="1" x14ac:dyDescent="0.25">
      <c r="A1715" s="33">
        <v>11</v>
      </c>
      <c r="B1715" s="34" t="s">
        <v>47</v>
      </c>
      <c r="C1715" s="35" t="s">
        <v>106</v>
      </c>
      <c r="D1715" s="36">
        <v>14.4</v>
      </c>
      <c r="E1715" s="36">
        <v>5.4732580000000004</v>
      </c>
      <c r="F1715" s="36">
        <f t="shared" si="389"/>
        <v>78.814915200000002</v>
      </c>
      <c r="G1715" s="37">
        <f t="shared" si="390"/>
        <v>0</v>
      </c>
      <c r="H1715" s="38">
        <f t="shared" si="391"/>
        <v>0</v>
      </c>
      <c r="I1715" s="37">
        <f t="shared" si="392"/>
        <v>0</v>
      </c>
      <c r="J1715" s="38">
        <v>0</v>
      </c>
      <c r="K1715" s="37">
        <f t="shared" si="393"/>
        <v>0</v>
      </c>
      <c r="L1715" s="38">
        <v>0</v>
      </c>
    </row>
    <row r="1716" spans="1:12" s="39" customFormat="1" ht="15.45" customHeight="1" outlineLevel="1" x14ac:dyDescent="0.25">
      <c r="A1716" s="33">
        <v>12</v>
      </c>
      <c r="B1716" s="34" t="s">
        <v>960</v>
      </c>
      <c r="C1716" s="35" t="s">
        <v>106</v>
      </c>
      <c r="D1716" s="36">
        <v>14.4</v>
      </c>
      <c r="E1716" s="36">
        <v>1.5362</v>
      </c>
      <c r="F1716" s="36">
        <f t="shared" si="389"/>
        <v>22.121280000000002</v>
      </c>
      <c r="G1716" s="37">
        <f t="shared" si="390"/>
        <v>0</v>
      </c>
      <c r="H1716" s="38">
        <f t="shared" si="391"/>
        <v>0</v>
      </c>
      <c r="I1716" s="37">
        <f t="shared" si="392"/>
        <v>0</v>
      </c>
      <c r="J1716" s="38">
        <v>0</v>
      </c>
      <c r="K1716" s="37">
        <f t="shared" si="393"/>
        <v>0</v>
      </c>
      <c r="L1716" s="38">
        <v>0</v>
      </c>
    </row>
    <row r="1717" spans="1:12" s="39" customFormat="1" ht="28.95" customHeight="1" outlineLevel="1" x14ac:dyDescent="0.25">
      <c r="A1717" s="33">
        <v>13</v>
      </c>
      <c r="B1717" s="34" t="s">
        <v>1137</v>
      </c>
      <c r="C1717" s="35" t="s">
        <v>66</v>
      </c>
      <c r="D1717" s="36">
        <v>14.49</v>
      </c>
      <c r="E1717" s="36">
        <v>212.52520000000001</v>
      </c>
      <c r="F1717" s="36">
        <f t="shared" si="389"/>
        <v>3079.4901480000003</v>
      </c>
      <c r="G1717" s="37">
        <f t="shared" si="390"/>
        <v>0</v>
      </c>
      <c r="H1717" s="38">
        <f t="shared" si="391"/>
        <v>0</v>
      </c>
      <c r="I1717" s="37">
        <f t="shared" si="392"/>
        <v>0</v>
      </c>
      <c r="J1717" s="38">
        <v>0</v>
      </c>
      <c r="K1717" s="37">
        <f t="shared" si="393"/>
        <v>0</v>
      </c>
      <c r="L1717" s="38">
        <v>0</v>
      </c>
    </row>
    <row r="1718" spans="1:12" s="39" customFormat="1" ht="15.45" customHeight="1" outlineLevel="1" x14ac:dyDescent="0.25">
      <c r="A1718" s="33">
        <v>14</v>
      </c>
      <c r="B1718" s="34" t="s">
        <v>45</v>
      </c>
      <c r="C1718" s="35" t="s">
        <v>30</v>
      </c>
      <c r="D1718" s="36">
        <v>3.3000000000000002E-2</v>
      </c>
      <c r="E1718" s="36">
        <v>1325.1</v>
      </c>
      <c r="F1718" s="36">
        <f t="shared" si="389"/>
        <v>43.728299999999997</v>
      </c>
      <c r="G1718" s="37">
        <f t="shared" si="390"/>
        <v>0</v>
      </c>
      <c r="H1718" s="38">
        <f t="shared" si="391"/>
        <v>0</v>
      </c>
      <c r="I1718" s="37">
        <f t="shared" si="392"/>
        <v>0</v>
      </c>
      <c r="J1718" s="38">
        <v>0</v>
      </c>
      <c r="K1718" s="37">
        <f t="shared" si="393"/>
        <v>0</v>
      </c>
      <c r="L1718" s="38">
        <v>0</v>
      </c>
    </row>
    <row r="1719" spans="1:12" s="39" customFormat="1" ht="15.45" customHeight="1" outlineLevel="1" x14ac:dyDescent="0.25">
      <c r="A1719" s="33">
        <v>15</v>
      </c>
      <c r="B1719" s="34" t="s">
        <v>46</v>
      </c>
      <c r="C1719" s="35" t="s">
        <v>30</v>
      </c>
      <c r="D1719" s="36">
        <v>1.64</v>
      </c>
      <c r="E1719" s="36">
        <v>1200.0999999999999</v>
      </c>
      <c r="F1719" s="36">
        <f t="shared" si="389"/>
        <v>1968.1639999999998</v>
      </c>
      <c r="G1719" s="37">
        <f t="shared" si="390"/>
        <v>0</v>
      </c>
      <c r="H1719" s="38">
        <f t="shared" si="391"/>
        <v>0</v>
      </c>
      <c r="I1719" s="37">
        <f t="shared" si="392"/>
        <v>0</v>
      </c>
      <c r="J1719" s="38">
        <v>0</v>
      </c>
      <c r="K1719" s="37">
        <f t="shared" si="393"/>
        <v>0</v>
      </c>
      <c r="L1719" s="38">
        <v>0</v>
      </c>
    </row>
    <row r="1720" spans="1:12" s="45" customFormat="1" ht="28.95" customHeight="1" x14ac:dyDescent="0.3">
      <c r="A1720" s="33">
        <v>16</v>
      </c>
      <c r="B1720" s="34" t="s">
        <v>1138</v>
      </c>
      <c r="C1720" s="35" t="s">
        <v>106</v>
      </c>
      <c r="D1720" s="36">
        <v>9</v>
      </c>
      <c r="E1720" s="36">
        <v>5.4732580000000004</v>
      </c>
      <c r="F1720" s="36">
        <f t="shared" si="389"/>
        <v>49.259322000000004</v>
      </c>
      <c r="G1720" s="37">
        <f t="shared" si="390"/>
        <v>0</v>
      </c>
      <c r="H1720" s="38">
        <f t="shared" si="391"/>
        <v>0</v>
      </c>
      <c r="I1720" s="37">
        <f t="shared" si="392"/>
        <v>0</v>
      </c>
      <c r="J1720" s="38">
        <v>0</v>
      </c>
      <c r="K1720" s="37">
        <f t="shared" si="393"/>
        <v>0</v>
      </c>
      <c r="L1720" s="38">
        <v>0</v>
      </c>
    </row>
    <row r="1721" spans="1:12" s="39" customFormat="1" ht="15.45" customHeight="1" outlineLevel="1" x14ac:dyDescent="0.25">
      <c r="A1721" s="33">
        <v>17</v>
      </c>
      <c r="B1721" s="34" t="s">
        <v>1139</v>
      </c>
      <c r="C1721" s="35" t="s">
        <v>106</v>
      </c>
      <c r="D1721" s="36">
        <v>14.4</v>
      </c>
      <c r="E1721" s="36">
        <v>1.514</v>
      </c>
      <c r="F1721" s="36">
        <f t="shared" si="389"/>
        <v>21.801600000000001</v>
      </c>
      <c r="G1721" s="37">
        <f t="shared" si="390"/>
        <v>0</v>
      </c>
      <c r="H1721" s="38">
        <f t="shared" si="391"/>
        <v>0</v>
      </c>
      <c r="I1721" s="37">
        <f t="shared" si="392"/>
        <v>0</v>
      </c>
      <c r="J1721" s="38">
        <v>0</v>
      </c>
      <c r="K1721" s="37">
        <f t="shared" si="393"/>
        <v>0</v>
      </c>
      <c r="L1721" s="38">
        <v>0</v>
      </c>
    </row>
    <row r="1722" spans="1:12" s="39" customFormat="1" ht="28.95" customHeight="1" outlineLevel="1" x14ac:dyDescent="0.25">
      <c r="A1722" s="33">
        <v>18</v>
      </c>
      <c r="B1722" s="34" t="s">
        <v>306</v>
      </c>
      <c r="C1722" s="35" t="s">
        <v>106</v>
      </c>
      <c r="D1722" s="36">
        <v>52.9</v>
      </c>
      <c r="E1722" s="36">
        <v>10.504</v>
      </c>
      <c r="F1722" s="36">
        <f t="shared" si="389"/>
        <v>555.66159999999991</v>
      </c>
      <c r="G1722" s="37">
        <f t="shared" si="390"/>
        <v>0</v>
      </c>
      <c r="H1722" s="38">
        <f t="shared" si="391"/>
        <v>0</v>
      </c>
      <c r="I1722" s="37">
        <f t="shared" si="392"/>
        <v>0</v>
      </c>
      <c r="J1722" s="38">
        <v>0</v>
      </c>
      <c r="K1722" s="37">
        <f t="shared" si="393"/>
        <v>0</v>
      </c>
      <c r="L1722" s="38">
        <v>0</v>
      </c>
    </row>
    <row r="1723" spans="1:12" s="39" customFormat="1" ht="28.95" customHeight="1" outlineLevel="1" x14ac:dyDescent="0.25">
      <c r="A1723" s="33">
        <v>19</v>
      </c>
      <c r="B1723" s="34" t="s">
        <v>1140</v>
      </c>
      <c r="C1723" s="35" t="s">
        <v>66</v>
      </c>
      <c r="D1723" s="36">
        <v>1.06</v>
      </c>
      <c r="E1723" s="36">
        <v>134.13820000000001</v>
      </c>
      <c r="F1723" s="36">
        <f t="shared" si="389"/>
        <v>142.18649200000002</v>
      </c>
      <c r="G1723" s="37">
        <f t="shared" si="390"/>
        <v>0</v>
      </c>
      <c r="H1723" s="38">
        <f t="shared" si="391"/>
        <v>0</v>
      </c>
      <c r="I1723" s="37">
        <f t="shared" si="392"/>
        <v>0</v>
      </c>
      <c r="J1723" s="38">
        <v>0</v>
      </c>
      <c r="K1723" s="37">
        <f t="shared" si="393"/>
        <v>0</v>
      </c>
      <c r="L1723" s="38">
        <v>0</v>
      </c>
    </row>
    <row r="1724" spans="1:12" s="39" customFormat="1" ht="15.45" customHeight="1" outlineLevel="1" x14ac:dyDescent="0.25">
      <c r="A1724" s="33">
        <v>20</v>
      </c>
      <c r="B1724" s="34" t="s">
        <v>156</v>
      </c>
      <c r="C1724" s="35" t="s">
        <v>66</v>
      </c>
      <c r="D1724" s="36">
        <v>1.06</v>
      </c>
      <c r="E1724" s="36">
        <v>66.499999999999986</v>
      </c>
      <c r="F1724" s="36">
        <f t="shared" si="389"/>
        <v>70.489999999999995</v>
      </c>
      <c r="G1724" s="37">
        <f t="shared" si="390"/>
        <v>0</v>
      </c>
      <c r="H1724" s="38">
        <f t="shared" si="391"/>
        <v>0</v>
      </c>
      <c r="I1724" s="37">
        <f t="shared" si="392"/>
        <v>0</v>
      </c>
      <c r="J1724" s="38">
        <v>0</v>
      </c>
      <c r="K1724" s="37">
        <f t="shared" si="393"/>
        <v>0</v>
      </c>
      <c r="L1724" s="38">
        <v>0</v>
      </c>
    </row>
    <row r="1725" spans="1:12" s="39" customFormat="1" ht="28.95" customHeight="1" outlineLevel="1" x14ac:dyDescent="0.25">
      <c r="A1725" s="33">
        <v>21</v>
      </c>
      <c r="B1725" s="34" t="s">
        <v>949</v>
      </c>
      <c r="C1725" s="35" t="s">
        <v>106</v>
      </c>
      <c r="D1725" s="36">
        <v>52.9</v>
      </c>
      <c r="E1725" s="36">
        <v>11.8912</v>
      </c>
      <c r="F1725" s="36">
        <f t="shared" si="389"/>
        <v>629.04447999999991</v>
      </c>
      <c r="G1725" s="37">
        <f t="shared" si="390"/>
        <v>0</v>
      </c>
      <c r="H1725" s="38">
        <f t="shared" si="391"/>
        <v>0</v>
      </c>
      <c r="I1725" s="37">
        <f t="shared" si="392"/>
        <v>0</v>
      </c>
      <c r="J1725" s="38">
        <v>0</v>
      </c>
      <c r="K1725" s="37">
        <f t="shared" si="393"/>
        <v>0</v>
      </c>
      <c r="L1725" s="38">
        <v>0</v>
      </c>
    </row>
    <row r="1726" spans="1:12" s="39" customFormat="1" ht="28.95" customHeight="1" outlineLevel="1" x14ac:dyDescent="0.25">
      <c r="A1726" s="33">
        <v>22</v>
      </c>
      <c r="B1726" s="34" t="s">
        <v>843</v>
      </c>
      <c r="C1726" s="35" t="s">
        <v>66</v>
      </c>
      <c r="D1726" s="36">
        <v>1.58</v>
      </c>
      <c r="E1726" s="36">
        <v>280</v>
      </c>
      <c r="F1726" s="36">
        <f t="shared" si="389"/>
        <v>442.40000000000003</v>
      </c>
      <c r="G1726" s="37">
        <f t="shared" si="390"/>
        <v>0</v>
      </c>
      <c r="H1726" s="38">
        <f t="shared" si="391"/>
        <v>0</v>
      </c>
      <c r="I1726" s="37">
        <f t="shared" si="392"/>
        <v>0</v>
      </c>
      <c r="J1726" s="38">
        <v>0</v>
      </c>
      <c r="K1726" s="37">
        <f t="shared" si="393"/>
        <v>0</v>
      </c>
      <c r="L1726" s="38">
        <v>0</v>
      </c>
    </row>
    <row r="1727" spans="1:12" s="39" customFormat="1" ht="15.45" customHeight="1" outlineLevel="1" x14ac:dyDescent="0.25">
      <c r="A1727" s="33">
        <v>23</v>
      </c>
      <c r="B1727" s="34" t="s">
        <v>45</v>
      </c>
      <c r="C1727" s="35" t="s">
        <v>30</v>
      </c>
      <c r="D1727" s="36">
        <v>1.0999999999999999E-2</v>
      </c>
      <c r="E1727" s="36">
        <v>1325.1</v>
      </c>
      <c r="F1727" s="36">
        <f t="shared" si="389"/>
        <v>14.576099999999999</v>
      </c>
      <c r="G1727" s="37">
        <f t="shared" si="390"/>
        <v>0</v>
      </c>
      <c r="H1727" s="38">
        <f t="shared" si="391"/>
        <v>0</v>
      </c>
      <c r="I1727" s="37">
        <f t="shared" si="392"/>
        <v>0</v>
      </c>
      <c r="J1727" s="38">
        <v>0</v>
      </c>
      <c r="K1727" s="37">
        <f t="shared" si="393"/>
        <v>0</v>
      </c>
      <c r="L1727" s="38">
        <v>0</v>
      </c>
    </row>
    <row r="1728" spans="1:12" s="39" customFormat="1" ht="15.45" customHeight="1" outlineLevel="1" x14ac:dyDescent="0.25">
      <c r="A1728" s="33">
        <v>24</v>
      </c>
      <c r="B1728" s="34" t="s">
        <v>46</v>
      </c>
      <c r="C1728" s="35" t="s">
        <v>30</v>
      </c>
      <c r="D1728" s="36">
        <v>0.19700000000000001</v>
      </c>
      <c r="E1728" s="36">
        <v>1200.0999999999999</v>
      </c>
      <c r="F1728" s="36">
        <f t="shared" si="389"/>
        <v>236.41970000000001</v>
      </c>
      <c r="G1728" s="37">
        <f t="shared" si="390"/>
        <v>0</v>
      </c>
      <c r="H1728" s="38">
        <f t="shared" si="391"/>
        <v>0</v>
      </c>
      <c r="I1728" s="37">
        <f t="shared" si="392"/>
        <v>0</v>
      </c>
      <c r="J1728" s="38">
        <v>0</v>
      </c>
      <c r="K1728" s="37">
        <f t="shared" si="393"/>
        <v>0</v>
      </c>
      <c r="L1728" s="38">
        <v>0</v>
      </c>
    </row>
    <row r="1729" spans="1:12" s="39" customFormat="1" ht="15.45" customHeight="1" outlineLevel="1" x14ac:dyDescent="0.25">
      <c r="A1729" s="33">
        <v>27</v>
      </c>
      <c r="B1729" s="34" t="s">
        <v>1141</v>
      </c>
      <c r="C1729" s="35" t="s">
        <v>55</v>
      </c>
      <c r="D1729" s="36">
        <v>1</v>
      </c>
      <c r="E1729" s="36">
        <v>136.59639999999999</v>
      </c>
      <c r="F1729" s="36">
        <f t="shared" si="389"/>
        <v>136.59639999999999</v>
      </c>
      <c r="G1729" s="37">
        <f t="shared" si="390"/>
        <v>0</v>
      </c>
      <c r="H1729" s="38">
        <f t="shared" si="391"/>
        <v>0</v>
      </c>
      <c r="I1729" s="37">
        <f t="shared" si="392"/>
        <v>0</v>
      </c>
      <c r="J1729" s="38">
        <v>0</v>
      </c>
      <c r="K1729" s="37">
        <f t="shared" si="393"/>
        <v>0</v>
      </c>
      <c r="L1729" s="38">
        <v>0</v>
      </c>
    </row>
    <row r="1730" spans="1:12" s="39" customFormat="1" ht="28.95" customHeight="1" outlineLevel="1" x14ac:dyDescent="0.25">
      <c r="A1730" s="33">
        <v>28</v>
      </c>
      <c r="B1730" s="34" t="s">
        <v>168</v>
      </c>
      <c r="C1730" s="35" t="s">
        <v>30</v>
      </c>
      <c r="D1730" s="36">
        <v>4.1000000000000002E-2</v>
      </c>
      <c r="E1730" s="36">
        <v>3264.1</v>
      </c>
      <c r="F1730" s="36">
        <f t="shared" si="389"/>
        <v>133.82810000000001</v>
      </c>
      <c r="G1730" s="37">
        <f t="shared" si="390"/>
        <v>0</v>
      </c>
      <c r="H1730" s="38">
        <f t="shared" si="391"/>
        <v>0</v>
      </c>
      <c r="I1730" s="37">
        <f t="shared" si="392"/>
        <v>0</v>
      </c>
      <c r="J1730" s="38">
        <v>0</v>
      </c>
      <c r="K1730" s="37">
        <f t="shared" si="393"/>
        <v>0</v>
      </c>
      <c r="L1730" s="38">
        <v>0</v>
      </c>
    </row>
    <row r="1731" spans="1:12" s="39" customFormat="1" ht="28.95" customHeight="1" outlineLevel="1" x14ac:dyDescent="0.25">
      <c r="A1731" s="33">
        <v>30</v>
      </c>
      <c r="B1731" s="34" t="s">
        <v>1035</v>
      </c>
      <c r="C1731" s="35" t="s">
        <v>50</v>
      </c>
      <c r="D1731" s="36">
        <v>1.8</v>
      </c>
      <c r="E1731" s="36">
        <v>12.0646</v>
      </c>
      <c r="F1731" s="36">
        <f t="shared" si="389"/>
        <v>21.716280000000001</v>
      </c>
      <c r="G1731" s="37">
        <f t="shared" si="390"/>
        <v>0</v>
      </c>
      <c r="H1731" s="38">
        <f t="shared" si="391"/>
        <v>0</v>
      </c>
      <c r="I1731" s="37">
        <f t="shared" si="392"/>
        <v>0</v>
      </c>
      <c r="J1731" s="38">
        <v>0</v>
      </c>
      <c r="K1731" s="37">
        <f t="shared" si="393"/>
        <v>0</v>
      </c>
      <c r="L1731" s="38">
        <v>0</v>
      </c>
    </row>
    <row r="1732" spans="1:12" s="39" customFormat="1" ht="15.45" customHeight="1" outlineLevel="1" x14ac:dyDescent="0.25">
      <c r="A1732" s="33">
        <v>31</v>
      </c>
      <c r="B1732" s="34" t="s">
        <v>153</v>
      </c>
      <c r="C1732" s="35" t="s">
        <v>106</v>
      </c>
      <c r="D1732" s="36">
        <v>12.8</v>
      </c>
      <c r="E1732" s="36">
        <v>3.7719999999999998</v>
      </c>
      <c r="F1732" s="36">
        <f t="shared" si="389"/>
        <v>48.281599999999997</v>
      </c>
      <c r="G1732" s="37">
        <f t="shared" si="390"/>
        <v>0</v>
      </c>
      <c r="H1732" s="38">
        <f t="shared" si="391"/>
        <v>0</v>
      </c>
      <c r="I1732" s="37">
        <f t="shared" si="392"/>
        <v>0</v>
      </c>
      <c r="J1732" s="38">
        <v>0</v>
      </c>
      <c r="K1732" s="37">
        <f t="shared" si="393"/>
        <v>0</v>
      </c>
      <c r="L1732" s="38">
        <v>0</v>
      </c>
    </row>
    <row r="1733" spans="1:12" s="39" customFormat="1" ht="15.45" customHeight="1" outlineLevel="1" x14ac:dyDescent="0.25">
      <c r="A1733" s="33">
        <v>32</v>
      </c>
      <c r="B1733" s="34" t="s">
        <v>1142</v>
      </c>
      <c r="C1733" s="35" t="s">
        <v>106</v>
      </c>
      <c r="D1733" s="36">
        <v>12.8</v>
      </c>
      <c r="E1733" s="36">
        <v>0.95300000000000007</v>
      </c>
      <c r="F1733" s="36">
        <f t="shared" si="389"/>
        <v>12.198400000000001</v>
      </c>
      <c r="G1733" s="37">
        <f t="shared" si="390"/>
        <v>0</v>
      </c>
      <c r="H1733" s="38">
        <f t="shared" si="391"/>
        <v>0</v>
      </c>
      <c r="I1733" s="37">
        <f t="shared" si="392"/>
        <v>0</v>
      </c>
      <c r="J1733" s="38">
        <v>0</v>
      </c>
      <c r="K1733" s="37">
        <f t="shared" si="393"/>
        <v>0</v>
      </c>
      <c r="L1733" s="38">
        <v>0</v>
      </c>
    </row>
    <row r="1734" spans="1:12" s="39" customFormat="1" ht="15.45" customHeight="1" outlineLevel="1" x14ac:dyDescent="0.25">
      <c r="A1734" s="33">
        <v>34</v>
      </c>
      <c r="B1734" s="34" t="s">
        <v>153</v>
      </c>
      <c r="C1734" s="35" t="s">
        <v>106</v>
      </c>
      <c r="D1734" s="36">
        <v>12.8</v>
      </c>
      <c r="E1734" s="36">
        <v>3.7719999999999998</v>
      </c>
      <c r="F1734" s="36">
        <f t="shared" si="389"/>
        <v>48.281599999999997</v>
      </c>
      <c r="G1734" s="37">
        <f t="shared" si="390"/>
        <v>0</v>
      </c>
      <c r="H1734" s="38">
        <f t="shared" si="391"/>
        <v>0</v>
      </c>
      <c r="I1734" s="37">
        <f t="shared" si="392"/>
        <v>0</v>
      </c>
      <c r="J1734" s="38">
        <v>0</v>
      </c>
      <c r="K1734" s="37">
        <f t="shared" si="393"/>
        <v>0</v>
      </c>
      <c r="L1734" s="38">
        <v>0</v>
      </c>
    </row>
    <row r="1735" spans="1:12" s="39" customFormat="1" ht="15.45" customHeight="1" outlineLevel="1" x14ac:dyDescent="0.25">
      <c r="A1735" s="33">
        <v>35</v>
      </c>
      <c r="B1735" s="34" t="s">
        <v>1143</v>
      </c>
      <c r="C1735" s="35" t="s">
        <v>106</v>
      </c>
      <c r="D1735" s="36">
        <v>12.8</v>
      </c>
      <c r="E1735" s="36">
        <v>0.95300000000000007</v>
      </c>
      <c r="F1735" s="36">
        <f t="shared" si="389"/>
        <v>12.198400000000001</v>
      </c>
      <c r="G1735" s="37">
        <f t="shared" si="390"/>
        <v>0</v>
      </c>
      <c r="H1735" s="38">
        <f t="shared" si="391"/>
        <v>0</v>
      </c>
      <c r="I1735" s="37">
        <f t="shared" si="392"/>
        <v>0</v>
      </c>
      <c r="J1735" s="38">
        <v>0</v>
      </c>
      <c r="K1735" s="37">
        <f t="shared" si="393"/>
        <v>0</v>
      </c>
      <c r="L1735" s="38">
        <v>0</v>
      </c>
    </row>
    <row r="1736" spans="1:12" s="39" customFormat="1" ht="15.45" customHeight="1" outlineLevel="1" x14ac:dyDescent="0.25">
      <c r="A1736" s="33">
        <v>36</v>
      </c>
      <c r="B1736" s="34" t="s">
        <v>1144</v>
      </c>
      <c r="C1736" s="35" t="s">
        <v>66</v>
      </c>
      <c r="D1736" s="36">
        <v>27</v>
      </c>
      <c r="E1736" s="36">
        <v>1.9461999999999999</v>
      </c>
      <c r="F1736" s="36">
        <f t="shared" si="389"/>
        <v>52.547399999999996</v>
      </c>
      <c r="G1736" s="37">
        <f t="shared" si="390"/>
        <v>0</v>
      </c>
      <c r="H1736" s="38">
        <f t="shared" si="391"/>
        <v>0</v>
      </c>
      <c r="I1736" s="37">
        <f t="shared" si="392"/>
        <v>0</v>
      </c>
      <c r="J1736" s="38">
        <v>0</v>
      </c>
      <c r="K1736" s="37">
        <f t="shared" si="393"/>
        <v>0</v>
      </c>
      <c r="L1736" s="38">
        <v>0</v>
      </c>
    </row>
    <row r="1737" spans="1:12" s="39" customFormat="1" ht="15.45" customHeight="1" outlineLevel="1" x14ac:dyDescent="0.25">
      <c r="A1737" s="31" t="s">
        <v>1153</v>
      </c>
      <c r="B1737" s="40" t="s">
        <v>1154</v>
      </c>
      <c r="C1737" s="41">
        <v>0</v>
      </c>
      <c r="D1737" s="42"/>
      <c r="E1737" s="42"/>
      <c r="F1737" s="42"/>
      <c r="G1737" s="43"/>
      <c r="H1737" s="44"/>
      <c r="I1737" s="43"/>
      <c r="J1737" s="44"/>
      <c r="K1737" s="43"/>
      <c r="L1737" s="44">
        <v>0</v>
      </c>
    </row>
    <row r="1738" spans="1:12" s="46" customFormat="1" ht="43.5" customHeight="1" outlineLevel="1" x14ac:dyDescent="0.35">
      <c r="A1738" s="33">
        <v>1</v>
      </c>
      <c r="B1738" s="34" t="s">
        <v>1155</v>
      </c>
      <c r="C1738" s="35" t="s">
        <v>50</v>
      </c>
      <c r="D1738" s="36">
        <v>5</v>
      </c>
      <c r="E1738" s="36">
        <v>9.3513999999999999</v>
      </c>
      <c r="F1738" s="36">
        <f t="shared" ref="F1738:F1758" si="394">+E1738*D1738</f>
        <v>46.756999999999998</v>
      </c>
      <c r="G1738" s="37">
        <f t="shared" ref="G1738:G1758" si="395">I1738+K1738</f>
        <v>0</v>
      </c>
      <c r="H1738" s="38">
        <f t="shared" ref="H1738:H1758" si="396">J1738+L1738</f>
        <v>0</v>
      </c>
      <c r="I1738" s="37">
        <f t="shared" ref="I1738:I1758" si="397">J1738/F1738</f>
        <v>0</v>
      </c>
      <c r="J1738" s="38">
        <v>0</v>
      </c>
      <c r="K1738" s="37">
        <f t="shared" ref="K1738:K1758" si="398">L1738/F1738</f>
        <v>0</v>
      </c>
      <c r="L1738" s="38">
        <v>0</v>
      </c>
    </row>
    <row r="1739" spans="1:12" s="39" customFormat="1" ht="28.95" customHeight="1" outlineLevel="1" x14ac:dyDescent="0.25">
      <c r="A1739" s="33">
        <v>2</v>
      </c>
      <c r="B1739" s="34" t="s">
        <v>330</v>
      </c>
      <c r="C1739" s="35" t="s">
        <v>50</v>
      </c>
      <c r="D1739" s="36">
        <v>5</v>
      </c>
      <c r="E1739" s="36">
        <v>8.686399999999999</v>
      </c>
      <c r="F1739" s="36">
        <f t="shared" si="394"/>
        <v>43.431999999999995</v>
      </c>
      <c r="G1739" s="37">
        <f t="shared" si="395"/>
        <v>0</v>
      </c>
      <c r="H1739" s="38">
        <f t="shared" si="396"/>
        <v>0</v>
      </c>
      <c r="I1739" s="37">
        <f t="shared" si="397"/>
        <v>0</v>
      </c>
      <c r="J1739" s="38">
        <v>0</v>
      </c>
      <c r="K1739" s="37">
        <f t="shared" si="398"/>
        <v>0</v>
      </c>
      <c r="L1739" s="38">
        <v>0</v>
      </c>
    </row>
    <row r="1740" spans="1:12" s="39" customFormat="1" ht="28.95" customHeight="1" outlineLevel="1" x14ac:dyDescent="0.25">
      <c r="A1740" s="33">
        <v>3</v>
      </c>
      <c r="B1740" s="34" t="s">
        <v>331</v>
      </c>
      <c r="C1740" s="35" t="s">
        <v>50</v>
      </c>
      <c r="D1740" s="36">
        <v>5</v>
      </c>
      <c r="E1740" s="36">
        <v>1.1876</v>
      </c>
      <c r="F1740" s="36">
        <f t="shared" si="394"/>
        <v>5.9379999999999997</v>
      </c>
      <c r="G1740" s="37">
        <f t="shared" si="395"/>
        <v>0</v>
      </c>
      <c r="H1740" s="38">
        <f t="shared" si="396"/>
        <v>0</v>
      </c>
      <c r="I1740" s="37">
        <f t="shared" si="397"/>
        <v>0</v>
      </c>
      <c r="J1740" s="38">
        <v>0</v>
      </c>
      <c r="K1740" s="37">
        <f t="shared" si="398"/>
        <v>0</v>
      </c>
      <c r="L1740" s="38">
        <v>0</v>
      </c>
    </row>
    <row r="1741" spans="1:12" s="39" customFormat="1" ht="15.45" customHeight="1" outlineLevel="1" x14ac:dyDescent="0.25">
      <c r="A1741" s="33">
        <v>4</v>
      </c>
      <c r="B1741" s="34" t="s">
        <v>1156</v>
      </c>
      <c r="C1741" s="35" t="s">
        <v>55</v>
      </c>
      <c r="D1741" s="36">
        <v>2</v>
      </c>
      <c r="E1741" s="36">
        <v>4.0658000000000003</v>
      </c>
      <c r="F1741" s="36">
        <f t="shared" si="394"/>
        <v>8.1316000000000006</v>
      </c>
      <c r="G1741" s="37">
        <f t="shared" si="395"/>
        <v>0</v>
      </c>
      <c r="H1741" s="38">
        <f t="shared" si="396"/>
        <v>0</v>
      </c>
      <c r="I1741" s="37">
        <f t="shared" si="397"/>
        <v>0</v>
      </c>
      <c r="J1741" s="38">
        <v>0</v>
      </c>
      <c r="K1741" s="37">
        <f t="shared" si="398"/>
        <v>0</v>
      </c>
      <c r="L1741" s="38">
        <v>0</v>
      </c>
    </row>
    <row r="1742" spans="1:12" s="45" customFormat="1" ht="15.45" customHeight="1" x14ac:dyDescent="0.3">
      <c r="A1742" s="33">
        <v>5</v>
      </c>
      <c r="B1742" s="34" t="s">
        <v>1157</v>
      </c>
      <c r="C1742" s="35" t="s">
        <v>55</v>
      </c>
      <c r="D1742" s="36">
        <v>1</v>
      </c>
      <c r="E1742" s="36">
        <v>85.0946</v>
      </c>
      <c r="F1742" s="36">
        <f t="shared" si="394"/>
        <v>85.0946</v>
      </c>
      <c r="G1742" s="37">
        <f t="shared" si="395"/>
        <v>0</v>
      </c>
      <c r="H1742" s="38">
        <f t="shared" si="396"/>
        <v>0</v>
      </c>
      <c r="I1742" s="37">
        <f t="shared" si="397"/>
        <v>0</v>
      </c>
      <c r="J1742" s="38">
        <v>0</v>
      </c>
      <c r="K1742" s="37">
        <f t="shared" si="398"/>
        <v>0</v>
      </c>
      <c r="L1742" s="38">
        <v>0</v>
      </c>
    </row>
    <row r="1743" spans="1:12" s="39" customFormat="1" ht="43.5" customHeight="1" outlineLevel="1" x14ac:dyDescent="0.25">
      <c r="A1743" s="33">
        <v>6</v>
      </c>
      <c r="B1743" s="34" t="s">
        <v>1158</v>
      </c>
      <c r="C1743" s="35" t="s">
        <v>50</v>
      </c>
      <c r="D1743" s="36">
        <v>6</v>
      </c>
      <c r="E1743" s="36">
        <v>10.4734</v>
      </c>
      <c r="F1743" s="36">
        <f t="shared" si="394"/>
        <v>62.840400000000002</v>
      </c>
      <c r="G1743" s="37">
        <f t="shared" si="395"/>
        <v>0</v>
      </c>
      <c r="H1743" s="38">
        <f t="shared" si="396"/>
        <v>0</v>
      </c>
      <c r="I1743" s="37">
        <f t="shared" si="397"/>
        <v>0</v>
      </c>
      <c r="J1743" s="38">
        <v>0</v>
      </c>
      <c r="K1743" s="37">
        <f t="shared" si="398"/>
        <v>0</v>
      </c>
      <c r="L1743" s="38">
        <v>0</v>
      </c>
    </row>
    <row r="1744" spans="1:12" s="39" customFormat="1" ht="43.5" customHeight="1" outlineLevel="1" x14ac:dyDescent="0.25">
      <c r="A1744" s="33">
        <v>7</v>
      </c>
      <c r="B1744" s="34" t="s">
        <v>1159</v>
      </c>
      <c r="C1744" s="35" t="s">
        <v>50</v>
      </c>
      <c r="D1744" s="36">
        <v>6</v>
      </c>
      <c r="E1744" s="36">
        <v>17.846</v>
      </c>
      <c r="F1744" s="36">
        <f t="shared" si="394"/>
        <v>107.07599999999999</v>
      </c>
      <c r="G1744" s="37">
        <f t="shared" si="395"/>
        <v>0</v>
      </c>
      <c r="H1744" s="38">
        <f t="shared" si="396"/>
        <v>0</v>
      </c>
      <c r="I1744" s="37">
        <f t="shared" si="397"/>
        <v>0</v>
      </c>
      <c r="J1744" s="38">
        <v>0</v>
      </c>
      <c r="K1744" s="37">
        <f t="shared" si="398"/>
        <v>0</v>
      </c>
      <c r="L1744" s="38">
        <v>0</v>
      </c>
    </row>
    <row r="1745" spans="1:12" s="39" customFormat="1" ht="28.95" customHeight="1" outlineLevel="1" x14ac:dyDescent="0.25">
      <c r="A1745" s="33">
        <v>8</v>
      </c>
      <c r="B1745" s="34" t="s">
        <v>331</v>
      </c>
      <c r="C1745" s="35" t="s">
        <v>50</v>
      </c>
      <c r="D1745" s="36">
        <v>6</v>
      </c>
      <c r="E1745" s="36">
        <v>1.1876</v>
      </c>
      <c r="F1745" s="36">
        <f t="shared" si="394"/>
        <v>7.1256000000000004</v>
      </c>
      <c r="G1745" s="37">
        <f t="shared" si="395"/>
        <v>0</v>
      </c>
      <c r="H1745" s="38">
        <f t="shared" si="396"/>
        <v>0</v>
      </c>
      <c r="I1745" s="37">
        <f t="shared" si="397"/>
        <v>0</v>
      </c>
      <c r="J1745" s="38">
        <v>0</v>
      </c>
      <c r="K1745" s="37">
        <f t="shared" si="398"/>
        <v>0</v>
      </c>
      <c r="L1745" s="38">
        <v>0</v>
      </c>
    </row>
    <row r="1746" spans="1:12" s="39" customFormat="1" ht="15.45" customHeight="1" outlineLevel="1" x14ac:dyDescent="0.25">
      <c r="A1746" s="33">
        <v>9</v>
      </c>
      <c r="B1746" s="34" t="s">
        <v>1160</v>
      </c>
      <c r="C1746" s="35" t="s">
        <v>55</v>
      </c>
      <c r="D1746" s="36">
        <v>1</v>
      </c>
      <c r="E1746" s="36">
        <v>20.510200000000001</v>
      </c>
      <c r="F1746" s="36">
        <f t="shared" si="394"/>
        <v>20.510200000000001</v>
      </c>
      <c r="G1746" s="37">
        <f t="shared" si="395"/>
        <v>0</v>
      </c>
      <c r="H1746" s="38">
        <f t="shared" si="396"/>
        <v>0</v>
      </c>
      <c r="I1746" s="37">
        <f t="shared" si="397"/>
        <v>0</v>
      </c>
      <c r="J1746" s="38">
        <v>0</v>
      </c>
      <c r="K1746" s="37">
        <f t="shared" si="398"/>
        <v>0</v>
      </c>
      <c r="L1746" s="38">
        <v>0</v>
      </c>
    </row>
    <row r="1747" spans="1:12" s="39" customFormat="1" ht="15.45" customHeight="1" outlineLevel="1" x14ac:dyDescent="0.25">
      <c r="A1747" s="33">
        <v>10</v>
      </c>
      <c r="B1747" s="34" t="s">
        <v>1161</v>
      </c>
      <c r="C1747" s="35" t="s">
        <v>55</v>
      </c>
      <c r="D1747" s="36">
        <v>1</v>
      </c>
      <c r="E1747" s="36">
        <v>12.1646</v>
      </c>
      <c r="F1747" s="36">
        <f t="shared" si="394"/>
        <v>12.1646</v>
      </c>
      <c r="G1747" s="37">
        <f t="shared" si="395"/>
        <v>0</v>
      </c>
      <c r="H1747" s="38">
        <f t="shared" si="396"/>
        <v>0</v>
      </c>
      <c r="I1747" s="37">
        <f t="shared" si="397"/>
        <v>0</v>
      </c>
      <c r="J1747" s="38">
        <v>0</v>
      </c>
      <c r="K1747" s="37">
        <f t="shared" si="398"/>
        <v>0</v>
      </c>
      <c r="L1747" s="38">
        <v>0</v>
      </c>
    </row>
    <row r="1748" spans="1:12" s="45" customFormat="1" ht="43.5" customHeight="1" x14ac:dyDescent="0.3">
      <c r="A1748" s="33">
        <v>11</v>
      </c>
      <c r="B1748" s="34" t="s">
        <v>1162</v>
      </c>
      <c r="C1748" s="35" t="s">
        <v>50</v>
      </c>
      <c r="D1748" s="36">
        <v>5</v>
      </c>
      <c r="E1748" s="36">
        <v>33.066400000000002</v>
      </c>
      <c r="F1748" s="36">
        <f t="shared" si="394"/>
        <v>165.33199999999999</v>
      </c>
      <c r="G1748" s="37">
        <f t="shared" si="395"/>
        <v>0</v>
      </c>
      <c r="H1748" s="38">
        <f t="shared" si="396"/>
        <v>0</v>
      </c>
      <c r="I1748" s="37">
        <f t="shared" si="397"/>
        <v>0</v>
      </c>
      <c r="J1748" s="38">
        <v>0</v>
      </c>
      <c r="K1748" s="37">
        <f t="shared" si="398"/>
        <v>0</v>
      </c>
      <c r="L1748" s="38">
        <v>0</v>
      </c>
    </row>
    <row r="1749" spans="1:12" s="39" customFormat="1" ht="28.95" customHeight="1" outlineLevel="1" x14ac:dyDescent="0.25">
      <c r="A1749" s="33">
        <v>12</v>
      </c>
      <c r="B1749" s="34" t="s">
        <v>1163</v>
      </c>
      <c r="C1749" s="35" t="s">
        <v>50</v>
      </c>
      <c r="D1749" s="36">
        <v>5</v>
      </c>
      <c r="E1749" s="36">
        <v>53.780600000000007</v>
      </c>
      <c r="F1749" s="36">
        <f t="shared" si="394"/>
        <v>268.90300000000002</v>
      </c>
      <c r="G1749" s="37">
        <f t="shared" si="395"/>
        <v>0</v>
      </c>
      <c r="H1749" s="38">
        <f t="shared" si="396"/>
        <v>0</v>
      </c>
      <c r="I1749" s="37">
        <f t="shared" si="397"/>
        <v>0</v>
      </c>
      <c r="J1749" s="38">
        <v>0</v>
      </c>
      <c r="K1749" s="37">
        <f t="shared" si="398"/>
        <v>0</v>
      </c>
      <c r="L1749" s="38">
        <v>0</v>
      </c>
    </row>
    <row r="1750" spans="1:12" s="46" customFormat="1" ht="28.95" customHeight="1" outlineLevel="1" x14ac:dyDescent="0.35">
      <c r="A1750" s="33">
        <v>13</v>
      </c>
      <c r="B1750" s="34" t="s">
        <v>1164</v>
      </c>
      <c r="C1750" s="35" t="s">
        <v>50</v>
      </c>
      <c r="D1750" s="36">
        <v>5</v>
      </c>
      <c r="E1750" s="36">
        <v>1.1876</v>
      </c>
      <c r="F1750" s="36">
        <f t="shared" si="394"/>
        <v>5.9379999999999997</v>
      </c>
      <c r="G1750" s="37">
        <f t="shared" si="395"/>
        <v>0</v>
      </c>
      <c r="H1750" s="38">
        <f t="shared" si="396"/>
        <v>0</v>
      </c>
      <c r="I1750" s="37">
        <f t="shared" si="397"/>
        <v>0</v>
      </c>
      <c r="J1750" s="38">
        <v>0</v>
      </c>
      <c r="K1750" s="37">
        <f t="shared" si="398"/>
        <v>0</v>
      </c>
      <c r="L1750" s="38">
        <v>0</v>
      </c>
    </row>
    <row r="1751" spans="1:12" s="39" customFormat="1" ht="43.5" customHeight="1" outlineLevel="1" x14ac:dyDescent="0.25">
      <c r="A1751" s="33">
        <v>14</v>
      </c>
      <c r="B1751" s="34" t="s">
        <v>1165</v>
      </c>
      <c r="C1751" s="35" t="s">
        <v>50</v>
      </c>
      <c r="D1751" s="36">
        <v>13</v>
      </c>
      <c r="E1751" s="36">
        <v>10.4734</v>
      </c>
      <c r="F1751" s="36">
        <f t="shared" si="394"/>
        <v>136.1542</v>
      </c>
      <c r="G1751" s="37">
        <f t="shared" si="395"/>
        <v>0</v>
      </c>
      <c r="H1751" s="38">
        <f t="shared" si="396"/>
        <v>0</v>
      </c>
      <c r="I1751" s="37">
        <f t="shared" si="397"/>
        <v>0</v>
      </c>
      <c r="J1751" s="38">
        <v>0</v>
      </c>
      <c r="K1751" s="37">
        <f t="shared" si="398"/>
        <v>0</v>
      </c>
      <c r="L1751" s="38">
        <v>0</v>
      </c>
    </row>
    <row r="1752" spans="1:12" s="39" customFormat="1" ht="43.5" customHeight="1" outlineLevel="1" x14ac:dyDescent="0.25">
      <c r="A1752" s="33">
        <v>15</v>
      </c>
      <c r="B1752" s="34" t="s">
        <v>1159</v>
      </c>
      <c r="C1752" s="35" t="s">
        <v>50</v>
      </c>
      <c r="D1752" s="36">
        <v>13</v>
      </c>
      <c r="E1752" s="36">
        <v>17.846</v>
      </c>
      <c r="F1752" s="36">
        <f t="shared" si="394"/>
        <v>231.99799999999999</v>
      </c>
      <c r="G1752" s="37">
        <f t="shared" si="395"/>
        <v>0</v>
      </c>
      <c r="H1752" s="38">
        <f t="shared" si="396"/>
        <v>0</v>
      </c>
      <c r="I1752" s="37">
        <f t="shared" si="397"/>
        <v>0</v>
      </c>
      <c r="J1752" s="38">
        <v>0</v>
      </c>
      <c r="K1752" s="37">
        <f t="shared" si="398"/>
        <v>0</v>
      </c>
      <c r="L1752" s="38">
        <v>0</v>
      </c>
    </row>
    <row r="1753" spans="1:12" s="39" customFormat="1" ht="28.95" customHeight="1" outlineLevel="1" x14ac:dyDescent="0.25">
      <c r="A1753" s="33">
        <v>16</v>
      </c>
      <c r="B1753" s="34" t="s">
        <v>331</v>
      </c>
      <c r="C1753" s="35" t="s">
        <v>50</v>
      </c>
      <c r="D1753" s="36">
        <v>13</v>
      </c>
      <c r="E1753" s="36">
        <v>1.1876</v>
      </c>
      <c r="F1753" s="36">
        <f t="shared" si="394"/>
        <v>15.438800000000001</v>
      </c>
      <c r="G1753" s="37">
        <f t="shared" si="395"/>
        <v>0</v>
      </c>
      <c r="H1753" s="38">
        <f t="shared" si="396"/>
        <v>0</v>
      </c>
      <c r="I1753" s="37">
        <f t="shared" si="397"/>
        <v>0</v>
      </c>
      <c r="J1753" s="38">
        <v>0</v>
      </c>
      <c r="K1753" s="37">
        <f t="shared" si="398"/>
        <v>0</v>
      </c>
      <c r="L1753" s="38">
        <v>0</v>
      </c>
    </row>
    <row r="1754" spans="1:12" s="46" customFormat="1" ht="15.45" customHeight="1" outlineLevel="1" x14ac:dyDescent="0.35">
      <c r="A1754" s="33">
        <v>17</v>
      </c>
      <c r="B1754" s="34" t="s">
        <v>1160</v>
      </c>
      <c r="C1754" s="35" t="s">
        <v>55</v>
      </c>
      <c r="D1754" s="36">
        <v>1</v>
      </c>
      <c r="E1754" s="36">
        <v>20.510200000000001</v>
      </c>
      <c r="F1754" s="36">
        <f t="shared" si="394"/>
        <v>20.510200000000001</v>
      </c>
      <c r="G1754" s="37">
        <f t="shared" si="395"/>
        <v>0</v>
      </c>
      <c r="H1754" s="38">
        <f t="shared" si="396"/>
        <v>0</v>
      </c>
      <c r="I1754" s="37">
        <f t="shared" si="397"/>
        <v>0</v>
      </c>
      <c r="J1754" s="38">
        <v>0</v>
      </c>
      <c r="K1754" s="37">
        <f t="shared" si="398"/>
        <v>0</v>
      </c>
      <c r="L1754" s="38">
        <v>0</v>
      </c>
    </row>
    <row r="1755" spans="1:12" s="39" customFormat="1" ht="15.45" customHeight="1" outlineLevel="1" x14ac:dyDescent="0.25">
      <c r="A1755" s="33">
        <v>18</v>
      </c>
      <c r="B1755" s="34" t="s">
        <v>1161</v>
      </c>
      <c r="C1755" s="35" t="s">
        <v>55</v>
      </c>
      <c r="D1755" s="36">
        <v>3</v>
      </c>
      <c r="E1755" s="36">
        <v>12.1646</v>
      </c>
      <c r="F1755" s="36">
        <f t="shared" si="394"/>
        <v>36.4938</v>
      </c>
      <c r="G1755" s="37">
        <f t="shared" si="395"/>
        <v>0</v>
      </c>
      <c r="H1755" s="38">
        <f t="shared" si="396"/>
        <v>0</v>
      </c>
      <c r="I1755" s="37">
        <f t="shared" si="397"/>
        <v>0</v>
      </c>
      <c r="J1755" s="38">
        <v>0</v>
      </c>
      <c r="K1755" s="37">
        <f t="shared" si="398"/>
        <v>0</v>
      </c>
      <c r="L1755" s="38">
        <v>0</v>
      </c>
    </row>
    <row r="1756" spans="1:12" s="39" customFormat="1" ht="15.45" customHeight="1" outlineLevel="1" x14ac:dyDescent="0.25">
      <c r="A1756" s="33">
        <v>19</v>
      </c>
      <c r="B1756" s="34" t="s">
        <v>1166</v>
      </c>
      <c r="C1756" s="35" t="s">
        <v>55</v>
      </c>
      <c r="D1756" s="36">
        <v>2</v>
      </c>
      <c r="E1756" s="36">
        <v>4.2391999999999994</v>
      </c>
      <c r="F1756" s="36">
        <f t="shared" si="394"/>
        <v>8.4783999999999988</v>
      </c>
      <c r="G1756" s="37">
        <f t="shared" si="395"/>
        <v>0</v>
      </c>
      <c r="H1756" s="38">
        <f t="shared" si="396"/>
        <v>0</v>
      </c>
      <c r="I1756" s="37">
        <f t="shared" si="397"/>
        <v>0</v>
      </c>
      <c r="J1756" s="38">
        <v>0</v>
      </c>
      <c r="K1756" s="37">
        <f t="shared" si="398"/>
        <v>0</v>
      </c>
      <c r="L1756" s="38">
        <v>0</v>
      </c>
    </row>
    <row r="1757" spans="1:12" s="39" customFormat="1" ht="15.45" customHeight="1" outlineLevel="1" x14ac:dyDescent="0.25">
      <c r="A1757" s="33">
        <v>20</v>
      </c>
      <c r="B1757" s="34" t="s">
        <v>1048</v>
      </c>
      <c r="C1757" s="35" t="s">
        <v>106</v>
      </c>
      <c r="D1757" s="36">
        <v>11.47</v>
      </c>
      <c r="E1757" s="36">
        <v>1.1774</v>
      </c>
      <c r="F1757" s="36">
        <f t="shared" si="394"/>
        <v>13.504778</v>
      </c>
      <c r="G1757" s="37">
        <f t="shared" si="395"/>
        <v>0</v>
      </c>
      <c r="H1757" s="38">
        <f t="shared" si="396"/>
        <v>0</v>
      </c>
      <c r="I1757" s="37">
        <f t="shared" si="397"/>
        <v>0</v>
      </c>
      <c r="J1757" s="38">
        <v>0</v>
      </c>
      <c r="K1757" s="37">
        <f t="shared" si="398"/>
        <v>0</v>
      </c>
      <c r="L1757" s="38">
        <v>0</v>
      </c>
    </row>
    <row r="1758" spans="1:12" s="39" customFormat="1" ht="28.95" customHeight="1" outlineLevel="1" x14ac:dyDescent="0.25">
      <c r="A1758" s="33">
        <v>21</v>
      </c>
      <c r="B1758" s="34" t="s">
        <v>1047</v>
      </c>
      <c r="C1758" s="35" t="s">
        <v>106</v>
      </c>
      <c r="D1758" s="36">
        <v>11.47</v>
      </c>
      <c r="E1758" s="36">
        <v>6.0058000000000007</v>
      </c>
      <c r="F1758" s="36">
        <f t="shared" si="394"/>
        <v>68.886526000000018</v>
      </c>
      <c r="G1758" s="37">
        <f t="shared" si="395"/>
        <v>0</v>
      </c>
      <c r="H1758" s="38">
        <f t="shared" si="396"/>
        <v>0</v>
      </c>
      <c r="I1758" s="37">
        <f t="shared" si="397"/>
        <v>0</v>
      </c>
      <c r="J1758" s="38">
        <v>0</v>
      </c>
      <c r="K1758" s="37">
        <f t="shared" si="398"/>
        <v>0</v>
      </c>
      <c r="L1758" s="38">
        <v>0</v>
      </c>
    </row>
    <row r="1759" spans="1:12" s="39" customFormat="1" ht="15.45" customHeight="1" outlineLevel="1" x14ac:dyDescent="0.25">
      <c r="A1759" s="31" t="s">
        <v>61</v>
      </c>
      <c r="B1759" s="40" t="s">
        <v>62</v>
      </c>
      <c r="C1759" s="41">
        <v>0</v>
      </c>
      <c r="D1759" s="42"/>
      <c r="E1759" s="42"/>
      <c r="F1759" s="42"/>
      <c r="G1759" s="43"/>
      <c r="H1759" s="44"/>
      <c r="I1759" s="43"/>
      <c r="J1759" s="44"/>
      <c r="K1759" s="43"/>
      <c r="L1759" s="44">
        <v>0</v>
      </c>
    </row>
    <row r="1760" spans="1:12" s="39" customFormat="1" ht="43.5" customHeight="1" outlineLevel="1" x14ac:dyDescent="0.25">
      <c r="A1760" s="33">
        <v>1</v>
      </c>
      <c r="B1760" s="34" t="s">
        <v>830</v>
      </c>
      <c r="C1760" s="35" t="s">
        <v>66</v>
      </c>
      <c r="D1760" s="36">
        <v>143</v>
      </c>
      <c r="E1760" s="36">
        <v>0.88160000000000005</v>
      </c>
      <c r="F1760" s="36">
        <f t="shared" ref="F1760:F1791" si="399">+E1760*D1760</f>
        <v>126.06880000000001</v>
      </c>
      <c r="G1760" s="37">
        <f t="shared" ref="G1760:G1791" si="400">I1760+K1760</f>
        <v>0</v>
      </c>
      <c r="H1760" s="38">
        <f t="shared" ref="H1760:H1791" si="401">J1760+L1760</f>
        <v>0</v>
      </c>
      <c r="I1760" s="37">
        <f t="shared" ref="I1760:I1791" si="402">J1760/F1760</f>
        <v>0</v>
      </c>
      <c r="J1760" s="38">
        <v>0</v>
      </c>
      <c r="K1760" s="37">
        <f t="shared" ref="K1760:K1791" si="403">L1760/F1760</f>
        <v>0</v>
      </c>
      <c r="L1760" s="38">
        <v>0</v>
      </c>
    </row>
    <row r="1761" spans="1:12" s="45" customFormat="1" ht="28.95" customHeight="1" x14ac:dyDescent="0.3">
      <c r="A1761" s="33">
        <v>2</v>
      </c>
      <c r="B1761" s="34" t="s">
        <v>765</v>
      </c>
      <c r="C1761" s="35" t="s">
        <v>66</v>
      </c>
      <c r="D1761" s="36">
        <v>4</v>
      </c>
      <c r="E1761" s="36">
        <v>8.9600000000000009</v>
      </c>
      <c r="F1761" s="36">
        <f t="shared" si="399"/>
        <v>35.840000000000003</v>
      </c>
      <c r="G1761" s="37">
        <f t="shared" si="400"/>
        <v>0</v>
      </c>
      <c r="H1761" s="38">
        <f t="shared" si="401"/>
        <v>0</v>
      </c>
      <c r="I1761" s="37">
        <f t="shared" si="402"/>
        <v>0</v>
      </c>
      <c r="J1761" s="38">
        <v>0</v>
      </c>
      <c r="K1761" s="37">
        <f t="shared" si="403"/>
        <v>0</v>
      </c>
      <c r="L1761" s="38">
        <v>0</v>
      </c>
    </row>
    <row r="1762" spans="1:12" s="39" customFormat="1" ht="28.95" customHeight="1" outlineLevel="1" x14ac:dyDescent="0.25">
      <c r="A1762" s="33">
        <v>3</v>
      </c>
      <c r="B1762" s="34" t="s">
        <v>226</v>
      </c>
      <c r="C1762" s="35" t="s">
        <v>66</v>
      </c>
      <c r="D1762" s="36">
        <v>147</v>
      </c>
      <c r="E1762" s="36">
        <v>0.90200000000000002</v>
      </c>
      <c r="F1762" s="36">
        <f t="shared" si="399"/>
        <v>132.59399999999999</v>
      </c>
      <c r="G1762" s="37">
        <f t="shared" si="400"/>
        <v>0</v>
      </c>
      <c r="H1762" s="38">
        <f t="shared" si="401"/>
        <v>0</v>
      </c>
      <c r="I1762" s="37">
        <f t="shared" si="402"/>
        <v>0</v>
      </c>
      <c r="J1762" s="38">
        <v>0</v>
      </c>
      <c r="K1762" s="37">
        <f t="shared" si="403"/>
        <v>0</v>
      </c>
      <c r="L1762" s="38">
        <v>0</v>
      </c>
    </row>
    <row r="1763" spans="1:12" s="39" customFormat="1" ht="43.5" customHeight="1" outlineLevel="1" x14ac:dyDescent="0.25">
      <c r="A1763" s="33">
        <v>4</v>
      </c>
      <c r="B1763" s="34" t="s">
        <v>766</v>
      </c>
      <c r="C1763" s="35" t="s">
        <v>66</v>
      </c>
      <c r="D1763" s="36">
        <v>86</v>
      </c>
      <c r="E1763" s="36">
        <v>0.9</v>
      </c>
      <c r="F1763" s="36">
        <f t="shared" si="399"/>
        <v>77.400000000000006</v>
      </c>
      <c r="G1763" s="37">
        <f t="shared" si="400"/>
        <v>0</v>
      </c>
      <c r="H1763" s="38">
        <f t="shared" si="401"/>
        <v>0</v>
      </c>
      <c r="I1763" s="37">
        <f t="shared" si="402"/>
        <v>0</v>
      </c>
      <c r="J1763" s="38">
        <v>0</v>
      </c>
      <c r="K1763" s="37">
        <f t="shared" si="403"/>
        <v>0</v>
      </c>
      <c r="L1763" s="38">
        <v>0</v>
      </c>
    </row>
    <row r="1764" spans="1:12" s="39" customFormat="1" ht="28.95" customHeight="1" outlineLevel="1" x14ac:dyDescent="0.25">
      <c r="A1764" s="33">
        <v>5</v>
      </c>
      <c r="B1764" s="34" t="s">
        <v>316</v>
      </c>
      <c r="C1764" s="35" t="s">
        <v>66</v>
      </c>
      <c r="D1764" s="36">
        <v>21</v>
      </c>
      <c r="E1764" s="36">
        <v>8.16</v>
      </c>
      <c r="F1764" s="36">
        <f t="shared" si="399"/>
        <v>171.36</v>
      </c>
      <c r="G1764" s="37">
        <f t="shared" si="400"/>
        <v>0</v>
      </c>
      <c r="H1764" s="38">
        <f t="shared" si="401"/>
        <v>0</v>
      </c>
      <c r="I1764" s="37">
        <f t="shared" si="402"/>
        <v>0</v>
      </c>
      <c r="J1764" s="38">
        <v>0</v>
      </c>
      <c r="K1764" s="37">
        <f t="shared" si="403"/>
        <v>0</v>
      </c>
      <c r="L1764" s="38">
        <v>0</v>
      </c>
    </row>
    <row r="1765" spans="1:12" s="39" customFormat="1" ht="28.95" customHeight="1" outlineLevel="1" x14ac:dyDescent="0.25">
      <c r="A1765" s="33">
        <v>6</v>
      </c>
      <c r="B1765" s="34" t="s">
        <v>234</v>
      </c>
      <c r="C1765" s="35" t="s">
        <v>66</v>
      </c>
      <c r="D1765" s="36">
        <v>86</v>
      </c>
      <c r="E1765" s="36">
        <v>2</v>
      </c>
      <c r="F1765" s="36">
        <f t="shared" si="399"/>
        <v>172</v>
      </c>
      <c r="G1765" s="37">
        <f t="shared" si="400"/>
        <v>0</v>
      </c>
      <c r="H1765" s="38">
        <f t="shared" si="401"/>
        <v>0</v>
      </c>
      <c r="I1765" s="37">
        <f t="shared" si="402"/>
        <v>0</v>
      </c>
      <c r="J1765" s="38">
        <v>0</v>
      </c>
      <c r="K1765" s="37">
        <f t="shared" si="403"/>
        <v>0</v>
      </c>
      <c r="L1765" s="38">
        <v>0</v>
      </c>
    </row>
    <row r="1766" spans="1:12" s="39" customFormat="1" ht="43.5" customHeight="1" outlineLevel="1" x14ac:dyDescent="0.25">
      <c r="A1766" s="33">
        <v>7</v>
      </c>
      <c r="B1766" s="34" t="s">
        <v>830</v>
      </c>
      <c r="C1766" s="35" t="s">
        <v>66</v>
      </c>
      <c r="D1766" s="36">
        <v>26</v>
      </c>
      <c r="E1766" s="36">
        <v>0.85814000000000001</v>
      </c>
      <c r="F1766" s="36">
        <f t="shared" si="399"/>
        <v>22.311640000000001</v>
      </c>
      <c r="G1766" s="37">
        <f t="shared" si="400"/>
        <v>0</v>
      </c>
      <c r="H1766" s="38">
        <f t="shared" si="401"/>
        <v>0</v>
      </c>
      <c r="I1766" s="37">
        <f t="shared" si="402"/>
        <v>0</v>
      </c>
      <c r="J1766" s="38">
        <v>0</v>
      </c>
      <c r="K1766" s="37">
        <f t="shared" si="403"/>
        <v>0</v>
      </c>
      <c r="L1766" s="38">
        <v>0</v>
      </c>
    </row>
    <row r="1767" spans="1:12" s="39" customFormat="1" ht="15.45" customHeight="1" outlineLevel="1" x14ac:dyDescent="0.25">
      <c r="A1767" s="33">
        <v>8</v>
      </c>
      <c r="B1767" s="34" t="s">
        <v>41</v>
      </c>
      <c r="C1767" s="35" t="s">
        <v>66</v>
      </c>
      <c r="D1767" s="36">
        <v>3.2</v>
      </c>
      <c r="E1767" s="36">
        <v>34.412799999999997</v>
      </c>
      <c r="F1767" s="36">
        <f t="shared" si="399"/>
        <v>110.12096</v>
      </c>
      <c r="G1767" s="37">
        <f t="shared" si="400"/>
        <v>0</v>
      </c>
      <c r="H1767" s="38">
        <f t="shared" si="401"/>
        <v>0</v>
      </c>
      <c r="I1767" s="37">
        <f t="shared" si="402"/>
        <v>0</v>
      </c>
      <c r="J1767" s="38">
        <v>0</v>
      </c>
      <c r="K1767" s="37">
        <f t="shared" si="403"/>
        <v>0</v>
      </c>
      <c r="L1767" s="38">
        <v>0</v>
      </c>
    </row>
    <row r="1768" spans="1:12" s="45" customFormat="1" ht="15.45" customHeight="1" x14ac:dyDescent="0.3">
      <c r="A1768" s="33">
        <v>9</v>
      </c>
      <c r="B1768" s="34" t="s">
        <v>833</v>
      </c>
      <c r="C1768" s="35" t="s">
        <v>66</v>
      </c>
      <c r="D1768" s="36">
        <v>1.44</v>
      </c>
      <c r="E1768" s="36">
        <v>10.788500000000001</v>
      </c>
      <c r="F1768" s="36">
        <f t="shared" si="399"/>
        <v>15.535440000000001</v>
      </c>
      <c r="G1768" s="37">
        <f t="shared" si="400"/>
        <v>0</v>
      </c>
      <c r="H1768" s="38">
        <f t="shared" si="401"/>
        <v>0</v>
      </c>
      <c r="I1768" s="37">
        <f t="shared" si="402"/>
        <v>0</v>
      </c>
      <c r="J1768" s="38">
        <v>0</v>
      </c>
      <c r="K1768" s="37">
        <f t="shared" si="403"/>
        <v>0</v>
      </c>
      <c r="L1768" s="38">
        <v>0</v>
      </c>
    </row>
    <row r="1769" spans="1:12" s="39" customFormat="1" ht="15.45" customHeight="1" outlineLevel="1" x14ac:dyDescent="0.25">
      <c r="A1769" s="33">
        <v>10</v>
      </c>
      <c r="B1769" s="34" t="s">
        <v>1136</v>
      </c>
      <c r="C1769" s="35" t="s">
        <v>106</v>
      </c>
      <c r="D1769" s="36">
        <v>14.4</v>
      </c>
      <c r="E1769" s="36">
        <v>9.8818000000000001</v>
      </c>
      <c r="F1769" s="36">
        <f t="shared" si="399"/>
        <v>142.29792</v>
      </c>
      <c r="G1769" s="37">
        <f t="shared" si="400"/>
        <v>0</v>
      </c>
      <c r="H1769" s="38">
        <f t="shared" si="401"/>
        <v>0</v>
      </c>
      <c r="I1769" s="37">
        <f t="shared" si="402"/>
        <v>0</v>
      </c>
      <c r="J1769" s="38">
        <v>0</v>
      </c>
      <c r="K1769" s="37">
        <f t="shared" si="403"/>
        <v>0</v>
      </c>
      <c r="L1769" s="38">
        <v>0</v>
      </c>
    </row>
    <row r="1770" spans="1:12" s="39" customFormat="1" ht="15.45" customHeight="1" outlineLevel="1" x14ac:dyDescent="0.25">
      <c r="A1770" s="33">
        <v>11</v>
      </c>
      <c r="B1770" s="34" t="s">
        <v>47</v>
      </c>
      <c r="C1770" s="35" t="s">
        <v>106</v>
      </c>
      <c r="D1770" s="36">
        <v>14.4</v>
      </c>
      <c r="E1770" s="36">
        <v>5.4732580000000004</v>
      </c>
      <c r="F1770" s="36">
        <f t="shared" si="399"/>
        <v>78.814915200000002</v>
      </c>
      <c r="G1770" s="37">
        <f t="shared" si="400"/>
        <v>0</v>
      </c>
      <c r="H1770" s="38">
        <f t="shared" si="401"/>
        <v>0</v>
      </c>
      <c r="I1770" s="37">
        <f t="shared" si="402"/>
        <v>0</v>
      </c>
      <c r="J1770" s="38">
        <v>0</v>
      </c>
      <c r="K1770" s="37">
        <f t="shared" si="403"/>
        <v>0</v>
      </c>
      <c r="L1770" s="38">
        <v>0</v>
      </c>
    </row>
    <row r="1771" spans="1:12" s="39" customFormat="1" ht="15.45" customHeight="1" outlineLevel="1" x14ac:dyDescent="0.25">
      <c r="A1771" s="33">
        <v>12</v>
      </c>
      <c r="B1771" s="34" t="s">
        <v>960</v>
      </c>
      <c r="C1771" s="35" t="s">
        <v>106</v>
      </c>
      <c r="D1771" s="36">
        <v>14.4</v>
      </c>
      <c r="E1771" s="36">
        <v>1.5362</v>
      </c>
      <c r="F1771" s="36">
        <f t="shared" si="399"/>
        <v>22.121280000000002</v>
      </c>
      <c r="G1771" s="37">
        <f t="shared" si="400"/>
        <v>0</v>
      </c>
      <c r="H1771" s="38">
        <f t="shared" si="401"/>
        <v>0</v>
      </c>
      <c r="I1771" s="37">
        <f t="shared" si="402"/>
        <v>0</v>
      </c>
      <c r="J1771" s="38">
        <v>0</v>
      </c>
      <c r="K1771" s="37">
        <f t="shared" si="403"/>
        <v>0</v>
      </c>
      <c r="L1771" s="38">
        <v>0</v>
      </c>
    </row>
    <row r="1772" spans="1:12" s="39" customFormat="1" ht="28.95" customHeight="1" outlineLevel="1" x14ac:dyDescent="0.25">
      <c r="A1772" s="33">
        <v>13</v>
      </c>
      <c r="B1772" s="34" t="s">
        <v>1137</v>
      </c>
      <c r="C1772" s="35" t="s">
        <v>66</v>
      </c>
      <c r="D1772" s="36">
        <v>14.49</v>
      </c>
      <c r="E1772" s="36">
        <v>212.52520000000001</v>
      </c>
      <c r="F1772" s="36">
        <f t="shared" si="399"/>
        <v>3079.4901480000003</v>
      </c>
      <c r="G1772" s="37">
        <f t="shared" si="400"/>
        <v>0</v>
      </c>
      <c r="H1772" s="38">
        <f t="shared" si="401"/>
        <v>0</v>
      </c>
      <c r="I1772" s="37">
        <f t="shared" si="402"/>
        <v>0</v>
      </c>
      <c r="J1772" s="38">
        <v>0</v>
      </c>
      <c r="K1772" s="37">
        <f t="shared" si="403"/>
        <v>0</v>
      </c>
      <c r="L1772" s="38">
        <v>0</v>
      </c>
    </row>
    <row r="1773" spans="1:12" s="45" customFormat="1" ht="15.45" customHeight="1" x14ac:dyDescent="0.3">
      <c r="A1773" s="33">
        <v>14</v>
      </c>
      <c r="B1773" s="34" t="s">
        <v>45</v>
      </c>
      <c r="C1773" s="35" t="s">
        <v>30</v>
      </c>
      <c r="D1773" s="36">
        <v>3.3000000000000002E-2</v>
      </c>
      <c r="E1773" s="36">
        <v>1325.1</v>
      </c>
      <c r="F1773" s="36">
        <f t="shared" si="399"/>
        <v>43.728299999999997</v>
      </c>
      <c r="G1773" s="37">
        <f t="shared" si="400"/>
        <v>0</v>
      </c>
      <c r="H1773" s="38">
        <f t="shared" si="401"/>
        <v>0</v>
      </c>
      <c r="I1773" s="37">
        <f t="shared" si="402"/>
        <v>0</v>
      </c>
      <c r="J1773" s="38">
        <v>0</v>
      </c>
      <c r="K1773" s="37">
        <f t="shared" si="403"/>
        <v>0</v>
      </c>
      <c r="L1773" s="38">
        <v>0</v>
      </c>
    </row>
    <row r="1774" spans="1:12" s="39" customFormat="1" ht="15.45" customHeight="1" outlineLevel="1" x14ac:dyDescent="0.25">
      <c r="A1774" s="33">
        <v>15</v>
      </c>
      <c r="B1774" s="34" t="s">
        <v>46</v>
      </c>
      <c r="C1774" s="35" t="s">
        <v>30</v>
      </c>
      <c r="D1774" s="36">
        <v>1.64</v>
      </c>
      <c r="E1774" s="36">
        <v>1200.0999999999999</v>
      </c>
      <c r="F1774" s="36">
        <f t="shared" si="399"/>
        <v>1968.1639999999998</v>
      </c>
      <c r="G1774" s="37">
        <f t="shared" si="400"/>
        <v>0</v>
      </c>
      <c r="H1774" s="38">
        <f t="shared" si="401"/>
        <v>0</v>
      </c>
      <c r="I1774" s="37">
        <f t="shared" si="402"/>
        <v>0</v>
      </c>
      <c r="J1774" s="38">
        <v>0</v>
      </c>
      <c r="K1774" s="37">
        <f t="shared" si="403"/>
        <v>0</v>
      </c>
      <c r="L1774" s="38">
        <v>0</v>
      </c>
    </row>
    <row r="1775" spans="1:12" s="39" customFormat="1" ht="28.95" customHeight="1" outlineLevel="1" x14ac:dyDescent="0.25">
      <c r="A1775" s="33">
        <v>16</v>
      </c>
      <c r="B1775" s="34" t="s">
        <v>1138</v>
      </c>
      <c r="C1775" s="35" t="s">
        <v>106</v>
      </c>
      <c r="D1775" s="36">
        <v>9</v>
      </c>
      <c r="E1775" s="36">
        <v>5.4732580000000004</v>
      </c>
      <c r="F1775" s="36">
        <f t="shared" si="399"/>
        <v>49.259322000000004</v>
      </c>
      <c r="G1775" s="37">
        <f t="shared" si="400"/>
        <v>0</v>
      </c>
      <c r="H1775" s="38">
        <f t="shared" si="401"/>
        <v>0</v>
      </c>
      <c r="I1775" s="37">
        <f t="shared" si="402"/>
        <v>0</v>
      </c>
      <c r="J1775" s="38">
        <v>0</v>
      </c>
      <c r="K1775" s="37">
        <f t="shared" si="403"/>
        <v>0</v>
      </c>
      <c r="L1775" s="38">
        <v>0</v>
      </c>
    </row>
    <row r="1776" spans="1:12" s="39" customFormat="1" ht="15.45" customHeight="1" outlineLevel="1" x14ac:dyDescent="0.25">
      <c r="A1776" s="33">
        <v>17</v>
      </c>
      <c r="B1776" s="34" t="s">
        <v>1139</v>
      </c>
      <c r="C1776" s="35" t="s">
        <v>106</v>
      </c>
      <c r="D1776" s="36">
        <v>14.4</v>
      </c>
      <c r="E1776" s="36">
        <v>1.514</v>
      </c>
      <c r="F1776" s="36">
        <f t="shared" si="399"/>
        <v>21.801600000000001</v>
      </c>
      <c r="G1776" s="37">
        <f t="shared" si="400"/>
        <v>0</v>
      </c>
      <c r="H1776" s="38">
        <f t="shared" si="401"/>
        <v>0</v>
      </c>
      <c r="I1776" s="37">
        <f t="shared" si="402"/>
        <v>0</v>
      </c>
      <c r="J1776" s="38">
        <v>0</v>
      </c>
      <c r="K1776" s="37">
        <f t="shared" si="403"/>
        <v>0</v>
      </c>
      <c r="L1776" s="38">
        <v>0</v>
      </c>
    </row>
    <row r="1777" spans="1:12" s="39" customFormat="1" ht="28.95" customHeight="1" outlineLevel="1" x14ac:dyDescent="0.25">
      <c r="A1777" s="33">
        <v>18</v>
      </c>
      <c r="B1777" s="34" t="s">
        <v>306</v>
      </c>
      <c r="C1777" s="35" t="s">
        <v>106</v>
      </c>
      <c r="D1777" s="36">
        <v>52.9</v>
      </c>
      <c r="E1777" s="36">
        <v>10.504</v>
      </c>
      <c r="F1777" s="36">
        <f t="shared" si="399"/>
        <v>555.66159999999991</v>
      </c>
      <c r="G1777" s="37">
        <f t="shared" si="400"/>
        <v>0</v>
      </c>
      <c r="H1777" s="38">
        <f t="shared" si="401"/>
        <v>0</v>
      </c>
      <c r="I1777" s="37">
        <f t="shared" si="402"/>
        <v>0</v>
      </c>
      <c r="J1777" s="38">
        <v>0</v>
      </c>
      <c r="K1777" s="37">
        <f t="shared" si="403"/>
        <v>0</v>
      </c>
      <c r="L1777" s="38">
        <v>0</v>
      </c>
    </row>
    <row r="1778" spans="1:12" s="39" customFormat="1" ht="28.95" customHeight="1" outlineLevel="1" x14ac:dyDescent="0.25">
      <c r="A1778" s="33">
        <v>19</v>
      </c>
      <c r="B1778" s="34" t="s">
        <v>1140</v>
      </c>
      <c r="C1778" s="35" t="s">
        <v>66</v>
      </c>
      <c r="D1778" s="36">
        <v>1.06</v>
      </c>
      <c r="E1778" s="36">
        <v>134.13820000000001</v>
      </c>
      <c r="F1778" s="36">
        <f t="shared" si="399"/>
        <v>142.18649200000002</v>
      </c>
      <c r="G1778" s="37">
        <f t="shared" si="400"/>
        <v>0</v>
      </c>
      <c r="H1778" s="38">
        <f t="shared" si="401"/>
        <v>0</v>
      </c>
      <c r="I1778" s="37">
        <f t="shared" si="402"/>
        <v>0</v>
      </c>
      <c r="J1778" s="38">
        <v>0</v>
      </c>
      <c r="K1778" s="37">
        <f t="shared" si="403"/>
        <v>0</v>
      </c>
      <c r="L1778" s="38">
        <v>0</v>
      </c>
    </row>
    <row r="1779" spans="1:12" s="39" customFormat="1" ht="15.45" customHeight="1" outlineLevel="1" x14ac:dyDescent="0.25">
      <c r="A1779" s="33">
        <v>20</v>
      </c>
      <c r="B1779" s="34" t="s">
        <v>156</v>
      </c>
      <c r="C1779" s="35" t="s">
        <v>66</v>
      </c>
      <c r="D1779" s="36">
        <v>1.06</v>
      </c>
      <c r="E1779" s="36">
        <v>66.499999999999986</v>
      </c>
      <c r="F1779" s="36">
        <f t="shared" si="399"/>
        <v>70.489999999999995</v>
      </c>
      <c r="G1779" s="37">
        <f t="shared" si="400"/>
        <v>0</v>
      </c>
      <c r="H1779" s="38">
        <f t="shared" si="401"/>
        <v>0</v>
      </c>
      <c r="I1779" s="37">
        <f t="shared" si="402"/>
        <v>0</v>
      </c>
      <c r="J1779" s="38">
        <v>0</v>
      </c>
      <c r="K1779" s="37">
        <f t="shared" si="403"/>
        <v>0</v>
      </c>
      <c r="L1779" s="38">
        <v>0</v>
      </c>
    </row>
    <row r="1780" spans="1:12" s="39" customFormat="1" ht="28.95" customHeight="1" outlineLevel="1" x14ac:dyDescent="0.25">
      <c r="A1780" s="33">
        <v>21</v>
      </c>
      <c r="B1780" s="34" t="s">
        <v>949</v>
      </c>
      <c r="C1780" s="35" t="s">
        <v>106</v>
      </c>
      <c r="D1780" s="36">
        <v>52.9</v>
      </c>
      <c r="E1780" s="36">
        <v>11.8912</v>
      </c>
      <c r="F1780" s="36">
        <f t="shared" si="399"/>
        <v>629.04447999999991</v>
      </c>
      <c r="G1780" s="37">
        <f t="shared" si="400"/>
        <v>0</v>
      </c>
      <c r="H1780" s="38">
        <f t="shared" si="401"/>
        <v>0</v>
      </c>
      <c r="I1780" s="37">
        <f t="shared" si="402"/>
        <v>0</v>
      </c>
      <c r="J1780" s="38">
        <v>0</v>
      </c>
      <c r="K1780" s="37">
        <f t="shared" si="403"/>
        <v>0</v>
      </c>
      <c r="L1780" s="38">
        <v>0</v>
      </c>
    </row>
    <row r="1781" spans="1:12" s="39" customFormat="1" ht="28.95" customHeight="1" outlineLevel="1" x14ac:dyDescent="0.25">
      <c r="A1781" s="33">
        <v>22</v>
      </c>
      <c r="B1781" s="34" t="s">
        <v>843</v>
      </c>
      <c r="C1781" s="35" t="s">
        <v>66</v>
      </c>
      <c r="D1781" s="36">
        <v>1.58</v>
      </c>
      <c r="E1781" s="36">
        <v>280</v>
      </c>
      <c r="F1781" s="36">
        <f t="shared" si="399"/>
        <v>442.40000000000003</v>
      </c>
      <c r="G1781" s="37">
        <f t="shared" si="400"/>
        <v>0</v>
      </c>
      <c r="H1781" s="38">
        <f t="shared" si="401"/>
        <v>0</v>
      </c>
      <c r="I1781" s="37">
        <f t="shared" si="402"/>
        <v>0</v>
      </c>
      <c r="J1781" s="38">
        <v>0</v>
      </c>
      <c r="K1781" s="37">
        <f t="shared" si="403"/>
        <v>0</v>
      </c>
      <c r="L1781" s="38">
        <v>0</v>
      </c>
    </row>
    <row r="1782" spans="1:12" s="39" customFormat="1" ht="15.45" customHeight="1" outlineLevel="1" x14ac:dyDescent="0.25">
      <c r="A1782" s="33">
        <v>23</v>
      </c>
      <c r="B1782" s="34" t="s">
        <v>45</v>
      </c>
      <c r="C1782" s="35" t="s">
        <v>30</v>
      </c>
      <c r="D1782" s="36">
        <v>1.0999999999999999E-2</v>
      </c>
      <c r="E1782" s="36">
        <v>1325.1</v>
      </c>
      <c r="F1782" s="36">
        <f t="shared" si="399"/>
        <v>14.576099999999999</v>
      </c>
      <c r="G1782" s="37">
        <f t="shared" si="400"/>
        <v>0</v>
      </c>
      <c r="H1782" s="38">
        <f t="shared" si="401"/>
        <v>0</v>
      </c>
      <c r="I1782" s="37">
        <f t="shared" si="402"/>
        <v>0</v>
      </c>
      <c r="J1782" s="38">
        <v>0</v>
      </c>
      <c r="K1782" s="37">
        <f t="shared" si="403"/>
        <v>0</v>
      </c>
      <c r="L1782" s="38">
        <v>0</v>
      </c>
    </row>
    <row r="1783" spans="1:12" s="45" customFormat="1" ht="15.45" customHeight="1" x14ac:dyDescent="0.3">
      <c r="A1783" s="33">
        <v>24</v>
      </c>
      <c r="B1783" s="34" t="s">
        <v>46</v>
      </c>
      <c r="C1783" s="35" t="s">
        <v>30</v>
      </c>
      <c r="D1783" s="36">
        <v>0.19700000000000001</v>
      </c>
      <c r="E1783" s="36">
        <v>1200.0999999999999</v>
      </c>
      <c r="F1783" s="36">
        <f t="shared" si="399"/>
        <v>236.41970000000001</v>
      </c>
      <c r="G1783" s="37">
        <f t="shared" si="400"/>
        <v>0</v>
      </c>
      <c r="H1783" s="38">
        <f t="shared" si="401"/>
        <v>0</v>
      </c>
      <c r="I1783" s="37">
        <f t="shared" si="402"/>
        <v>0</v>
      </c>
      <c r="J1783" s="38">
        <v>0</v>
      </c>
      <c r="K1783" s="37">
        <f t="shared" si="403"/>
        <v>0</v>
      </c>
      <c r="L1783" s="38">
        <v>0</v>
      </c>
    </row>
    <row r="1784" spans="1:12" s="39" customFormat="1" ht="15.45" customHeight="1" outlineLevel="1" x14ac:dyDescent="0.25">
      <c r="A1784" s="33">
        <v>27</v>
      </c>
      <c r="B1784" s="34" t="s">
        <v>1141</v>
      </c>
      <c r="C1784" s="35" t="s">
        <v>55</v>
      </c>
      <c r="D1784" s="36">
        <v>1</v>
      </c>
      <c r="E1784" s="36">
        <v>136.59639999999999</v>
      </c>
      <c r="F1784" s="36">
        <f t="shared" si="399"/>
        <v>136.59639999999999</v>
      </c>
      <c r="G1784" s="37">
        <f t="shared" si="400"/>
        <v>0</v>
      </c>
      <c r="H1784" s="38">
        <f t="shared" si="401"/>
        <v>0</v>
      </c>
      <c r="I1784" s="37">
        <f t="shared" si="402"/>
        <v>0</v>
      </c>
      <c r="J1784" s="38">
        <v>0</v>
      </c>
      <c r="K1784" s="37">
        <f t="shared" si="403"/>
        <v>0</v>
      </c>
      <c r="L1784" s="38">
        <v>0</v>
      </c>
    </row>
    <row r="1785" spans="1:12" s="39" customFormat="1" ht="28.95" customHeight="1" outlineLevel="1" x14ac:dyDescent="0.25">
      <c r="A1785" s="33">
        <v>28</v>
      </c>
      <c r="B1785" s="34" t="s">
        <v>168</v>
      </c>
      <c r="C1785" s="35" t="s">
        <v>30</v>
      </c>
      <c r="D1785" s="36">
        <v>4.1000000000000002E-2</v>
      </c>
      <c r="E1785" s="36">
        <v>3264.1</v>
      </c>
      <c r="F1785" s="36">
        <f t="shared" si="399"/>
        <v>133.82810000000001</v>
      </c>
      <c r="G1785" s="37">
        <f t="shared" si="400"/>
        <v>0</v>
      </c>
      <c r="H1785" s="38">
        <f t="shared" si="401"/>
        <v>0</v>
      </c>
      <c r="I1785" s="37">
        <f t="shared" si="402"/>
        <v>0</v>
      </c>
      <c r="J1785" s="38">
        <v>0</v>
      </c>
      <c r="K1785" s="37">
        <f t="shared" si="403"/>
        <v>0</v>
      </c>
      <c r="L1785" s="38">
        <v>0</v>
      </c>
    </row>
    <row r="1786" spans="1:12" s="39" customFormat="1" ht="28.95" customHeight="1" outlineLevel="1" x14ac:dyDescent="0.25">
      <c r="A1786" s="33">
        <v>30</v>
      </c>
      <c r="B1786" s="34" t="s">
        <v>1035</v>
      </c>
      <c r="C1786" s="35" t="s">
        <v>50</v>
      </c>
      <c r="D1786" s="36">
        <v>1.8</v>
      </c>
      <c r="E1786" s="36">
        <v>12.0646</v>
      </c>
      <c r="F1786" s="36">
        <f t="shared" si="399"/>
        <v>21.716280000000001</v>
      </c>
      <c r="G1786" s="37">
        <f t="shared" si="400"/>
        <v>0</v>
      </c>
      <c r="H1786" s="38">
        <f t="shared" si="401"/>
        <v>0</v>
      </c>
      <c r="I1786" s="37">
        <f t="shared" si="402"/>
        <v>0</v>
      </c>
      <c r="J1786" s="38">
        <v>0</v>
      </c>
      <c r="K1786" s="37">
        <f t="shared" si="403"/>
        <v>0</v>
      </c>
      <c r="L1786" s="38">
        <v>0</v>
      </c>
    </row>
    <row r="1787" spans="1:12" s="39" customFormat="1" ht="15.45" customHeight="1" outlineLevel="1" x14ac:dyDescent="0.25">
      <c r="A1787" s="33">
        <v>31</v>
      </c>
      <c r="B1787" s="34" t="s">
        <v>153</v>
      </c>
      <c r="C1787" s="35" t="s">
        <v>106</v>
      </c>
      <c r="D1787" s="36">
        <v>12.8</v>
      </c>
      <c r="E1787" s="36">
        <v>3.7719999999999998</v>
      </c>
      <c r="F1787" s="36">
        <f t="shared" si="399"/>
        <v>48.281599999999997</v>
      </c>
      <c r="G1787" s="37">
        <f t="shared" si="400"/>
        <v>0</v>
      </c>
      <c r="H1787" s="38">
        <f t="shared" si="401"/>
        <v>0</v>
      </c>
      <c r="I1787" s="37">
        <f t="shared" si="402"/>
        <v>0</v>
      </c>
      <c r="J1787" s="38">
        <v>0</v>
      </c>
      <c r="K1787" s="37">
        <f t="shared" si="403"/>
        <v>0</v>
      </c>
      <c r="L1787" s="38">
        <v>0</v>
      </c>
    </row>
    <row r="1788" spans="1:12" s="45" customFormat="1" ht="15.45" customHeight="1" x14ac:dyDescent="0.3">
      <c r="A1788" s="33">
        <v>32</v>
      </c>
      <c r="B1788" s="34" t="s">
        <v>1142</v>
      </c>
      <c r="C1788" s="35" t="s">
        <v>106</v>
      </c>
      <c r="D1788" s="36">
        <v>12.8</v>
      </c>
      <c r="E1788" s="36">
        <v>0.95300000000000007</v>
      </c>
      <c r="F1788" s="36">
        <f t="shared" si="399"/>
        <v>12.198400000000001</v>
      </c>
      <c r="G1788" s="37">
        <f t="shared" si="400"/>
        <v>0</v>
      </c>
      <c r="H1788" s="38">
        <f t="shared" si="401"/>
        <v>0</v>
      </c>
      <c r="I1788" s="37">
        <f t="shared" si="402"/>
        <v>0</v>
      </c>
      <c r="J1788" s="38">
        <v>0</v>
      </c>
      <c r="K1788" s="37">
        <f t="shared" si="403"/>
        <v>0</v>
      </c>
      <c r="L1788" s="38">
        <v>0</v>
      </c>
    </row>
    <row r="1789" spans="1:12" s="39" customFormat="1" ht="15.45" customHeight="1" outlineLevel="1" x14ac:dyDescent="0.25">
      <c r="A1789" s="33">
        <v>34</v>
      </c>
      <c r="B1789" s="34" t="s">
        <v>153</v>
      </c>
      <c r="C1789" s="35" t="s">
        <v>106</v>
      </c>
      <c r="D1789" s="36">
        <v>12.8</v>
      </c>
      <c r="E1789" s="36">
        <v>3.7719999999999998</v>
      </c>
      <c r="F1789" s="36">
        <f t="shared" si="399"/>
        <v>48.281599999999997</v>
      </c>
      <c r="G1789" s="37">
        <f t="shared" si="400"/>
        <v>0</v>
      </c>
      <c r="H1789" s="38">
        <f t="shared" si="401"/>
        <v>0</v>
      </c>
      <c r="I1789" s="37">
        <f t="shared" si="402"/>
        <v>0</v>
      </c>
      <c r="J1789" s="38">
        <v>0</v>
      </c>
      <c r="K1789" s="37">
        <f t="shared" si="403"/>
        <v>0</v>
      </c>
      <c r="L1789" s="38">
        <v>0</v>
      </c>
    </row>
    <row r="1790" spans="1:12" s="39" customFormat="1" ht="15.45" customHeight="1" outlineLevel="1" x14ac:dyDescent="0.25">
      <c r="A1790" s="33">
        <v>35</v>
      </c>
      <c r="B1790" s="34" t="s">
        <v>1143</v>
      </c>
      <c r="C1790" s="35" t="s">
        <v>106</v>
      </c>
      <c r="D1790" s="36">
        <v>12.8</v>
      </c>
      <c r="E1790" s="36">
        <v>0.95300000000000007</v>
      </c>
      <c r="F1790" s="36">
        <f t="shared" si="399"/>
        <v>12.198400000000001</v>
      </c>
      <c r="G1790" s="37">
        <f t="shared" si="400"/>
        <v>0</v>
      </c>
      <c r="H1790" s="38">
        <f t="shared" si="401"/>
        <v>0</v>
      </c>
      <c r="I1790" s="37">
        <f t="shared" si="402"/>
        <v>0</v>
      </c>
      <c r="J1790" s="38">
        <v>0</v>
      </c>
      <c r="K1790" s="37">
        <f t="shared" si="403"/>
        <v>0</v>
      </c>
      <c r="L1790" s="38">
        <v>0</v>
      </c>
    </row>
    <row r="1791" spans="1:12" s="39" customFormat="1" ht="15.45" customHeight="1" outlineLevel="1" x14ac:dyDescent="0.25">
      <c r="A1791" s="33">
        <v>36</v>
      </c>
      <c r="B1791" s="34" t="s">
        <v>1144</v>
      </c>
      <c r="C1791" s="35" t="s">
        <v>66</v>
      </c>
      <c r="D1791" s="36">
        <v>27</v>
      </c>
      <c r="E1791" s="36">
        <v>1.9461999999999999</v>
      </c>
      <c r="F1791" s="36">
        <f t="shared" si="399"/>
        <v>52.547399999999996</v>
      </c>
      <c r="G1791" s="37">
        <f t="shared" si="400"/>
        <v>0</v>
      </c>
      <c r="H1791" s="38">
        <f t="shared" si="401"/>
        <v>0</v>
      </c>
      <c r="I1791" s="37">
        <f t="shared" si="402"/>
        <v>0</v>
      </c>
      <c r="J1791" s="38">
        <v>0</v>
      </c>
      <c r="K1791" s="37">
        <f t="shared" si="403"/>
        <v>0</v>
      </c>
      <c r="L1791" s="38">
        <v>0</v>
      </c>
    </row>
    <row r="1792" spans="1:12" s="45" customFormat="1" ht="15.45" customHeight="1" x14ac:dyDescent="0.3">
      <c r="A1792" s="31" t="s">
        <v>1167</v>
      </c>
      <c r="B1792" s="40" t="s">
        <v>1168</v>
      </c>
      <c r="C1792" s="41">
        <v>0</v>
      </c>
      <c r="D1792" s="42"/>
      <c r="E1792" s="42"/>
      <c r="F1792" s="42"/>
      <c r="G1792" s="43"/>
      <c r="H1792" s="44"/>
      <c r="I1792" s="43"/>
      <c r="J1792" s="44"/>
      <c r="K1792" s="43"/>
      <c r="L1792" s="44">
        <v>0</v>
      </c>
    </row>
    <row r="1793" spans="1:12" s="39" customFormat="1" ht="43.5" customHeight="1" outlineLevel="1" x14ac:dyDescent="0.25">
      <c r="A1793" s="33">
        <v>1</v>
      </c>
      <c r="B1793" s="34" t="s">
        <v>1155</v>
      </c>
      <c r="C1793" s="35" t="s">
        <v>50</v>
      </c>
      <c r="D1793" s="36">
        <v>5</v>
      </c>
      <c r="E1793" s="36">
        <v>9.3513999999999999</v>
      </c>
      <c r="F1793" s="36">
        <f t="shared" ref="F1793:F1813" si="404">+E1793*D1793</f>
        <v>46.756999999999998</v>
      </c>
      <c r="G1793" s="37">
        <f t="shared" ref="G1793:G1813" si="405">I1793+K1793</f>
        <v>0</v>
      </c>
      <c r="H1793" s="38">
        <f t="shared" ref="H1793:H1813" si="406">J1793+L1793</f>
        <v>0</v>
      </c>
      <c r="I1793" s="37">
        <f t="shared" ref="I1793:I1813" si="407">J1793/F1793</f>
        <v>0</v>
      </c>
      <c r="J1793" s="38">
        <v>0</v>
      </c>
      <c r="K1793" s="37">
        <f t="shared" ref="K1793:K1813" si="408">L1793/F1793</f>
        <v>0</v>
      </c>
      <c r="L1793" s="38">
        <v>0</v>
      </c>
    </row>
    <row r="1794" spans="1:12" s="39" customFormat="1" ht="28.95" customHeight="1" outlineLevel="1" x14ac:dyDescent="0.25">
      <c r="A1794" s="33">
        <v>2</v>
      </c>
      <c r="B1794" s="34" t="s">
        <v>330</v>
      </c>
      <c r="C1794" s="35" t="s">
        <v>50</v>
      </c>
      <c r="D1794" s="36">
        <v>5</v>
      </c>
      <c r="E1794" s="36">
        <v>8.686399999999999</v>
      </c>
      <c r="F1794" s="36">
        <f t="shared" si="404"/>
        <v>43.431999999999995</v>
      </c>
      <c r="G1794" s="37">
        <f t="shared" si="405"/>
        <v>0</v>
      </c>
      <c r="H1794" s="38">
        <f t="shared" si="406"/>
        <v>0</v>
      </c>
      <c r="I1794" s="37">
        <f t="shared" si="407"/>
        <v>0</v>
      </c>
      <c r="J1794" s="38">
        <v>0</v>
      </c>
      <c r="K1794" s="37">
        <f t="shared" si="408"/>
        <v>0</v>
      </c>
      <c r="L1794" s="38">
        <v>0</v>
      </c>
    </row>
    <row r="1795" spans="1:12" s="39" customFormat="1" ht="28.95" customHeight="1" outlineLevel="1" x14ac:dyDescent="0.25">
      <c r="A1795" s="33">
        <v>3</v>
      </c>
      <c r="B1795" s="34" t="s">
        <v>331</v>
      </c>
      <c r="C1795" s="35" t="s">
        <v>50</v>
      </c>
      <c r="D1795" s="36">
        <v>5</v>
      </c>
      <c r="E1795" s="36">
        <v>1.1876</v>
      </c>
      <c r="F1795" s="36">
        <f t="shared" si="404"/>
        <v>5.9379999999999997</v>
      </c>
      <c r="G1795" s="37">
        <f t="shared" si="405"/>
        <v>0</v>
      </c>
      <c r="H1795" s="38">
        <f t="shared" si="406"/>
        <v>0</v>
      </c>
      <c r="I1795" s="37">
        <f t="shared" si="407"/>
        <v>0</v>
      </c>
      <c r="J1795" s="38">
        <v>0</v>
      </c>
      <c r="K1795" s="37">
        <f t="shared" si="408"/>
        <v>0</v>
      </c>
      <c r="L1795" s="38">
        <v>0</v>
      </c>
    </row>
    <row r="1796" spans="1:12" s="39" customFormat="1" ht="15.45" customHeight="1" outlineLevel="1" x14ac:dyDescent="0.25">
      <c r="A1796" s="33">
        <v>4</v>
      </c>
      <c r="B1796" s="34" t="s">
        <v>1156</v>
      </c>
      <c r="C1796" s="35" t="s">
        <v>55</v>
      </c>
      <c r="D1796" s="36">
        <v>2</v>
      </c>
      <c r="E1796" s="36">
        <v>4.0658000000000003</v>
      </c>
      <c r="F1796" s="36">
        <f t="shared" si="404"/>
        <v>8.1316000000000006</v>
      </c>
      <c r="G1796" s="37">
        <f t="shared" si="405"/>
        <v>0</v>
      </c>
      <c r="H1796" s="38">
        <f t="shared" si="406"/>
        <v>0</v>
      </c>
      <c r="I1796" s="37">
        <f t="shared" si="407"/>
        <v>0</v>
      </c>
      <c r="J1796" s="38">
        <v>0</v>
      </c>
      <c r="K1796" s="37">
        <f t="shared" si="408"/>
        <v>0</v>
      </c>
      <c r="L1796" s="38">
        <v>0</v>
      </c>
    </row>
    <row r="1797" spans="1:12" s="39" customFormat="1" ht="15.45" customHeight="1" outlineLevel="1" x14ac:dyDescent="0.25">
      <c r="A1797" s="33">
        <v>5</v>
      </c>
      <c r="B1797" s="34" t="s">
        <v>1157</v>
      </c>
      <c r="C1797" s="35" t="s">
        <v>55</v>
      </c>
      <c r="D1797" s="36">
        <v>1</v>
      </c>
      <c r="E1797" s="36">
        <v>85.0946</v>
      </c>
      <c r="F1797" s="36">
        <f t="shared" si="404"/>
        <v>85.0946</v>
      </c>
      <c r="G1797" s="37">
        <f t="shared" si="405"/>
        <v>0</v>
      </c>
      <c r="H1797" s="38">
        <f t="shared" si="406"/>
        <v>0</v>
      </c>
      <c r="I1797" s="37">
        <f t="shared" si="407"/>
        <v>0</v>
      </c>
      <c r="J1797" s="38">
        <v>0</v>
      </c>
      <c r="K1797" s="37">
        <f t="shared" si="408"/>
        <v>0</v>
      </c>
      <c r="L1797" s="38">
        <v>0</v>
      </c>
    </row>
    <row r="1798" spans="1:12" s="39" customFormat="1" ht="43.5" customHeight="1" outlineLevel="1" x14ac:dyDescent="0.25">
      <c r="A1798" s="33">
        <v>6</v>
      </c>
      <c r="B1798" s="34" t="s">
        <v>1158</v>
      </c>
      <c r="C1798" s="35" t="s">
        <v>50</v>
      </c>
      <c r="D1798" s="36">
        <v>6</v>
      </c>
      <c r="E1798" s="36">
        <v>10.4734</v>
      </c>
      <c r="F1798" s="36">
        <f t="shared" si="404"/>
        <v>62.840400000000002</v>
      </c>
      <c r="G1798" s="37">
        <f t="shared" si="405"/>
        <v>0</v>
      </c>
      <c r="H1798" s="38">
        <f t="shared" si="406"/>
        <v>0</v>
      </c>
      <c r="I1798" s="37">
        <f t="shared" si="407"/>
        <v>0</v>
      </c>
      <c r="J1798" s="38">
        <v>0</v>
      </c>
      <c r="K1798" s="37">
        <f t="shared" si="408"/>
        <v>0</v>
      </c>
      <c r="L1798" s="38">
        <v>0</v>
      </c>
    </row>
    <row r="1799" spans="1:12" s="39" customFormat="1" ht="43.5" customHeight="1" outlineLevel="1" x14ac:dyDescent="0.25">
      <c r="A1799" s="33">
        <v>7</v>
      </c>
      <c r="B1799" s="34" t="s">
        <v>1159</v>
      </c>
      <c r="C1799" s="35" t="s">
        <v>50</v>
      </c>
      <c r="D1799" s="36">
        <v>6</v>
      </c>
      <c r="E1799" s="36">
        <v>17.846</v>
      </c>
      <c r="F1799" s="36">
        <f t="shared" si="404"/>
        <v>107.07599999999999</v>
      </c>
      <c r="G1799" s="37">
        <f t="shared" si="405"/>
        <v>0</v>
      </c>
      <c r="H1799" s="38">
        <f t="shared" si="406"/>
        <v>0</v>
      </c>
      <c r="I1799" s="37">
        <f t="shared" si="407"/>
        <v>0</v>
      </c>
      <c r="J1799" s="38">
        <v>0</v>
      </c>
      <c r="K1799" s="37">
        <f t="shared" si="408"/>
        <v>0</v>
      </c>
      <c r="L1799" s="38">
        <v>0</v>
      </c>
    </row>
    <row r="1800" spans="1:12" s="45" customFormat="1" ht="28.95" customHeight="1" x14ac:dyDescent="0.3">
      <c r="A1800" s="33">
        <v>8</v>
      </c>
      <c r="B1800" s="34" t="s">
        <v>331</v>
      </c>
      <c r="C1800" s="35" t="s">
        <v>50</v>
      </c>
      <c r="D1800" s="36">
        <v>6</v>
      </c>
      <c r="E1800" s="36">
        <v>1.1876</v>
      </c>
      <c r="F1800" s="36">
        <f t="shared" si="404"/>
        <v>7.1256000000000004</v>
      </c>
      <c r="G1800" s="37">
        <f t="shared" si="405"/>
        <v>0</v>
      </c>
      <c r="H1800" s="38">
        <f t="shared" si="406"/>
        <v>0</v>
      </c>
      <c r="I1800" s="37">
        <f t="shared" si="407"/>
        <v>0</v>
      </c>
      <c r="J1800" s="38">
        <v>0</v>
      </c>
      <c r="K1800" s="37">
        <f t="shared" si="408"/>
        <v>0</v>
      </c>
      <c r="L1800" s="38">
        <v>0</v>
      </c>
    </row>
    <row r="1801" spans="1:12" s="39" customFormat="1" ht="15.45" customHeight="1" outlineLevel="1" x14ac:dyDescent="0.25">
      <c r="A1801" s="33">
        <v>9</v>
      </c>
      <c r="B1801" s="34" t="s">
        <v>1160</v>
      </c>
      <c r="C1801" s="35" t="s">
        <v>55</v>
      </c>
      <c r="D1801" s="36">
        <v>1</v>
      </c>
      <c r="E1801" s="36">
        <v>20.510200000000001</v>
      </c>
      <c r="F1801" s="36">
        <f t="shared" si="404"/>
        <v>20.510200000000001</v>
      </c>
      <c r="G1801" s="37">
        <f t="shared" si="405"/>
        <v>0</v>
      </c>
      <c r="H1801" s="38">
        <f t="shared" si="406"/>
        <v>0</v>
      </c>
      <c r="I1801" s="37">
        <f t="shared" si="407"/>
        <v>0</v>
      </c>
      <c r="J1801" s="38">
        <v>0</v>
      </c>
      <c r="K1801" s="37">
        <f t="shared" si="408"/>
        <v>0</v>
      </c>
      <c r="L1801" s="38">
        <v>0</v>
      </c>
    </row>
    <row r="1802" spans="1:12" s="39" customFormat="1" ht="15.45" customHeight="1" outlineLevel="1" x14ac:dyDescent="0.25">
      <c r="A1802" s="33">
        <v>10</v>
      </c>
      <c r="B1802" s="34" t="s">
        <v>1161</v>
      </c>
      <c r="C1802" s="35" t="s">
        <v>55</v>
      </c>
      <c r="D1802" s="36">
        <v>1</v>
      </c>
      <c r="E1802" s="36">
        <v>12.1646</v>
      </c>
      <c r="F1802" s="36">
        <f t="shared" si="404"/>
        <v>12.1646</v>
      </c>
      <c r="G1802" s="37">
        <f t="shared" si="405"/>
        <v>0</v>
      </c>
      <c r="H1802" s="38">
        <f t="shared" si="406"/>
        <v>0</v>
      </c>
      <c r="I1802" s="37">
        <f t="shared" si="407"/>
        <v>0</v>
      </c>
      <c r="J1802" s="38">
        <v>0</v>
      </c>
      <c r="K1802" s="37">
        <f t="shared" si="408"/>
        <v>0</v>
      </c>
      <c r="L1802" s="38">
        <v>0</v>
      </c>
    </row>
    <row r="1803" spans="1:12" s="39" customFormat="1" ht="43.5" customHeight="1" outlineLevel="1" x14ac:dyDescent="0.25">
      <c r="A1803" s="33">
        <v>11</v>
      </c>
      <c r="B1803" s="34" t="s">
        <v>1162</v>
      </c>
      <c r="C1803" s="35" t="s">
        <v>50</v>
      </c>
      <c r="D1803" s="36">
        <v>5</v>
      </c>
      <c r="E1803" s="36">
        <v>33.066400000000002</v>
      </c>
      <c r="F1803" s="36">
        <f t="shared" si="404"/>
        <v>165.33199999999999</v>
      </c>
      <c r="G1803" s="37">
        <f t="shared" si="405"/>
        <v>0</v>
      </c>
      <c r="H1803" s="38">
        <f t="shared" si="406"/>
        <v>0</v>
      </c>
      <c r="I1803" s="37">
        <f t="shared" si="407"/>
        <v>0</v>
      </c>
      <c r="J1803" s="38">
        <v>0</v>
      </c>
      <c r="K1803" s="37">
        <f t="shared" si="408"/>
        <v>0</v>
      </c>
      <c r="L1803" s="38">
        <v>0</v>
      </c>
    </row>
    <row r="1804" spans="1:12" s="39" customFormat="1" ht="28.95" customHeight="1" outlineLevel="1" x14ac:dyDescent="0.25">
      <c r="A1804" s="33">
        <v>12</v>
      </c>
      <c r="B1804" s="34" t="s">
        <v>1163</v>
      </c>
      <c r="C1804" s="35" t="s">
        <v>50</v>
      </c>
      <c r="D1804" s="36">
        <v>5</v>
      </c>
      <c r="E1804" s="36">
        <v>53.780600000000007</v>
      </c>
      <c r="F1804" s="36">
        <f t="shared" si="404"/>
        <v>268.90300000000002</v>
      </c>
      <c r="G1804" s="37">
        <f t="shared" si="405"/>
        <v>0</v>
      </c>
      <c r="H1804" s="38">
        <f t="shared" si="406"/>
        <v>0</v>
      </c>
      <c r="I1804" s="37">
        <f t="shared" si="407"/>
        <v>0</v>
      </c>
      <c r="J1804" s="38">
        <v>0</v>
      </c>
      <c r="K1804" s="37">
        <f t="shared" si="408"/>
        <v>0</v>
      </c>
      <c r="L1804" s="38">
        <v>0</v>
      </c>
    </row>
    <row r="1805" spans="1:12" s="39" customFormat="1" ht="28.95" customHeight="1" outlineLevel="1" x14ac:dyDescent="0.25">
      <c r="A1805" s="33">
        <v>13</v>
      </c>
      <c r="B1805" s="34" t="s">
        <v>1164</v>
      </c>
      <c r="C1805" s="35" t="s">
        <v>50</v>
      </c>
      <c r="D1805" s="36">
        <v>5</v>
      </c>
      <c r="E1805" s="36">
        <v>1.1876</v>
      </c>
      <c r="F1805" s="36">
        <f t="shared" si="404"/>
        <v>5.9379999999999997</v>
      </c>
      <c r="G1805" s="37">
        <f t="shared" si="405"/>
        <v>0</v>
      </c>
      <c r="H1805" s="38">
        <f t="shared" si="406"/>
        <v>0</v>
      </c>
      <c r="I1805" s="37">
        <f t="shared" si="407"/>
        <v>0</v>
      </c>
      <c r="J1805" s="38">
        <v>0</v>
      </c>
      <c r="K1805" s="37">
        <f t="shared" si="408"/>
        <v>0</v>
      </c>
      <c r="L1805" s="38">
        <v>0</v>
      </c>
    </row>
    <row r="1806" spans="1:12" s="45" customFormat="1" ht="43.5" customHeight="1" x14ac:dyDescent="0.3">
      <c r="A1806" s="33">
        <v>14</v>
      </c>
      <c r="B1806" s="34" t="s">
        <v>1165</v>
      </c>
      <c r="C1806" s="35" t="s">
        <v>50</v>
      </c>
      <c r="D1806" s="36">
        <v>13</v>
      </c>
      <c r="E1806" s="36">
        <v>10.4734</v>
      </c>
      <c r="F1806" s="36">
        <f t="shared" si="404"/>
        <v>136.1542</v>
      </c>
      <c r="G1806" s="37">
        <f t="shared" si="405"/>
        <v>0</v>
      </c>
      <c r="H1806" s="38">
        <f t="shared" si="406"/>
        <v>0</v>
      </c>
      <c r="I1806" s="37">
        <f t="shared" si="407"/>
        <v>0</v>
      </c>
      <c r="J1806" s="38">
        <v>0</v>
      </c>
      <c r="K1806" s="37">
        <f t="shared" si="408"/>
        <v>0</v>
      </c>
      <c r="L1806" s="38">
        <v>0</v>
      </c>
    </row>
    <row r="1807" spans="1:12" s="39" customFormat="1" ht="43.5" customHeight="1" outlineLevel="1" x14ac:dyDescent="0.25">
      <c r="A1807" s="33">
        <v>15</v>
      </c>
      <c r="B1807" s="34" t="s">
        <v>1159</v>
      </c>
      <c r="C1807" s="35" t="s">
        <v>50</v>
      </c>
      <c r="D1807" s="36">
        <v>13</v>
      </c>
      <c r="E1807" s="36">
        <v>17.846</v>
      </c>
      <c r="F1807" s="36">
        <f t="shared" si="404"/>
        <v>231.99799999999999</v>
      </c>
      <c r="G1807" s="37">
        <f t="shared" si="405"/>
        <v>0</v>
      </c>
      <c r="H1807" s="38">
        <f t="shared" si="406"/>
        <v>0</v>
      </c>
      <c r="I1807" s="37">
        <f t="shared" si="407"/>
        <v>0</v>
      </c>
      <c r="J1807" s="38">
        <v>0</v>
      </c>
      <c r="K1807" s="37">
        <f t="shared" si="408"/>
        <v>0</v>
      </c>
      <c r="L1807" s="38">
        <v>0</v>
      </c>
    </row>
    <row r="1808" spans="1:12" s="39" customFormat="1" ht="28.95" customHeight="1" outlineLevel="1" x14ac:dyDescent="0.25">
      <c r="A1808" s="33">
        <v>16</v>
      </c>
      <c r="B1808" s="34" t="s">
        <v>331</v>
      </c>
      <c r="C1808" s="35" t="s">
        <v>50</v>
      </c>
      <c r="D1808" s="36">
        <v>13</v>
      </c>
      <c r="E1808" s="36">
        <v>1.1876</v>
      </c>
      <c r="F1808" s="36">
        <f t="shared" si="404"/>
        <v>15.438800000000001</v>
      </c>
      <c r="G1808" s="37">
        <f t="shared" si="405"/>
        <v>0</v>
      </c>
      <c r="H1808" s="38">
        <f t="shared" si="406"/>
        <v>0</v>
      </c>
      <c r="I1808" s="37">
        <f t="shared" si="407"/>
        <v>0</v>
      </c>
      <c r="J1808" s="38">
        <v>0</v>
      </c>
      <c r="K1808" s="37">
        <f t="shared" si="408"/>
        <v>0</v>
      </c>
      <c r="L1808" s="38">
        <v>0</v>
      </c>
    </row>
    <row r="1809" spans="1:12" s="39" customFormat="1" ht="15.45" customHeight="1" outlineLevel="1" x14ac:dyDescent="0.25">
      <c r="A1809" s="33">
        <v>17</v>
      </c>
      <c r="B1809" s="34" t="s">
        <v>1160</v>
      </c>
      <c r="C1809" s="35" t="s">
        <v>55</v>
      </c>
      <c r="D1809" s="36">
        <v>1</v>
      </c>
      <c r="E1809" s="36">
        <v>20.510200000000001</v>
      </c>
      <c r="F1809" s="36">
        <f t="shared" si="404"/>
        <v>20.510200000000001</v>
      </c>
      <c r="G1809" s="37">
        <f t="shared" si="405"/>
        <v>0</v>
      </c>
      <c r="H1809" s="38">
        <f t="shared" si="406"/>
        <v>0</v>
      </c>
      <c r="I1809" s="37">
        <f t="shared" si="407"/>
        <v>0</v>
      </c>
      <c r="J1809" s="38">
        <v>0</v>
      </c>
      <c r="K1809" s="37">
        <f t="shared" si="408"/>
        <v>0</v>
      </c>
      <c r="L1809" s="38">
        <v>0</v>
      </c>
    </row>
    <row r="1810" spans="1:12" s="39" customFormat="1" ht="15.45" customHeight="1" outlineLevel="1" x14ac:dyDescent="0.25">
      <c r="A1810" s="33">
        <v>18</v>
      </c>
      <c r="B1810" s="34" t="s">
        <v>1161</v>
      </c>
      <c r="C1810" s="35" t="s">
        <v>55</v>
      </c>
      <c r="D1810" s="36">
        <v>3</v>
      </c>
      <c r="E1810" s="36">
        <v>12.1646</v>
      </c>
      <c r="F1810" s="36">
        <f t="shared" si="404"/>
        <v>36.4938</v>
      </c>
      <c r="G1810" s="37">
        <f t="shared" si="405"/>
        <v>0</v>
      </c>
      <c r="H1810" s="38">
        <f t="shared" si="406"/>
        <v>0</v>
      </c>
      <c r="I1810" s="37">
        <f t="shared" si="407"/>
        <v>0</v>
      </c>
      <c r="J1810" s="38">
        <v>0</v>
      </c>
      <c r="K1810" s="37">
        <f t="shared" si="408"/>
        <v>0</v>
      </c>
      <c r="L1810" s="38">
        <v>0</v>
      </c>
    </row>
    <row r="1811" spans="1:12" s="39" customFormat="1" ht="15.45" customHeight="1" outlineLevel="1" x14ac:dyDescent="0.25">
      <c r="A1811" s="33">
        <v>19</v>
      </c>
      <c r="B1811" s="34" t="s">
        <v>1166</v>
      </c>
      <c r="C1811" s="35" t="s">
        <v>55</v>
      </c>
      <c r="D1811" s="36">
        <v>2</v>
      </c>
      <c r="E1811" s="36">
        <v>4.2391999999999994</v>
      </c>
      <c r="F1811" s="36">
        <f t="shared" si="404"/>
        <v>8.4783999999999988</v>
      </c>
      <c r="G1811" s="37">
        <f t="shared" si="405"/>
        <v>0</v>
      </c>
      <c r="H1811" s="38">
        <f t="shared" si="406"/>
        <v>0</v>
      </c>
      <c r="I1811" s="37">
        <f t="shared" si="407"/>
        <v>0</v>
      </c>
      <c r="J1811" s="38">
        <v>0</v>
      </c>
      <c r="K1811" s="37">
        <f t="shared" si="408"/>
        <v>0</v>
      </c>
      <c r="L1811" s="38">
        <v>0</v>
      </c>
    </row>
    <row r="1812" spans="1:12" s="39" customFormat="1" ht="15.45" customHeight="1" outlineLevel="1" x14ac:dyDescent="0.25">
      <c r="A1812" s="33">
        <v>20</v>
      </c>
      <c r="B1812" s="34" t="s">
        <v>1048</v>
      </c>
      <c r="C1812" s="35" t="s">
        <v>106</v>
      </c>
      <c r="D1812" s="36">
        <v>11.47</v>
      </c>
      <c r="E1812" s="36">
        <v>1.1774</v>
      </c>
      <c r="F1812" s="36">
        <f t="shared" si="404"/>
        <v>13.504778</v>
      </c>
      <c r="G1812" s="37">
        <f t="shared" si="405"/>
        <v>0</v>
      </c>
      <c r="H1812" s="38">
        <f t="shared" si="406"/>
        <v>0</v>
      </c>
      <c r="I1812" s="37">
        <f t="shared" si="407"/>
        <v>0</v>
      </c>
      <c r="J1812" s="38">
        <v>0</v>
      </c>
      <c r="K1812" s="37">
        <f t="shared" si="408"/>
        <v>0</v>
      </c>
      <c r="L1812" s="38">
        <v>0</v>
      </c>
    </row>
    <row r="1813" spans="1:12" s="39" customFormat="1" ht="28.95" customHeight="1" outlineLevel="1" x14ac:dyDescent="0.25">
      <c r="A1813" s="33">
        <v>21</v>
      </c>
      <c r="B1813" s="34" t="s">
        <v>1047</v>
      </c>
      <c r="C1813" s="35" t="s">
        <v>106</v>
      </c>
      <c r="D1813" s="36">
        <v>11.47</v>
      </c>
      <c r="E1813" s="36">
        <v>6.0058000000000007</v>
      </c>
      <c r="F1813" s="36">
        <f t="shared" si="404"/>
        <v>68.886526000000018</v>
      </c>
      <c r="G1813" s="37">
        <f t="shared" si="405"/>
        <v>0</v>
      </c>
      <c r="H1813" s="38">
        <f t="shared" si="406"/>
        <v>0</v>
      </c>
      <c r="I1813" s="37">
        <f t="shared" si="407"/>
        <v>0</v>
      </c>
      <c r="J1813" s="38">
        <v>0</v>
      </c>
      <c r="K1813" s="37">
        <f t="shared" si="408"/>
        <v>0</v>
      </c>
      <c r="L1813" s="38">
        <v>0</v>
      </c>
    </row>
    <row r="1814" spans="1:12" s="39" customFormat="1" ht="15.45" customHeight="1" outlineLevel="1" x14ac:dyDescent="0.25">
      <c r="A1814" s="31" t="s">
        <v>1169</v>
      </c>
      <c r="B1814" s="40" t="s">
        <v>1170</v>
      </c>
      <c r="C1814" s="41">
        <v>0</v>
      </c>
      <c r="D1814" s="42"/>
      <c r="E1814" s="42"/>
      <c r="F1814" s="42"/>
      <c r="G1814" s="43"/>
      <c r="H1814" s="44"/>
      <c r="I1814" s="43"/>
      <c r="J1814" s="44"/>
      <c r="K1814" s="43"/>
      <c r="L1814" s="44">
        <v>0</v>
      </c>
    </row>
    <row r="1815" spans="1:12" s="39" customFormat="1" ht="43.5" customHeight="1" outlineLevel="1" x14ac:dyDescent="0.25">
      <c r="A1815" s="33">
        <v>1</v>
      </c>
      <c r="B1815" s="34" t="s">
        <v>830</v>
      </c>
      <c r="C1815" s="35" t="s">
        <v>66</v>
      </c>
      <c r="D1815" s="36">
        <v>146</v>
      </c>
      <c r="E1815" s="36">
        <v>0.88466</v>
      </c>
      <c r="F1815" s="36">
        <f>+E1815*D1815</f>
        <v>129.16036</v>
      </c>
      <c r="G1815" s="37">
        <f t="shared" ref="G1815:H1819" si="409">I1815+K1815</f>
        <v>0</v>
      </c>
      <c r="H1815" s="38">
        <f t="shared" si="409"/>
        <v>0</v>
      </c>
      <c r="I1815" s="37">
        <f>J1815/F1815</f>
        <v>0</v>
      </c>
      <c r="J1815" s="38">
        <v>0</v>
      </c>
      <c r="K1815" s="37">
        <f>L1815/F1815</f>
        <v>0</v>
      </c>
      <c r="L1815" s="38">
        <v>0</v>
      </c>
    </row>
    <row r="1816" spans="1:12" s="39" customFormat="1" ht="28.95" customHeight="1" outlineLevel="1" x14ac:dyDescent="0.25">
      <c r="A1816" s="33">
        <v>2</v>
      </c>
      <c r="B1816" s="34" t="s">
        <v>765</v>
      </c>
      <c r="C1816" s="35" t="s">
        <v>66</v>
      </c>
      <c r="D1816" s="36">
        <v>5</v>
      </c>
      <c r="E1816" s="36">
        <v>8.9600000000000009</v>
      </c>
      <c r="F1816" s="36">
        <f>+E1816*D1816</f>
        <v>44.800000000000004</v>
      </c>
      <c r="G1816" s="37">
        <f t="shared" si="409"/>
        <v>0</v>
      </c>
      <c r="H1816" s="38">
        <f t="shared" si="409"/>
        <v>0</v>
      </c>
      <c r="I1816" s="37">
        <f>J1816/F1816</f>
        <v>0</v>
      </c>
      <c r="J1816" s="38">
        <v>0</v>
      </c>
      <c r="K1816" s="37">
        <f>L1816/F1816</f>
        <v>0</v>
      </c>
      <c r="L1816" s="38">
        <v>0</v>
      </c>
    </row>
    <row r="1817" spans="1:12" s="39" customFormat="1" ht="43.5" customHeight="1" outlineLevel="1" x14ac:dyDescent="0.25">
      <c r="A1817" s="33">
        <v>3</v>
      </c>
      <c r="B1817" s="34" t="s">
        <v>766</v>
      </c>
      <c r="C1817" s="35" t="s">
        <v>66</v>
      </c>
      <c r="D1817" s="36">
        <v>116</v>
      </c>
      <c r="E1817" s="36">
        <v>0.9</v>
      </c>
      <c r="F1817" s="36">
        <f>+E1817*D1817</f>
        <v>104.4</v>
      </c>
      <c r="G1817" s="37">
        <f t="shared" si="409"/>
        <v>0</v>
      </c>
      <c r="H1817" s="38">
        <f t="shared" si="409"/>
        <v>0</v>
      </c>
      <c r="I1817" s="37">
        <f>J1817/F1817</f>
        <v>0</v>
      </c>
      <c r="J1817" s="38">
        <v>0</v>
      </c>
      <c r="K1817" s="37">
        <f>L1817/F1817</f>
        <v>0</v>
      </c>
      <c r="L1817" s="38">
        <v>0</v>
      </c>
    </row>
    <row r="1818" spans="1:12" s="46" customFormat="1" ht="28.95" customHeight="1" outlineLevel="1" x14ac:dyDescent="0.35">
      <c r="A1818" s="33">
        <v>4</v>
      </c>
      <c r="B1818" s="34" t="s">
        <v>316</v>
      </c>
      <c r="C1818" s="35" t="s">
        <v>66</v>
      </c>
      <c r="D1818" s="36">
        <v>29</v>
      </c>
      <c r="E1818" s="36">
        <v>8.16</v>
      </c>
      <c r="F1818" s="36">
        <f>+E1818*D1818</f>
        <v>236.64000000000001</v>
      </c>
      <c r="G1818" s="37">
        <f t="shared" si="409"/>
        <v>0</v>
      </c>
      <c r="H1818" s="38">
        <f t="shared" si="409"/>
        <v>0</v>
      </c>
      <c r="I1818" s="37">
        <f>J1818/F1818</f>
        <v>0</v>
      </c>
      <c r="J1818" s="38">
        <v>0</v>
      </c>
      <c r="K1818" s="37">
        <f>L1818/F1818</f>
        <v>0</v>
      </c>
      <c r="L1818" s="38">
        <v>0</v>
      </c>
    </row>
    <row r="1819" spans="1:12" s="46" customFormat="1" ht="28.95" customHeight="1" outlineLevel="1" x14ac:dyDescent="0.35">
      <c r="A1819" s="33">
        <v>5</v>
      </c>
      <c r="B1819" s="34" t="s">
        <v>234</v>
      </c>
      <c r="C1819" s="35" t="s">
        <v>66</v>
      </c>
      <c r="D1819" s="36">
        <v>145</v>
      </c>
      <c r="E1819" s="36">
        <v>2</v>
      </c>
      <c r="F1819" s="36">
        <f>+E1819*D1819</f>
        <v>290</v>
      </c>
      <c r="G1819" s="37">
        <f t="shared" si="409"/>
        <v>0</v>
      </c>
      <c r="H1819" s="38">
        <f t="shared" si="409"/>
        <v>0</v>
      </c>
      <c r="I1819" s="37">
        <f>J1819/F1819</f>
        <v>0</v>
      </c>
      <c r="J1819" s="38">
        <v>0</v>
      </c>
      <c r="K1819" s="37">
        <f>L1819/F1819</f>
        <v>0</v>
      </c>
      <c r="L1819" s="38">
        <v>0</v>
      </c>
    </row>
    <row r="1820" spans="1:12" s="46" customFormat="1" ht="15.45" customHeight="1" outlineLevel="1" x14ac:dyDescent="0.35">
      <c r="A1820" s="31" t="s">
        <v>63</v>
      </c>
      <c r="B1820" s="40" t="s">
        <v>64</v>
      </c>
      <c r="C1820" s="41">
        <v>0</v>
      </c>
      <c r="D1820" s="42"/>
      <c r="E1820" s="42"/>
      <c r="F1820" s="42"/>
      <c r="G1820" s="43"/>
      <c r="H1820" s="44"/>
      <c r="I1820" s="43"/>
      <c r="J1820" s="44"/>
      <c r="K1820" s="43"/>
      <c r="L1820" s="44">
        <v>0</v>
      </c>
    </row>
    <row r="1821" spans="1:12" s="39" customFormat="1" ht="15.45" customHeight="1" outlineLevel="1" x14ac:dyDescent="0.25">
      <c r="A1821" s="33">
        <v>1</v>
      </c>
      <c r="B1821" s="34" t="s">
        <v>41</v>
      </c>
      <c r="C1821" s="35" t="s">
        <v>66</v>
      </c>
      <c r="D1821" s="36">
        <v>2.5</v>
      </c>
      <c r="E1821" s="36">
        <v>36.616</v>
      </c>
      <c r="F1821" s="36">
        <f t="shared" ref="F1821:F1828" si="410">+E1821*D1821</f>
        <v>91.539999999999992</v>
      </c>
      <c r="G1821" s="37">
        <f t="shared" ref="G1821:H1828" si="411">I1821+K1821</f>
        <v>0</v>
      </c>
      <c r="H1821" s="38">
        <f t="shared" si="411"/>
        <v>0</v>
      </c>
      <c r="I1821" s="37">
        <f t="shared" ref="I1821:I1828" si="412">J1821/F1821</f>
        <v>0</v>
      </c>
      <c r="J1821" s="38">
        <v>0</v>
      </c>
      <c r="K1821" s="37">
        <f t="shared" ref="K1821:K1828" si="413">L1821/F1821</f>
        <v>0</v>
      </c>
      <c r="L1821" s="38">
        <v>0</v>
      </c>
    </row>
    <row r="1822" spans="1:12" s="39" customFormat="1" ht="15.45" customHeight="1" outlineLevel="1" x14ac:dyDescent="0.25">
      <c r="A1822" s="33">
        <v>2</v>
      </c>
      <c r="B1822" s="34" t="s">
        <v>833</v>
      </c>
      <c r="C1822" s="35" t="s">
        <v>66</v>
      </c>
      <c r="D1822" s="36">
        <v>2.3039999999999998</v>
      </c>
      <c r="E1822" s="36">
        <v>99.24</v>
      </c>
      <c r="F1822" s="36">
        <f t="shared" si="410"/>
        <v>228.64895999999996</v>
      </c>
      <c r="G1822" s="37">
        <f t="shared" si="411"/>
        <v>0</v>
      </c>
      <c r="H1822" s="38">
        <f t="shared" si="411"/>
        <v>0</v>
      </c>
      <c r="I1822" s="37">
        <f t="shared" si="412"/>
        <v>0</v>
      </c>
      <c r="J1822" s="38">
        <v>0</v>
      </c>
      <c r="K1822" s="37">
        <f t="shared" si="413"/>
        <v>0</v>
      </c>
      <c r="L1822" s="38">
        <v>0</v>
      </c>
    </row>
    <row r="1823" spans="1:12" s="39" customFormat="1" ht="15.45" customHeight="1" outlineLevel="1" x14ac:dyDescent="0.25">
      <c r="A1823" s="33">
        <v>3</v>
      </c>
      <c r="B1823" s="34" t="s">
        <v>947</v>
      </c>
      <c r="C1823" s="35" t="s">
        <v>66</v>
      </c>
      <c r="D1823" s="36">
        <v>8.4600000000000009</v>
      </c>
      <c r="E1823" s="36">
        <v>117.2572</v>
      </c>
      <c r="F1823" s="36">
        <f t="shared" si="410"/>
        <v>991.99591200000009</v>
      </c>
      <c r="G1823" s="37">
        <f t="shared" si="411"/>
        <v>0</v>
      </c>
      <c r="H1823" s="38">
        <f t="shared" si="411"/>
        <v>0</v>
      </c>
      <c r="I1823" s="37">
        <f t="shared" si="412"/>
        <v>0</v>
      </c>
      <c r="J1823" s="38">
        <v>0</v>
      </c>
      <c r="K1823" s="37">
        <f t="shared" si="413"/>
        <v>0</v>
      </c>
      <c r="L1823" s="38">
        <v>0</v>
      </c>
    </row>
    <row r="1824" spans="1:12" s="39" customFormat="1" ht="15.45" customHeight="1" outlineLevel="1" x14ac:dyDescent="0.25">
      <c r="A1824" s="33">
        <v>4</v>
      </c>
      <c r="B1824" s="34" t="s">
        <v>45</v>
      </c>
      <c r="C1824" s="35" t="s">
        <v>30</v>
      </c>
      <c r="D1824" s="36">
        <v>3.7999999999999999E-2</v>
      </c>
      <c r="E1824" s="36">
        <v>1325.1</v>
      </c>
      <c r="F1824" s="36">
        <f t="shared" si="410"/>
        <v>50.353799999999993</v>
      </c>
      <c r="G1824" s="37">
        <f t="shared" si="411"/>
        <v>0</v>
      </c>
      <c r="H1824" s="38">
        <f t="shared" si="411"/>
        <v>0</v>
      </c>
      <c r="I1824" s="37">
        <f t="shared" si="412"/>
        <v>0</v>
      </c>
      <c r="J1824" s="38">
        <v>0</v>
      </c>
      <c r="K1824" s="37">
        <f t="shared" si="413"/>
        <v>0</v>
      </c>
      <c r="L1824" s="38">
        <v>0</v>
      </c>
    </row>
    <row r="1825" spans="1:12" s="39" customFormat="1" ht="15.45" customHeight="1" outlineLevel="1" x14ac:dyDescent="0.25">
      <c r="A1825" s="33">
        <v>5</v>
      </c>
      <c r="B1825" s="34" t="s">
        <v>46</v>
      </c>
      <c r="C1825" s="35" t="s">
        <v>30</v>
      </c>
      <c r="D1825" s="36">
        <v>0.54</v>
      </c>
      <c r="E1825" s="36">
        <v>1200.0999999999999</v>
      </c>
      <c r="F1825" s="36">
        <f t="shared" si="410"/>
        <v>648.05399999999997</v>
      </c>
      <c r="G1825" s="37">
        <f t="shared" si="411"/>
        <v>0</v>
      </c>
      <c r="H1825" s="38">
        <f t="shared" si="411"/>
        <v>0</v>
      </c>
      <c r="I1825" s="37">
        <f t="shared" si="412"/>
        <v>0</v>
      </c>
      <c r="J1825" s="38">
        <v>0</v>
      </c>
      <c r="K1825" s="37">
        <f t="shared" si="413"/>
        <v>0</v>
      </c>
      <c r="L1825" s="38">
        <v>0</v>
      </c>
    </row>
    <row r="1826" spans="1:12" s="39" customFormat="1" ht="28.95" customHeight="1" outlineLevel="1" x14ac:dyDescent="0.25">
      <c r="A1826" s="33">
        <v>7</v>
      </c>
      <c r="B1826" s="34" t="s">
        <v>949</v>
      </c>
      <c r="C1826" s="35" t="s">
        <v>106</v>
      </c>
      <c r="D1826" s="36">
        <v>39.200000000000003</v>
      </c>
      <c r="E1826" s="36">
        <v>12.115600000000001</v>
      </c>
      <c r="F1826" s="36">
        <f t="shared" si="410"/>
        <v>474.93152000000003</v>
      </c>
      <c r="G1826" s="37">
        <f t="shared" si="411"/>
        <v>0</v>
      </c>
      <c r="H1826" s="38">
        <f t="shared" si="411"/>
        <v>0</v>
      </c>
      <c r="I1826" s="37">
        <f t="shared" si="412"/>
        <v>0</v>
      </c>
      <c r="J1826" s="38">
        <v>0</v>
      </c>
      <c r="K1826" s="37">
        <f t="shared" si="413"/>
        <v>0</v>
      </c>
      <c r="L1826" s="38">
        <v>0</v>
      </c>
    </row>
    <row r="1827" spans="1:12" s="39" customFormat="1" ht="15.45" customHeight="1" outlineLevel="1" x14ac:dyDescent="0.25">
      <c r="A1827" s="33">
        <v>8</v>
      </c>
      <c r="B1827" s="34" t="s">
        <v>264</v>
      </c>
      <c r="C1827" s="35" t="s">
        <v>106</v>
      </c>
      <c r="D1827" s="36">
        <v>0.36</v>
      </c>
      <c r="E1827" s="36">
        <v>178.6</v>
      </c>
      <c r="F1827" s="36">
        <f t="shared" si="410"/>
        <v>64.295999999999992</v>
      </c>
      <c r="G1827" s="37">
        <f t="shared" si="411"/>
        <v>0</v>
      </c>
      <c r="H1827" s="38">
        <f t="shared" si="411"/>
        <v>0</v>
      </c>
      <c r="I1827" s="37">
        <f t="shared" si="412"/>
        <v>0</v>
      </c>
      <c r="J1827" s="38">
        <v>0</v>
      </c>
      <c r="K1827" s="37">
        <f t="shared" si="413"/>
        <v>0</v>
      </c>
      <c r="L1827" s="38">
        <v>0</v>
      </c>
    </row>
    <row r="1828" spans="1:12" s="39" customFormat="1" ht="28.95" customHeight="1" outlineLevel="1" x14ac:dyDescent="0.25">
      <c r="A1828" s="33">
        <v>9</v>
      </c>
      <c r="B1828" s="34" t="s">
        <v>1171</v>
      </c>
      <c r="C1828" s="35" t="s">
        <v>30</v>
      </c>
      <c r="D1828" s="36">
        <v>1.0999999999999999E-2</v>
      </c>
      <c r="E1828" s="36">
        <v>4201.0108</v>
      </c>
      <c r="F1828" s="36">
        <f t="shared" si="410"/>
        <v>46.211118799999994</v>
      </c>
      <c r="G1828" s="37">
        <f t="shared" si="411"/>
        <v>0</v>
      </c>
      <c r="H1828" s="38">
        <f t="shared" si="411"/>
        <v>0</v>
      </c>
      <c r="I1828" s="37">
        <f t="shared" si="412"/>
        <v>0</v>
      </c>
      <c r="J1828" s="38">
        <v>0</v>
      </c>
      <c r="K1828" s="37">
        <f t="shared" si="413"/>
        <v>0</v>
      </c>
      <c r="L1828" s="38">
        <v>0</v>
      </c>
    </row>
    <row r="1829" spans="1:12" s="39" customFormat="1" ht="15.45" customHeight="1" outlineLevel="1" x14ac:dyDescent="0.25">
      <c r="A1829" s="31" t="s">
        <v>1172</v>
      </c>
      <c r="B1829" s="40" t="s">
        <v>1173</v>
      </c>
      <c r="C1829" s="41">
        <v>0</v>
      </c>
      <c r="D1829" s="42"/>
      <c r="E1829" s="42"/>
      <c r="F1829" s="42"/>
      <c r="G1829" s="43"/>
      <c r="H1829" s="44"/>
      <c r="I1829" s="43"/>
      <c r="J1829" s="44"/>
      <c r="K1829" s="43"/>
      <c r="L1829" s="44">
        <v>0</v>
      </c>
    </row>
    <row r="1830" spans="1:12" s="39" customFormat="1" ht="15.45" customHeight="1" outlineLevel="1" x14ac:dyDescent="0.25">
      <c r="A1830" s="33">
        <v>1</v>
      </c>
      <c r="B1830" s="34" t="s">
        <v>1174</v>
      </c>
      <c r="C1830" s="35" t="s">
        <v>66</v>
      </c>
      <c r="D1830" s="36">
        <v>0.32</v>
      </c>
      <c r="E1830" s="36">
        <v>234.60820000000001</v>
      </c>
      <c r="F1830" s="36">
        <f t="shared" ref="F1830:F1835" si="414">+E1830*D1830</f>
        <v>75.074624</v>
      </c>
      <c r="G1830" s="37">
        <f t="shared" ref="G1830:H1835" si="415">I1830+K1830</f>
        <v>0</v>
      </c>
      <c r="H1830" s="38">
        <f t="shared" si="415"/>
        <v>0</v>
      </c>
      <c r="I1830" s="37">
        <f t="shared" ref="I1830:I1835" si="416">J1830/F1830</f>
        <v>0</v>
      </c>
      <c r="J1830" s="38">
        <v>0</v>
      </c>
      <c r="K1830" s="37">
        <f t="shared" ref="K1830:K1835" si="417">L1830/F1830</f>
        <v>0</v>
      </c>
      <c r="L1830" s="38">
        <v>0</v>
      </c>
    </row>
    <row r="1831" spans="1:12" s="39" customFormat="1" ht="15.45" customHeight="1" outlineLevel="1" x14ac:dyDescent="0.25">
      <c r="A1831" s="33">
        <v>2</v>
      </c>
      <c r="B1831" s="34" t="s">
        <v>45</v>
      </c>
      <c r="C1831" s="35" t="s">
        <v>30</v>
      </c>
      <c r="D1831" s="36">
        <v>4.4999999999999998E-2</v>
      </c>
      <c r="E1831" s="36">
        <v>1325.1</v>
      </c>
      <c r="F1831" s="36">
        <f t="shared" si="414"/>
        <v>59.629499999999993</v>
      </c>
      <c r="G1831" s="37">
        <f t="shared" si="415"/>
        <v>0</v>
      </c>
      <c r="H1831" s="38">
        <f t="shared" si="415"/>
        <v>0</v>
      </c>
      <c r="I1831" s="37">
        <f t="shared" si="416"/>
        <v>0</v>
      </c>
      <c r="J1831" s="38">
        <v>0</v>
      </c>
      <c r="K1831" s="37">
        <f t="shared" si="417"/>
        <v>0</v>
      </c>
      <c r="L1831" s="38">
        <v>0</v>
      </c>
    </row>
    <row r="1832" spans="1:12" s="46" customFormat="1" ht="15.45" customHeight="1" outlineLevel="1" x14ac:dyDescent="0.35">
      <c r="A1832" s="33">
        <v>3</v>
      </c>
      <c r="B1832" s="34" t="s">
        <v>46</v>
      </c>
      <c r="C1832" s="35" t="s">
        <v>30</v>
      </c>
      <c r="D1832" s="36">
        <v>6.6000000000000003E-2</v>
      </c>
      <c r="E1832" s="36">
        <v>1200.0999999999999</v>
      </c>
      <c r="F1832" s="36">
        <f t="shared" si="414"/>
        <v>79.206599999999995</v>
      </c>
      <c r="G1832" s="37">
        <f t="shared" si="415"/>
        <v>0</v>
      </c>
      <c r="H1832" s="38">
        <f t="shared" si="415"/>
        <v>0</v>
      </c>
      <c r="I1832" s="37">
        <f t="shared" si="416"/>
        <v>0</v>
      </c>
      <c r="J1832" s="38">
        <v>0</v>
      </c>
      <c r="K1832" s="37">
        <f t="shared" si="417"/>
        <v>0</v>
      </c>
      <c r="L1832" s="38">
        <v>0</v>
      </c>
    </row>
    <row r="1833" spans="1:12" s="39" customFormat="1" ht="28.95" customHeight="1" outlineLevel="1" x14ac:dyDescent="0.25">
      <c r="A1833" s="33">
        <v>4</v>
      </c>
      <c r="B1833" s="34" t="s">
        <v>1175</v>
      </c>
      <c r="C1833" s="35" t="s">
        <v>66</v>
      </c>
      <c r="D1833" s="36">
        <v>2.91</v>
      </c>
      <c r="E1833" s="36">
        <v>255</v>
      </c>
      <c r="F1833" s="36">
        <f t="shared" si="414"/>
        <v>742.05000000000007</v>
      </c>
      <c r="G1833" s="37">
        <f t="shared" si="415"/>
        <v>0</v>
      </c>
      <c r="H1833" s="38">
        <f t="shared" si="415"/>
        <v>0</v>
      </c>
      <c r="I1833" s="37">
        <f t="shared" si="416"/>
        <v>0</v>
      </c>
      <c r="J1833" s="38">
        <v>0</v>
      </c>
      <c r="K1833" s="37">
        <f t="shared" si="417"/>
        <v>0</v>
      </c>
      <c r="L1833" s="38">
        <v>0</v>
      </c>
    </row>
    <row r="1834" spans="1:12" s="39" customFormat="1" ht="15.45" customHeight="1" outlineLevel="1" x14ac:dyDescent="0.25">
      <c r="A1834" s="33">
        <v>5</v>
      </c>
      <c r="B1834" s="34" t="s">
        <v>45</v>
      </c>
      <c r="C1834" s="35" t="s">
        <v>30</v>
      </c>
      <c r="D1834" s="36">
        <v>1.7000000000000001E-2</v>
      </c>
      <c r="E1834" s="36">
        <v>1325.1</v>
      </c>
      <c r="F1834" s="36">
        <f t="shared" si="414"/>
        <v>22.526700000000002</v>
      </c>
      <c r="G1834" s="37">
        <f t="shared" si="415"/>
        <v>0</v>
      </c>
      <c r="H1834" s="38">
        <f t="shared" si="415"/>
        <v>0</v>
      </c>
      <c r="I1834" s="37">
        <f t="shared" si="416"/>
        <v>0</v>
      </c>
      <c r="J1834" s="38">
        <v>0</v>
      </c>
      <c r="K1834" s="37">
        <f t="shared" si="417"/>
        <v>0</v>
      </c>
      <c r="L1834" s="38">
        <v>0</v>
      </c>
    </row>
    <row r="1835" spans="1:12" s="45" customFormat="1" ht="15.45" customHeight="1" x14ac:dyDescent="0.3">
      <c r="A1835" s="33">
        <v>0</v>
      </c>
      <c r="B1835" s="34" t="s">
        <v>46</v>
      </c>
      <c r="C1835" s="35" t="s">
        <v>30</v>
      </c>
      <c r="D1835" s="36">
        <v>0.30099999999999999</v>
      </c>
      <c r="E1835" s="36">
        <v>1200.0999999999999</v>
      </c>
      <c r="F1835" s="36">
        <f t="shared" si="414"/>
        <v>361.23009999999994</v>
      </c>
      <c r="G1835" s="37">
        <f t="shared" si="415"/>
        <v>0</v>
      </c>
      <c r="H1835" s="38">
        <f t="shared" si="415"/>
        <v>0</v>
      </c>
      <c r="I1835" s="37">
        <f t="shared" si="416"/>
        <v>0</v>
      </c>
      <c r="J1835" s="38">
        <v>0</v>
      </c>
      <c r="K1835" s="37">
        <f t="shared" si="417"/>
        <v>0</v>
      </c>
      <c r="L1835" s="38">
        <v>0</v>
      </c>
    </row>
    <row r="1836" spans="1:12" s="46" customFormat="1" ht="15.45" customHeight="1" outlineLevel="1" x14ac:dyDescent="0.35">
      <c r="A1836" s="31" t="s">
        <v>1176</v>
      </c>
      <c r="B1836" s="40" t="s">
        <v>1177</v>
      </c>
      <c r="C1836" s="41">
        <v>0</v>
      </c>
      <c r="D1836" s="42"/>
      <c r="E1836" s="42"/>
      <c r="F1836" s="42"/>
      <c r="G1836" s="43"/>
      <c r="H1836" s="44"/>
      <c r="I1836" s="43"/>
      <c r="J1836" s="44"/>
      <c r="K1836" s="43"/>
      <c r="L1836" s="44">
        <v>0</v>
      </c>
    </row>
    <row r="1837" spans="1:12" s="39" customFormat="1" ht="28.95" customHeight="1" outlineLevel="1" x14ac:dyDescent="0.25">
      <c r="A1837" s="33">
        <v>1</v>
      </c>
      <c r="B1837" s="34" t="s">
        <v>255</v>
      </c>
      <c r="C1837" s="35" t="s">
        <v>106</v>
      </c>
      <c r="D1837" s="36">
        <v>33.1</v>
      </c>
      <c r="E1837" s="36">
        <v>41.92</v>
      </c>
      <c r="F1837" s="36">
        <f>+E1837*D1837</f>
        <v>1387.5520000000001</v>
      </c>
      <c r="G1837" s="37">
        <f t="shared" ref="G1837:H1840" si="418">I1837+K1837</f>
        <v>0</v>
      </c>
      <c r="H1837" s="38">
        <f t="shared" si="418"/>
        <v>0</v>
      </c>
      <c r="I1837" s="37">
        <f>J1837/F1837</f>
        <v>0</v>
      </c>
      <c r="J1837" s="38">
        <v>0</v>
      </c>
      <c r="K1837" s="37">
        <f>L1837/F1837</f>
        <v>0</v>
      </c>
      <c r="L1837" s="38">
        <v>0</v>
      </c>
    </row>
    <row r="1838" spans="1:12" s="39" customFormat="1" ht="15.45" customHeight="1" outlineLevel="1" x14ac:dyDescent="0.25">
      <c r="A1838" s="33">
        <v>2</v>
      </c>
      <c r="B1838" s="34" t="s">
        <v>259</v>
      </c>
      <c r="C1838" s="35" t="s">
        <v>30</v>
      </c>
      <c r="D1838" s="36">
        <v>0.111</v>
      </c>
      <c r="E1838" s="36">
        <v>2150</v>
      </c>
      <c r="F1838" s="36">
        <f>+E1838*D1838</f>
        <v>238.65</v>
      </c>
      <c r="G1838" s="37">
        <f t="shared" si="418"/>
        <v>0</v>
      </c>
      <c r="H1838" s="38">
        <f t="shared" si="418"/>
        <v>0</v>
      </c>
      <c r="I1838" s="37">
        <f>J1838/F1838</f>
        <v>0</v>
      </c>
      <c r="J1838" s="38">
        <v>0</v>
      </c>
      <c r="K1838" s="37">
        <f>L1838/F1838</f>
        <v>0</v>
      </c>
      <c r="L1838" s="38">
        <v>0</v>
      </c>
    </row>
    <row r="1839" spans="1:12" s="39" customFormat="1" ht="15.45" customHeight="1" outlineLevel="1" x14ac:dyDescent="0.25">
      <c r="A1839" s="33">
        <v>3</v>
      </c>
      <c r="B1839" s="34" t="s">
        <v>274</v>
      </c>
      <c r="C1839" s="35" t="s">
        <v>55</v>
      </c>
      <c r="D1839" s="36">
        <v>3</v>
      </c>
      <c r="E1839" s="36">
        <v>40.9</v>
      </c>
      <c r="F1839" s="36">
        <f>+E1839*D1839</f>
        <v>122.69999999999999</v>
      </c>
      <c r="G1839" s="37">
        <f t="shared" si="418"/>
        <v>0</v>
      </c>
      <c r="H1839" s="38">
        <f t="shared" si="418"/>
        <v>0</v>
      </c>
      <c r="I1839" s="37">
        <f>J1839/F1839</f>
        <v>0</v>
      </c>
      <c r="J1839" s="38">
        <v>0</v>
      </c>
      <c r="K1839" s="37">
        <f>L1839/F1839</f>
        <v>0</v>
      </c>
      <c r="L1839" s="38">
        <v>0</v>
      </c>
    </row>
    <row r="1840" spans="1:12" s="39" customFormat="1" ht="15.45" customHeight="1" outlineLevel="1" x14ac:dyDescent="0.25">
      <c r="A1840" s="33">
        <v>4</v>
      </c>
      <c r="B1840" s="34" t="s">
        <v>784</v>
      </c>
      <c r="C1840" s="35" t="s">
        <v>55</v>
      </c>
      <c r="D1840" s="36">
        <v>3</v>
      </c>
      <c r="E1840" s="36">
        <v>55.902200000000001</v>
      </c>
      <c r="F1840" s="36">
        <f>+E1840*D1840</f>
        <v>167.70660000000001</v>
      </c>
      <c r="G1840" s="37">
        <f t="shared" si="418"/>
        <v>0</v>
      </c>
      <c r="H1840" s="38">
        <f t="shared" si="418"/>
        <v>0</v>
      </c>
      <c r="I1840" s="37">
        <f>J1840/F1840</f>
        <v>0</v>
      </c>
      <c r="J1840" s="38">
        <v>0</v>
      </c>
      <c r="K1840" s="37">
        <f>L1840/F1840</f>
        <v>0</v>
      </c>
      <c r="L1840" s="38">
        <v>0</v>
      </c>
    </row>
    <row r="1841" spans="1:12" s="39" customFormat="1" ht="15.45" customHeight="1" outlineLevel="1" x14ac:dyDescent="0.25">
      <c r="A1841" s="31" t="s">
        <v>210</v>
      </c>
      <c r="B1841" s="40" t="s">
        <v>211</v>
      </c>
      <c r="C1841" s="41">
        <v>0</v>
      </c>
      <c r="D1841" s="42"/>
      <c r="E1841" s="42"/>
      <c r="F1841" s="42"/>
      <c r="G1841" s="43"/>
      <c r="H1841" s="44"/>
      <c r="I1841" s="43"/>
      <c r="J1841" s="44"/>
      <c r="K1841" s="43"/>
      <c r="L1841" s="44">
        <v>0</v>
      </c>
    </row>
    <row r="1842" spans="1:12" s="39" customFormat="1" ht="15.45" customHeight="1" outlineLevel="1" x14ac:dyDescent="0.25">
      <c r="A1842" s="33">
        <v>1</v>
      </c>
      <c r="B1842" s="34" t="s">
        <v>264</v>
      </c>
      <c r="C1842" s="35" t="s">
        <v>106</v>
      </c>
      <c r="D1842" s="36">
        <v>2.2000000000000002</v>
      </c>
      <c r="E1842" s="36">
        <v>178.6</v>
      </c>
      <c r="F1842" s="36">
        <f>+E1842*D1842</f>
        <v>392.92</v>
      </c>
      <c r="G1842" s="37">
        <f t="shared" ref="G1842:H1844" si="419">I1842+K1842</f>
        <v>0</v>
      </c>
      <c r="H1842" s="38">
        <f t="shared" si="419"/>
        <v>0</v>
      </c>
      <c r="I1842" s="37">
        <f>J1842/F1842</f>
        <v>0</v>
      </c>
      <c r="J1842" s="38">
        <v>0</v>
      </c>
      <c r="K1842" s="37">
        <f>L1842/F1842</f>
        <v>0</v>
      </c>
      <c r="L1842" s="38">
        <v>0</v>
      </c>
    </row>
    <row r="1843" spans="1:12" s="39" customFormat="1" ht="15.45" customHeight="1" outlineLevel="1" x14ac:dyDescent="0.25">
      <c r="A1843" s="33">
        <v>2</v>
      </c>
      <c r="B1843" s="34" t="s">
        <v>1178</v>
      </c>
      <c r="C1843" s="35" t="s">
        <v>55</v>
      </c>
      <c r="D1843" s="36">
        <v>1</v>
      </c>
      <c r="E1843" s="36">
        <v>19.663599999999999</v>
      </c>
      <c r="F1843" s="36">
        <f>+E1843*D1843</f>
        <v>19.663599999999999</v>
      </c>
      <c r="G1843" s="37">
        <f t="shared" si="419"/>
        <v>0</v>
      </c>
      <c r="H1843" s="38">
        <f t="shared" si="419"/>
        <v>0</v>
      </c>
      <c r="I1843" s="37">
        <f>J1843/F1843</f>
        <v>0</v>
      </c>
      <c r="J1843" s="38">
        <v>0</v>
      </c>
      <c r="K1843" s="37">
        <f>L1843/F1843</f>
        <v>0</v>
      </c>
      <c r="L1843" s="38">
        <v>0</v>
      </c>
    </row>
    <row r="1844" spans="1:12" s="39" customFormat="1" ht="43.5" customHeight="1" outlineLevel="1" x14ac:dyDescent="0.25">
      <c r="A1844" s="33">
        <v>4</v>
      </c>
      <c r="B1844" s="34" t="s">
        <v>1179</v>
      </c>
      <c r="C1844" s="35" t="s">
        <v>106</v>
      </c>
      <c r="D1844" s="36">
        <v>3.12</v>
      </c>
      <c r="E1844" s="36">
        <v>168.80799999999999</v>
      </c>
      <c r="F1844" s="36">
        <f>+E1844*D1844</f>
        <v>526.68096000000003</v>
      </c>
      <c r="G1844" s="37">
        <f t="shared" si="419"/>
        <v>0</v>
      </c>
      <c r="H1844" s="38">
        <f t="shared" si="419"/>
        <v>0</v>
      </c>
      <c r="I1844" s="37">
        <f>J1844/F1844</f>
        <v>0</v>
      </c>
      <c r="J1844" s="38">
        <v>0</v>
      </c>
      <c r="K1844" s="37">
        <f>L1844/F1844</f>
        <v>0</v>
      </c>
      <c r="L1844" s="38">
        <v>0</v>
      </c>
    </row>
    <row r="1845" spans="1:12" s="39" customFormat="1" ht="15.45" customHeight="1" outlineLevel="1" x14ac:dyDescent="0.25">
      <c r="A1845" s="31" t="s">
        <v>1180</v>
      </c>
      <c r="B1845" s="40" t="s">
        <v>1181</v>
      </c>
      <c r="C1845" s="41">
        <v>0</v>
      </c>
      <c r="D1845" s="42"/>
      <c r="E1845" s="42"/>
      <c r="F1845" s="42"/>
      <c r="G1845" s="43"/>
      <c r="H1845" s="44"/>
      <c r="I1845" s="43"/>
      <c r="J1845" s="44"/>
      <c r="K1845" s="43"/>
      <c r="L1845" s="44">
        <v>0</v>
      </c>
    </row>
    <row r="1846" spans="1:12" s="39" customFormat="1" ht="15.45" customHeight="1" outlineLevel="1" x14ac:dyDescent="0.25">
      <c r="A1846" s="33">
        <v>1</v>
      </c>
      <c r="B1846" s="34" t="s">
        <v>1182</v>
      </c>
      <c r="C1846" s="35" t="s">
        <v>106</v>
      </c>
      <c r="D1846" s="36">
        <v>16</v>
      </c>
      <c r="E1846" s="36">
        <v>5.4732580000000004</v>
      </c>
      <c r="F1846" s="36">
        <f>+E1846*D1846</f>
        <v>87.572128000000006</v>
      </c>
      <c r="G1846" s="37">
        <f t="shared" ref="G1846:H1848" si="420">I1846+K1846</f>
        <v>0</v>
      </c>
      <c r="H1846" s="38">
        <f t="shared" si="420"/>
        <v>0</v>
      </c>
      <c r="I1846" s="37">
        <f>J1846/F1846</f>
        <v>0</v>
      </c>
      <c r="J1846" s="38">
        <v>0</v>
      </c>
      <c r="K1846" s="37">
        <f>L1846/F1846</f>
        <v>0</v>
      </c>
      <c r="L1846" s="38">
        <v>0</v>
      </c>
    </row>
    <row r="1847" spans="1:12" s="39" customFormat="1" ht="15.45" customHeight="1" outlineLevel="1" x14ac:dyDescent="0.25">
      <c r="A1847" s="33">
        <v>2</v>
      </c>
      <c r="B1847" s="34" t="s">
        <v>279</v>
      </c>
      <c r="C1847" s="35" t="s">
        <v>106</v>
      </c>
      <c r="D1847" s="36">
        <v>16</v>
      </c>
      <c r="E1847" s="36">
        <v>1.4259999999999999</v>
      </c>
      <c r="F1847" s="36">
        <f>+E1847*D1847</f>
        <v>22.815999999999999</v>
      </c>
      <c r="G1847" s="37">
        <f t="shared" si="420"/>
        <v>0</v>
      </c>
      <c r="H1847" s="38">
        <f t="shared" si="420"/>
        <v>0</v>
      </c>
      <c r="I1847" s="37">
        <f>J1847/F1847</f>
        <v>0</v>
      </c>
      <c r="J1847" s="38">
        <v>0</v>
      </c>
      <c r="K1847" s="37">
        <f>L1847/F1847</f>
        <v>0</v>
      </c>
      <c r="L1847" s="38">
        <v>0</v>
      </c>
    </row>
    <row r="1848" spans="1:12" s="39" customFormat="1" ht="28.95" customHeight="1" outlineLevel="1" x14ac:dyDescent="0.25">
      <c r="A1848" s="33">
        <v>3</v>
      </c>
      <c r="B1848" s="34" t="s">
        <v>962</v>
      </c>
      <c r="C1848" s="35" t="s">
        <v>106</v>
      </c>
      <c r="D1848" s="36">
        <v>16</v>
      </c>
      <c r="E1848" s="36">
        <v>32.403399999999998</v>
      </c>
      <c r="F1848" s="36">
        <f>+E1848*D1848</f>
        <v>518.45439999999996</v>
      </c>
      <c r="G1848" s="37">
        <f t="shared" si="420"/>
        <v>0</v>
      </c>
      <c r="H1848" s="38">
        <f t="shared" si="420"/>
        <v>0</v>
      </c>
      <c r="I1848" s="37">
        <f>J1848/F1848</f>
        <v>0</v>
      </c>
      <c r="J1848" s="38">
        <v>0</v>
      </c>
      <c r="K1848" s="37">
        <f>L1848/F1848</f>
        <v>0</v>
      </c>
      <c r="L1848" s="38">
        <v>0</v>
      </c>
    </row>
    <row r="1849" spans="1:12" s="39" customFormat="1" ht="15.45" customHeight="1" outlineLevel="1" x14ac:dyDescent="0.25">
      <c r="A1849" s="31" t="s">
        <v>1183</v>
      </c>
      <c r="B1849" s="40" t="s">
        <v>1184</v>
      </c>
      <c r="C1849" s="41">
        <v>0</v>
      </c>
      <c r="D1849" s="42"/>
      <c r="E1849" s="42"/>
      <c r="F1849" s="42"/>
      <c r="G1849" s="43"/>
      <c r="H1849" s="44"/>
      <c r="I1849" s="43"/>
      <c r="J1849" s="44"/>
      <c r="K1849" s="43"/>
      <c r="L1849" s="44">
        <v>0</v>
      </c>
    </row>
    <row r="1850" spans="1:12" s="39" customFormat="1" ht="28.95" customHeight="1" outlineLevel="1" x14ac:dyDescent="0.25">
      <c r="A1850" s="33">
        <v>1</v>
      </c>
      <c r="B1850" s="34" t="s">
        <v>298</v>
      </c>
      <c r="C1850" s="35" t="s">
        <v>106</v>
      </c>
      <c r="D1850" s="36">
        <v>13</v>
      </c>
      <c r="E1850" s="36">
        <v>6.5157999999999996</v>
      </c>
      <c r="F1850" s="36">
        <f t="shared" ref="F1850:F1856" si="421">+E1850*D1850</f>
        <v>84.705399999999997</v>
      </c>
      <c r="G1850" s="37">
        <f t="shared" ref="G1850:H1856" si="422">I1850+K1850</f>
        <v>0</v>
      </c>
      <c r="H1850" s="38">
        <f t="shared" si="422"/>
        <v>0</v>
      </c>
      <c r="I1850" s="37">
        <f t="shared" ref="I1850:I1856" si="423">J1850/F1850</f>
        <v>0</v>
      </c>
      <c r="J1850" s="38">
        <v>0</v>
      </c>
      <c r="K1850" s="37">
        <f t="shared" ref="K1850:K1856" si="424">L1850/F1850</f>
        <v>0</v>
      </c>
      <c r="L1850" s="38">
        <v>0</v>
      </c>
    </row>
    <row r="1851" spans="1:12" s="39" customFormat="1" ht="28.95" customHeight="1" outlineLevel="1" x14ac:dyDescent="0.25">
      <c r="A1851" s="33">
        <v>2</v>
      </c>
      <c r="B1851" s="34" t="s">
        <v>301</v>
      </c>
      <c r="C1851" s="35" t="s">
        <v>106</v>
      </c>
      <c r="D1851" s="36">
        <v>13</v>
      </c>
      <c r="E1851" s="36">
        <v>5.71</v>
      </c>
      <c r="F1851" s="36">
        <f t="shared" si="421"/>
        <v>74.23</v>
      </c>
      <c r="G1851" s="37">
        <f t="shared" si="422"/>
        <v>0</v>
      </c>
      <c r="H1851" s="38">
        <f t="shared" si="422"/>
        <v>0</v>
      </c>
      <c r="I1851" s="37">
        <f t="shared" si="423"/>
        <v>0</v>
      </c>
      <c r="J1851" s="38">
        <v>0</v>
      </c>
      <c r="K1851" s="37">
        <f t="shared" si="424"/>
        <v>0</v>
      </c>
      <c r="L1851" s="38">
        <v>0</v>
      </c>
    </row>
    <row r="1852" spans="1:12" s="39" customFormat="1" ht="28.95" customHeight="1" outlineLevel="1" x14ac:dyDescent="0.25">
      <c r="A1852" s="33">
        <v>3</v>
      </c>
      <c r="B1852" s="34" t="s">
        <v>304</v>
      </c>
      <c r="C1852" s="35" t="s">
        <v>106</v>
      </c>
      <c r="D1852" s="36">
        <v>66.099999999999994</v>
      </c>
      <c r="E1852" s="36">
        <v>12.778600000000001</v>
      </c>
      <c r="F1852" s="36">
        <f t="shared" si="421"/>
        <v>844.66545999999994</v>
      </c>
      <c r="G1852" s="37">
        <f t="shared" si="422"/>
        <v>0</v>
      </c>
      <c r="H1852" s="38">
        <f t="shared" si="422"/>
        <v>0</v>
      </c>
      <c r="I1852" s="37">
        <f t="shared" si="423"/>
        <v>0</v>
      </c>
      <c r="J1852" s="38">
        <v>0</v>
      </c>
      <c r="K1852" s="37">
        <f t="shared" si="424"/>
        <v>0</v>
      </c>
      <c r="L1852" s="38">
        <v>0</v>
      </c>
    </row>
    <row r="1853" spans="1:12" s="39" customFormat="1" ht="28.95" customHeight="1" outlineLevel="1" x14ac:dyDescent="0.25">
      <c r="A1853" s="33">
        <v>4</v>
      </c>
      <c r="B1853" s="34" t="s">
        <v>1185</v>
      </c>
      <c r="C1853" s="35" t="s">
        <v>106</v>
      </c>
      <c r="D1853" s="36">
        <v>4.3600000000000003</v>
      </c>
      <c r="E1853" s="36">
        <v>27.956199999999999</v>
      </c>
      <c r="F1853" s="36">
        <f t="shared" si="421"/>
        <v>121.889032</v>
      </c>
      <c r="G1853" s="37">
        <f t="shared" si="422"/>
        <v>0</v>
      </c>
      <c r="H1853" s="38">
        <f t="shared" si="422"/>
        <v>0</v>
      </c>
      <c r="I1853" s="37">
        <f t="shared" si="423"/>
        <v>0</v>
      </c>
      <c r="J1853" s="38">
        <v>0</v>
      </c>
      <c r="K1853" s="37">
        <f t="shared" si="424"/>
        <v>0</v>
      </c>
      <c r="L1853" s="38">
        <v>0</v>
      </c>
    </row>
    <row r="1854" spans="1:12" s="39" customFormat="1" ht="28.95" customHeight="1" outlineLevel="1" x14ac:dyDescent="0.25">
      <c r="A1854" s="33">
        <v>5</v>
      </c>
      <c r="B1854" s="34" t="s">
        <v>1186</v>
      </c>
      <c r="C1854" s="35" t="s">
        <v>106</v>
      </c>
      <c r="D1854" s="36">
        <v>69.010000000000005</v>
      </c>
      <c r="E1854" s="36">
        <v>5.71</v>
      </c>
      <c r="F1854" s="36">
        <f t="shared" si="421"/>
        <v>394.0471</v>
      </c>
      <c r="G1854" s="37">
        <f t="shared" si="422"/>
        <v>0</v>
      </c>
      <c r="H1854" s="38">
        <f t="shared" si="422"/>
        <v>0</v>
      </c>
      <c r="I1854" s="37">
        <f t="shared" si="423"/>
        <v>0</v>
      </c>
      <c r="J1854" s="38">
        <v>0</v>
      </c>
      <c r="K1854" s="37">
        <f t="shared" si="424"/>
        <v>0</v>
      </c>
      <c r="L1854" s="38">
        <v>0</v>
      </c>
    </row>
    <row r="1855" spans="1:12" s="39" customFormat="1" ht="15.45" customHeight="1" outlineLevel="1" x14ac:dyDescent="0.25">
      <c r="A1855" s="33">
        <v>6</v>
      </c>
      <c r="B1855" s="34" t="s">
        <v>310</v>
      </c>
      <c r="C1855" s="35" t="s">
        <v>106</v>
      </c>
      <c r="D1855" s="36">
        <v>63.4</v>
      </c>
      <c r="E1855" s="36">
        <v>10.320399999999999</v>
      </c>
      <c r="F1855" s="36">
        <f t="shared" si="421"/>
        <v>654.31335999999999</v>
      </c>
      <c r="G1855" s="37">
        <f t="shared" si="422"/>
        <v>0</v>
      </c>
      <c r="H1855" s="38">
        <f t="shared" si="422"/>
        <v>0</v>
      </c>
      <c r="I1855" s="37">
        <f t="shared" si="423"/>
        <v>0</v>
      </c>
      <c r="J1855" s="38">
        <v>0</v>
      </c>
      <c r="K1855" s="37">
        <f t="shared" si="424"/>
        <v>0</v>
      </c>
      <c r="L1855" s="38">
        <v>0</v>
      </c>
    </row>
    <row r="1856" spans="1:12" s="39" customFormat="1" ht="28.95" customHeight="1" outlineLevel="1" x14ac:dyDescent="0.25">
      <c r="A1856" s="33">
        <v>7</v>
      </c>
      <c r="B1856" s="34" t="s">
        <v>1187</v>
      </c>
      <c r="C1856" s="35" t="s">
        <v>106</v>
      </c>
      <c r="D1856" s="36">
        <v>64.849999999999994</v>
      </c>
      <c r="E1856" s="36">
        <v>4.9857999999999993</v>
      </c>
      <c r="F1856" s="36">
        <f t="shared" si="421"/>
        <v>323.32912999999991</v>
      </c>
      <c r="G1856" s="37">
        <f t="shared" si="422"/>
        <v>0</v>
      </c>
      <c r="H1856" s="38">
        <f t="shared" si="422"/>
        <v>0</v>
      </c>
      <c r="I1856" s="37">
        <f t="shared" si="423"/>
        <v>0</v>
      </c>
      <c r="J1856" s="38">
        <v>0</v>
      </c>
      <c r="K1856" s="37">
        <f t="shared" si="424"/>
        <v>0</v>
      </c>
      <c r="L1856" s="38">
        <v>0</v>
      </c>
    </row>
    <row r="1857" spans="1:12" s="45" customFormat="1" ht="15.45" customHeight="1" x14ac:dyDescent="0.3">
      <c r="A1857" s="31" t="s">
        <v>1188</v>
      </c>
      <c r="B1857" s="40" t="s">
        <v>1189</v>
      </c>
      <c r="C1857" s="41">
        <v>0</v>
      </c>
      <c r="D1857" s="42"/>
      <c r="E1857" s="42"/>
      <c r="F1857" s="42"/>
      <c r="G1857" s="43"/>
      <c r="H1857" s="44"/>
      <c r="I1857" s="43"/>
      <c r="J1857" s="44"/>
      <c r="K1857" s="43"/>
      <c r="L1857" s="44">
        <v>0</v>
      </c>
    </row>
    <row r="1858" spans="1:12" s="39" customFormat="1" ht="28.95" customHeight="1" outlineLevel="1" x14ac:dyDescent="0.25">
      <c r="A1858" s="33">
        <v>1</v>
      </c>
      <c r="B1858" s="34" t="s">
        <v>1190</v>
      </c>
      <c r="C1858" s="35" t="s">
        <v>30</v>
      </c>
      <c r="D1858" s="36">
        <v>0.33700000000000002</v>
      </c>
      <c r="E1858" s="36">
        <v>3264.1</v>
      </c>
      <c r="F1858" s="36">
        <f>+E1858*D1858</f>
        <v>1100.0017</v>
      </c>
      <c r="G1858" s="37">
        <f t="shared" ref="G1858:H1862" si="425">I1858+K1858</f>
        <v>0</v>
      </c>
      <c r="H1858" s="38">
        <f t="shared" si="425"/>
        <v>0</v>
      </c>
      <c r="I1858" s="37">
        <f>J1858/F1858</f>
        <v>0</v>
      </c>
      <c r="J1858" s="38">
        <v>0</v>
      </c>
      <c r="K1858" s="37">
        <f>L1858/F1858</f>
        <v>0</v>
      </c>
      <c r="L1858" s="38">
        <v>0</v>
      </c>
    </row>
    <row r="1859" spans="1:12" s="39" customFormat="1" ht="28.95" customHeight="1" outlineLevel="1" x14ac:dyDescent="0.25">
      <c r="A1859" s="33">
        <v>2</v>
      </c>
      <c r="B1859" s="34" t="s">
        <v>1191</v>
      </c>
      <c r="C1859" s="35" t="s">
        <v>66</v>
      </c>
      <c r="D1859" s="36">
        <v>7.1999999999999995E-2</v>
      </c>
      <c r="E1859" s="36">
        <v>229.3246</v>
      </c>
      <c r="F1859" s="36">
        <f>+E1859*D1859</f>
        <v>16.511371199999999</v>
      </c>
      <c r="G1859" s="37">
        <f t="shared" si="425"/>
        <v>0</v>
      </c>
      <c r="H1859" s="38">
        <f t="shared" si="425"/>
        <v>0</v>
      </c>
      <c r="I1859" s="37">
        <f>J1859/F1859</f>
        <v>0</v>
      </c>
      <c r="J1859" s="38">
        <v>0</v>
      </c>
      <c r="K1859" s="37">
        <f>L1859/F1859</f>
        <v>0</v>
      </c>
      <c r="L1859" s="38">
        <v>0</v>
      </c>
    </row>
    <row r="1860" spans="1:12" s="39" customFormat="1" ht="15.45" customHeight="1" outlineLevel="1" x14ac:dyDescent="0.25">
      <c r="A1860" s="33">
        <v>3</v>
      </c>
      <c r="B1860" s="34" t="s">
        <v>1192</v>
      </c>
      <c r="C1860" s="35" t="s">
        <v>106</v>
      </c>
      <c r="D1860" s="36">
        <v>9.4</v>
      </c>
      <c r="E1860" s="36">
        <v>1.2385999999999999</v>
      </c>
      <c r="F1860" s="36">
        <f>+E1860*D1860</f>
        <v>11.64284</v>
      </c>
      <c r="G1860" s="37">
        <f t="shared" si="425"/>
        <v>0</v>
      </c>
      <c r="H1860" s="38">
        <f t="shared" si="425"/>
        <v>0</v>
      </c>
      <c r="I1860" s="37">
        <f>J1860/F1860</f>
        <v>0</v>
      </c>
      <c r="J1860" s="38">
        <v>0</v>
      </c>
      <c r="K1860" s="37">
        <f>L1860/F1860</f>
        <v>0</v>
      </c>
      <c r="L1860" s="38">
        <v>0</v>
      </c>
    </row>
    <row r="1861" spans="1:12" s="39" customFormat="1" ht="15.45" customHeight="1" outlineLevel="1" x14ac:dyDescent="0.25">
      <c r="A1861" s="33">
        <v>4</v>
      </c>
      <c r="B1861" s="34" t="s">
        <v>1193</v>
      </c>
      <c r="C1861" s="35" t="s">
        <v>106</v>
      </c>
      <c r="D1861" s="36">
        <v>9.4</v>
      </c>
      <c r="E1861" s="36">
        <v>0.9326000000000001</v>
      </c>
      <c r="F1861" s="36">
        <f>+E1861*D1861</f>
        <v>8.7664400000000011</v>
      </c>
      <c r="G1861" s="37">
        <f t="shared" si="425"/>
        <v>0</v>
      </c>
      <c r="H1861" s="38">
        <f t="shared" si="425"/>
        <v>0</v>
      </c>
      <c r="I1861" s="37">
        <f>J1861/F1861</f>
        <v>0</v>
      </c>
      <c r="J1861" s="38">
        <v>0</v>
      </c>
      <c r="K1861" s="37">
        <f>L1861/F1861</f>
        <v>0</v>
      </c>
      <c r="L1861" s="38">
        <v>0</v>
      </c>
    </row>
    <row r="1862" spans="1:12" s="39" customFormat="1" ht="28.95" customHeight="1" outlineLevel="1" x14ac:dyDescent="0.25">
      <c r="A1862" s="33">
        <v>5</v>
      </c>
      <c r="B1862" s="34" t="s">
        <v>1194</v>
      </c>
      <c r="C1862" s="35" t="s">
        <v>66</v>
      </c>
      <c r="D1862" s="36">
        <v>0.18</v>
      </c>
      <c r="E1862" s="36">
        <v>142.07380000000001</v>
      </c>
      <c r="F1862" s="36">
        <f>+E1862*D1862</f>
        <v>25.573284000000001</v>
      </c>
      <c r="G1862" s="37">
        <f t="shared" si="425"/>
        <v>0</v>
      </c>
      <c r="H1862" s="38">
        <f t="shared" si="425"/>
        <v>0</v>
      </c>
      <c r="I1862" s="37">
        <f>J1862/F1862</f>
        <v>0</v>
      </c>
      <c r="J1862" s="38">
        <v>0</v>
      </c>
      <c r="K1862" s="37">
        <f>L1862/F1862</f>
        <v>0</v>
      </c>
      <c r="L1862" s="38">
        <v>0</v>
      </c>
    </row>
    <row r="1863" spans="1:12" s="39" customFormat="1" ht="15.45" customHeight="1" outlineLevel="1" x14ac:dyDescent="0.25">
      <c r="A1863" s="31" t="s">
        <v>1195</v>
      </c>
      <c r="B1863" s="40" t="s">
        <v>1196</v>
      </c>
      <c r="C1863" s="41">
        <v>0</v>
      </c>
      <c r="D1863" s="42"/>
      <c r="E1863" s="42"/>
      <c r="F1863" s="42"/>
      <c r="G1863" s="43"/>
      <c r="H1863" s="44"/>
      <c r="I1863" s="43"/>
      <c r="J1863" s="44"/>
      <c r="K1863" s="43"/>
      <c r="L1863" s="44">
        <v>0</v>
      </c>
    </row>
    <row r="1864" spans="1:12" s="39" customFormat="1" ht="28.95" customHeight="1" outlineLevel="1" x14ac:dyDescent="0.25">
      <c r="A1864" s="33">
        <v>1</v>
      </c>
      <c r="B1864" s="34" t="s">
        <v>408</v>
      </c>
      <c r="C1864" s="35" t="s">
        <v>55</v>
      </c>
      <c r="D1864" s="36">
        <v>2</v>
      </c>
      <c r="E1864" s="36">
        <v>194.78739999999999</v>
      </c>
      <c r="F1864" s="36">
        <f t="shared" ref="F1864:F1891" si="426">+E1864*D1864</f>
        <v>389.57479999999998</v>
      </c>
      <c r="G1864" s="37">
        <f t="shared" ref="G1864:G1891" si="427">I1864+K1864</f>
        <v>0</v>
      </c>
      <c r="H1864" s="38">
        <f t="shared" ref="H1864:H1891" si="428">J1864+L1864</f>
        <v>0</v>
      </c>
      <c r="I1864" s="37">
        <f t="shared" ref="I1864:I1891" si="429">J1864/F1864</f>
        <v>0</v>
      </c>
      <c r="J1864" s="38">
        <v>0</v>
      </c>
      <c r="K1864" s="37">
        <f t="shared" ref="K1864:K1891" si="430">L1864/F1864</f>
        <v>0</v>
      </c>
      <c r="L1864" s="38">
        <v>0</v>
      </c>
    </row>
    <row r="1865" spans="1:12" s="39" customFormat="1" ht="72.599999999999994" customHeight="1" outlineLevel="1" x14ac:dyDescent="0.25">
      <c r="A1865" s="33">
        <v>2</v>
      </c>
      <c r="B1865" s="34" t="s">
        <v>1197</v>
      </c>
      <c r="C1865" s="35" t="s">
        <v>115</v>
      </c>
      <c r="D1865" s="36">
        <v>1</v>
      </c>
      <c r="E1865" s="36">
        <v>15478.1</v>
      </c>
      <c r="F1865" s="36">
        <f t="shared" si="426"/>
        <v>15478.1</v>
      </c>
      <c r="G1865" s="37">
        <f t="shared" si="427"/>
        <v>0</v>
      </c>
      <c r="H1865" s="38">
        <f t="shared" si="428"/>
        <v>0</v>
      </c>
      <c r="I1865" s="37">
        <f t="shared" si="429"/>
        <v>0</v>
      </c>
      <c r="J1865" s="38">
        <v>0</v>
      </c>
      <c r="K1865" s="37">
        <f t="shared" si="430"/>
        <v>0</v>
      </c>
      <c r="L1865" s="38">
        <v>0</v>
      </c>
    </row>
    <row r="1866" spans="1:12" s="39" customFormat="1" ht="28.95" customHeight="1" outlineLevel="1" x14ac:dyDescent="0.25">
      <c r="A1866" s="33">
        <v>3</v>
      </c>
      <c r="B1866" s="34" t="s">
        <v>1198</v>
      </c>
      <c r="C1866" s="35" t="s">
        <v>55</v>
      </c>
      <c r="D1866" s="36">
        <v>1</v>
      </c>
      <c r="E1866" s="36">
        <v>765.1</v>
      </c>
      <c r="F1866" s="36">
        <f t="shared" si="426"/>
        <v>765.1</v>
      </c>
      <c r="G1866" s="37">
        <f t="shared" si="427"/>
        <v>0</v>
      </c>
      <c r="H1866" s="38">
        <f t="shared" si="428"/>
        <v>0</v>
      </c>
      <c r="I1866" s="37">
        <f t="shared" si="429"/>
        <v>0</v>
      </c>
      <c r="J1866" s="38">
        <v>0</v>
      </c>
      <c r="K1866" s="37">
        <f t="shared" si="430"/>
        <v>0</v>
      </c>
      <c r="L1866" s="38">
        <v>0</v>
      </c>
    </row>
    <row r="1867" spans="1:12" s="39" customFormat="1" ht="72.599999999999994" customHeight="1" outlineLevel="1" x14ac:dyDescent="0.25">
      <c r="A1867" s="33">
        <v>4</v>
      </c>
      <c r="B1867" s="34" t="s">
        <v>1199</v>
      </c>
      <c r="C1867" s="35" t="s">
        <v>55</v>
      </c>
      <c r="D1867" s="36">
        <v>2</v>
      </c>
      <c r="E1867" s="36">
        <v>16.542400000000001</v>
      </c>
      <c r="F1867" s="36">
        <f t="shared" si="426"/>
        <v>33.084800000000001</v>
      </c>
      <c r="G1867" s="37">
        <f t="shared" si="427"/>
        <v>0</v>
      </c>
      <c r="H1867" s="38">
        <f t="shared" si="428"/>
        <v>0</v>
      </c>
      <c r="I1867" s="37">
        <f t="shared" si="429"/>
        <v>0</v>
      </c>
      <c r="J1867" s="38">
        <v>0</v>
      </c>
      <c r="K1867" s="37">
        <f t="shared" si="430"/>
        <v>0</v>
      </c>
      <c r="L1867" s="38">
        <v>0</v>
      </c>
    </row>
    <row r="1868" spans="1:12" s="39" customFormat="1" ht="28.95" customHeight="1" outlineLevel="1" x14ac:dyDescent="0.25">
      <c r="A1868" s="33">
        <v>5</v>
      </c>
      <c r="B1868" s="34" t="s">
        <v>1200</v>
      </c>
      <c r="C1868" s="35" t="s">
        <v>55</v>
      </c>
      <c r="D1868" s="36">
        <v>1</v>
      </c>
      <c r="E1868" s="36">
        <v>49.386400000000009</v>
      </c>
      <c r="F1868" s="36">
        <f t="shared" si="426"/>
        <v>49.386400000000009</v>
      </c>
      <c r="G1868" s="37">
        <f t="shared" si="427"/>
        <v>0</v>
      </c>
      <c r="H1868" s="38">
        <f t="shared" si="428"/>
        <v>0</v>
      </c>
      <c r="I1868" s="37">
        <f t="shared" si="429"/>
        <v>0</v>
      </c>
      <c r="J1868" s="38">
        <v>0</v>
      </c>
      <c r="K1868" s="37">
        <f t="shared" si="430"/>
        <v>0</v>
      </c>
      <c r="L1868" s="38">
        <v>0</v>
      </c>
    </row>
    <row r="1869" spans="1:12" s="39" customFormat="1" ht="15.45" customHeight="1" outlineLevel="1" x14ac:dyDescent="0.25">
      <c r="A1869" s="33">
        <v>6</v>
      </c>
      <c r="B1869" s="34" t="s">
        <v>1201</v>
      </c>
      <c r="C1869" s="35" t="s">
        <v>55</v>
      </c>
      <c r="D1869" s="36">
        <v>1</v>
      </c>
      <c r="E1869" s="36">
        <v>114.64400000000001</v>
      </c>
      <c r="F1869" s="36">
        <f t="shared" si="426"/>
        <v>114.64400000000001</v>
      </c>
      <c r="G1869" s="37">
        <f t="shared" si="427"/>
        <v>0</v>
      </c>
      <c r="H1869" s="38">
        <f t="shared" si="428"/>
        <v>0</v>
      </c>
      <c r="I1869" s="37">
        <f t="shared" si="429"/>
        <v>0</v>
      </c>
      <c r="J1869" s="38">
        <v>0</v>
      </c>
      <c r="K1869" s="37">
        <f t="shared" si="430"/>
        <v>0</v>
      </c>
      <c r="L1869" s="38">
        <v>0</v>
      </c>
    </row>
    <row r="1870" spans="1:12" s="39" customFormat="1" ht="28.95" customHeight="1" outlineLevel="1" x14ac:dyDescent="0.25">
      <c r="A1870" s="33">
        <v>7</v>
      </c>
      <c r="B1870" s="34" t="s">
        <v>1202</v>
      </c>
      <c r="C1870" s="35" t="s">
        <v>50</v>
      </c>
      <c r="D1870" s="36">
        <v>16</v>
      </c>
      <c r="E1870" s="36">
        <v>10.4734</v>
      </c>
      <c r="F1870" s="36">
        <f t="shared" si="426"/>
        <v>167.5744</v>
      </c>
      <c r="G1870" s="37">
        <f t="shared" si="427"/>
        <v>0</v>
      </c>
      <c r="H1870" s="38">
        <f t="shared" si="428"/>
        <v>0</v>
      </c>
      <c r="I1870" s="37">
        <f t="shared" si="429"/>
        <v>0</v>
      </c>
      <c r="J1870" s="38">
        <v>0</v>
      </c>
      <c r="K1870" s="37">
        <f t="shared" si="430"/>
        <v>0</v>
      </c>
      <c r="L1870" s="38">
        <v>0</v>
      </c>
    </row>
    <row r="1871" spans="1:12" s="39" customFormat="1" ht="43.5" customHeight="1" outlineLevel="1" x14ac:dyDescent="0.25">
      <c r="A1871" s="33">
        <v>8</v>
      </c>
      <c r="B1871" s="34" t="s">
        <v>1159</v>
      </c>
      <c r="C1871" s="35" t="s">
        <v>50</v>
      </c>
      <c r="D1871" s="36">
        <v>16</v>
      </c>
      <c r="E1871" s="36">
        <v>17.846</v>
      </c>
      <c r="F1871" s="36">
        <f t="shared" si="426"/>
        <v>285.536</v>
      </c>
      <c r="G1871" s="37">
        <f t="shared" si="427"/>
        <v>0</v>
      </c>
      <c r="H1871" s="38">
        <f t="shared" si="428"/>
        <v>0</v>
      </c>
      <c r="I1871" s="37">
        <f t="shared" si="429"/>
        <v>0</v>
      </c>
      <c r="J1871" s="38">
        <v>0</v>
      </c>
      <c r="K1871" s="37">
        <f t="shared" si="430"/>
        <v>0</v>
      </c>
      <c r="L1871" s="38">
        <v>0</v>
      </c>
    </row>
    <row r="1872" spans="1:12" s="39" customFormat="1" ht="28.95" customHeight="1" outlineLevel="1" x14ac:dyDescent="0.25">
      <c r="A1872" s="33">
        <v>9</v>
      </c>
      <c r="B1872" s="34" t="s">
        <v>1203</v>
      </c>
      <c r="C1872" s="35" t="s">
        <v>50</v>
      </c>
      <c r="D1872" s="36">
        <v>20</v>
      </c>
      <c r="E1872" s="36">
        <v>10.4428</v>
      </c>
      <c r="F1872" s="36">
        <f t="shared" si="426"/>
        <v>208.85599999999999</v>
      </c>
      <c r="G1872" s="37">
        <f t="shared" si="427"/>
        <v>0</v>
      </c>
      <c r="H1872" s="38">
        <f t="shared" si="428"/>
        <v>0</v>
      </c>
      <c r="I1872" s="37">
        <f t="shared" si="429"/>
        <v>0</v>
      </c>
      <c r="J1872" s="38">
        <v>0</v>
      </c>
      <c r="K1872" s="37">
        <f t="shared" si="430"/>
        <v>0</v>
      </c>
      <c r="L1872" s="38">
        <v>0</v>
      </c>
    </row>
    <row r="1873" spans="1:12" s="39" customFormat="1" ht="43.5" customHeight="1" outlineLevel="1" x14ac:dyDescent="0.25">
      <c r="A1873" s="33">
        <v>10</v>
      </c>
      <c r="B1873" s="34" t="s">
        <v>439</v>
      </c>
      <c r="C1873" s="35" t="s">
        <v>50</v>
      </c>
      <c r="D1873" s="36">
        <v>20</v>
      </c>
      <c r="E1873" s="36">
        <v>14.4086</v>
      </c>
      <c r="F1873" s="36">
        <f t="shared" si="426"/>
        <v>288.17200000000003</v>
      </c>
      <c r="G1873" s="37">
        <f t="shared" si="427"/>
        <v>0</v>
      </c>
      <c r="H1873" s="38">
        <f t="shared" si="428"/>
        <v>0</v>
      </c>
      <c r="I1873" s="37">
        <f t="shared" si="429"/>
        <v>0</v>
      </c>
      <c r="J1873" s="38">
        <v>0</v>
      </c>
      <c r="K1873" s="37">
        <f t="shared" si="430"/>
        <v>0</v>
      </c>
      <c r="L1873" s="38">
        <v>0</v>
      </c>
    </row>
    <row r="1874" spans="1:12" s="39" customFormat="1" ht="28.95" customHeight="1" outlineLevel="1" x14ac:dyDescent="0.25">
      <c r="A1874" s="33">
        <v>11</v>
      </c>
      <c r="B1874" s="34" t="s">
        <v>331</v>
      </c>
      <c r="C1874" s="35" t="s">
        <v>50</v>
      </c>
      <c r="D1874" s="36">
        <v>36</v>
      </c>
      <c r="E1874" s="36">
        <v>1.1876</v>
      </c>
      <c r="F1874" s="36">
        <f t="shared" si="426"/>
        <v>42.753599999999999</v>
      </c>
      <c r="G1874" s="37">
        <f t="shared" si="427"/>
        <v>0</v>
      </c>
      <c r="H1874" s="38">
        <f t="shared" si="428"/>
        <v>0</v>
      </c>
      <c r="I1874" s="37">
        <f t="shared" si="429"/>
        <v>0</v>
      </c>
      <c r="J1874" s="38">
        <v>0</v>
      </c>
      <c r="K1874" s="37">
        <f t="shared" si="430"/>
        <v>0</v>
      </c>
      <c r="L1874" s="38">
        <v>0</v>
      </c>
    </row>
    <row r="1875" spans="1:12" s="39" customFormat="1" ht="28.95" customHeight="1" outlineLevel="1" x14ac:dyDescent="0.25">
      <c r="A1875" s="33">
        <v>12</v>
      </c>
      <c r="B1875" s="34" t="s">
        <v>971</v>
      </c>
      <c r="C1875" s="35" t="s">
        <v>50</v>
      </c>
      <c r="D1875" s="36">
        <v>5</v>
      </c>
      <c r="E1875" s="36">
        <v>7.8723999999999998</v>
      </c>
      <c r="F1875" s="36">
        <f t="shared" si="426"/>
        <v>39.362000000000002</v>
      </c>
      <c r="G1875" s="37">
        <f t="shared" si="427"/>
        <v>0</v>
      </c>
      <c r="H1875" s="38">
        <f t="shared" si="428"/>
        <v>0</v>
      </c>
      <c r="I1875" s="37">
        <f t="shared" si="429"/>
        <v>0</v>
      </c>
      <c r="J1875" s="38">
        <v>0</v>
      </c>
      <c r="K1875" s="37">
        <f t="shared" si="430"/>
        <v>0</v>
      </c>
      <c r="L1875" s="38">
        <v>0</v>
      </c>
    </row>
    <row r="1876" spans="1:12" s="39" customFormat="1" ht="15.45" customHeight="1" outlineLevel="1" x14ac:dyDescent="0.25">
      <c r="A1876" s="33">
        <v>13</v>
      </c>
      <c r="B1876" s="34" t="s">
        <v>1204</v>
      </c>
      <c r="C1876" s="35" t="s">
        <v>50</v>
      </c>
      <c r="D1876" s="36">
        <v>5</v>
      </c>
      <c r="E1876" s="36">
        <v>5.4529999999999994</v>
      </c>
      <c r="F1876" s="36">
        <f t="shared" si="426"/>
        <v>27.264999999999997</v>
      </c>
      <c r="G1876" s="37">
        <f t="shared" si="427"/>
        <v>0</v>
      </c>
      <c r="H1876" s="38">
        <f t="shared" si="428"/>
        <v>0</v>
      </c>
      <c r="I1876" s="37">
        <f t="shared" si="429"/>
        <v>0</v>
      </c>
      <c r="J1876" s="38">
        <v>0</v>
      </c>
      <c r="K1876" s="37">
        <f t="shared" si="430"/>
        <v>0</v>
      </c>
      <c r="L1876" s="38">
        <v>0</v>
      </c>
    </row>
    <row r="1877" spans="1:12" s="39" customFormat="1" ht="28.95" customHeight="1" outlineLevel="1" x14ac:dyDescent="0.25">
      <c r="A1877" s="33">
        <v>14</v>
      </c>
      <c r="B1877" s="34" t="s">
        <v>339</v>
      </c>
      <c r="C1877" s="35" t="s">
        <v>50</v>
      </c>
      <c r="D1877" s="36">
        <v>5</v>
      </c>
      <c r="E1877" s="36">
        <v>1.1876</v>
      </c>
      <c r="F1877" s="36">
        <f t="shared" si="426"/>
        <v>5.9379999999999997</v>
      </c>
      <c r="G1877" s="37">
        <f t="shared" si="427"/>
        <v>0</v>
      </c>
      <c r="H1877" s="38">
        <f t="shared" si="428"/>
        <v>0</v>
      </c>
      <c r="I1877" s="37">
        <f t="shared" si="429"/>
        <v>0</v>
      </c>
      <c r="J1877" s="38">
        <v>0</v>
      </c>
      <c r="K1877" s="37">
        <f t="shared" si="430"/>
        <v>0</v>
      </c>
      <c r="L1877" s="38">
        <v>0</v>
      </c>
    </row>
    <row r="1878" spans="1:12" s="39" customFormat="1" ht="43.5" customHeight="1" outlineLevel="1" x14ac:dyDescent="0.25">
      <c r="A1878" s="33">
        <v>15</v>
      </c>
      <c r="B1878" s="34" t="s">
        <v>1205</v>
      </c>
      <c r="C1878" s="35" t="s">
        <v>55</v>
      </c>
      <c r="D1878" s="36">
        <v>2</v>
      </c>
      <c r="E1878" s="36">
        <v>42.807400000000001</v>
      </c>
      <c r="F1878" s="36">
        <f t="shared" si="426"/>
        <v>85.614800000000002</v>
      </c>
      <c r="G1878" s="37">
        <f t="shared" si="427"/>
        <v>0</v>
      </c>
      <c r="H1878" s="38">
        <f t="shared" si="428"/>
        <v>0</v>
      </c>
      <c r="I1878" s="37">
        <f t="shared" si="429"/>
        <v>0</v>
      </c>
      <c r="J1878" s="38">
        <v>0</v>
      </c>
      <c r="K1878" s="37">
        <f t="shared" si="430"/>
        <v>0</v>
      </c>
      <c r="L1878" s="38">
        <v>0</v>
      </c>
    </row>
    <row r="1879" spans="1:12" s="39" customFormat="1" ht="15.45" customHeight="1" outlineLevel="1" x14ac:dyDescent="0.25">
      <c r="A1879" s="33">
        <v>16</v>
      </c>
      <c r="B1879" s="34" t="s">
        <v>1206</v>
      </c>
      <c r="C1879" s="35" t="s">
        <v>55</v>
      </c>
      <c r="D1879" s="36">
        <v>2</v>
      </c>
      <c r="E1879" s="36">
        <v>212.44159999999999</v>
      </c>
      <c r="F1879" s="36">
        <f t="shared" si="426"/>
        <v>424.88319999999999</v>
      </c>
      <c r="G1879" s="37">
        <f t="shared" si="427"/>
        <v>0</v>
      </c>
      <c r="H1879" s="38">
        <f t="shared" si="428"/>
        <v>0</v>
      </c>
      <c r="I1879" s="37">
        <f t="shared" si="429"/>
        <v>0</v>
      </c>
      <c r="J1879" s="38">
        <v>0</v>
      </c>
      <c r="K1879" s="37">
        <f t="shared" si="430"/>
        <v>0</v>
      </c>
      <c r="L1879" s="38">
        <v>0</v>
      </c>
    </row>
    <row r="1880" spans="1:12" s="39" customFormat="1" ht="43.5" customHeight="1" outlineLevel="1" x14ac:dyDescent="0.25">
      <c r="A1880" s="33">
        <v>17</v>
      </c>
      <c r="B1880" s="34" t="s">
        <v>1207</v>
      </c>
      <c r="C1880" s="35" t="s">
        <v>55</v>
      </c>
      <c r="D1880" s="36">
        <v>2</v>
      </c>
      <c r="E1880" s="36">
        <v>42.807400000000001</v>
      </c>
      <c r="F1880" s="36">
        <f t="shared" si="426"/>
        <v>85.614800000000002</v>
      </c>
      <c r="G1880" s="37">
        <f t="shared" si="427"/>
        <v>0</v>
      </c>
      <c r="H1880" s="38">
        <f t="shared" si="428"/>
        <v>0</v>
      </c>
      <c r="I1880" s="37">
        <f t="shared" si="429"/>
        <v>0</v>
      </c>
      <c r="J1880" s="38">
        <v>0</v>
      </c>
      <c r="K1880" s="37">
        <f t="shared" si="430"/>
        <v>0</v>
      </c>
      <c r="L1880" s="38">
        <v>0</v>
      </c>
    </row>
    <row r="1881" spans="1:12" s="39" customFormat="1" ht="15.45" customHeight="1" outlineLevel="1" x14ac:dyDescent="0.25">
      <c r="A1881" s="33">
        <v>18</v>
      </c>
      <c r="B1881" s="34" t="s">
        <v>1208</v>
      </c>
      <c r="C1881" s="35" t="s">
        <v>55</v>
      </c>
      <c r="D1881" s="36">
        <v>2</v>
      </c>
      <c r="E1881" s="36">
        <v>127.547</v>
      </c>
      <c r="F1881" s="36">
        <f t="shared" si="426"/>
        <v>255.09399999999999</v>
      </c>
      <c r="G1881" s="37">
        <f t="shared" si="427"/>
        <v>0</v>
      </c>
      <c r="H1881" s="38">
        <f t="shared" si="428"/>
        <v>0</v>
      </c>
      <c r="I1881" s="37">
        <f t="shared" si="429"/>
        <v>0</v>
      </c>
      <c r="J1881" s="38">
        <v>0</v>
      </c>
      <c r="K1881" s="37">
        <f t="shared" si="430"/>
        <v>0</v>
      </c>
      <c r="L1881" s="38">
        <v>0</v>
      </c>
    </row>
    <row r="1882" spans="1:12" s="45" customFormat="1" ht="28.95" customHeight="1" x14ac:dyDescent="0.3">
      <c r="A1882" s="33">
        <v>19</v>
      </c>
      <c r="B1882" s="34" t="s">
        <v>1209</v>
      </c>
      <c r="C1882" s="35" t="s">
        <v>55</v>
      </c>
      <c r="D1882" s="36">
        <v>4</v>
      </c>
      <c r="E1882" s="36">
        <v>10.603999999999999</v>
      </c>
      <c r="F1882" s="36">
        <f t="shared" si="426"/>
        <v>42.415999999999997</v>
      </c>
      <c r="G1882" s="37">
        <f t="shared" si="427"/>
        <v>0</v>
      </c>
      <c r="H1882" s="38">
        <f t="shared" si="428"/>
        <v>0</v>
      </c>
      <c r="I1882" s="37">
        <f t="shared" si="429"/>
        <v>0</v>
      </c>
      <c r="J1882" s="38">
        <v>0</v>
      </c>
      <c r="K1882" s="37">
        <f t="shared" si="430"/>
        <v>0</v>
      </c>
      <c r="L1882" s="38">
        <v>0</v>
      </c>
    </row>
    <row r="1883" spans="1:12" s="39" customFormat="1" ht="28.95" customHeight="1" outlineLevel="1" x14ac:dyDescent="0.25">
      <c r="A1883" s="33">
        <v>20</v>
      </c>
      <c r="B1883" s="34" t="s">
        <v>1210</v>
      </c>
      <c r="C1883" s="35" t="s">
        <v>55</v>
      </c>
      <c r="D1883" s="36">
        <v>4</v>
      </c>
      <c r="E1883" s="36">
        <v>6.4423999999999992</v>
      </c>
      <c r="F1883" s="36">
        <f t="shared" si="426"/>
        <v>25.769599999999997</v>
      </c>
      <c r="G1883" s="37">
        <f t="shared" si="427"/>
        <v>0</v>
      </c>
      <c r="H1883" s="38">
        <f t="shared" si="428"/>
        <v>0</v>
      </c>
      <c r="I1883" s="37">
        <f t="shared" si="429"/>
        <v>0</v>
      </c>
      <c r="J1883" s="38">
        <v>0</v>
      </c>
      <c r="K1883" s="37">
        <f t="shared" si="430"/>
        <v>0</v>
      </c>
      <c r="L1883" s="38">
        <v>0</v>
      </c>
    </row>
    <row r="1884" spans="1:12" s="39" customFormat="1" ht="28.95" customHeight="1" outlineLevel="1" x14ac:dyDescent="0.25">
      <c r="A1884" s="33">
        <v>21</v>
      </c>
      <c r="B1884" s="34" t="s">
        <v>365</v>
      </c>
      <c r="C1884" s="35" t="s">
        <v>55</v>
      </c>
      <c r="D1884" s="36">
        <v>2</v>
      </c>
      <c r="E1884" s="36">
        <v>6.4423999999999992</v>
      </c>
      <c r="F1884" s="36">
        <f t="shared" si="426"/>
        <v>12.884799999999998</v>
      </c>
      <c r="G1884" s="37">
        <f t="shared" si="427"/>
        <v>0</v>
      </c>
      <c r="H1884" s="38">
        <f t="shared" si="428"/>
        <v>0</v>
      </c>
      <c r="I1884" s="37">
        <f t="shared" si="429"/>
        <v>0</v>
      </c>
      <c r="J1884" s="38">
        <v>0</v>
      </c>
      <c r="K1884" s="37">
        <f t="shared" si="430"/>
        <v>0</v>
      </c>
      <c r="L1884" s="38">
        <v>0</v>
      </c>
    </row>
    <row r="1885" spans="1:12" s="39" customFormat="1" ht="15.45" customHeight="1" outlineLevel="1" x14ac:dyDescent="0.25">
      <c r="A1885" s="33">
        <v>22</v>
      </c>
      <c r="B1885" s="34" t="s">
        <v>1211</v>
      </c>
      <c r="C1885" s="35" t="s">
        <v>55</v>
      </c>
      <c r="D1885" s="36">
        <v>2</v>
      </c>
      <c r="E1885" s="36">
        <v>120.88639999999999</v>
      </c>
      <c r="F1885" s="36">
        <f t="shared" si="426"/>
        <v>241.77279999999999</v>
      </c>
      <c r="G1885" s="37">
        <f t="shared" si="427"/>
        <v>0</v>
      </c>
      <c r="H1885" s="38">
        <f t="shared" si="428"/>
        <v>0</v>
      </c>
      <c r="I1885" s="37">
        <f t="shared" si="429"/>
        <v>0</v>
      </c>
      <c r="J1885" s="38">
        <v>0</v>
      </c>
      <c r="K1885" s="37">
        <f t="shared" si="430"/>
        <v>0</v>
      </c>
      <c r="L1885" s="38">
        <v>0</v>
      </c>
    </row>
    <row r="1886" spans="1:12" s="39" customFormat="1" ht="28.95" customHeight="1" outlineLevel="1" x14ac:dyDescent="0.25">
      <c r="A1886" s="33">
        <v>23</v>
      </c>
      <c r="B1886" s="34" t="s">
        <v>424</v>
      </c>
      <c r="C1886" s="35" t="s">
        <v>55</v>
      </c>
      <c r="D1886" s="36">
        <v>1</v>
      </c>
      <c r="E1886" s="36">
        <v>69.182599999999979</v>
      </c>
      <c r="F1886" s="36">
        <f t="shared" si="426"/>
        <v>69.182599999999979</v>
      </c>
      <c r="G1886" s="37">
        <f t="shared" si="427"/>
        <v>0</v>
      </c>
      <c r="H1886" s="38">
        <f t="shared" si="428"/>
        <v>0</v>
      </c>
      <c r="I1886" s="37">
        <f t="shared" si="429"/>
        <v>0</v>
      </c>
      <c r="J1886" s="38">
        <v>0</v>
      </c>
      <c r="K1886" s="37">
        <f t="shared" si="430"/>
        <v>0</v>
      </c>
      <c r="L1886" s="38">
        <v>0</v>
      </c>
    </row>
    <row r="1887" spans="1:12" s="39" customFormat="1" ht="28.95" customHeight="1" outlineLevel="1" x14ac:dyDescent="0.25">
      <c r="A1887" s="33">
        <v>24</v>
      </c>
      <c r="B1887" s="34" t="s">
        <v>1212</v>
      </c>
      <c r="C1887" s="35" t="s">
        <v>55</v>
      </c>
      <c r="D1887" s="36">
        <v>2</v>
      </c>
      <c r="E1887" s="36">
        <v>72.320000000000007</v>
      </c>
      <c r="F1887" s="36">
        <f t="shared" si="426"/>
        <v>144.64000000000001</v>
      </c>
      <c r="G1887" s="37">
        <f t="shared" si="427"/>
        <v>0</v>
      </c>
      <c r="H1887" s="38">
        <f t="shared" si="428"/>
        <v>0</v>
      </c>
      <c r="I1887" s="37">
        <f t="shared" si="429"/>
        <v>0</v>
      </c>
      <c r="J1887" s="38">
        <v>0</v>
      </c>
      <c r="K1887" s="37">
        <f t="shared" si="430"/>
        <v>0</v>
      </c>
      <c r="L1887" s="38">
        <v>0</v>
      </c>
    </row>
    <row r="1888" spans="1:12" s="39" customFormat="1" ht="28.95" customHeight="1" outlineLevel="1" x14ac:dyDescent="0.25">
      <c r="A1888" s="33">
        <v>25</v>
      </c>
      <c r="B1888" s="34" t="s">
        <v>1213</v>
      </c>
      <c r="C1888" s="35" t="s">
        <v>55</v>
      </c>
      <c r="D1888" s="36">
        <v>2</v>
      </c>
      <c r="E1888" s="36">
        <v>60.585999999999999</v>
      </c>
      <c r="F1888" s="36">
        <f t="shared" si="426"/>
        <v>121.172</v>
      </c>
      <c r="G1888" s="37">
        <f t="shared" si="427"/>
        <v>0</v>
      </c>
      <c r="H1888" s="38">
        <f t="shared" si="428"/>
        <v>0</v>
      </c>
      <c r="I1888" s="37">
        <f t="shared" si="429"/>
        <v>0</v>
      </c>
      <c r="J1888" s="38">
        <v>0</v>
      </c>
      <c r="K1888" s="37">
        <f t="shared" si="430"/>
        <v>0</v>
      </c>
      <c r="L1888" s="38">
        <v>0</v>
      </c>
    </row>
    <row r="1889" spans="1:12" s="39" customFormat="1" ht="15.45" customHeight="1" outlineLevel="1" x14ac:dyDescent="0.25">
      <c r="A1889" s="33">
        <v>26</v>
      </c>
      <c r="B1889" s="34" t="s">
        <v>1010</v>
      </c>
      <c r="C1889" s="35" t="s">
        <v>55</v>
      </c>
      <c r="D1889" s="36">
        <v>2</v>
      </c>
      <c r="E1889" s="36">
        <v>24.988</v>
      </c>
      <c r="F1889" s="36">
        <f t="shared" si="426"/>
        <v>49.975999999999999</v>
      </c>
      <c r="G1889" s="37">
        <f t="shared" si="427"/>
        <v>0</v>
      </c>
      <c r="H1889" s="38">
        <f t="shared" si="428"/>
        <v>0</v>
      </c>
      <c r="I1889" s="37">
        <f t="shared" si="429"/>
        <v>0</v>
      </c>
      <c r="J1889" s="38">
        <v>0</v>
      </c>
      <c r="K1889" s="37">
        <f t="shared" si="430"/>
        <v>0</v>
      </c>
      <c r="L1889" s="38">
        <v>0</v>
      </c>
    </row>
    <row r="1890" spans="1:12" s="39" customFormat="1" ht="15.45" customHeight="1" outlineLevel="1" x14ac:dyDescent="0.25">
      <c r="A1890" s="33">
        <v>27</v>
      </c>
      <c r="B1890" s="34" t="s">
        <v>1214</v>
      </c>
      <c r="C1890" s="35" t="s">
        <v>55</v>
      </c>
      <c r="D1890" s="36">
        <v>2</v>
      </c>
      <c r="E1890" s="36">
        <v>53.260399999999997</v>
      </c>
      <c r="F1890" s="36">
        <f t="shared" si="426"/>
        <v>106.52079999999999</v>
      </c>
      <c r="G1890" s="37">
        <f t="shared" si="427"/>
        <v>0</v>
      </c>
      <c r="H1890" s="38">
        <f t="shared" si="428"/>
        <v>0</v>
      </c>
      <c r="I1890" s="37">
        <f t="shared" si="429"/>
        <v>0</v>
      </c>
      <c r="J1890" s="38">
        <v>0</v>
      </c>
      <c r="K1890" s="37">
        <f t="shared" si="430"/>
        <v>0</v>
      </c>
      <c r="L1890" s="38">
        <v>0</v>
      </c>
    </row>
    <row r="1891" spans="1:12" s="45" customFormat="1" ht="15.45" customHeight="1" x14ac:dyDescent="0.3">
      <c r="A1891" s="33">
        <v>28</v>
      </c>
      <c r="B1891" s="34" t="s">
        <v>1215</v>
      </c>
      <c r="C1891" s="35" t="s">
        <v>55</v>
      </c>
      <c r="D1891" s="36">
        <v>2</v>
      </c>
      <c r="E1891" s="36">
        <v>3.382400000000001</v>
      </c>
      <c r="F1891" s="36">
        <f t="shared" si="426"/>
        <v>6.7648000000000019</v>
      </c>
      <c r="G1891" s="37">
        <f t="shared" si="427"/>
        <v>0</v>
      </c>
      <c r="H1891" s="38">
        <f t="shared" si="428"/>
        <v>0</v>
      </c>
      <c r="I1891" s="37">
        <f t="shared" si="429"/>
        <v>0</v>
      </c>
      <c r="J1891" s="38">
        <v>0</v>
      </c>
      <c r="K1891" s="37">
        <f t="shared" si="430"/>
        <v>0</v>
      </c>
      <c r="L1891" s="38">
        <v>0</v>
      </c>
    </row>
    <row r="1892" spans="1:12" s="39" customFormat="1" ht="15.45" customHeight="1" outlineLevel="1" x14ac:dyDescent="0.25">
      <c r="A1892" s="31" t="s">
        <v>1216</v>
      </c>
      <c r="B1892" s="40" t="s">
        <v>1217</v>
      </c>
      <c r="C1892" s="41">
        <v>0</v>
      </c>
      <c r="D1892" s="42"/>
      <c r="E1892" s="42"/>
      <c r="F1892" s="42"/>
      <c r="G1892" s="43"/>
      <c r="H1892" s="44"/>
      <c r="I1892" s="43"/>
      <c r="J1892" s="44"/>
      <c r="K1892" s="43"/>
      <c r="L1892" s="44">
        <v>0</v>
      </c>
    </row>
    <row r="1893" spans="1:12" s="39" customFormat="1" ht="15.45" customHeight="1" outlineLevel="1" x14ac:dyDescent="0.25">
      <c r="A1893" s="33">
        <v>1</v>
      </c>
      <c r="B1893" s="34" t="s">
        <v>1218</v>
      </c>
      <c r="C1893" s="35" t="s">
        <v>55</v>
      </c>
      <c r="D1893" s="36">
        <v>4</v>
      </c>
      <c r="E1893" s="36">
        <v>16.122199999999999</v>
      </c>
      <c r="F1893" s="36">
        <f t="shared" ref="F1893:F1913" si="431">+E1893*D1893</f>
        <v>64.488799999999998</v>
      </c>
      <c r="G1893" s="37">
        <f t="shared" ref="G1893:G1913" si="432">I1893+K1893</f>
        <v>0</v>
      </c>
      <c r="H1893" s="38">
        <f t="shared" ref="H1893:H1913" si="433">J1893+L1893</f>
        <v>0</v>
      </c>
      <c r="I1893" s="37">
        <f t="shared" ref="I1893:I1913" si="434">J1893/F1893</f>
        <v>0</v>
      </c>
      <c r="J1893" s="38">
        <v>0</v>
      </c>
      <c r="K1893" s="37">
        <f t="shared" ref="K1893:K1913" si="435">L1893/F1893</f>
        <v>0</v>
      </c>
      <c r="L1893" s="38">
        <v>0</v>
      </c>
    </row>
    <row r="1894" spans="1:12" s="39" customFormat="1" ht="15.45" customHeight="1" outlineLevel="1" x14ac:dyDescent="0.25">
      <c r="A1894" s="33">
        <v>2</v>
      </c>
      <c r="B1894" s="34" t="s">
        <v>598</v>
      </c>
      <c r="C1894" s="35" t="s">
        <v>55</v>
      </c>
      <c r="D1894" s="36">
        <v>4</v>
      </c>
      <c r="E1894" s="36">
        <v>9.6981999999999999</v>
      </c>
      <c r="F1894" s="36">
        <f t="shared" si="431"/>
        <v>38.7928</v>
      </c>
      <c r="G1894" s="37">
        <f t="shared" si="432"/>
        <v>0</v>
      </c>
      <c r="H1894" s="38">
        <f t="shared" si="433"/>
        <v>0</v>
      </c>
      <c r="I1894" s="37">
        <f t="shared" si="434"/>
        <v>0</v>
      </c>
      <c r="J1894" s="38">
        <v>0</v>
      </c>
      <c r="K1894" s="37">
        <f t="shared" si="435"/>
        <v>0</v>
      </c>
      <c r="L1894" s="38">
        <v>0</v>
      </c>
    </row>
    <row r="1895" spans="1:12" s="39" customFormat="1" ht="15.45" customHeight="1" outlineLevel="1" x14ac:dyDescent="0.25">
      <c r="A1895" s="33">
        <v>3</v>
      </c>
      <c r="B1895" s="34" t="s">
        <v>1219</v>
      </c>
      <c r="C1895" s="35" t="s">
        <v>55</v>
      </c>
      <c r="D1895" s="36">
        <v>1</v>
      </c>
      <c r="E1895" s="36">
        <v>9.7064000000000004</v>
      </c>
      <c r="F1895" s="36">
        <f t="shared" si="431"/>
        <v>9.7064000000000004</v>
      </c>
      <c r="G1895" s="37">
        <f t="shared" si="432"/>
        <v>0</v>
      </c>
      <c r="H1895" s="38">
        <f t="shared" si="433"/>
        <v>0</v>
      </c>
      <c r="I1895" s="37">
        <f t="shared" si="434"/>
        <v>0</v>
      </c>
      <c r="J1895" s="38">
        <v>0</v>
      </c>
      <c r="K1895" s="37">
        <f t="shared" si="435"/>
        <v>0</v>
      </c>
      <c r="L1895" s="38">
        <v>0</v>
      </c>
    </row>
    <row r="1896" spans="1:12" s="39" customFormat="1" ht="28.95" customHeight="1" outlineLevel="1" x14ac:dyDescent="0.25">
      <c r="A1896" s="33">
        <v>4</v>
      </c>
      <c r="B1896" s="34" t="s">
        <v>1220</v>
      </c>
      <c r="C1896" s="35" t="s">
        <v>55</v>
      </c>
      <c r="D1896" s="36">
        <v>1</v>
      </c>
      <c r="E1896" s="36">
        <v>0.9</v>
      </c>
      <c r="F1896" s="36">
        <f t="shared" si="431"/>
        <v>0.9</v>
      </c>
      <c r="G1896" s="37">
        <f t="shared" si="432"/>
        <v>0</v>
      </c>
      <c r="H1896" s="38">
        <f t="shared" si="433"/>
        <v>0</v>
      </c>
      <c r="I1896" s="37">
        <f t="shared" si="434"/>
        <v>0</v>
      </c>
      <c r="J1896" s="38">
        <v>0</v>
      </c>
      <c r="K1896" s="37">
        <f t="shared" si="435"/>
        <v>0</v>
      </c>
      <c r="L1896" s="38">
        <v>0</v>
      </c>
    </row>
    <row r="1897" spans="1:12" s="39" customFormat="1" ht="15.45" customHeight="1" outlineLevel="1" x14ac:dyDescent="0.25">
      <c r="A1897" s="33">
        <v>5</v>
      </c>
      <c r="B1897" s="34" t="s">
        <v>1053</v>
      </c>
      <c r="C1897" s="35" t="s">
        <v>55</v>
      </c>
      <c r="D1897" s="36">
        <v>4</v>
      </c>
      <c r="E1897" s="36">
        <v>1.4137999999999999</v>
      </c>
      <c r="F1897" s="36">
        <f t="shared" si="431"/>
        <v>5.6551999999999998</v>
      </c>
      <c r="G1897" s="37">
        <f t="shared" si="432"/>
        <v>0</v>
      </c>
      <c r="H1897" s="38">
        <f t="shared" si="433"/>
        <v>0</v>
      </c>
      <c r="I1897" s="37">
        <f t="shared" si="434"/>
        <v>0</v>
      </c>
      <c r="J1897" s="38">
        <v>0</v>
      </c>
      <c r="K1897" s="37">
        <f t="shared" si="435"/>
        <v>0</v>
      </c>
      <c r="L1897" s="38">
        <v>0</v>
      </c>
    </row>
    <row r="1898" spans="1:12" s="46" customFormat="1" ht="15.45" customHeight="1" outlineLevel="1" x14ac:dyDescent="0.35">
      <c r="A1898" s="33">
        <v>6</v>
      </c>
      <c r="B1898" s="34" t="s">
        <v>806</v>
      </c>
      <c r="C1898" s="35" t="s">
        <v>55</v>
      </c>
      <c r="D1898" s="36">
        <v>1</v>
      </c>
      <c r="E1898" s="36">
        <v>82.779199999999989</v>
      </c>
      <c r="F1898" s="36">
        <f t="shared" si="431"/>
        <v>82.779199999999989</v>
      </c>
      <c r="G1898" s="37">
        <f t="shared" si="432"/>
        <v>0</v>
      </c>
      <c r="H1898" s="38">
        <f t="shared" si="433"/>
        <v>0</v>
      </c>
      <c r="I1898" s="37">
        <f t="shared" si="434"/>
        <v>0</v>
      </c>
      <c r="J1898" s="38">
        <v>0</v>
      </c>
      <c r="K1898" s="37">
        <f t="shared" si="435"/>
        <v>0</v>
      </c>
      <c r="L1898" s="38">
        <v>0</v>
      </c>
    </row>
    <row r="1899" spans="1:12" s="39" customFormat="1" ht="28.95" customHeight="1" outlineLevel="1" x14ac:dyDescent="0.25">
      <c r="A1899" s="33">
        <v>7</v>
      </c>
      <c r="B1899" s="34" t="s">
        <v>808</v>
      </c>
      <c r="C1899" s="35" t="s">
        <v>55</v>
      </c>
      <c r="D1899" s="36">
        <v>2</v>
      </c>
      <c r="E1899" s="36">
        <v>6.5444000000000004</v>
      </c>
      <c r="F1899" s="36">
        <f t="shared" si="431"/>
        <v>13.088800000000001</v>
      </c>
      <c r="G1899" s="37">
        <f t="shared" si="432"/>
        <v>0</v>
      </c>
      <c r="H1899" s="38">
        <f t="shared" si="433"/>
        <v>0</v>
      </c>
      <c r="I1899" s="37">
        <f t="shared" si="434"/>
        <v>0</v>
      </c>
      <c r="J1899" s="38">
        <v>0</v>
      </c>
      <c r="K1899" s="37">
        <f t="shared" si="435"/>
        <v>0</v>
      </c>
      <c r="L1899" s="38">
        <v>0</v>
      </c>
    </row>
    <row r="1900" spans="1:12" s="39" customFormat="1" ht="15.45" customHeight="1" outlineLevel="1" x14ac:dyDescent="0.25">
      <c r="A1900" s="33">
        <v>8</v>
      </c>
      <c r="B1900" s="34" t="s">
        <v>612</v>
      </c>
      <c r="C1900" s="35" t="s">
        <v>55</v>
      </c>
      <c r="D1900" s="36">
        <v>2</v>
      </c>
      <c r="E1900" s="36">
        <v>8.882200000000001</v>
      </c>
      <c r="F1900" s="36">
        <f t="shared" si="431"/>
        <v>17.764400000000002</v>
      </c>
      <c r="G1900" s="37">
        <f t="shared" si="432"/>
        <v>0</v>
      </c>
      <c r="H1900" s="38">
        <f t="shared" si="433"/>
        <v>0</v>
      </c>
      <c r="I1900" s="37">
        <f t="shared" si="434"/>
        <v>0</v>
      </c>
      <c r="J1900" s="38">
        <v>0</v>
      </c>
      <c r="K1900" s="37">
        <f t="shared" si="435"/>
        <v>0</v>
      </c>
      <c r="L1900" s="38">
        <v>0</v>
      </c>
    </row>
    <row r="1901" spans="1:12" s="45" customFormat="1" ht="15.45" customHeight="1" x14ac:dyDescent="0.3">
      <c r="A1901" s="33">
        <v>9</v>
      </c>
      <c r="B1901" s="34" t="s">
        <v>1221</v>
      </c>
      <c r="C1901" s="35" t="s">
        <v>55</v>
      </c>
      <c r="D1901" s="36">
        <v>1</v>
      </c>
      <c r="E1901" s="36">
        <v>0.9</v>
      </c>
      <c r="F1901" s="36">
        <f t="shared" si="431"/>
        <v>0.9</v>
      </c>
      <c r="G1901" s="37">
        <f t="shared" si="432"/>
        <v>0</v>
      </c>
      <c r="H1901" s="38">
        <f t="shared" si="433"/>
        <v>0</v>
      </c>
      <c r="I1901" s="37">
        <f t="shared" si="434"/>
        <v>0</v>
      </c>
      <c r="J1901" s="38">
        <v>0</v>
      </c>
      <c r="K1901" s="37">
        <f t="shared" si="435"/>
        <v>0</v>
      </c>
      <c r="L1901" s="38">
        <v>0</v>
      </c>
    </row>
    <row r="1902" spans="1:12" s="39" customFormat="1" ht="15.45" customHeight="1" outlineLevel="1" x14ac:dyDescent="0.25">
      <c r="A1902" s="33">
        <v>10</v>
      </c>
      <c r="B1902" s="34" t="s">
        <v>1058</v>
      </c>
      <c r="C1902" s="35" t="s">
        <v>55</v>
      </c>
      <c r="D1902" s="36">
        <v>4</v>
      </c>
      <c r="E1902" s="36">
        <v>1.2505999999999999</v>
      </c>
      <c r="F1902" s="36">
        <f t="shared" si="431"/>
        <v>5.0023999999999997</v>
      </c>
      <c r="G1902" s="37">
        <f t="shared" si="432"/>
        <v>0</v>
      </c>
      <c r="H1902" s="38">
        <f t="shared" si="433"/>
        <v>0</v>
      </c>
      <c r="I1902" s="37">
        <f t="shared" si="434"/>
        <v>0</v>
      </c>
      <c r="J1902" s="38">
        <v>0</v>
      </c>
      <c r="K1902" s="37">
        <f t="shared" si="435"/>
        <v>0</v>
      </c>
      <c r="L1902" s="38">
        <v>0</v>
      </c>
    </row>
    <row r="1903" spans="1:12" s="39" customFormat="1" ht="15.45" customHeight="1" outlineLevel="1" x14ac:dyDescent="0.25">
      <c r="A1903" s="33">
        <v>11</v>
      </c>
      <c r="B1903" s="34" t="s">
        <v>653</v>
      </c>
      <c r="C1903" s="35" t="s">
        <v>55</v>
      </c>
      <c r="D1903" s="36">
        <v>4</v>
      </c>
      <c r="E1903" s="36">
        <v>12.9826</v>
      </c>
      <c r="F1903" s="36">
        <f t="shared" si="431"/>
        <v>51.930399999999999</v>
      </c>
      <c r="G1903" s="37">
        <f t="shared" si="432"/>
        <v>0</v>
      </c>
      <c r="H1903" s="38">
        <f t="shared" si="433"/>
        <v>0</v>
      </c>
      <c r="I1903" s="37">
        <f t="shared" si="434"/>
        <v>0</v>
      </c>
      <c r="J1903" s="38">
        <v>0</v>
      </c>
      <c r="K1903" s="37">
        <f t="shared" si="435"/>
        <v>0</v>
      </c>
      <c r="L1903" s="38">
        <v>0</v>
      </c>
    </row>
    <row r="1904" spans="1:12" s="39" customFormat="1" ht="28.95" customHeight="1" outlineLevel="1" x14ac:dyDescent="0.25">
      <c r="A1904" s="33">
        <v>12</v>
      </c>
      <c r="B1904" s="34" t="s">
        <v>811</v>
      </c>
      <c r="C1904" s="35" t="s">
        <v>50</v>
      </c>
      <c r="D1904" s="36">
        <v>40</v>
      </c>
      <c r="E1904" s="36">
        <v>0.9</v>
      </c>
      <c r="F1904" s="36">
        <f t="shared" si="431"/>
        <v>36</v>
      </c>
      <c r="G1904" s="37">
        <f t="shared" si="432"/>
        <v>0</v>
      </c>
      <c r="H1904" s="38">
        <f t="shared" si="433"/>
        <v>0</v>
      </c>
      <c r="I1904" s="37">
        <f t="shared" si="434"/>
        <v>0</v>
      </c>
      <c r="J1904" s="38">
        <v>0</v>
      </c>
      <c r="K1904" s="37">
        <f t="shared" si="435"/>
        <v>0</v>
      </c>
      <c r="L1904" s="38">
        <v>0</v>
      </c>
    </row>
    <row r="1905" spans="1:12" s="45" customFormat="1" ht="28.95" customHeight="1" x14ac:dyDescent="0.3">
      <c r="A1905" s="33">
        <v>13</v>
      </c>
      <c r="B1905" s="34" t="s">
        <v>554</v>
      </c>
      <c r="C1905" s="35" t="s">
        <v>50</v>
      </c>
      <c r="D1905" s="36">
        <v>40</v>
      </c>
      <c r="E1905" s="36">
        <v>2.1604000000000001</v>
      </c>
      <c r="F1905" s="36">
        <f t="shared" si="431"/>
        <v>86.415999999999997</v>
      </c>
      <c r="G1905" s="37">
        <f t="shared" si="432"/>
        <v>0</v>
      </c>
      <c r="H1905" s="38">
        <f t="shared" si="433"/>
        <v>0</v>
      </c>
      <c r="I1905" s="37">
        <f t="shared" si="434"/>
        <v>0</v>
      </c>
      <c r="J1905" s="38">
        <v>0</v>
      </c>
      <c r="K1905" s="37">
        <f t="shared" si="435"/>
        <v>0</v>
      </c>
      <c r="L1905" s="38">
        <v>0</v>
      </c>
    </row>
    <row r="1906" spans="1:12" s="39" customFormat="1" ht="15.45" customHeight="1" outlineLevel="1" x14ac:dyDescent="0.25">
      <c r="A1906" s="33">
        <v>14</v>
      </c>
      <c r="B1906" s="34" t="s">
        <v>1222</v>
      </c>
      <c r="C1906" s="35" t="s">
        <v>50</v>
      </c>
      <c r="D1906" s="36">
        <v>40</v>
      </c>
      <c r="E1906" s="36">
        <v>1.71</v>
      </c>
      <c r="F1906" s="36">
        <f t="shared" si="431"/>
        <v>68.400000000000006</v>
      </c>
      <c r="G1906" s="37">
        <f t="shared" si="432"/>
        <v>0</v>
      </c>
      <c r="H1906" s="38">
        <f t="shared" si="433"/>
        <v>0</v>
      </c>
      <c r="I1906" s="37">
        <f t="shared" si="434"/>
        <v>0</v>
      </c>
      <c r="J1906" s="38">
        <v>0</v>
      </c>
      <c r="K1906" s="37">
        <f t="shared" si="435"/>
        <v>0</v>
      </c>
      <c r="L1906" s="38">
        <v>0</v>
      </c>
    </row>
    <row r="1907" spans="1:12" s="39" customFormat="1" ht="28.95" customHeight="1" outlineLevel="1" x14ac:dyDescent="0.25">
      <c r="A1907" s="33">
        <v>15</v>
      </c>
      <c r="B1907" s="34" t="s">
        <v>617</v>
      </c>
      <c r="C1907" s="35" t="s">
        <v>50</v>
      </c>
      <c r="D1907" s="36">
        <v>40</v>
      </c>
      <c r="E1907" s="36">
        <v>2.0175999999999998</v>
      </c>
      <c r="F1907" s="36">
        <f t="shared" si="431"/>
        <v>80.703999999999994</v>
      </c>
      <c r="G1907" s="37">
        <f t="shared" si="432"/>
        <v>0</v>
      </c>
      <c r="H1907" s="38">
        <f t="shared" si="433"/>
        <v>0</v>
      </c>
      <c r="I1907" s="37">
        <f t="shared" si="434"/>
        <v>0</v>
      </c>
      <c r="J1907" s="38">
        <v>0</v>
      </c>
      <c r="K1907" s="37">
        <f t="shared" si="435"/>
        <v>0</v>
      </c>
      <c r="L1907" s="38">
        <v>0</v>
      </c>
    </row>
    <row r="1908" spans="1:12" s="39" customFormat="1" ht="15.45" customHeight="1" outlineLevel="1" x14ac:dyDescent="0.25">
      <c r="A1908" s="33">
        <v>16</v>
      </c>
      <c r="B1908" s="34" t="s">
        <v>573</v>
      </c>
      <c r="C1908" s="35" t="s">
        <v>289</v>
      </c>
      <c r="D1908" s="36">
        <v>24.1</v>
      </c>
      <c r="E1908" s="36">
        <v>1.4239999999999999</v>
      </c>
      <c r="F1908" s="36">
        <f t="shared" si="431"/>
        <v>34.318399999999997</v>
      </c>
      <c r="G1908" s="37">
        <f t="shared" si="432"/>
        <v>0</v>
      </c>
      <c r="H1908" s="38">
        <f t="shared" si="433"/>
        <v>0</v>
      </c>
      <c r="I1908" s="37">
        <f t="shared" si="434"/>
        <v>0</v>
      </c>
      <c r="J1908" s="38">
        <v>0</v>
      </c>
      <c r="K1908" s="37">
        <f t="shared" si="435"/>
        <v>0</v>
      </c>
      <c r="L1908" s="38">
        <v>0</v>
      </c>
    </row>
    <row r="1909" spans="1:12" s="39" customFormat="1" ht="15.45" customHeight="1" outlineLevel="1" x14ac:dyDescent="0.25">
      <c r="A1909" s="33">
        <v>17</v>
      </c>
      <c r="B1909" s="34" t="s">
        <v>574</v>
      </c>
      <c r="C1909" s="35" t="s">
        <v>55</v>
      </c>
      <c r="D1909" s="36">
        <v>3</v>
      </c>
      <c r="E1909" s="36">
        <v>107.404</v>
      </c>
      <c r="F1909" s="36">
        <f t="shared" si="431"/>
        <v>322.21199999999999</v>
      </c>
      <c r="G1909" s="37">
        <f t="shared" si="432"/>
        <v>0</v>
      </c>
      <c r="H1909" s="38">
        <f t="shared" si="433"/>
        <v>0</v>
      </c>
      <c r="I1909" s="37">
        <f t="shared" si="434"/>
        <v>0</v>
      </c>
      <c r="J1909" s="38">
        <v>0</v>
      </c>
      <c r="K1909" s="37">
        <f t="shared" si="435"/>
        <v>0</v>
      </c>
      <c r="L1909" s="38">
        <v>0</v>
      </c>
    </row>
    <row r="1910" spans="1:12" s="39" customFormat="1" ht="15.45" customHeight="1" outlineLevel="1" x14ac:dyDescent="0.25">
      <c r="A1910" s="33">
        <v>18</v>
      </c>
      <c r="B1910" s="34" t="s">
        <v>575</v>
      </c>
      <c r="C1910" s="35" t="s">
        <v>50</v>
      </c>
      <c r="D1910" s="36">
        <v>5</v>
      </c>
      <c r="E1910" s="36">
        <v>4.9429999999999996</v>
      </c>
      <c r="F1910" s="36">
        <f t="shared" si="431"/>
        <v>24.714999999999996</v>
      </c>
      <c r="G1910" s="37">
        <f t="shared" si="432"/>
        <v>0</v>
      </c>
      <c r="H1910" s="38">
        <f t="shared" si="433"/>
        <v>0</v>
      </c>
      <c r="I1910" s="37">
        <f t="shared" si="434"/>
        <v>0</v>
      </c>
      <c r="J1910" s="38">
        <v>0</v>
      </c>
      <c r="K1910" s="37">
        <f t="shared" si="435"/>
        <v>0</v>
      </c>
      <c r="L1910" s="38">
        <v>0</v>
      </c>
    </row>
    <row r="1911" spans="1:12" s="45" customFormat="1" ht="28.95" customHeight="1" x14ac:dyDescent="0.3">
      <c r="A1911" s="33">
        <v>19</v>
      </c>
      <c r="B1911" s="34" t="s">
        <v>576</v>
      </c>
      <c r="C1911" s="35" t="s">
        <v>50</v>
      </c>
      <c r="D1911" s="36">
        <v>5</v>
      </c>
      <c r="E1911" s="36">
        <v>2.1909999999999998</v>
      </c>
      <c r="F1911" s="36">
        <f t="shared" si="431"/>
        <v>10.954999999999998</v>
      </c>
      <c r="G1911" s="37">
        <f t="shared" si="432"/>
        <v>0</v>
      </c>
      <c r="H1911" s="38">
        <f t="shared" si="433"/>
        <v>0</v>
      </c>
      <c r="I1911" s="37">
        <f t="shared" si="434"/>
        <v>0</v>
      </c>
      <c r="J1911" s="38">
        <v>0</v>
      </c>
      <c r="K1911" s="37">
        <f t="shared" si="435"/>
        <v>0</v>
      </c>
      <c r="L1911" s="38">
        <v>0</v>
      </c>
    </row>
    <row r="1912" spans="1:12" s="39" customFormat="1" ht="15.45" customHeight="1" outlineLevel="1" x14ac:dyDescent="0.25">
      <c r="A1912" s="33">
        <v>20</v>
      </c>
      <c r="B1912" s="34" t="s">
        <v>577</v>
      </c>
      <c r="C1912" s="35" t="s">
        <v>50</v>
      </c>
      <c r="D1912" s="36">
        <v>15</v>
      </c>
      <c r="E1912" s="36">
        <v>7.3807999999999998</v>
      </c>
      <c r="F1912" s="36">
        <f t="shared" si="431"/>
        <v>110.712</v>
      </c>
      <c r="G1912" s="37">
        <f t="shared" si="432"/>
        <v>0</v>
      </c>
      <c r="H1912" s="38">
        <f t="shared" si="433"/>
        <v>0</v>
      </c>
      <c r="I1912" s="37">
        <f t="shared" si="434"/>
        <v>0</v>
      </c>
      <c r="J1912" s="38">
        <v>0</v>
      </c>
      <c r="K1912" s="37">
        <f t="shared" si="435"/>
        <v>0</v>
      </c>
      <c r="L1912" s="38">
        <v>0</v>
      </c>
    </row>
    <row r="1913" spans="1:12" s="45" customFormat="1" ht="15.45" customHeight="1" x14ac:dyDescent="0.3">
      <c r="A1913" s="33">
        <v>21</v>
      </c>
      <c r="B1913" s="34" t="s">
        <v>578</v>
      </c>
      <c r="C1913" s="35" t="s">
        <v>50</v>
      </c>
      <c r="D1913" s="36">
        <v>15</v>
      </c>
      <c r="E1913" s="36">
        <v>2.1604000000000001</v>
      </c>
      <c r="F1913" s="36">
        <f t="shared" si="431"/>
        <v>32.405999999999999</v>
      </c>
      <c r="G1913" s="37">
        <f t="shared" si="432"/>
        <v>0</v>
      </c>
      <c r="H1913" s="38">
        <f t="shared" si="433"/>
        <v>0</v>
      </c>
      <c r="I1913" s="37">
        <f t="shared" si="434"/>
        <v>0</v>
      </c>
      <c r="J1913" s="38">
        <v>0</v>
      </c>
      <c r="K1913" s="37">
        <f t="shared" si="435"/>
        <v>0</v>
      </c>
      <c r="L1913" s="38">
        <v>0</v>
      </c>
    </row>
    <row r="1914" spans="1:12" s="39" customFormat="1" ht="15.45" customHeight="1" outlineLevel="1" x14ac:dyDescent="0.25">
      <c r="A1914" s="31" t="s">
        <v>1223</v>
      </c>
      <c r="B1914" s="40" t="s">
        <v>1224</v>
      </c>
      <c r="C1914" s="41">
        <v>0</v>
      </c>
      <c r="D1914" s="42"/>
      <c r="E1914" s="42"/>
      <c r="F1914" s="42"/>
      <c r="G1914" s="43"/>
      <c r="H1914" s="44"/>
      <c r="I1914" s="43"/>
      <c r="J1914" s="44"/>
      <c r="K1914" s="43"/>
      <c r="L1914" s="44">
        <v>0</v>
      </c>
    </row>
    <row r="1915" spans="1:12" s="39" customFormat="1" ht="28.95" customHeight="1" outlineLevel="1" x14ac:dyDescent="0.25">
      <c r="A1915" s="33">
        <v>1</v>
      </c>
      <c r="B1915" s="34" t="s">
        <v>1225</v>
      </c>
      <c r="C1915" s="35" t="s">
        <v>55</v>
      </c>
      <c r="D1915" s="36">
        <v>1</v>
      </c>
      <c r="E1915" s="36">
        <v>51.811999999999998</v>
      </c>
      <c r="F1915" s="36">
        <f t="shared" ref="F1915:F1938" si="436">+E1915*D1915</f>
        <v>51.811999999999998</v>
      </c>
      <c r="G1915" s="37">
        <f t="shared" ref="G1915:G1938" si="437">I1915+K1915</f>
        <v>0</v>
      </c>
      <c r="H1915" s="38">
        <f t="shared" ref="H1915:H1938" si="438">J1915+L1915</f>
        <v>0</v>
      </c>
      <c r="I1915" s="37">
        <f t="shared" ref="I1915:I1938" si="439">J1915/F1915</f>
        <v>0</v>
      </c>
      <c r="J1915" s="38">
        <v>0</v>
      </c>
      <c r="K1915" s="37">
        <f t="shared" ref="K1915:K1938" si="440">L1915/F1915</f>
        <v>0</v>
      </c>
      <c r="L1915" s="38">
        <v>0</v>
      </c>
    </row>
    <row r="1916" spans="1:12" s="39" customFormat="1" ht="28.95" customHeight="1" outlineLevel="1" x14ac:dyDescent="0.25">
      <c r="A1916" s="33">
        <v>2</v>
      </c>
      <c r="B1916" s="34" t="s">
        <v>521</v>
      </c>
      <c r="C1916" s="35" t="s">
        <v>55</v>
      </c>
      <c r="D1916" s="36">
        <v>1</v>
      </c>
      <c r="E1916" s="36">
        <v>35.147199999999998</v>
      </c>
      <c r="F1916" s="36">
        <f t="shared" si="436"/>
        <v>35.147199999999998</v>
      </c>
      <c r="G1916" s="37">
        <f t="shared" si="437"/>
        <v>0</v>
      </c>
      <c r="H1916" s="38">
        <f t="shared" si="438"/>
        <v>0</v>
      </c>
      <c r="I1916" s="37">
        <f t="shared" si="439"/>
        <v>0</v>
      </c>
      <c r="J1916" s="38">
        <v>0</v>
      </c>
      <c r="K1916" s="37">
        <f t="shared" si="440"/>
        <v>0</v>
      </c>
      <c r="L1916" s="38">
        <v>0</v>
      </c>
    </row>
    <row r="1917" spans="1:12" s="39" customFormat="1" ht="15.45" customHeight="1" outlineLevel="1" x14ac:dyDescent="0.25">
      <c r="A1917" s="33">
        <v>3</v>
      </c>
      <c r="B1917" s="34" t="s">
        <v>511</v>
      </c>
      <c r="C1917" s="35" t="s">
        <v>55</v>
      </c>
      <c r="D1917" s="36">
        <v>1</v>
      </c>
      <c r="E1917" s="36">
        <v>20.79</v>
      </c>
      <c r="F1917" s="36">
        <f t="shared" si="436"/>
        <v>20.79</v>
      </c>
      <c r="G1917" s="37">
        <f t="shared" si="437"/>
        <v>0</v>
      </c>
      <c r="H1917" s="38">
        <f t="shared" si="438"/>
        <v>0</v>
      </c>
      <c r="I1917" s="37">
        <f t="shared" si="439"/>
        <v>0</v>
      </c>
      <c r="J1917" s="38">
        <v>0</v>
      </c>
      <c r="K1917" s="37">
        <f t="shared" si="440"/>
        <v>0</v>
      </c>
      <c r="L1917" s="38">
        <v>0</v>
      </c>
    </row>
    <row r="1918" spans="1:12" s="39" customFormat="1" ht="15.45" customHeight="1" outlineLevel="1" x14ac:dyDescent="0.25">
      <c r="A1918" s="33">
        <v>4</v>
      </c>
      <c r="B1918" s="34" t="s">
        <v>1226</v>
      </c>
      <c r="C1918" s="35" t="s">
        <v>55</v>
      </c>
      <c r="D1918" s="36">
        <v>3</v>
      </c>
      <c r="E1918" s="36">
        <v>20.498000000000001</v>
      </c>
      <c r="F1918" s="36">
        <f t="shared" si="436"/>
        <v>61.494</v>
      </c>
      <c r="G1918" s="37">
        <f t="shared" si="437"/>
        <v>0</v>
      </c>
      <c r="H1918" s="38">
        <f t="shared" si="438"/>
        <v>0</v>
      </c>
      <c r="I1918" s="37">
        <f t="shared" si="439"/>
        <v>0</v>
      </c>
      <c r="J1918" s="38">
        <v>0</v>
      </c>
      <c r="K1918" s="37">
        <f t="shared" si="440"/>
        <v>0</v>
      </c>
      <c r="L1918" s="38">
        <v>0</v>
      </c>
    </row>
    <row r="1919" spans="1:12" s="39" customFormat="1" ht="15.45" customHeight="1" outlineLevel="1" x14ac:dyDescent="0.25">
      <c r="A1919" s="33">
        <v>5</v>
      </c>
      <c r="B1919" s="34" t="s">
        <v>528</v>
      </c>
      <c r="C1919" s="35" t="s">
        <v>55</v>
      </c>
      <c r="D1919" s="36">
        <v>3</v>
      </c>
      <c r="E1919" s="36">
        <v>4.3921999999999999</v>
      </c>
      <c r="F1919" s="36">
        <f t="shared" si="436"/>
        <v>13.176600000000001</v>
      </c>
      <c r="G1919" s="37">
        <f t="shared" si="437"/>
        <v>0</v>
      </c>
      <c r="H1919" s="38">
        <f t="shared" si="438"/>
        <v>0</v>
      </c>
      <c r="I1919" s="37">
        <f t="shared" si="439"/>
        <v>0</v>
      </c>
      <c r="J1919" s="38">
        <v>0</v>
      </c>
      <c r="K1919" s="37">
        <f t="shared" si="440"/>
        <v>0</v>
      </c>
      <c r="L1919" s="38">
        <v>0</v>
      </c>
    </row>
    <row r="1920" spans="1:12" s="39" customFormat="1" ht="15.45" customHeight="1" outlineLevel="1" x14ac:dyDescent="0.25">
      <c r="A1920" s="33">
        <v>6</v>
      </c>
      <c r="B1920" s="34" t="s">
        <v>523</v>
      </c>
      <c r="C1920" s="35" t="s">
        <v>55</v>
      </c>
      <c r="D1920" s="36">
        <v>3</v>
      </c>
      <c r="E1920" s="36">
        <v>4.3921999999999999</v>
      </c>
      <c r="F1920" s="36">
        <f t="shared" si="436"/>
        <v>13.176600000000001</v>
      </c>
      <c r="G1920" s="37">
        <f t="shared" si="437"/>
        <v>0</v>
      </c>
      <c r="H1920" s="38">
        <f t="shared" si="438"/>
        <v>0</v>
      </c>
      <c r="I1920" s="37">
        <f t="shared" si="439"/>
        <v>0</v>
      </c>
      <c r="J1920" s="38">
        <v>0</v>
      </c>
      <c r="K1920" s="37">
        <f t="shared" si="440"/>
        <v>0</v>
      </c>
      <c r="L1920" s="38">
        <v>0</v>
      </c>
    </row>
    <row r="1921" spans="1:12" s="39" customFormat="1" ht="15.45" customHeight="1" outlineLevel="1" x14ac:dyDescent="0.25">
      <c r="A1921" s="33">
        <v>7</v>
      </c>
      <c r="B1921" s="34" t="s">
        <v>513</v>
      </c>
      <c r="C1921" s="35" t="s">
        <v>55</v>
      </c>
      <c r="D1921" s="36">
        <v>10</v>
      </c>
      <c r="E1921" s="36">
        <v>14.3698</v>
      </c>
      <c r="F1921" s="36">
        <f t="shared" si="436"/>
        <v>143.69800000000001</v>
      </c>
      <c r="G1921" s="37">
        <f t="shared" si="437"/>
        <v>0</v>
      </c>
      <c r="H1921" s="38">
        <f t="shared" si="438"/>
        <v>0</v>
      </c>
      <c r="I1921" s="37">
        <f t="shared" si="439"/>
        <v>0</v>
      </c>
      <c r="J1921" s="38">
        <v>0</v>
      </c>
      <c r="K1921" s="37">
        <f t="shared" si="440"/>
        <v>0</v>
      </c>
      <c r="L1921" s="38">
        <v>0</v>
      </c>
    </row>
    <row r="1922" spans="1:12" s="39" customFormat="1" ht="15.45" customHeight="1" outlineLevel="1" x14ac:dyDescent="0.25">
      <c r="A1922" s="33">
        <v>8</v>
      </c>
      <c r="B1922" s="34" t="s">
        <v>1227</v>
      </c>
      <c r="C1922" s="35" t="s">
        <v>55</v>
      </c>
      <c r="D1922" s="36">
        <v>1</v>
      </c>
      <c r="E1922" s="36">
        <v>171.5498</v>
      </c>
      <c r="F1922" s="36">
        <f t="shared" si="436"/>
        <v>171.5498</v>
      </c>
      <c r="G1922" s="37">
        <f t="shared" si="437"/>
        <v>0</v>
      </c>
      <c r="H1922" s="38">
        <f t="shared" si="438"/>
        <v>0</v>
      </c>
      <c r="I1922" s="37">
        <f t="shared" si="439"/>
        <v>0</v>
      </c>
      <c r="J1922" s="38">
        <v>0</v>
      </c>
      <c r="K1922" s="37">
        <f t="shared" si="440"/>
        <v>0</v>
      </c>
      <c r="L1922" s="38">
        <v>0</v>
      </c>
    </row>
    <row r="1923" spans="1:12" s="39" customFormat="1" ht="43.5" customHeight="1" outlineLevel="1" x14ac:dyDescent="0.25">
      <c r="A1923" s="33">
        <v>9</v>
      </c>
      <c r="B1923" s="34" t="s">
        <v>1228</v>
      </c>
      <c r="C1923" s="35" t="s">
        <v>55</v>
      </c>
      <c r="D1923" s="36">
        <v>1</v>
      </c>
      <c r="E1923" s="36">
        <v>21.938199999999998</v>
      </c>
      <c r="F1923" s="36">
        <f t="shared" si="436"/>
        <v>21.938199999999998</v>
      </c>
      <c r="G1923" s="37">
        <f t="shared" si="437"/>
        <v>0</v>
      </c>
      <c r="H1923" s="38">
        <f t="shared" si="438"/>
        <v>0</v>
      </c>
      <c r="I1923" s="37">
        <f t="shared" si="439"/>
        <v>0</v>
      </c>
      <c r="J1923" s="38">
        <v>0</v>
      </c>
      <c r="K1923" s="37">
        <f t="shared" si="440"/>
        <v>0</v>
      </c>
      <c r="L1923" s="38">
        <v>0</v>
      </c>
    </row>
    <row r="1924" spans="1:12" s="39" customFormat="1" ht="15.45" customHeight="1" outlineLevel="1" x14ac:dyDescent="0.25">
      <c r="A1924" s="33">
        <v>10</v>
      </c>
      <c r="B1924" s="34" t="s">
        <v>616</v>
      </c>
      <c r="C1924" s="35" t="s">
        <v>50</v>
      </c>
      <c r="D1924" s="36">
        <v>1.5</v>
      </c>
      <c r="E1924" s="36">
        <v>4.4499999999999993</v>
      </c>
      <c r="F1924" s="36">
        <f t="shared" si="436"/>
        <v>6.6749999999999989</v>
      </c>
      <c r="G1924" s="37">
        <f t="shared" si="437"/>
        <v>0</v>
      </c>
      <c r="H1924" s="38">
        <f t="shared" si="438"/>
        <v>0</v>
      </c>
      <c r="I1924" s="37">
        <f t="shared" si="439"/>
        <v>0</v>
      </c>
      <c r="J1924" s="38">
        <v>0</v>
      </c>
      <c r="K1924" s="37">
        <f t="shared" si="440"/>
        <v>0</v>
      </c>
      <c r="L1924" s="38">
        <v>0</v>
      </c>
    </row>
    <row r="1925" spans="1:12" s="39" customFormat="1" ht="15.45" customHeight="1" outlineLevel="1" x14ac:dyDescent="0.25">
      <c r="A1925" s="33">
        <v>11</v>
      </c>
      <c r="B1925" s="34" t="s">
        <v>1229</v>
      </c>
      <c r="C1925" s="35" t="s">
        <v>55</v>
      </c>
      <c r="D1925" s="36">
        <v>3</v>
      </c>
      <c r="E1925" s="36">
        <v>15.887600000000001</v>
      </c>
      <c r="F1925" s="36">
        <f t="shared" si="436"/>
        <v>47.662800000000004</v>
      </c>
      <c r="G1925" s="37">
        <f t="shared" si="437"/>
        <v>0</v>
      </c>
      <c r="H1925" s="38">
        <f t="shared" si="438"/>
        <v>0</v>
      </c>
      <c r="I1925" s="37">
        <f t="shared" si="439"/>
        <v>0</v>
      </c>
      <c r="J1925" s="38">
        <v>0</v>
      </c>
      <c r="K1925" s="37">
        <f t="shared" si="440"/>
        <v>0</v>
      </c>
      <c r="L1925" s="38">
        <v>0</v>
      </c>
    </row>
    <row r="1926" spans="1:12" s="39" customFormat="1" ht="28.95" customHeight="1" outlineLevel="1" x14ac:dyDescent="0.25">
      <c r="A1926" s="33">
        <v>12</v>
      </c>
      <c r="B1926" s="34" t="s">
        <v>533</v>
      </c>
      <c r="C1926" s="35" t="s">
        <v>55</v>
      </c>
      <c r="D1926" s="36">
        <v>3</v>
      </c>
      <c r="E1926" s="36">
        <v>28.619199999999999</v>
      </c>
      <c r="F1926" s="36">
        <f t="shared" si="436"/>
        <v>85.857599999999991</v>
      </c>
      <c r="G1926" s="37">
        <f t="shared" si="437"/>
        <v>0</v>
      </c>
      <c r="H1926" s="38">
        <f t="shared" si="438"/>
        <v>0</v>
      </c>
      <c r="I1926" s="37">
        <f t="shared" si="439"/>
        <v>0</v>
      </c>
      <c r="J1926" s="38">
        <v>0</v>
      </c>
      <c r="K1926" s="37">
        <f t="shared" si="440"/>
        <v>0</v>
      </c>
      <c r="L1926" s="38">
        <v>0</v>
      </c>
    </row>
    <row r="1927" spans="1:12" s="39" customFormat="1" ht="15.45" customHeight="1" outlineLevel="1" x14ac:dyDescent="0.25">
      <c r="A1927" s="33">
        <v>13</v>
      </c>
      <c r="B1927" s="34" t="s">
        <v>1230</v>
      </c>
      <c r="C1927" s="35" t="s">
        <v>55</v>
      </c>
      <c r="D1927" s="36">
        <v>3</v>
      </c>
      <c r="E1927" s="36">
        <v>13.990399999999999</v>
      </c>
      <c r="F1927" s="36">
        <f t="shared" si="436"/>
        <v>41.971199999999996</v>
      </c>
      <c r="G1927" s="37">
        <f t="shared" si="437"/>
        <v>0</v>
      </c>
      <c r="H1927" s="38">
        <f t="shared" si="438"/>
        <v>0</v>
      </c>
      <c r="I1927" s="37">
        <f t="shared" si="439"/>
        <v>0</v>
      </c>
      <c r="J1927" s="38">
        <v>0</v>
      </c>
      <c r="K1927" s="37">
        <f t="shared" si="440"/>
        <v>0</v>
      </c>
      <c r="L1927" s="38">
        <v>0</v>
      </c>
    </row>
    <row r="1928" spans="1:12" s="39" customFormat="1" ht="43.5" customHeight="1" outlineLevel="1" x14ac:dyDescent="0.25">
      <c r="A1928" s="33">
        <v>14</v>
      </c>
      <c r="B1928" s="34" t="s">
        <v>535</v>
      </c>
      <c r="C1928" s="35" t="s">
        <v>55</v>
      </c>
      <c r="D1928" s="36">
        <v>3</v>
      </c>
      <c r="E1928" s="36">
        <v>20.489799999999999</v>
      </c>
      <c r="F1928" s="36">
        <f t="shared" si="436"/>
        <v>61.469399999999993</v>
      </c>
      <c r="G1928" s="37">
        <f t="shared" si="437"/>
        <v>0</v>
      </c>
      <c r="H1928" s="38">
        <f t="shared" si="438"/>
        <v>0</v>
      </c>
      <c r="I1928" s="37">
        <f t="shared" si="439"/>
        <v>0</v>
      </c>
      <c r="J1928" s="38">
        <v>0</v>
      </c>
      <c r="K1928" s="37">
        <f t="shared" si="440"/>
        <v>0</v>
      </c>
      <c r="L1928" s="38">
        <v>0</v>
      </c>
    </row>
    <row r="1929" spans="1:12" s="39" customFormat="1" ht="15.45" customHeight="1" outlineLevel="1" x14ac:dyDescent="0.25">
      <c r="A1929" s="33">
        <v>15</v>
      </c>
      <c r="B1929" s="34" t="s">
        <v>604</v>
      </c>
      <c r="C1929" s="35" t="s">
        <v>115</v>
      </c>
      <c r="D1929" s="36">
        <v>1</v>
      </c>
      <c r="E1929" s="36">
        <v>134.3912</v>
      </c>
      <c r="F1929" s="36">
        <f t="shared" si="436"/>
        <v>134.3912</v>
      </c>
      <c r="G1929" s="37">
        <f t="shared" si="437"/>
        <v>0</v>
      </c>
      <c r="H1929" s="38">
        <f t="shared" si="438"/>
        <v>0</v>
      </c>
      <c r="I1929" s="37">
        <f t="shared" si="439"/>
        <v>0</v>
      </c>
      <c r="J1929" s="38">
        <v>0</v>
      </c>
      <c r="K1929" s="37">
        <f t="shared" si="440"/>
        <v>0</v>
      </c>
      <c r="L1929" s="38">
        <v>0</v>
      </c>
    </row>
    <row r="1930" spans="1:12" s="39" customFormat="1" ht="15.45" customHeight="1" outlineLevel="1" x14ac:dyDescent="0.25">
      <c r="A1930" s="33">
        <v>16</v>
      </c>
      <c r="B1930" s="34" t="s">
        <v>605</v>
      </c>
      <c r="C1930" s="35" t="s">
        <v>55</v>
      </c>
      <c r="D1930" s="36">
        <v>1</v>
      </c>
      <c r="E1930" s="36">
        <v>16.256799999999998</v>
      </c>
      <c r="F1930" s="36">
        <f t="shared" si="436"/>
        <v>16.256799999999998</v>
      </c>
      <c r="G1930" s="37">
        <f t="shared" si="437"/>
        <v>0</v>
      </c>
      <c r="H1930" s="38">
        <f t="shared" si="438"/>
        <v>0</v>
      </c>
      <c r="I1930" s="37">
        <f t="shared" si="439"/>
        <v>0</v>
      </c>
      <c r="J1930" s="38">
        <v>0</v>
      </c>
      <c r="K1930" s="37">
        <f t="shared" si="440"/>
        <v>0</v>
      </c>
      <c r="L1930" s="38">
        <v>0</v>
      </c>
    </row>
    <row r="1931" spans="1:12" s="39" customFormat="1" ht="28.95" customHeight="1" outlineLevel="1" x14ac:dyDescent="0.25">
      <c r="A1931" s="33">
        <v>17</v>
      </c>
      <c r="B1931" s="34" t="s">
        <v>1231</v>
      </c>
      <c r="C1931" s="35" t="s">
        <v>55</v>
      </c>
      <c r="D1931" s="36">
        <v>1</v>
      </c>
      <c r="E1931" s="36">
        <v>3.8923999999999999</v>
      </c>
      <c r="F1931" s="36">
        <f t="shared" si="436"/>
        <v>3.8923999999999999</v>
      </c>
      <c r="G1931" s="37">
        <f t="shared" si="437"/>
        <v>0</v>
      </c>
      <c r="H1931" s="38">
        <f t="shared" si="438"/>
        <v>0</v>
      </c>
      <c r="I1931" s="37">
        <f t="shared" si="439"/>
        <v>0</v>
      </c>
      <c r="J1931" s="38">
        <v>0</v>
      </c>
      <c r="K1931" s="37">
        <f t="shared" si="440"/>
        <v>0</v>
      </c>
      <c r="L1931" s="38">
        <v>0</v>
      </c>
    </row>
    <row r="1932" spans="1:12" s="39" customFormat="1" ht="28.95" customHeight="1" outlineLevel="1" x14ac:dyDescent="0.25">
      <c r="A1932" s="33">
        <v>18</v>
      </c>
      <c r="B1932" s="34" t="s">
        <v>545</v>
      </c>
      <c r="C1932" s="35" t="s">
        <v>55</v>
      </c>
      <c r="D1932" s="36">
        <v>1</v>
      </c>
      <c r="E1932" s="36">
        <v>4.3635999999999999</v>
      </c>
      <c r="F1932" s="36">
        <f t="shared" si="436"/>
        <v>4.3635999999999999</v>
      </c>
      <c r="G1932" s="37">
        <f t="shared" si="437"/>
        <v>0</v>
      </c>
      <c r="H1932" s="38">
        <f t="shared" si="438"/>
        <v>0</v>
      </c>
      <c r="I1932" s="37">
        <f t="shared" si="439"/>
        <v>0</v>
      </c>
      <c r="J1932" s="38">
        <v>0</v>
      </c>
      <c r="K1932" s="37">
        <f t="shared" si="440"/>
        <v>0</v>
      </c>
      <c r="L1932" s="38">
        <v>0</v>
      </c>
    </row>
    <row r="1933" spans="1:12" s="39" customFormat="1" ht="15.45" customHeight="1" outlineLevel="1" x14ac:dyDescent="0.25">
      <c r="A1933" s="33">
        <v>19</v>
      </c>
      <c r="B1933" s="34" t="s">
        <v>614</v>
      </c>
      <c r="C1933" s="35" t="s">
        <v>50</v>
      </c>
      <c r="D1933" s="36">
        <v>25</v>
      </c>
      <c r="E1933" s="36">
        <v>0.9</v>
      </c>
      <c r="F1933" s="36">
        <f t="shared" si="436"/>
        <v>22.5</v>
      </c>
      <c r="G1933" s="37">
        <f t="shared" si="437"/>
        <v>0</v>
      </c>
      <c r="H1933" s="38">
        <f t="shared" si="438"/>
        <v>0</v>
      </c>
      <c r="I1933" s="37">
        <f t="shared" si="439"/>
        <v>0</v>
      </c>
      <c r="J1933" s="38">
        <v>0</v>
      </c>
      <c r="K1933" s="37">
        <f t="shared" si="440"/>
        <v>0</v>
      </c>
      <c r="L1933" s="38">
        <v>0</v>
      </c>
    </row>
    <row r="1934" spans="1:12" s="39" customFormat="1" ht="28.95" customHeight="1" outlineLevel="1" x14ac:dyDescent="0.25">
      <c r="A1934" s="33">
        <v>20</v>
      </c>
      <c r="B1934" s="34" t="s">
        <v>554</v>
      </c>
      <c r="C1934" s="35" t="s">
        <v>50</v>
      </c>
      <c r="D1934" s="36">
        <v>25</v>
      </c>
      <c r="E1934" s="36">
        <v>2.1604000000000001</v>
      </c>
      <c r="F1934" s="36">
        <f t="shared" si="436"/>
        <v>54.010000000000005</v>
      </c>
      <c r="G1934" s="37">
        <f t="shared" si="437"/>
        <v>0</v>
      </c>
      <c r="H1934" s="38">
        <f t="shared" si="438"/>
        <v>0</v>
      </c>
      <c r="I1934" s="37">
        <f t="shared" si="439"/>
        <v>0</v>
      </c>
      <c r="J1934" s="38">
        <v>0</v>
      </c>
      <c r="K1934" s="37">
        <f t="shared" si="440"/>
        <v>0</v>
      </c>
      <c r="L1934" s="38">
        <v>0</v>
      </c>
    </row>
    <row r="1935" spans="1:12" s="39" customFormat="1" ht="15.45" customHeight="1" outlineLevel="1" x14ac:dyDescent="0.25">
      <c r="A1935" s="33">
        <v>21</v>
      </c>
      <c r="B1935" s="34" t="s">
        <v>564</v>
      </c>
      <c r="C1935" s="35" t="s">
        <v>50</v>
      </c>
      <c r="D1935" s="36">
        <v>11</v>
      </c>
      <c r="E1935" s="36">
        <v>2.2999999999999998</v>
      </c>
      <c r="F1935" s="36">
        <f t="shared" si="436"/>
        <v>25.299999999999997</v>
      </c>
      <c r="G1935" s="37">
        <f t="shared" si="437"/>
        <v>0</v>
      </c>
      <c r="H1935" s="38">
        <f t="shared" si="438"/>
        <v>0</v>
      </c>
      <c r="I1935" s="37">
        <f t="shared" si="439"/>
        <v>0</v>
      </c>
      <c r="J1935" s="38">
        <v>0</v>
      </c>
      <c r="K1935" s="37">
        <f t="shared" si="440"/>
        <v>0</v>
      </c>
      <c r="L1935" s="38">
        <v>0</v>
      </c>
    </row>
    <row r="1936" spans="1:12" s="39" customFormat="1" ht="15.45" customHeight="1" outlineLevel="1" x14ac:dyDescent="0.25">
      <c r="A1936" s="33">
        <v>22</v>
      </c>
      <c r="B1936" s="34" t="s">
        <v>1067</v>
      </c>
      <c r="C1936" s="35" t="s">
        <v>50</v>
      </c>
      <c r="D1936" s="36">
        <v>15</v>
      </c>
      <c r="E1936" s="36">
        <v>3.52</v>
      </c>
      <c r="F1936" s="36">
        <f t="shared" si="436"/>
        <v>52.8</v>
      </c>
      <c r="G1936" s="37">
        <f t="shared" si="437"/>
        <v>0</v>
      </c>
      <c r="H1936" s="38">
        <f t="shared" si="438"/>
        <v>0</v>
      </c>
      <c r="I1936" s="37">
        <f t="shared" si="439"/>
        <v>0</v>
      </c>
      <c r="J1936" s="38">
        <v>0</v>
      </c>
      <c r="K1936" s="37">
        <f t="shared" si="440"/>
        <v>0</v>
      </c>
      <c r="L1936" s="38">
        <v>0</v>
      </c>
    </row>
    <row r="1937" spans="1:12" s="39" customFormat="1" ht="28.95" customHeight="1" outlineLevel="1" x14ac:dyDescent="0.25">
      <c r="A1937" s="33">
        <v>23</v>
      </c>
      <c r="B1937" s="34" t="s">
        <v>617</v>
      </c>
      <c r="C1937" s="35" t="s">
        <v>50</v>
      </c>
      <c r="D1937" s="36">
        <v>25</v>
      </c>
      <c r="E1937" s="36">
        <v>2.0175999999999998</v>
      </c>
      <c r="F1937" s="36">
        <f t="shared" si="436"/>
        <v>50.44</v>
      </c>
      <c r="G1937" s="37">
        <f t="shared" si="437"/>
        <v>0</v>
      </c>
      <c r="H1937" s="38">
        <f t="shared" si="438"/>
        <v>0</v>
      </c>
      <c r="I1937" s="37">
        <f t="shared" si="439"/>
        <v>0</v>
      </c>
      <c r="J1937" s="38">
        <v>0</v>
      </c>
      <c r="K1937" s="37">
        <f t="shared" si="440"/>
        <v>0</v>
      </c>
      <c r="L1937" s="38">
        <v>0</v>
      </c>
    </row>
    <row r="1938" spans="1:12" s="39" customFormat="1" ht="28.95" customHeight="1" outlineLevel="1" x14ac:dyDescent="0.25">
      <c r="A1938" s="33">
        <v>24</v>
      </c>
      <c r="B1938" s="34" t="s">
        <v>572</v>
      </c>
      <c r="C1938" s="35" t="s">
        <v>50</v>
      </c>
      <c r="D1938" s="36">
        <v>1</v>
      </c>
      <c r="E1938" s="36">
        <v>1.885</v>
      </c>
      <c r="F1938" s="36">
        <f t="shared" si="436"/>
        <v>1.885</v>
      </c>
      <c r="G1938" s="37">
        <f t="shared" si="437"/>
        <v>0</v>
      </c>
      <c r="H1938" s="38">
        <f t="shared" si="438"/>
        <v>0</v>
      </c>
      <c r="I1938" s="37">
        <f t="shared" si="439"/>
        <v>0</v>
      </c>
      <c r="J1938" s="38">
        <v>0</v>
      </c>
      <c r="K1938" s="37">
        <f t="shared" si="440"/>
        <v>0</v>
      </c>
      <c r="L1938" s="38">
        <v>0</v>
      </c>
    </row>
    <row r="1939" spans="1:12" s="39" customFormat="1" ht="15.45" customHeight="1" outlineLevel="1" x14ac:dyDescent="0.25">
      <c r="A1939" s="31" t="s">
        <v>1232</v>
      </c>
      <c r="B1939" s="40" t="s">
        <v>1233</v>
      </c>
      <c r="C1939" s="41">
        <v>0</v>
      </c>
      <c r="D1939" s="42"/>
      <c r="E1939" s="42"/>
      <c r="F1939" s="42"/>
      <c r="G1939" s="43"/>
      <c r="H1939" s="44"/>
      <c r="I1939" s="43"/>
      <c r="J1939" s="44"/>
      <c r="K1939" s="43"/>
      <c r="L1939" s="44">
        <v>0</v>
      </c>
    </row>
    <row r="1940" spans="1:12" s="39" customFormat="1" ht="43.5" customHeight="1" outlineLevel="1" x14ac:dyDescent="0.25">
      <c r="A1940" s="33">
        <v>1</v>
      </c>
      <c r="B1940" s="34" t="s">
        <v>830</v>
      </c>
      <c r="C1940" s="35" t="s">
        <v>66</v>
      </c>
      <c r="D1940" s="36">
        <v>176</v>
      </c>
      <c r="E1940" s="36">
        <v>0.9</v>
      </c>
      <c r="F1940" s="36">
        <f t="shared" ref="F1940:F1947" si="441">+E1940*D1940</f>
        <v>158.4</v>
      </c>
      <c r="G1940" s="37">
        <f t="shared" ref="G1940:H1947" si="442">I1940+K1940</f>
        <v>0</v>
      </c>
      <c r="H1940" s="38">
        <f t="shared" si="442"/>
        <v>0</v>
      </c>
      <c r="I1940" s="37">
        <f t="shared" ref="I1940:I1947" si="443">J1940/F1940</f>
        <v>0</v>
      </c>
      <c r="J1940" s="38">
        <v>0</v>
      </c>
      <c r="K1940" s="37">
        <f t="shared" ref="K1940:K1947" si="444">L1940/F1940</f>
        <v>0</v>
      </c>
      <c r="L1940" s="38">
        <v>0</v>
      </c>
    </row>
    <row r="1941" spans="1:12" s="39" customFormat="1" ht="28.95" customHeight="1" outlineLevel="1" x14ac:dyDescent="0.25">
      <c r="A1941" s="33">
        <v>2</v>
      </c>
      <c r="B1941" s="34" t="s">
        <v>765</v>
      </c>
      <c r="C1941" s="35" t="s">
        <v>66</v>
      </c>
      <c r="D1941" s="36">
        <v>6</v>
      </c>
      <c r="E1941" s="36">
        <v>8.9600000000000009</v>
      </c>
      <c r="F1941" s="36">
        <f t="shared" si="441"/>
        <v>53.760000000000005</v>
      </c>
      <c r="G1941" s="37">
        <f t="shared" si="442"/>
        <v>0</v>
      </c>
      <c r="H1941" s="38">
        <f t="shared" si="442"/>
        <v>0</v>
      </c>
      <c r="I1941" s="37">
        <f t="shared" si="443"/>
        <v>0</v>
      </c>
      <c r="J1941" s="38">
        <v>0</v>
      </c>
      <c r="K1941" s="37">
        <f t="shared" si="444"/>
        <v>0</v>
      </c>
      <c r="L1941" s="38">
        <v>0</v>
      </c>
    </row>
    <row r="1942" spans="1:12" s="46" customFormat="1" ht="43.5" customHeight="1" outlineLevel="1" x14ac:dyDescent="0.35">
      <c r="A1942" s="33">
        <v>3</v>
      </c>
      <c r="B1942" s="34" t="s">
        <v>766</v>
      </c>
      <c r="C1942" s="35" t="s">
        <v>66</v>
      </c>
      <c r="D1942" s="36">
        <v>63</v>
      </c>
      <c r="E1942" s="36">
        <v>0.9</v>
      </c>
      <c r="F1942" s="36">
        <f t="shared" si="441"/>
        <v>56.7</v>
      </c>
      <c r="G1942" s="37">
        <f t="shared" si="442"/>
        <v>0</v>
      </c>
      <c r="H1942" s="38">
        <f t="shared" si="442"/>
        <v>0</v>
      </c>
      <c r="I1942" s="37">
        <f t="shared" si="443"/>
        <v>0</v>
      </c>
      <c r="J1942" s="38">
        <v>0</v>
      </c>
      <c r="K1942" s="37">
        <f t="shared" si="444"/>
        <v>0</v>
      </c>
      <c r="L1942" s="38">
        <v>0</v>
      </c>
    </row>
    <row r="1943" spans="1:12" s="39" customFormat="1" ht="28.95" customHeight="1" outlineLevel="1" x14ac:dyDescent="0.25">
      <c r="A1943" s="33">
        <v>4</v>
      </c>
      <c r="B1943" s="34" t="s">
        <v>316</v>
      </c>
      <c r="C1943" s="35" t="s">
        <v>66</v>
      </c>
      <c r="D1943" s="36">
        <v>16</v>
      </c>
      <c r="E1943" s="36">
        <v>8.16</v>
      </c>
      <c r="F1943" s="36">
        <f t="shared" si="441"/>
        <v>130.56</v>
      </c>
      <c r="G1943" s="37">
        <f t="shared" si="442"/>
        <v>0</v>
      </c>
      <c r="H1943" s="38">
        <f t="shared" si="442"/>
        <v>0</v>
      </c>
      <c r="I1943" s="37">
        <f t="shared" si="443"/>
        <v>0</v>
      </c>
      <c r="J1943" s="38">
        <v>0</v>
      </c>
      <c r="K1943" s="37">
        <f t="shared" si="444"/>
        <v>0</v>
      </c>
      <c r="L1943" s="38">
        <v>0</v>
      </c>
    </row>
    <row r="1944" spans="1:12" s="39" customFormat="1" ht="28.95" customHeight="1" outlineLevel="1" x14ac:dyDescent="0.25">
      <c r="A1944" s="33">
        <v>5</v>
      </c>
      <c r="B1944" s="34" t="s">
        <v>234</v>
      </c>
      <c r="C1944" s="35" t="s">
        <v>66</v>
      </c>
      <c r="D1944" s="36">
        <v>63</v>
      </c>
      <c r="E1944" s="36">
        <v>2</v>
      </c>
      <c r="F1944" s="36">
        <f t="shared" si="441"/>
        <v>126</v>
      </c>
      <c r="G1944" s="37">
        <f t="shared" si="442"/>
        <v>0</v>
      </c>
      <c r="H1944" s="38">
        <f t="shared" si="442"/>
        <v>0</v>
      </c>
      <c r="I1944" s="37">
        <f t="shared" si="443"/>
        <v>0</v>
      </c>
      <c r="J1944" s="38">
        <v>0</v>
      </c>
      <c r="K1944" s="37">
        <f t="shared" si="444"/>
        <v>0</v>
      </c>
      <c r="L1944" s="38">
        <v>0</v>
      </c>
    </row>
    <row r="1945" spans="1:12" s="39" customFormat="1" ht="28.95" customHeight="1" outlineLevel="1" x14ac:dyDescent="0.25">
      <c r="A1945" s="33">
        <v>6</v>
      </c>
      <c r="B1945" s="34" t="s">
        <v>923</v>
      </c>
      <c r="C1945" s="35" t="s">
        <v>66</v>
      </c>
      <c r="D1945" s="36">
        <v>103</v>
      </c>
      <c r="E1945" s="36">
        <v>0.9</v>
      </c>
      <c r="F1945" s="36">
        <f t="shared" si="441"/>
        <v>92.7</v>
      </c>
      <c r="G1945" s="37">
        <f t="shared" si="442"/>
        <v>0</v>
      </c>
      <c r="H1945" s="38">
        <f t="shared" si="442"/>
        <v>0</v>
      </c>
      <c r="I1945" s="37">
        <f t="shared" si="443"/>
        <v>0</v>
      </c>
      <c r="J1945" s="38">
        <v>0</v>
      </c>
      <c r="K1945" s="37">
        <f t="shared" si="444"/>
        <v>0</v>
      </c>
      <c r="L1945" s="38">
        <v>0</v>
      </c>
    </row>
    <row r="1946" spans="1:12" s="39" customFormat="1" ht="15.45" customHeight="1" outlineLevel="1" x14ac:dyDescent="0.25">
      <c r="A1946" s="33">
        <v>7</v>
      </c>
      <c r="B1946" s="34" t="s">
        <v>225</v>
      </c>
      <c r="C1946" s="35" t="s">
        <v>30</v>
      </c>
      <c r="D1946" s="36">
        <v>180.3</v>
      </c>
      <c r="E1946" s="36">
        <v>1.63</v>
      </c>
      <c r="F1946" s="36">
        <f t="shared" si="441"/>
        <v>293.88900000000001</v>
      </c>
      <c r="G1946" s="37">
        <f t="shared" si="442"/>
        <v>0</v>
      </c>
      <c r="H1946" s="38">
        <f t="shared" si="442"/>
        <v>0</v>
      </c>
      <c r="I1946" s="37">
        <f t="shared" si="443"/>
        <v>0</v>
      </c>
      <c r="J1946" s="38">
        <v>0</v>
      </c>
      <c r="K1946" s="37">
        <f t="shared" si="444"/>
        <v>0</v>
      </c>
      <c r="L1946" s="38">
        <v>0</v>
      </c>
    </row>
    <row r="1947" spans="1:12" s="45" customFormat="1" ht="28.95" customHeight="1" x14ac:dyDescent="0.3">
      <c r="A1947" s="33">
        <v>8</v>
      </c>
      <c r="B1947" s="34" t="s">
        <v>226</v>
      </c>
      <c r="C1947" s="35" t="s">
        <v>66</v>
      </c>
      <c r="D1947" s="36">
        <v>103</v>
      </c>
      <c r="E1947" s="36">
        <v>0.90200000000000002</v>
      </c>
      <c r="F1947" s="36">
        <f t="shared" si="441"/>
        <v>92.906000000000006</v>
      </c>
      <c r="G1947" s="37">
        <f t="shared" si="442"/>
        <v>0</v>
      </c>
      <c r="H1947" s="38">
        <f t="shared" si="442"/>
        <v>0</v>
      </c>
      <c r="I1947" s="37">
        <f t="shared" si="443"/>
        <v>0</v>
      </c>
      <c r="J1947" s="38">
        <v>0</v>
      </c>
      <c r="K1947" s="37">
        <f t="shared" si="444"/>
        <v>0</v>
      </c>
      <c r="L1947" s="38">
        <v>0</v>
      </c>
    </row>
    <row r="1948" spans="1:12" s="39" customFormat="1" ht="15.45" customHeight="1" outlineLevel="1" x14ac:dyDescent="0.25">
      <c r="A1948" s="31" t="s">
        <v>1234</v>
      </c>
      <c r="B1948" s="40" t="s">
        <v>1235</v>
      </c>
      <c r="C1948" s="41">
        <v>0</v>
      </c>
      <c r="D1948" s="42"/>
      <c r="E1948" s="42"/>
      <c r="F1948" s="42"/>
      <c r="G1948" s="43"/>
      <c r="H1948" s="44"/>
      <c r="I1948" s="43"/>
      <c r="J1948" s="44"/>
      <c r="K1948" s="43"/>
      <c r="L1948" s="44">
        <v>0</v>
      </c>
    </row>
    <row r="1949" spans="1:12" s="39" customFormat="1" ht="15.45" customHeight="1" outlineLevel="1" x14ac:dyDescent="0.25">
      <c r="A1949" s="33">
        <v>1</v>
      </c>
      <c r="B1949" s="34" t="s">
        <v>947</v>
      </c>
      <c r="C1949" s="35" t="s">
        <v>66</v>
      </c>
      <c r="D1949" s="36">
        <v>18.5</v>
      </c>
      <c r="E1949" s="36">
        <v>117.15519999999999</v>
      </c>
      <c r="F1949" s="36">
        <f t="shared" ref="F1949:F1957" si="445">+E1949*D1949</f>
        <v>2167.3712</v>
      </c>
      <c r="G1949" s="37">
        <f t="shared" ref="G1949:G1957" si="446">I1949+K1949</f>
        <v>0</v>
      </c>
      <c r="H1949" s="38">
        <f t="shared" ref="H1949:H1957" si="447">J1949+L1949</f>
        <v>0</v>
      </c>
      <c r="I1949" s="37">
        <f t="shared" ref="I1949:I1957" si="448">J1949/F1949</f>
        <v>0</v>
      </c>
      <c r="J1949" s="38">
        <v>0</v>
      </c>
      <c r="K1949" s="37">
        <f t="shared" ref="K1949:K1957" si="449">L1949/F1949</f>
        <v>0</v>
      </c>
      <c r="L1949" s="38">
        <v>0</v>
      </c>
    </row>
    <row r="1950" spans="1:12" s="39" customFormat="1" ht="15.45" customHeight="1" outlineLevel="1" x14ac:dyDescent="0.25">
      <c r="A1950" s="33">
        <v>2</v>
      </c>
      <c r="B1950" s="34" t="s">
        <v>46</v>
      </c>
      <c r="C1950" s="35" t="s">
        <v>30</v>
      </c>
      <c r="D1950" s="36">
        <v>1.1990000000000001</v>
      </c>
      <c r="E1950" s="36">
        <v>1200.0999999999999</v>
      </c>
      <c r="F1950" s="36">
        <f t="shared" si="445"/>
        <v>1438.9198999999999</v>
      </c>
      <c r="G1950" s="37">
        <f t="shared" si="446"/>
        <v>0</v>
      </c>
      <c r="H1950" s="38">
        <f t="shared" si="447"/>
        <v>0</v>
      </c>
      <c r="I1950" s="37">
        <f t="shared" si="448"/>
        <v>0</v>
      </c>
      <c r="J1950" s="38">
        <v>0</v>
      </c>
      <c r="K1950" s="37">
        <f t="shared" si="449"/>
        <v>0</v>
      </c>
      <c r="L1950" s="38">
        <v>0</v>
      </c>
    </row>
    <row r="1951" spans="1:12" s="39" customFormat="1" ht="15.45" customHeight="1" outlineLevel="1" x14ac:dyDescent="0.25">
      <c r="A1951" s="33">
        <v>3</v>
      </c>
      <c r="B1951" s="34" t="s">
        <v>1236</v>
      </c>
      <c r="C1951" s="35" t="s">
        <v>66</v>
      </c>
      <c r="D1951" s="36">
        <v>14.6</v>
      </c>
      <c r="E1951" s="36">
        <v>117.15519999999999</v>
      </c>
      <c r="F1951" s="36">
        <f t="shared" si="445"/>
        <v>1710.4659199999999</v>
      </c>
      <c r="G1951" s="37">
        <f t="shared" si="446"/>
        <v>0</v>
      </c>
      <c r="H1951" s="38">
        <f t="shared" si="447"/>
        <v>0</v>
      </c>
      <c r="I1951" s="37">
        <f t="shared" si="448"/>
        <v>0</v>
      </c>
      <c r="J1951" s="38">
        <v>0</v>
      </c>
      <c r="K1951" s="37">
        <f t="shared" si="449"/>
        <v>0</v>
      </c>
      <c r="L1951" s="38">
        <v>0</v>
      </c>
    </row>
    <row r="1952" spans="1:12" s="39" customFormat="1" ht="15.45" customHeight="1" outlineLevel="1" x14ac:dyDescent="0.25">
      <c r="A1952" s="33">
        <v>4</v>
      </c>
      <c r="B1952" s="34" t="s">
        <v>45</v>
      </c>
      <c r="C1952" s="35" t="s">
        <v>30</v>
      </c>
      <c r="D1952" s="36">
        <v>0.121</v>
      </c>
      <c r="E1952" s="36">
        <v>1325.1</v>
      </c>
      <c r="F1952" s="36">
        <f t="shared" si="445"/>
        <v>160.33709999999999</v>
      </c>
      <c r="G1952" s="37">
        <f t="shared" si="446"/>
        <v>0</v>
      </c>
      <c r="H1952" s="38">
        <f t="shared" si="447"/>
        <v>0</v>
      </c>
      <c r="I1952" s="37">
        <f t="shared" si="448"/>
        <v>0</v>
      </c>
      <c r="J1952" s="38">
        <v>0</v>
      </c>
      <c r="K1952" s="37">
        <f t="shared" si="449"/>
        <v>0</v>
      </c>
      <c r="L1952" s="38">
        <v>0</v>
      </c>
    </row>
    <row r="1953" spans="1:12" s="45" customFormat="1" ht="15.45" customHeight="1" x14ac:dyDescent="0.3">
      <c r="A1953" s="33">
        <v>5</v>
      </c>
      <c r="B1953" s="34" t="s">
        <v>46</v>
      </c>
      <c r="C1953" s="35" t="s">
        <v>30</v>
      </c>
      <c r="D1953" s="36">
        <v>0.26500000000000001</v>
      </c>
      <c r="E1953" s="36">
        <v>1200.0999999999999</v>
      </c>
      <c r="F1953" s="36">
        <f t="shared" si="445"/>
        <v>318.0265</v>
      </c>
      <c r="G1953" s="37">
        <f t="shared" si="446"/>
        <v>0</v>
      </c>
      <c r="H1953" s="38">
        <f t="shared" si="447"/>
        <v>0</v>
      </c>
      <c r="I1953" s="37">
        <f t="shared" si="448"/>
        <v>0</v>
      </c>
      <c r="J1953" s="38">
        <v>0</v>
      </c>
      <c r="K1953" s="37">
        <f t="shared" si="449"/>
        <v>0</v>
      </c>
      <c r="L1953" s="38">
        <v>0</v>
      </c>
    </row>
    <row r="1954" spans="1:12" s="46" customFormat="1" ht="28.95" customHeight="1" outlineLevel="1" x14ac:dyDescent="0.35">
      <c r="A1954" s="33">
        <v>6</v>
      </c>
      <c r="B1954" s="34" t="s">
        <v>1237</v>
      </c>
      <c r="C1954" s="35" t="s">
        <v>50</v>
      </c>
      <c r="D1954" s="36">
        <v>24</v>
      </c>
      <c r="E1954" s="36">
        <v>112.91200000000001</v>
      </c>
      <c r="F1954" s="36">
        <f t="shared" si="445"/>
        <v>2709.8879999999999</v>
      </c>
      <c r="G1954" s="37">
        <f t="shared" si="446"/>
        <v>0</v>
      </c>
      <c r="H1954" s="38">
        <f t="shared" si="447"/>
        <v>0</v>
      </c>
      <c r="I1954" s="37">
        <f t="shared" si="448"/>
        <v>0</v>
      </c>
      <c r="J1954" s="38">
        <v>0</v>
      </c>
      <c r="K1954" s="37">
        <f t="shared" si="449"/>
        <v>0</v>
      </c>
      <c r="L1954" s="38">
        <v>0</v>
      </c>
    </row>
    <row r="1955" spans="1:12" s="39" customFormat="1" ht="28.95" customHeight="1" outlineLevel="1" x14ac:dyDescent="0.25">
      <c r="A1955" s="33">
        <v>7</v>
      </c>
      <c r="B1955" s="34" t="s">
        <v>306</v>
      </c>
      <c r="C1955" s="35" t="s">
        <v>106</v>
      </c>
      <c r="D1955" s="36">
        <v>96</v>
      </c>
      <c r="E1955" s="36">
        <v>10.81</v>
      </c>
      <c r="F1955" s="36">
        <f t="shared" si="445"/>
        <v>1037.76</v>
      </c>
      <c r="G1955" s="37">
        <f t="shared" si="446"/>
        <v>0</v>
      </c>
      <c r="H1955" s="38">
        <f t="shared" si="447"/>
        <v>0</v>
      </c>
      <c r="I1955" s="37">
        <f t="shared" si="448"/>
        <v>0</v>
      </c>
      <c r="J1955" s="38">
        <v>0</v>
      </c>
      <c r="K1955" s="37">
        <f t="shared" si="449"/>
        <v>0</v>
      </c>
      <c r="L1955" s="38">
        <v>0</v>
      </c>
    </row>
    <row r="1956" spans="1:12" s="39" customFormat="1" ht="15.45" customHeight="1" outlineLevel="1" x14ac:dyDescent="0.25">
      <c r="A1956" s="33">
        <v>8</v>
      </c>
      <c r="B1956" s="34" t="s">
        <v>1238</v>
      </c>
      <c r="C1956" s="35" t="s">
        <v>66</v>
      </c>
      <c r="D1956" s="36">
        <v>0.4</v>
      </c>
      <c r="E1956" s="36">
        <v>124.1</v>
      </c>
      <c r="F1956" s="36">
        <f t="shared" si="445"/>
        <v>49.64</v>
      </c>
      <c r="G1956" s="37">
        <f t="shared" si="446"/>
        <v>0</v>
      </c>
      <c r="H1956" s="38">
        <f t="shared" si="447"/>
        <v>0</v>
      </c>
      <c r="I1956" s="37">
        <f t="shared" si="448"/>
        <v>0</v>
      </c>
      <c r="J1956" s="38">
        <v>0</v>
      </c>
      <c r="K1956" s="37">
        <f t="shared" si="449"/>
        <v>0</v>
      </c>
      <c r="L1956" s="38">
        <v>0</v>
      </c>
    </row>
    <row r="1957" spans="1:12" s="39" customFormat="1" ht="15.45" customHeight="1" outlineLevel="1" x14ac:dyDescent="0.25">
      <c r="A1957" s="33">
        <v>9</v>
      </c>
      <c r="B1957" s="34" t="s">
        <v>1239</v>
      </c>
      <c r="C1957" s="35" t="s">
        <v>30</v>
      </c>
      <c r="D1957" s="36">
        <v>0.30399999999999999</v>
      </c>
      <c r="E1957" s="36">
        <v>3085.8447999999999</v>
      </c>
      <c r="F1957" s="36">
        <f t="shared" si="445"/>
        <v>938.09681919999991</v>
      </c>
      <c r="G1957" s="37">
        <f t="shared" si="446"/>
        <v>0</v>
      </c>
      <c r="H1957" s="38">
        <f t="shared" si="447"/>
        <v>0</v>
      </c>
      <c r="I1957" s="37">
        <f t="shared" si="448"/>
        <v>0</v>
      </c>
      <c r="J1957" s="38">
        <v>0</v>
      </c>
      <c r="K1957" s="37">
        <f t="shared" si="449"/>
        <v>0</v>
      </c>
      <c r="L1957" s="38">
        <v>0</v>
      </c>
    </row>
    <row r="1958" spans="1:12" s="46" customFormat="1" ht="28.95" customHeight="1" outlineLevel="1" x14ac:dyDescent="0.35">
      <c r="A1958" s="31" t="s">
        <v>1240</v>
      </c>
      <c r="B1958" s="40" t="s">
        <v>1241</v>
      </c>
      <c r="C1958" s="41">
        <v>0</v>
      </c>
      <c r="D1958" s="42"/>
      <c r="E1958" s="42"/>
      <c r="F1958" s="42"/>
      <c r="G1958" s="43"/>
      <c r="H1958" s="44"/>
      <c r="I1958" s="43"/>
      <c r="J1958" s="44"/>
      <c r="K1958" s="43"/>
      <c r="L1958" s="44">
        <v>0</v>
      </c>
    </row>
    <row r="1959" spans="1:12" s="39" customFormat="1" ht="43.5" customHeight="1" outlineLevel="1" x14ac:dyDescent="0.25">
      <c r="A1959" s="33">
        <v>1</v>
      </c>
      <c r="B1959" s="34" t="s">
        <v>1242</v>
      </c>
      <c r="C1959" s="35" t="s">
        <v>50</v>
      </c>
      <c r="D1959" s="36">
        <v>7</v>
      </c>
      <c r="E1959" s="36">
        <v>12.401199999999999</v>
      </c>
      <c r="F1959" s="36">
        <f>+E1959*D1959</f>
        <v>86.808399999999992</v>
      </c>
      <c r="G1959" s="37">
        <f t="shared" ref="G1959:H1961" si="450">I1959+K1959</f>
        <v>0</v>
      </c>
      <c r="H1959" s="38">
        <f t="shared" si="450"/>
        <v>0</v>
      </c>
      <c r="I1959" s="37">
        <f>J1959/F1959</f>
        <v>0</v>
      </c>
      <c r="J1959" s="38">
        <v>0</v>
      </c>
      <c r="K1959" s="37">
        <f>L1959/F1959</f>
        <v>0</v>
      </c>
      <c r="L1959" s="38">
        <v>0</v>
      </c>
    </row>
    <row r="1960" spans="1:12" s="39" customFormat="1" ht="43.5" customHeight="1" outlineLevel="1" x14ac:dyDescent="0.25">
      <c r="A1960" s="33">
        <v>2</v>
      </c>
      <c r="B1960" s="34" t="s">
        <v>1243</v>
      </c>
      <c r="C1960" s="35" t="s">
        <v>50</v>
      </c>
      <c r="D1960" s="36">
        <v>7</v>
      </c>
      <c r="E1960" s="36">
        <v>0.9</v>
      </c>
      <c r="F1960" s="36">
        <f>+E1960*D1960</f>
        <v>6.3</v>
      </c>
      <c r="G1960" s="37">
        <f t="shared" si="450"/>
        <v>0</v>
      </c>
      <c r="H1960" s="38">
        <f t="shared" si="450"/>
        <v>0</v>
      </c>
      <c r="I1960" s="37">
        <f>J1960/F1960</f>
        <v>0</v>
      </c>
      <c r="J1960" s="38">
        <v>0</v>
      </c>
      <c r="K1960" s="37">
        <f>L1960/F1960</f>
        <v>0</v>
      </c>
      <c r="L1960" s="38">
        <v>0</v>
      </c>
    </row>
    <row r="1961" spans="1:12" s="39" customFormat="1" ht="28.95" customHeight="1" outlineLevel="1" x14ac:dyDescent="0.25">
      <c r="A1961" s="33">
        <v>3</v>
      </c>
      <c r="B1961" s="34" t="s">
        <v>998</v>
      </c>
      <c r="C1961" s="35" t="s">
        <v>55</v>
      </c>
      <c r="D1961" s="36">
        <v>1</v>
      </c>
      <c r="E1961" s="36">
        <v>5.4019999999999992</v>
      </c>
      <c r="F1961" s="36">
        <f>+E1961*D1961</f>
        <v>5.4019999999999992</v>
      </c>
      <c r="G1961" s="37">
        <f t="shared" si="450"/>
        <v>0</v>
      </c>
      <c r="H1961" s="38">
        <f t="shared" si="450"/>
        <v>0</v>
      </c>
      <c r="I1961" s="37">
        <f>J1961/F1961</f>
        <v>0</v>
      </c>
      <c r="J1961" s="38">
        <v>0</v>
      </c>
      <c r="K1961" s="37">
        <f>L1961/F1961</f>
        <v>0</v>
      </c>
      <c r="L1961" s="38">
        <v>0</v>
      </c>
    </row>
    <row r="1962" spans="1:12" s="39" customFormat="1" ht="28.95" customHeight="1" outlineLevel="1" x14ac:dyDescent="0.25">
      <c r="A1962" s="31" t="s">
        <v>1244</v>
      </c>
      <c r="B1962" s="40" t="s">
        <v>1245</v>
      </c>
      <c r="C1962" s="41">
        <v>0</v>
      </c>
      <c r="D1962" s="42"/>
      <c r="E1962" s="42"/>
      <c r="F1962" s="42"/>
      <c r="G1962" s="43"/>
      <c r="H1962" s="44"/>
      <c r="I1962" s="43"/>
      <c r="J1962" s="44"/>
      <c r="K1962" s="43"/>
      <c r="L1962" s="44">
        <v>0</v>
      </c>
    </row>
    <row r="1963" spans="1:12" s="39" customFormat="1" ht="28.95" customHeight="1" outlineLevel="1" x14ac:dyDescent="0.25">
      <c r="A1963" s="33">
        <v>1</v>
      </c>
      <c r="B1963" s="34" t="s">
        <v>1246</v>
      </c>
      <c r="C1963" s="35" t="s">
        <v>50</v>
      </c>
      <c r="D1963" s="36">
        <v>16</v>
      </c>
      <c r="E1963" s="36">
        <v>7.6276000000000002</v>
      </c>
      <c r="F1963" s="36">
        <f>+E1963*D1963</f>
        <v>122.0416</v>
      </c>
      <c r="G1963" s="37">
        <f t="shared" ref="G1963:H1967" si="451">I1963+K1963</f>
        <v>0</v>
      </c>
      <c r="H1963" s="38">
        <f t="shared" si="451"/>
        <v>0</v>
      </c>
      <c r="I1963" s="37">
        <f>J1963/F1963</f>
        <v>0</v>
      </c>
      <c r="J1963" s="38">
        <v>0</v>
      </c>
      <c r="K1963" s="37">
        <f>L1963/F1963</f>
        <v>0</v>
      </c>
      <c r="L1963" s="38">
        <v>0</v>
      </c>
    </row>
    <row r="1964" spans="1:12" s="39" customFormat="1" ht="58.05" customHeight="1" outlineLevel="1" x14ac:dyDescent="0.25">
      <c r="A1964" s="33">
        <v>2</v>
      </c>
      <c r="B1964" s="34" t="s">
        <v>1247</v>
      </c>
      <c r="C1964" s="35" t="s">
        <v>50</v>
      </c>
      <c r="D1964" s="36">
        <v>16</v>
      </c>
      <c r="E1964" s="36">
        <v>10.4</v>
      </c>
      <c r="F1964" s="36">
        <f>+E1964*D1964</f>
        <v>166.4</v>
      </c>
      <c r="G1964" s="37">
        <f t="shared" si="451"/>
        <v>0</v>
      </c>
      <c r="H1964" s="38">
        <f t="shared" si="451"/>
        <v>0</v>
      </c>
      <c r="I1964" s="37">
        <f>J1964/F1964</f>
        <v>0</v>
      </c>
      <c r="J1964" s="38">
        <v>0</v>
      </c>
      <c r="K1964" s="37">
        <f>L1964/F1964</f>
        <v>0</v>
      </c>
      <c r="L1964" s="38">
        <v>0</v>
      </c>
    </row>
    <row r="1965" spans="1:12" s="45" customFormat="1" ht="28.95" customHeight="1" x14ac:dyDescent="0.3">
      <c r="A1965" s="33">
        <v>3</v>
      </c>
      <c r="B1965" s="34" t="s">
        <v>1248</v>
      </c>
      <c r="C1965" s="35" t="s">
        <v>50</v>
      </c>
      <c r="D1965" s="36">
        <v>3</v>
      </c>
      <c r="E1965" s="36">
        <v>7.6276000000000002</v>
      </c>
      <c r="F1965" s="36">
        <f>+E1965*D1965</f>
        <v>22.8828</v>
      </c>
      <c r="G1965" s="37">
        <f t="shared" si="451"/>
        <v>0</v>
      </c>
      <c r="H1965" s="38">
        <f t="shared" si="451"/>
        <v>0</v>
      </c>
      <c r="I1965" s="37">
        <f>J1965/F1965</f>
        <v>0</v>
      </c>
      <c r="J1965" s="38">
        <v>0</v>
      </c>
      <c r="K1965" s="37">
        <f>L1965/F1965</f>
        <v>0</v>
      </c>
      <c r="L1965" s="38">
        <v>0</v>
      </c>
    </row>
    <row r="1966" spans="1:12" s="39" customFormat="1" ht="58.05" customHeight="1" outlineLevel="1" x14ac:dyDescent="0.25">
      <c r="A1966" s="33">
        <v>4</v>
      </c>
      <c r="B1966" s="34" t="s">
        <v>1249</v>
      </c>
      <c r="C1966" s="35" t="s">
        <v>50</v>
      </c>
      <c r="D1966" s="36">
        <v>3</v>
      </c>
      <c r="E1966" s="36">
        <v>7.3807999999999998</v>
      </c>
      <c r="F1966" s="36">
        <f>+E1966*D1966</f>
        <v>22.142399999999999</v>
      </c>
      <c r="G1966" s="37">
        <f t="shared" si="451"/>
        <v>0</v>
      </c>
      <c r="H1966" s="38">
        <f t="shared" si="451"/>
        <v>0</v>
      </c>
      <c r="I1966" s="37">
        <f>J1966/F1966</f>
        <v>0</v>
      </c>
      <c r="J1966" s="38">
        <v>0</v>
      </c>
      <c r="K1966" s="37">
        <f>L1966/F1966</f>
        <v>0</v>
      </c>
      <c r="L1966" s="38">
        <v>0</v>
      </c>
    </row>
    <row r="1967" spans="1:12" s="39" customFormat="1" ht="15.45" customHeight="1" outlineLevel="1" x14ac:dyDescent="0.25">
      <c r="A1967" s="33">
        <v>5</v>
      </c>
      <c r="B1967" s="34" t="s">
        <v>1250</v>
      </c>
      <c r="C1967" s="35" t="s">
        <v>115</v>
      </c>
      <c r="D1967" s="36">
        <v>1</v>
      </c>
      <c r="E1967" s="36">
        <v>22.132000000000001</v>
      </c>
      <c r="F1967" s="36">
        <f>+E1967*D1967</f>
        <v>22.132000000000001</v>
      </c>
      <c r="G1967" s="37">
        <f t="shared" si="451"/>
        <v>0</v>
      </c>
      <c r="H1967" s="38">
        <f t="shared" si="451"/>
        <v>0</v>
      </c>
      <c r="I1967" s="37">
        <f>J1967/F1967</f>
        <v>0</v>
      </c>
      <c r="J1967" s="38">
        <v>0</v>
      </c>
      <c r="K1967" s="37">
        <f>L1967/F1967</f>
        <v>0</v>
      </c>
      <c r="L1967" s="38">
        <v>0</v>
      </c>
    </row>
    <row r="1968" spans="1:12" s="45" customFormat="1" ht="15.45" customHeight="1" x14ac:dyDescent="0.3">
      <c r="A1968" s="31" t="s">
        <v>1251</v>
      </c>
      <c r="B1968" s="40" t="s">
        <v>1252</v>
      </c>
      <c r="C1968" s="41">
        <v>0</v>
      </c>
      <c r="D1968" s="42"/>
      <c r="E1968" s="42"/>
      <c r="F1968" s="42"/>
      <c r="G1968" s="43"/>
      <c r="H1968" s="44"/>
      <c r="I1968" s="43"/>
      <c r="J1968" s="44"/>
      <c r="K1968" s="43"/>
      <c r="L1968" s="44">
        <v>0</v>
      </c>
    </row>
    <row r="1969" spans="1:12" s="39" customFormat="1" ht="28.95" customHeight="1" outlineLevel="1" x14ac:dyDescent="0.25">
      <c r="A1969" s="33">
        <v>1</v>
      </c>
      <c r="B1969" s="34" t="s">
        <v>1253</v>
      </c>
      <c r="C1969" s="35" t="s">
        <v>115</v>
      </c>
      <c r="D1969" s="36">
        <v>1</v>
      </c>
      <c r="E1969" s="36">
        <v>1073.7295999999999</v>
      </c>
      <c r="F1969" s="36">
        <f>+E1969*D1969</f>
        <v>1073.7295999999999</v>
      </c>
      <c r="G1969" s="37">
        <f>I1969+K1969</f>
        <v>0</v>
      </c>
      <c r="H1969" s="38">
        <f>J1969+L1969</f>
        <v>0</v>
      </c>
      <c r="I1969" s="37">
        <f>J1969/F1969</f>
        <v>0</v>
      </c>
      <c r="J1969" s="38">
        <v>0</v>
      </c>
      <c r="K1969" s="37">
        <f>L1969/F1969</f>
        <v>0</v>
      </c>
      <c r="L1969" s="38">
        <v>0</v>
      </c>
    </row>
    <row r="1970" spans="1:12" s="39" customFormat="1" ht="15.45" customHeight="1" outlineLevel="1" x14ac:dyDescent="0.25">
      <c r="A1970" s="31" t="s">
        <v>212</v>
      </c>
      <c r="B1970" s="40" t="s">
        <v>213</v>
      </c>
      <c r="C1970" s="41">
        <v>0</v>
      </c>
      <c r="D1970" s="42"/>
      <c r="E1970" s="42"/>
      <c r="F1970" s="42"/>
      <c r="G1970" s="43"/>
      <c r="H1970" s="44"/>
      <c r="I1970" s="43"/>
      <c r="J1970" s="44"/>
      <c r="K1970" s="43"/>
      <c r="L1970" s="44">
        <v>0</v>
      </c>
    </row>
    <row r="1971" spans="1:12" s="39" customFormat="1" ht="28.95" customHeight="1" outlineLevel="1" x14ac:dyDescent="0.25">
      <c r="A1971" s="33">
        <v>1</v>
      </c>
      <c r="B1971" s="34" t="s">
        <v>764</v>
      </c>
      <c r="C1971" s="35" t="s">
        <v>66</v>
      </c>
      <c r="D1971" s="36">
        <v>23</v>
      </c>
      <c r="E1971" s="36">
        <v>0.9</v>
      </c>
      <c r="F1971" s="36">
        <f t="shared" ref="F1971:F2002" si="452">+E1971*D1971</f>
        <v>20.7</v>
      </c>
      <c r="G1971" s="37">
        <f t="shared" ref="G1971:G2002" si="453">I1971+K1971</f>
        <v>0</v>
      </c>
      <c r="H1971" s="38">
        <f t="shared" ref="H1971:H2002" si="454">J1971+L1971</f>
        <v>0</v>
      </c>
      <c r="I1971" s="37">
        <f t="shared" ref="I1971:I2002" si="455">J1971/F1971</f>
        <v>0</v>
      </c>
      <c r="J1971" s="38">
        <v>0</v>
      </c>
      <c r="K1971" s="37">
        <f t="shared" ref="K1971:K2002" si="456">L1971/F1971</f>
        <v>0</v>
      </c>
      <c r="L1971" s="38">
        <v>0</v>
      </c>
    </row>
    <row r="1972" spans="1:12" s="39" customFormat="1" ht="28.95" customHeight="1" outlineLevel="1" x14ac:dyDescent="0.25">
      <c r="A1972" s="33">
        <v>2</v>
      </c>
      <c r="B1972" s="34" t="s">
        <v>765</v>
      </c>
      <c r="C1972" s="35" t="s">
        <v>66</v>
      </c>
      <c r="D1972" s="36">
        <v>1</v>
      </c>
      <c r="E1972" s="36">
        <v>8.9600000000000009</v>
      </c>
      <c r="F1972" s="36">
        <f t="shared" si="452"/>
        <v>8.9600000000000009</v>
      </c>
      <c r="G1972" s="37">
        <f t="shared" si="453"/>
        <v>0</v>
      </c>
      <c r="H1972" s="38">
        <f t="shared" si="454"/>
        <v>0</v>
      </c>
      <c r="I1972" s="37">
        <f t="shared" si="455"/>
        <v>0</v>
      </c>
      <c r="J1972" s="38">
        <v>0</v>
      </c>
      <c r="K1972" s="37">
        <f t="shared" si="456"/>
        <v>0</v>
      </c>
      <c r="L1972" s="38">
        <v>0</v>
      </c>
    </row>
    <row r="1973" spans="1:12" s="39" customFormat="1" ht="43.5" customHeight="1" outlineLevel="1" x14ac:dyDescent="0.25">
      <c r="A1973" s="33">
        <v>3</v>
      </c>
      <c r="B1973" s="34" t="s">
        <v>766</v>
      </c>
      <c r="C1973" s="35" t="s">
        <v>66</v>
      </c>
      <c r="D1973" s="36">
        <v>15</v>
      </c>
      <c r="E1973" s="36">
        <v>0.9</v>
      </c>
      <c r="F1973" s="36">
        <f t="shared" si="452"/>
        <v>13.5</v>
      </c>
      <c r="G1973" s="37">
        <f t="shared" si="453"/>
        <v>0</v>
      </c>
      <c r="H1973" s="38">
        <f t="shared" si="454"/>
        <v>0</v>
      </c>
      <c r="I1973" s="37">
        <f t="shared" si="455"/>
        <v>0</v>
      </c>
      <c r="J1973" s="38">
        <v>0</v>
      </c>
      <c r="K1973" s="37">
        <f t="shared" si="456"/>
        <v>0</v>
      </c>
      <c r="L1973" s="38">
        <v>0</v>
      </c>
    </row>
    <row r="1974" spans="1:12" s="39" customFormat="1" ht="28.95" customHeight="1" outlineLevel="1" x14ac:dyDescent="0.25">
      <c r="A1974" s="33">
        <v>4</v>
      </c>
      <c r="B1974" s="34" t="s">
        <v>234</v>
      </c>
      <c r="C1974" s="35" t="s">
        <v>66</v>
      </c>
      <c r="D1974" s="36">
        <v>15</v>
      </c>
      <c r="E1974" s="36">
        <v>2</v>
      </c>
      <c r="F1974" s="36">
        <f t="shared" si="452"/>
        <v>30</v>
      </c>
      <c r="G1974" s="37">
        <f t="shared" si="453"/>
        <v>0</v>
      </c>
      <c r="H1974" s="38">
        <f t="shared" si="454"/>
        <v>0</v>
      </c>
      <c r="I1974" s="37">
        <f t="shared" si="455"/>
        <v>0</v>
      </c>
      <c r="J1974" s="38">
        <v>0</v>
      </c>
      <c r="K1974" s="37">
        <f t="shared" si="456"/>
        <v>0</v>
      </c>
      <c r="L1974" s="38">
        <v>0</v>
      </c>
    </row>
    <row r="1975" spans="1:12" s="39" customFormat="1" ht="28.95" customHeight="1" outlineLevel="1" x14ac:dyDescent="0.25">
      <c r="A1975" s="33">
        <v>5</v>
      </c>
      <c r="B1975" s="34" t="s">
        <v>316</v>
      </c>
      <c r="C1975" s="35" t="s">
        <v>66</v>
      </c>
      <c r="D1975" s="36">
        <v>4</v>
      </c>
      <c r="E1975" s="36">
        <v>8.16</v>
      </c>
      <c r="F1975" s="36">
        <f t="shared" si="452"/>
        <v>32.64</v>
      </c>
      <c r="G1975" s="37">
        <f t="shared" si="453"/>
        <v>0</v>
      </c>
      <c r="H1975" s="38">
        <f t="shared" si="454"/>
        <v>0</v>
      </c>
      <c r="I1975" s="37">
        <f t="shared" si="455"/>
        <v>0</v>
      </c>
      <c r="J1975" s="38">
        <v>0</v>
      </c>
      <c r="K1975" s="37">
        <f t="shared" si="456"/>
        <v>0</v>
      </c>
      <c r="L1975" s="38">
        <v>0</v>
      </c>
    </row>
    <row r="1976" spans="1:12" s="39" customFormat="1" ht="15.45" customHeight="1" outlineLevel="1" x14ac:dyDescent="0.25">
      <c r="A1976" s="33">
        <v>6</v>
      </c>
      <c r="B1976" s="34" t="s">
        <v>41</v>
      </c>
      <c r="C1976" s="35" t="s">
        <v>66</v>
      </c>
      <c r="D1976" s="36">
        <v>1.2</v>
      </c>
      <c r="E1976" s="36">
        <v>36.616</v>
      </c>
      <c r="F1976" s="36">
        <f t="shared" si="452"/>
        <v>43.9392</v>
      </c>
      <c r="G1976" s="37">
        <f t="shared" si="453"/>
        <v>0</v>
      </c>
      <c r="H1976" s="38">
        <f t="shared" si="454"/>
        <v>0</v>
      </c>
      <c r="I1976" s="37">
        <f t="shared" si="455"/>
        <v>0</v>
      </c>
      <c r="J1976" s="38">
        <v>0</v>
      </c>
      <c r="K1976" s="37">
        <f t="shared" si="456"/>
        <v>0</v>
      </c>
      <c r="L1976" s="38">
        <v>0</v>
      </c>
    </row>
    <row r="1977" spans="1:12" s="39" customFormat="1" ht="15.45" customHeight="1" outlineLevel="1" x14ac:dyDescent="0.25">
      <c r="A1977" s="33">
        <v>7</v>
      </c>
      <c r="B1977" s="34" t="s">
        <v>1254</v>
      </c>
      <c r="C1977" s="35" t="s">
        <v>66</v>
      </c>
      <c r="D1977" s="36">
        <v>0.93</v>
      </c>
      <c r="E1977" s="36">
        <v>91.950999999999993</v>
      </c>
      <c r="F1977" s="36">
        <f t="shared" si="452"/>
        <v>85.514430000000004</v>
      </c>
      <c r="G1977" s="37">
        <f t="shared" si="453"/>
        <v>0</v>
      </c>
      <c r="H1977" s="38">
        <f t="shared" si="454"/>
        <v>0</v>
      </c>
      <c r="I1977" s="37">
        <f t="shared" si="455"/>
        <v>0</v>
      </c>
      <c r="J1977" s="38">
        <v>0</v>
      </c>
      <c r="K1977" s="37">
        <f t="shared" si="456"/>
        <v>0</v>
      </c>
      <c r="L1977" s="38">
        <v>0</v>
      </c>
    </row>
    <row r="1978" spans="1:12" s="39" customFormat="1" ht="15.45" customHeight="1" outlineLevel="1" x14ac:dyDescent="0.25">
      <c r="A1978" s="33">
        <v>8</v>
      </c>
      <c r="B1978" s="34" t="s">
        <v>947</v>
      </c>
      <c r="C1978" s="35" t="s">
        <v>66</v>
      </c>
      <c r="D1978" s="36">
        <v>3.35</v>
      </c>
      <c r="E1978" s="36">
        <v>117.2572</v>
      </c>
      <c r="F1978" s="36">
        <f t="shared" si="452"/>
        <v>392.81162</v>
      </c>
      <c r="G1978" s="37">
        <f t="shared" si="453"/>
        <v>0</v>
      </c>
      <c r="H1978" s="38">
        <f t="shared" si="454"/>
        <v>0</v>
      </c>
      <c r="I1978" s="37">
        <f t="shared" si="455"/>
        <v>0</v>
      </c>
      <c r="J1978" s="38">
        <v>0</v>
      </c>
      <c r="K1978" s="37">
        <f t="shared" si="456"/>
        <v>0</v>
      </c>
      <c r="L1978" s="38">
        <v>0</v>
      </c>
    </row>
    <row r="1979" spans="1:12" s="45" customFormat="1" ht="15.45" customHeight="1" x14ac:dyDescent="0.3">
      <c r="A1979" s="33">
        <v>9</v>
      </c>
      <c r="B1979" s="34" t="s">
        <v>1255</v>
      </c>
      <c r="C1979" s="35" t="s">
        <v>30</v>
      </c>
      <c r="D1979" s="36">
        <v>1.4999999999999999E-2</v>
      </c>
      <c r="E1979" s="36">
        <v>1325.1</v>
      </c>
      <c r="F1979" s="36">
        <f t="shared" si="452"/>
        <v>19.876499999999997</v>
      </c>
      <c r="G1979" s="37">
        <f t="shared" si="453"/>
        <v>0</v>
      </c>
      <c r="H1979" s="38">
        <f t="shared" si="454"/>
        <v>0</v>
      </c>
      <c r="I1979" s="37">
        <f t="shared" si="455"/>
        <v>0</v>
      </c>
      <c r="J1979" s="38">
        <v>0</v>
      </c>
      <c r="K1979" s="37">
        <f t="shared" si="456"/>
        <v>0</v>
      </c>
      <c r="L1979" s="38">
        <v>0</v>
      </c>
    </row>
    <row r="1980" spans="1:12" s="39" customFormat="1" ht="15.45" customHeight="1" outlineLevel="1" x14ac:dyDescent="0.25">
      <c r="A1980" s="33">
        <v>10</v>
      </c>
      <c r="B1980" s="34" t="s">
        <v>1256</v>
      </c>
      <c r="C1980" s="35" t="s">
        <v>30</v>
      </c>
      <c r="D1980" s="36">
        <v>0.41199999999999998</v>
      </c>
      <c r="E1980" s="36">
        <v>1200.0999999999999</v>
      </c>
      <c r="F1980" s="36">
        <f t="shared" si="452"/>
        <v>494.44119999999992</v>
      </c>
      <c r="G1980" s="37">
        <f t="shared" si="453"/>
        <v>0</v>
      </c>
      <c r="H1980" s="38">
        <f t="shared" si="454"/>
        <v>0</v>
      </c>
      <c r="I1980" s="37">
        <f t="shared" si="455"/>
        <v>0</v>
      </c>
      <c r="J1980" s="38">
        <v>0</v>
      </c>
      <c r="K1980" s="37">
        <f t="shared" si="456"/>
        <v>0</v>
      </c>
      <c r="L1980" s="38">
        <v>0</v>
      </c>
    </row>
    <row r="1981" spans="1:12" s="39" customFormat="1" ht="28.95" customHeight="1" outlineLevel="1" x14ac:dyDescent="0.25">
      <c r="A1981" s="33">
        <v>11</v>
      </c>
      <c r="B1981" s="34" t="s">
        <v>255</v>
      </c>
      <c r="C1981" s="35" t="s">
        <v>106</v>
      </c>
      <c r="D1981" s="36">
        <v>10.199999999999999</v>
      </c>
      <c r="E1981" s="36">
        <v>41.92</v>
      </c>
      <c r="F1981" s="36">
        <f t="shared" si="452"/>
        <v>427.584</v>
      </c>
      <c r="G1981" s="37">
        <f t="shared" si="453"/>
        <v>0</v>
      </c>
      <c r="H1981" s="38">
        <f t="shared" si="454"/>
        <v>0</v>
      </c>
      <c r="I1981" s="37">
        <f t="shared" si="455"/>
        <v>0</v>
      </c>
      <c r="J1981" s="38">
        <v>0</v>
      </c>
      <c r="K1981" s="37">
        <f t="shared" si="456"/>
        <v>0</v>
      </c>
      <c r="L1981" s="38">
        <v>0</v>
      </c>
    </row>
    <row r="1982" spans="1:12" s="39" customFormat="1" ht="28.95" customHeight="1" outlineLevel="1" x14ac:dyDescent="0.25">
      <c r="A1982" s="33">
        <v>12</v>
      </c>
      <c r="B1982" s="34" t="s">
        <v>1257</v>
      </c>
      <c r="C1982" s="35" t="s">
        <v>106</v>
      </c>
      <c r="D1982" s="36">
        <v>20.399999999999999</v>
      </c>
      <c r="E1982" s="36">
        <v>10.8202</v>
      </c>
      <c r="F1982" s="36">
        <f t="shared" si="452"/>
        <v>220.73207999999997</v>
      </c>
      <c r="G1982" s="37">
        <f t="shared" si="453"/>
        <v>0</v>
      </c>
      <c r="H1982" s="38">
        <f t="shared" si="454"/>
        <v>0</v>
      </c>
      <c r="I1982" s="37">
        <f t="shared" si="455"/>
        <v>0</v>
      </c>
      <c r="J1982" s="38">
        <v>0</v>
      </c>
      <c r="K1982" s="37">
        <f t="shared" si="456"/>
        <v>0</v>
      </c>
      <c r="L1982" s="38">
        <v>0</v>
      </c>
    </row>
    <row r="1983" spans="1:12" s="39" customFormat="1" ht="28.95" customHeight="1" outlineLevel="1" x14ac:dyDescent="0.25">
      <c r="A1983" s="33">
        <v>13</v>
      </c>
      <c r="B1983" s="34" t="s">
        <v>240</v>
      </c>
      <c r="C1983" s="35" t="s">
        <v>106</v>
      </c>
      <c r="D1983" s="36">
        <v>27.1</v>
      </c>
      <c r="E1983" s="36">
        <v>3.67</v>
      </c>
      <c r="F1983" s="36">
        <f t="shared" si="452"/>
        <v>99.457000000000008</v>
      </c>
      <c r="G1983" s="37">
        <f t="shared" si="453"/>
        <v>0</v>
      </c>
      <c r="H1983" s="38">
        <f t="shared" si="454"/>
        <v>0</v>
      </c>
      <c r="I1983" s="37">
        <f t="shared" si="455"/>
        <v>0</v>
      </c>
      <c r="J1983" s="38">
        <v>0</v>
      </c>
      <c r="K1983" s="37">
        <f t="shared" si="456"/>
        <v>0</v>
      </c>
      <c r="L1983" s="38">
        <v>0</v>
      </c>
    </row>
    <row r="1984" spans="1:12" s="39" customFormat="1" ht="15.45" customHeight="1" outlineLevel="1" x14ac:dyDescent="0.25">
      <c r="A1984" s="33">
        <v>14</v>
      </c>
      <c r="B1984" s="34" t="s">
        <v>41</v>
      </c>
      <c r="C1984" s="35" t="s">
        <v>66</v>
      </c>
      <c r="D1984" s="36">
        <v>0.55000000000000004</v>
      </c>
      <c r="E1984" s="36">
        <v>36.616</v>
      </c>
      <c r="F1984" s="36">
        <f t="shared" si="452"/>
        <v>20.1388</v>
      </c>
      <c r="G1984" s="37">
        <f t="shared" si="453"/>
        <v>0</v>
      </c>
      <c r="H1984" s="38">
        <f t="shared" si="454"/>
        <v>0</v>
      </c>
      <c r="I1984" s="37">
        <f t="shared" si="455"/>
        <v>0</v>
      </c>
      <c r="J1984" s="38">
        <v>0</v>
      </c>
      <c r="K1984" s="37">
        <f t="shared" si="456"/>
        <v>0</v>
      </c>
      <c r="L1984" s="38">
        <v>0</v>
      </c>
    </row>
    <row r="1985" spans="1:12" s="39" customFormat="1" ht="15.45" customHeight="1" outlineLevel="1" x14ac:dyDescent="0.25">
      <c r="A1985" s="33">
        <v>15</v>
      </c>
      <c r="B1985" s="34" t="s">
        <v>1258</v>
      </c>
      <c r="C1985" s="35" t="s">
        <v>66</v>
      </c>
      <c r="D1985" s="36">
        <v>0.55000000000000004</v>
      </c>
      <c r="E1985" s="36">
        <v>125.8456</v>
      </c>
      <c r="F1985" s="36">
        <f t="shared" si="452"/>
        <v>69.215080000000015</v>
      </c>
      <c r="G1985" s="37">
        <f t="shared" si="453"/>
        <v>0</v>
      </c>
      <c r="H1985" s="38">
        <f t="shared" si="454"/>
        <v>0</v>
      </c>
      <c r="I1985" s="37">
        <f t="shared" si="455"/>
        <v>0</v>
      </c>
      <c r="J1985" s="38">
        <v>0</v>
      </c>
      <c r="K1985" s="37">
        <f t="shared" si="456"/>
        <v>0</v>
      </c>
      <c r="L1985" s="38">
        <v>0</v>
      </c>
    </row>
    <row r="1986" spans="1:12" s="39" customFormat="1" ht="28.95" customHeight="1" outlineLevel="1" x14ac:dyDescent="0.25">
      <c r="A1986" s="33">
        <v>16</v>
      </c>
      <c r="B1986" s="34" t="s">
        <v>255</v>
      </c>
      <c r="C1986" s="35" t="s">
        <v>106</v>
      </c>
      <c r="D1986" s="36">
        <v>19.899999999999999</v>
      </c>
      <c r="E1986" s="36">
        <v>41.92</v>
      </c>
      <c r="F1986" s="36">
        <f t="shared" si="452"/>
        <v>834.20799999999997</v>
      </c>
      <c r="G1986" s="37">
        <f t="shared" si="453"/>
        <v>0</v>
      </c>
      <c r="H1986" s="38">
        <f t="shared" si="454"/>
        <v>0</v>
      </c>
      <c r="I1986" s="37">
        <f t="shared" si="455"/>
        <v>0</v>
      </c>
      <c r="J1986" s="38">
        <v>0</v>
      </c>
      <c r="K1986" s="37">
        <f t="shared" si="456"/>
        <v>0</v>
      </c>
      <c r="L1986" s="38">
        <v>0</v>
      </c>
    </row>
    <row r="1987" spans="1:12" s="46" customFormat="1" ht="28.95" customHeight="1" outlineLevel="1" x14ac:dyDescent="0.35">
      <c r="A1987" s="33">
        <v>17</v>
      </c>
      <c r="B1987" s="34" t="s">
        <v>854</v>
      </c>
      <c r="C1987" s="35" t="s">
        <v>66</v>
      </c>
      <c r="D1987" s="36">
        <v>1.56</v>
      </c>
      <c r="E1987" s="36">
        <v>144.17500000000001</v>
      </c>
      <c r="F1987" s="36">
        <f t="shared" si="452"/>
        <v>224.91300000000004</v>
      </c>
      <c r="G1987" s="37">
        <f t="shared" si="453"/>
        <v>0</v>
      </c>
      <c r="H1987" s="38">
        <f t="shared" si="454"/>
        <v>0</v>
      </c>
      <c r="I1987" s="37">
        <f t="shared" si="455"/>
        <v>0</v>
      </c>
      <c r="J1987" s="38">
        <v>0</v>
      </c>
      <c r="K1987" s="37">
        <f t="shared" si="456"/>
        <v>0</v>
      </c>
      <c r="L1987" s="38">
        <v>0</v>
      </c>
    </row>
    <row r="1988" spans="1:12" s="39" customFormat="1" ht="15.45" customHeight="1" outlineLevel="1" x14ac:dyDescent="0.25">
      <c r="A1988" s="33">
        <v>18</v>
      </c>
      <c r="B1988" s="34" t="s">
        <v>778</v>
      </c>
      <c r="C1988" s="35" t="s">
        <v>66</v>
      </c>
      <c r="D1988" s="36">
        <v>0.88</v>
      </c>
      <c r="E1988" s="36">
        <v>239.89179999999999</v>
      </c>
      <c r="F1988" s="36">
        <f t="shared" si="452"/>
        <v>211.104784</v>
      </c>
      <c r="G1988" s="37">
        <f t="shared" si="453"/>
        <v>0</v>
      </c>
      <c r="H1988" s="38">
        <f t="shared" si="454"/>
        <v>0</v>
      </c>
      <c r="I1988" s="37">
        <f t="shared" si="455"/>
        <v>0</v>
      </c>
      <c r="J1988" s="38">
        <v>0</v>
      </c>
      <c r="K1988" s="37">
        <f t="shared" si="456"/>
        <v>0</v>
      </c>
      <c r="L1988" s="38">
        <v>0</v>
      </c>
    </row>
    <row r="1989" spans="1:12" s="39" customFormat="1" ht="15.45" customHeight="1" outlineLevel="1" x14ac:dyDescent="0.25">
      <c r="A1989" s="33">
        <v>19</v>
      </c>
      <c r="B1989" s="34" t="s">
        <v>45</v>
      </c>
      <c r="C1989" s="35" t="s">
        <v>30</v>
      </c>
      <c r="D1989" s="36">
        <v>3.4000000000000002E-2</v>
      </c>
      <c r="E1989" s="36">
        <v>1325.1</v>
      </c>
      <c r="F1989" s="36">
        <f t="shared" si="452"/>
        <v>45.053400000000003</v>
      </c>
      <c r="G1989" s="37">
        <f t="shared" si="453"/>
        <v>0</v>
      </c>
      <c r="H1989" s="38">
        <f t="shared" si="454"/>
        <v>0</v>
      </c>
      <c r="I1989" s="37">
        <f t="shared" si="455"/>
        <v>0</v>
      </c>
      <c r="J1989" s="38">
        <v>0</v>
      </c>
      <c r="K1989" s="37">
        <f t="shared" si="456"/>
        <v>0</v>
      </c>
      <c r="L1989" s="38">
        <v>0</v>
      </c>
    </row>
    <row r="1990" spans="1:12" s="39" customFormat="1" ht="15.45" customHeight="1" outlineLevel="1" x14ac:dyDescent="0.25">
      <c r="A1990" s="33">
        <v>20</v>
      </c>
      <c r="B1990" s="34" t="s">
        <v>46</v>
      </c>
      <c r="C1990" s="35" t="s">
        <v>30</v>
      </c>
      <c r="D1990" s="36">
        <v>3.1E-2</v>
      </c>
      <c r="E1990" s="36">
        <v>1200.0999999999999</v>
      </c>
      <c r="F1990" s="36">
        <f t="shared" si="452"/>
        <v>37.203099999999999</v>
      </c>
      <c r="G1990" s="37">
        <f t="shared" si="453"/>
        <v>0</v>
      </c>
      <c r="H1990" s="38">
        <f t="shared" si="454"/>
        <v>0</v>
      </c>
      <c r="I1990" s="37">
        <f t="shared" si="455"/>
        <v>0</v>
      </c>
      <c r="J1990" s="38">
        <v>0</v>
      </c>
      <c r="K1990" s="37">
        <f t="shared" si="456"/>
        <v>0</v>
      </c>
      <c r="L1990" s="38">
        <v>0</v>
      </c>
    </row>
    <row r="1991" spans="1:12" s="39" customFormat="1" ht="28.95" customHeight="1" outlineLevel="1" x14ac:dyDescent="0.25">
      <c r="A1991" s="33">
        <v>21</v>
      </c>
      <c r="B1991" s="34" t="s">
        <v>775</v>
      </c>
      <c r="C1991" s="35" t="s">
        <v>66</v>
      </c>
      <c r="D1991" s="36">
        <v>1.18</v>
      </c>
      <c r="E1991" s="36">
        <v>271.50400000000002</v>
      </c>
      <c r="F1991" s="36">
        <f t="shared" si="452"/>
        <v>320.37472000000002</v>
      </c>
      <c r="G1991" s="37">
        <f t="shared" si="453"/>
        <v>0</v>
      </c>
      <c r="H1991" s="38">
        <f t="shared" si="454"/>
        <v>0</v>
      </c>
      <c r="I1991" s="37">
        <f t="shared" si="455"/>
        <v>0</v>
      </c>
      <c r="J1991" s="38">
        <v>0</v>
      </c>
      <c r="K1991" s="37">
        <f t="shared" si="456"/>
        <v>0</v>
      </c>
      <c r="L1991" s="38">
        <v>0</v>
      </c>
    </row>
    <row r="1992" spans="1:12" s="39" customFormat="1" ht="15.45" customHeight="1" outlineLevel="1" x14ac:dyDescent="0.25">
      <c r="A1992" s="33">
        <v>22</v>
      </c>
      <c r="B1992" s="34" t="s">
        <v>45</v>
      </c>
      <c r="C1992" s="35" t="s">
        <v>30</v>
      </c>
      <c r="D1992" s="36">
        <v>0.76</v>
      </c>
      <c r="E1992" s="36">
        <v>1325.1</v>
      </c>
      <c r="F1992" s="36">
        <f t="shared" si="452"/>
        <v>1007.0759999999999</v>
      </c>
      <c r="G1992" s="37">
        <f t="shared" si="453"/>
        <v>0</v>
      </c>
      <c r="H1992" s="38">
        <f t="shared" si="454"/>
        <v>0</v>
      </c>
      <c r="I1992" s="37">
        <f t="shared" si="455"/>
        <v>0</v>
      </c>
      <c r="J1992" s="38">
        <v>0</v>
      </c>
      <c r="K1992" s="37">
        <f t="shared" si="456"/>
        <v>0</v>
      </c>
      <c r="L1992" s="38">
        <v>0</v>
      </c>
    </row>
    <row r="1993" spans="1:12" s="39" customFormat="1" ht="15.45" customHeight="1" outlineLevel="1" x14ac:dyDescent="0.25">
      <c r="A1993" s="33">
        <v>23</v>
      </c>
      <c r="B1993" s="34" t="s">
        <v>46</v>
      </c>
      <c r="C1993" s="35" t="s">
        <v>30</v>
      </c>
      <c r="D1993" s="36">
        <v>4.5999999999999999E-2</v>
      </c>
      <c r="E1993" s="36">
        <v>1200.0999999999999</v>
      </c>
      <c r="F1993" s="36">
        <f t="shared" si="452"/>
        <v>55.204599999999992</v>
      </c>
      <c r="G1993" s="37">
        <f t="shared" si="453"/>
        <v>0</v>
      </c>
      <c r="H1993" s="38">
        <f t="shared" si="454"/>
        <v>0</v>
      </c>
      <c r="I1993" s="37">
        <f t="shared" si="455"/>
        <v>0</v>
      </c>
      <c r="J1993" s="38">
        <v>0</v>
      </c>
      <c r="K1993" s="37">
        <f t="shared" si="456"/>
        <v>0</v>
      </c>
      <c r="L1993" s="38">
        <v>0</v>
      </c>
    </row>
    <row r="1994" spans="1:12" s="39" customFormat="1" ht="28.95" customHeight="1" outlineLevel="1" x14ac:dyDescent="0.25">
      <c r="A1994" s="33">
        <v>25</v>
      </c>
      <c r="B1994" s="34" t="s">
        <v>957</v>
      </c>
      <c r="C1994" s="35" t="s">
        <v>106</v>
      </c>
      <c r="D1994" s="36">
        <v>1.08</v>
      </c>
      <c r="E1994" s="36">
        <v>157.88380000000001</v>
      </c>
      <c r="F1994" s="36">
        <f t="shared" si="452"/>
        <v>170.51450400000002</v>
      </c>
      <c r="G1994" s="37">
        <f t="shared" si="453"/>
        <v>0</v>
      </c>
      <c r="H1994" s="38">
        <f t="shared" si="454"/>
        <v>0</v>
      </c>
      <c r="I1994" s="37">
        <f t="shared" si="455"/>
        <v>0</v>
      </c>
      <c r="J1994" s="38">
        <v>0</v>
      </c>
      <c r="K1994" s="37">
        <f t="shared" si="456"/>
        <v>0</v>
      </c>
      <c r="L1994" s="38">
        <v>0</v>
      </c>
    </row>
    <row r="1995" spans="1:12" s="39" customFormat="1" ht="28.95" customHeight="1" outlineLevel="1" x14ac:dyDescent="0.25">
      <c r="A1995" s="33">
        <v>26</v>
      </c>
      <c r="B1995" s="34" t="s">
        <v>265</v>
      </c>
      <c r="C1995" s="35" t="s">
        <v>106</v>
      </c>
      <c r="D1995" s="36">
        <v>6.02</v>
      </c>
      <c r="E1995" s="36">
        <v>163.30000000000001</v>
      </c>
      <c r="F1995" s="36">
        <f t="shared" si="452"/>
        <v>983.06600000000003</v>
      </c>
      <c r="G1995" s="37">
        <f t="shared" si="453"/>
        <v>0</v>
      </c>
      <c r="H1995" s="38">
        <f t="shared" si="454"/>
        <v>0</v>
      </c>
      <c r="I1995" s="37">
        <f t="shared" si="455"/>
        <v>0</v>
      </c>
      <c r="J1995" s="38">
        <v>0</v>
      </c>
      <c r="K1995" s="37">
        <f t="shared" si="456"/>
        <v>0</v>
      </c>
      <c r="L1995" s="38">
        <v>0</v>
      </c>
    </row>
    <row r="1996" spans="1:12" s="39" customFormat="1" ht="15.45" customHeight="1" outlineLevel="1" x14ac:dyDescent="0.25">
      <c r="A1996" s="33">
        <v>27</v>
      </c>
      <c r="B1996" s="34" t="s">
        <v>1259</v>
      </c>
      <c r="C1996" s="35" t="s">
        <v>106</v>
      </c>
      <c r="D1996" s="36">
        <v>5.14</v>
      </c>
      <c r="E1996" s="36">
        <v>5.4244000000000003</v>
      </c>
      <c r="F1996" s="36">
        <f t="shared" si="452"/>
        <v>27.881416000000002</v>
      </c>
      <c r="G1996" s="37">
        <f t="shared" si="453"/>
        <v>0</v>
      </c>
      <c r="H1996" s="38">
        <f t="shared" si="454"/>
        <v>0</v>
      </c>
      <c r="I1996" s="37">
        <f t="shared" si="455"/>
        <v>0</v>
      </c>
      <c r="J1996" s="38">
        <v>0</v>
      </c>
      <c r="K1996" s="37">
        <f t="shared" si="456"/>
        <v>0</v>
      </c>
      <c r="L1996" s="38">
        <v>0</v>
      </c>
    </row>
    <row r="1997" spans="1:12" s="39" customFormat="1" ht="28.95" customHeight="1" outlineLevel="1" x14ac:dyDescent="0.25">
      <c r="A1997" s="33">
        <v>28</v>
      </c>
      <c r="B1997" s="34" t="s">
        <v>858</v>
      </c>
      <c r="C1997" s="35" t="s">
        <v>106</v>
      </c>
      <c r="D1997" s="36">
        <v>5.14</v>
      </c>
      <c r="E1997" s="36">
        <v>32.403399999999998</v>
      </c>
      <c r="F1997" s="36">
        <f t="shared" si="452"/>
        <v>166.55347599999999</v>
      </c>
      <c r="G1997" s="37">
        <f t="shared" si="453"/>
        <v>0</v>
      </c>
      <c r="H1997" s="38">
        <f t="shared" si="454"/>
        <v>0</v>
      </c>
      <c r="I1997" s="37">
        <f t="shared" si="455"/>
        <v>0</v>
      </c>
      <c r="J1997" s="38">
        <v>0</v>
      </c>
      <c r="K1997" s="37">
        <f t="shared" si="456"/>
        <v>0</v>
      </c>
      <c r="L1997" s="38">
        <v>0</v>
      </c>
    </row>
    <row r="1998" spans="1:12" s="39" customFormat="1" ht="28.95" customHeight="1" outlineLevel="1" x14ac:dyDescent="0.25">
      <c r="A1998" s="33">
        <v>29</v>
      </c>
      <c r="B1998" s="34" t="s">
        <v>1260</v>
      </c>
      <c r="C1998" s="35" t="s">
        <v>106</v>
      </c>
      <c r="D1998" s="36">
        <v>5.46</v>
      </c>
      <c r="E1998" s="36">
        <v>27.079000000000001</v>
      </c>
      <c r="F1998" s="36">
        <f t="shared" si="452"/>
        <v>147.85133999999999</v>
      </c>
      <c r="G1998" s="37">
        <f t="shared" si="453"/>
        <v>0</v>
      </c>
      <c r="H1998" s="38">
        <f t="shared" si="454"/>
        <v>0</v>
      </c>
      <c r="I1998" s="37">
        <f t="shared" si="455"/>
        <v>0</v>
      </c>
      <c r="J1998" s="38">
        <v>0</v>
      </c>
      <c r="K1998" s="37">
        <f t="shared" si="456"/>
        <v>0</v>
      </c>
      <c r="L1998" s="38">
        <v>0</v>
      </c>
    </row>
    <row r="1999" spans="1:12" s="39" customFormat="1" ht="28.95" customHeight="1" outlineLevel="1" x14ac:dyDescent="0.25">
      <c r="A1999" s="33">
        <v>30</v>
      </c>
      <c r="B1999" s="34" t="s">
        <v>1261</v>
      </c>
      <c r="C1999" s="35" t="s">
        <v>106</v>
      </c>
      <c r="D1999" s="36">
        <v>34</v>
      </c>
      <c r="E1999" s="36">
        <v>10.8202</v>
      </c>
      <c r="F1999" s="36">
        <f t="shared" si="452"/>
        <v>367.88679999999999</v>
      </c>
      <c r="G1999" s="37">
        <f t="shared" si="453"/>
        <v>0</v>
      </c>
      <c r="H1999" s="38">
        <f t="shared" si="454"/>
        <v>0</v>
      </c>
      <c r="I1999" s="37">
        <f t="shared" si="455"/>
        <v>0</v>
      </c>
      <c r="J1999" s="38">
        <v>0</v>
      </c>
      <c r="K1999" s="37">
        <f t="shared" si="456"/>
        <v>0</v>
      </c>
      <c r="L1999" s="38">
        <v>0</v>
      </c>
    </row>
    <row r="2000" spans="1:12" s="39" customFormat="1" ht="43.5" customHeight="1" outlineLevel="1" x14ac:dyDescent="0.25">
      <c r="A2000" s="33">
        <v>31</v>
      </c>
      <c r="B2000" s="34" t="s">
        <v>1262</v>
      </c>
      <c r="C2000" s="35" t="s">
        <v>106</v>
      </c>
      <c r="D2000" s="36">
        <v>34</v>
      </c>
      <c r="E2000" s="36">
        <v>40.186</v>
      </c>
      <c r="F2000" s="36">
        <f t="shared" si="452"/>
        <v>1366.3240000000001</v>
      </c>
      <c r="G2000" s="37">
        <f t="shared" si="453"/>
        <v>0</v>
      </c>
      <c r="H2000" s="38">
        <f t="shared" si="454"/>
        <v>0</v>
      </c>
      <c r="I2000" s="37">
        <f t="shared" si="455"/>
        <v>0</v>
      </c>
      <c r="J2000" s="38">
        <v>0</v>
      </c>
      <c r="K2000" s="37">
        <f t="shared" si="456"/>
        <v>0</v>
      </c>
      <c r="L2000" s="38">
        <v>0</v>
      </c>
    </row>
    <row r="2001" spans="1:12" s="39" customFormat="1" ht="15.45" customHeight="1" outlineLevel="1" x14ac:dyDescent="0.25">
      <c r="A2001" s="33">
        <v>32</v>
      </c>
      <c r="B2001" s="34" t="s">
        <v>310</v>
      </c>
      <c r="C2001" s="35" t="s">
        <v>106</v>
      </c>
      <c r="D2001" s="36">
        <v>36</v>
      </c>
      <c r="E2001" s="36">
        <v>10.320399999999999</v>
      </c>
      <c r="F2001" s="36">
        <f t="shared" si="452"/>
        <v>371.53440000000001</v>
      </c>
      <c r="G2001" s="37">
        <f t="shared" si="453"/>
        <v>0</v>
      </c>
      <c r="H2001" s="38">
        <f t="shared" si="454"/>
        <v>0</v>
      </c>
      <c r="I2001" s="37">
        <f t="shared" si="455"/>
        <v>0</v>
      </c>
      <c r="J2001" s="38">
        <v>0</v>
      </c>
      <c r="K2001" s="37">
        <f t="shared" si="456"/>
        <v>0</v>
      </c>
      <c r="L2001" s="38">
        <v>0</v>
      </c>
    </row>
    <row r="2002" spans="1:12" s="39" customFormat="1" ht="28.95" customHeight="1" outlineLevel="1" x14ac:dyDescent="0.25">
      <c r="A2002" s="33">
        <v>33</v>
      </c>
      <c r="B2002" s="34" t="s">
        <v>797</v>
      </c>
      <c r="C2002" s="35" t="s">
        <v>106</v>
      </c>
      <c r="D2002" s="36">
        <v>36</v>
      </c>
      <c r="E2002" s="36">
        <v>4.9857999999999993</v>
      </c>
      <c r="F2002" s="36">
        <f t="shared" si="452"/>
        <v>179.48879999999997</v>
      </c>
      <c r="G2002" s="37">
        <f t="shared" si="453"/>
        <v>0</v>
      </c>
      <c r="H2002" s="38">
        <f t="shared" si="454"/>
        <v>0</v>
      </c>
      <c r="I2002" s="37">
        <f t="shared" si="455"/>
        <v>0</v>
      </c>
      <c r="J2002" s="38">
        <v>0</v>
      </c>
      <c r="K2002" s="37">
        <f t="shared" si="456"/>
        <v>0</v>
      </c>
      <c r="L2002" s="38">
        <v>0</v>
      </c>
    </row>
    <row r="2003" spans="1:12" s="39" customFormat="1" ht="28.95" customHeight="1" outlineLevel="1" x14ac:dyDescent="0.25">
      <c r="A2003" s="31" t="s">
        <v>1263</v>
      </c>
      <c r="B2003" s="40" t="s">
        <v>1264</v>
      </c>
      <c r="C2003" s="41">
        <v>0</v>
      </c>
      <c r="D2003" s="42"/>
      <c r="E2003" s="42"/>
      <c r="F2003" s="42"/>
      <c r="G2003" s="43"/>
      <c r="H2003" s="44"/>
      <c r="I2003" s="43"/>
      <c r="J2003" s="44"/>
      <c r="K2003" s="43"/>
      <c r="L2003" s="44">
        <v>0</v>
      </c>
    </row>
    <row r="2004" spans="1:12" s="39" customFormat="1" ht="43.5" customHeight="1" outlineLevel="1" x14ac:dyDescent="0.25">
      <c r="A2004" s="33">
        <v>1</v>
      </c>
      <c r="B2004" s="34" t="s">
        <v>1265</v>
      </c>
      <c r="C2004" s="35" t="s">
        <v>50</v>
      </c>
      <c r="D2004" s="36">
        <v>7</v>
      </c>
      <c r="E2004" s="36">
        <v>12.401199999999999</v>
      </c>
      <c r="F2004" s="36">
        <f>+E2004*D2004</f>
        <v>86.808399999999992</v>
      </c>
      <c r="G2004" s="37">
        <f t="shared" ref="G2004:H2008" si="457">I2004+K2004</f>
        <v>0</v>
      </c>
      <c r="H2004" s="38">
        <f t="shared" si="457"/>
        <v>0</v>
      </c>
      <c r="I2004" s="37">
        <f>J2004/F2004</f>
        <v>0</v>
      </c>
      <c r="J2004" s="38">
        <v>0</v>
      </c>
      <c r="K2004" s="37">
        <f>L2004/F2004</f>
        <v>0</v>
      </c>
      <c r="L2004" s="38">
        <v>0</v>
      </c>
    </row>
    <row r="2005" spans="1:12" s="39" customFormat="1" ht="43.5" customHeight="1" outlineLevel="1" x14ac:dyDescent="0.25">
      <c r="A2005" s="33">
        <v>2</v>
      </c>
      <c r="B2005" s="34" t="s">
        <v>1243</v>
      </c>
      <c r="C2005" s="35" t="s">
        <v>50</v>
      </c>
      <c r="D2005" s="36">
        <v>7</v>
      </c>
      <c r="E2005" s="36">
        <v>0.9</v>
      </c>
      <c r="F2005" s="36">
        <f>+E2005*D2005</f>
        <v>6.3</v>
      </c>
      <c r="G2005" s="37">
        <f t="shared" si="457"/>
        <v>0</v>
      </c>
      <c r="H2005" s="38">
        <f t="shared" si="457"/>
        <v>0</v>
      </c>
      <c r="I2005" s="37">
        <f>J2005/F2005</f>
        <v>0</v>
      </c>
      <c r="J2005" s="38">
        <v>0</v>
      </c>
      <c r="K2005" s="37">
        <f>L2005/F2005</f>
        <v>0</v>
      </c>
      <c r="L2005" s="38">
        <v>0</v>
      </c>
    </row>
    <row r="2006" spans="1:12" s="39" customFormat="1" ht="43.5" customHeight="1" outlineLevel="1" x14ac:dyDescent="0.25">
      <c r="A2006" s="33">
        <v>3</v>
      </c>
      <c r="B2006" s="34" t="s">
        <v>1266</v>
      </c>
      <c r="C2006" s="35" t="s">
        <v>50</v>
      </c>
      <c r="D2006" s="36">
        <v>14</v>
      </c>
      <c r="E2006" s="36">
        <v>15.573399999999999</v>
      </c>
      <c r="F2006" s="36">
        <f>+E2006*D2006</f>
        <v>218.02760000000001</v>
      </c>
      <c r="G2006" s="37">
        <f t="shared" si="457"/>
        <v>0</v>
      </c>
      <c r="H2006" s="38">
        <f t="shared" si="457"/>
        <v>0</v>
      </c>
      <c r="I2006" s="37">
        <f>J2006/F2006</f>
        <v>0</v>
      </c>
      <c r="J2006" s="38">
        <v>0</v>
      </c>
      <c r="K2006" s="37">
        <f>L2006/F2006</f>
        <v>0</v>
      </c>
      <c r="L2006" s="38">
        <v>0</v>
      </c>
    </row>
    <row r="2007" spans="1:12" s="39" customFormat="1" ht="43.5" customHeight="1" outlineLevel="1" x14ac:dyDescent="0.25">
      <c r="A2007" s="33">
        <v>4</v>
      </c>
      <c r="B2007" s="34" t="s">
        <v>1267</v>
      </c>
      <c r="C2007" s="35" t="s">
        <v>50</v>
      </c>
      <c r="D2007" s="36">
        <v>14</v>
      </c>
      <c r="E2007" s="36">
        <v>0.9</v>
      </c>
      <c r="F2007" s="36">
        <f>+E2007*D2007</f>
        <v>12.6</v>
      </c>
      <c r="G2007" s="37">
        <f t="shared" si="457"/>
        <v>0</v>
      </c>
      <c r="H2007" s="38">
        <f t="shared" si="457"/>
        <v>0</v>
      </c>
      <c r="I2007" s="37">
        <f>J2007/F2007</f>
        <v>0</v>
      </c>
      <c r="J2007" s="38">
        <v>0</v>
      </c>
      <c r="K2007" s="37">
        <f>L2007/F2007</f>
        <v>0</v>
      </c>
      <c r="L2007" s="38">
        <v>0</v>
      </c>
    </row>
    <row r="2008" spans="1:12" s="39" customFormat="1" ht="28.95" customHeight="1" outlineLevel="1" x14ac:dyDescent="0.25">
      <c r="A2008" s="33">
        <v>5</v>
      </c>
      <c r="B2008" s="34" t="s">
        <v>972</v>
      </c>
      <c r="C2008" s="35" t="s">
        <v>55</v>
      </c>
      <c r="D2008" s="36">
        <v>3</v>
      </c>
      <c r="E2008" s="36">
        <v>3.3212000000000002</v>
      </c>
      <c r="F2008" s="36">
        <f>+E2008*D2008</f>
        <v>9.9635999999999996</v>
      </c>
      <c r="G2008" s="37">
        <f t="shared" si="457"/>
        <v>0</v>
      </c>
      <c r="H2008" s="38">
        <f t="shared" si="457"/>
        <v>0</v>
      </c>
      <c r="I2008" s="37">
        <f>J2008/F2008</f>
        <v>0</v>
      </c>
      <c r="J2008" s="38">
        <v>0</v>
      </c>
      <c r="K2008" s="37">
        <f>L2008/F2008</f>
        <v>0</v>
      </c>
      <c r="L2008" s="38">
        <v>0</v>
      </c>
    </row>
    <row r="2009" spans="1:12" s="45" customFormat="1" ht="28.95" customHeight="1" x14ac:dyDescent="0.3">
      <c r="A2009" s="31" t="s">
        <v>1268</v>
      </c>
      <c r="B2009" s="40" t="s">
        <v>1269</v>
      </c>
      <c r="C2009" s="41">
        <v>0</v>
      </c>
      <c r="D2009" s="42"/>
      <c r="E2009" s="42"/>
      <c r="F2009" s="42"/>
      <c r="G2009" s="43"/>
      <c r="H2009" s="44"/>
      <c r="I2009" s="43"/>
      <c r="J2009" s="44"/>
      <c r="K2009" s="43"/>
      <c r="L2009" s="44">
        <v>0</v>
      </c>
    </row>
    <row r="2010" spans="1:12" s="39" customFormat="1" ht="28.95" customHeight="1" outlineLevel="1" x14ac:dyDescent="0.25">
      <c r="A2010" s="33">
        <v>1</v>
      </c>
      <c r="B2010" s="34" t="s">
        <v>383</v>
      </c>
      <c r="C2010" s="35" t="s">
        <v>50</v>
      </c>
      <c r="D2010" s="36">
        <v>12</v>
      </c>
      <c r="E2010" s="36">
        <v>7.6276000000000002</v>
      </c>
      <c r="F2010" s="36">
        <f t="shared" ref="F2010:F2020" si="458">+E2010*D2010</f>
        <v>91.531199999999998</v>
      </c>
      <c r="G2010" s="37">
        <f t="shared" ref="G2010:G2020" si="459">I2010+K2010</f>
        <v>0</v>
      </c>
      <c r="H2010" s="38">
        <f t="shared" ref="H2010:H2020" si="460">J2010+L2010</f>
        <v>0</v>
      </c>
      <c r="I2010" s="37">
        <f t="shared" ref="I2010:I2020" si="461">J2010/F2010</f>
        <v>0</v>
      </c>
      <c r="J2010" s="38">
        <v>0</v>
      </c>
      <c r="K2010" s="37">
        <f t="shared" ref="K2010:K2020" si="462">L2010/F2010</f>
        <v>0</v>
      </c>
      <c r="L2010" s="38">
        <v>0</v>
      </c>
    </row>
    <row r="2011" spans="1:12" s="39" customFormat="1" ht="28.95" customHeight="1" outlineLevel="1" x14ac:dyDescent="0.25">
      <c r="A2011" s="33">
        <v>2</v>
      </c>
      <c r="B2011" s="34" t="s">
        <v>1270</v>
      </c>
      <c r="C2011" s="35" t="s">
        <v>50</v>
      </c>
      <c r="D2011" s="36">
        <v>12</v>
      </c>
      <c r="E2011" s="36">
        <v>5.9222000000000001</v>
      </c>
      <c r="F2011" s="36">
        <f t="shared" si="458"/>
        <v>71.066400000000002</v>
      </c>
      <c r="G2011" s="37">
        <f t="shared" si="459"/>
        <v>0</v>
      </c>
      <c r="H2011" s="38">
        <f t="shared" si="460"/>
        <v>0</v>
      </c>
      <c r="I2011" s="37">
        <f t="shared" si="461"/>
        <v>0</v>
      </c>
      <c r="J2011" s="38">
        <v>0</v>
      </c>
      <c r="K2011" s="37">
        <f t="shared" si="462"/>
        <v>0</v>
      </c>
      <c r="L2011" s="38">
        <v>0</v>
      </c>
    </row>
    <row r="2012" spans="1:12" s="39" customFormat="1" ht="28.95" customHeight="1" outlineLevel="1" x14ac:dyDescent="0.25">
      <c r="A2012" s="33">
        <v>3</v>
      </c>
      <c r="B2012" s="34" t="s">
        <v>385</v>
      </c>
      <c r="C2012" s="35" t="s">
        <v>50</v>
      </c>
      <c r="D2012" s="36">
        <v>4</v>
      </c>
      <c r="E2012" s="36">
        <v>8.0661999999999985</v>
      </c>
      <c r="F2012" s="36">
        <f t="shared" si="458"/>
        <v>32.264799999999994</v>
      </c>
      <c r="G2012" s="37">
        <f t="shared" si="459"/>
        <v>0</v>
      </c>
      <c r="H2012" s="38">
        <f t="shared" si="460"/>
        <v>0</v>
      </c>
      <c r="I2012" s="37">
        <f t="shared" si="461"/>
        <v>0</v>
      </c>
      <c r="J2012" s="38">
        <v>0</v>
      </c>
      <c r="K2012" s="37">
        <f t="shared" si="462"/>
        <v>0</v>
      </c>
      <c r="L2012" s="38">
        <v>0</v>
      </c>
    </row>
    <row r="2013" spans="1:12" s="39" customFormat="1" ht="28.95" customHeight="1" outlineLevel="1" x14ac:dyDescent="0.25">
      <c r="A2013" s="33">
        <v>4</v>
      </c>
      <c r="B2013" s="34" t="s">
        <v>386</v>
      </c>
      <c r="C2013" s="35" t="s">
        <v>50</v>
      </c>
      <c r="D2013" s="36">
        <v>4</v>
      </c>
      <c r="E2013" s="36">
        <v>3.3212000000000002</v>
      </c>
      <c r="F2013" s="36">
        <f t="shared" si="458"/>
        <v>13.284800000000001</v>
      </c>
      <c r="G2013" s="37">
        <f t="shared" si="459"/>
        <v>0</v>
      </c>
      <c r="H2013" s="38">
        <f t="shared" si="460"/>
        <v>0</v>
      </c>
      <c r="I2013" s="37">
        <f t="shared" si="461"/>
        <v>0</v>
      </c>
      <c r="J2013" s="38">
        <v>0</v>
      </c>
      <c r="K2013" s="37">
        <f t="shared" si="462"/>
        <v>0</v>
      </c>
      <c r="L2013" s="38">
        <v>0</v>
      </c>
    </row>
    <row r="2014" spans="1:12" s="39" customFormat="1" ht="28.95" customHeight="1" outlineLevel="1" x14ac:dyDescent="0.25">
      <c r="A2014" s="33">
        <v>5</v>
      </c>
      <c r="B2014" s="34" t="s">
        <v>1271</v>
      </c>
      <c r="C2014" s="35" t="s">
        <v>55</v>
      </c>
      <c r="D2014" s="36">
        <v>1</v>
      </c>
      <c r="E2014" s="36">
        <v>10.8916</v>
      </c>
      <c r="F2014" s="36">
        <f t="shared" si="458"/>
        <v>10.8916</v>
      </c>
      <c r="G2014" s="37">
        <f t="shared" si="459"/>
        <v>0</v>
      </c>
      <c r="H2014" s="38">
        <f t="shared" si="460"/>
        <v>0</v>
      </c>
      <c r="I2014" s="37">
        <f t="shared" si="461"/>
        <v>0</v>
      </c>
      <c r="J2014" s="38">
        <v>0</v>
      </c>
      <c r="K2014" s="37">
        <f t="shared" si="462"/>
        <v>0</v>
      </c>
      <c r="L2014" s="38">
        <v>0</v>
      </c>
    </row>
    <row r="2015" spans="1:12" s="39" customFormat="1" ht="15.45" customHeight="1" outlineLevel="1" x14ac:dyDescent="0.25">
      <c r="A2015" s="33">
        <v>6</v>
      </c>
      <c r="B2015" s="34" t="s">
        <v>388</v>
      </c>
      <c r="C2015" s="35" t="s">
        <v>115</v>
      </c>
      <c r="D2015" s="36">
        <v>2</v>
      </c>
      <c r="E2015" s="36">
        <v>28.864000000000001</v>
      </c>
      <c r="F2015" s="36">
        <f t="shared" si="458"/>
        <v>57.728000000000002</v>
      </c>
      <c r="G2015" s="37">
        <f t="shared" si="459"/>
        <v>0</v>
      </c>
      <c r="H2015" s="38">
        <f t="shared" si="460"/>
        <v>0</v>
      </c>
      <c r="I2015" s="37">
        <f t="shared" si="461"/>
        <v>0</v>
      </c>
      <c r="J2015" s="38">
        <v>0</v>
      </c>
      <c r="K2015" s="37">
        <f t="shared" si="462"/>
        <v>0</v>
      </c>
      <c r="L2015" s="38">
        <v>0</v>
      </c>
    </row>
    <row r="2016" spans="1:12" s="39" customFormat="1" ht="15.45" customHeight="1" outlineLevel="1" x14ac:dyDescent="0.25">
      <c r="A2016" s="33">
        <v>7</v>
      </c>
      <c r="B2016" s="34" t="s">
        <v>977</v>
      </c>
      <c r="C2016" s="35" t="s">
        <v>115</v>
      </c>
      <c r="D2016" s="36">
        <v>2</v>
      </c>
      <c r="E2016" s="36">
        <v>148.97720000000001</v>
      </c>
      <c r="F2016" s="36">
        <f t="shared" si="458"/>
        <v>297.95440000000002</v>
      </c>
      <c r="G2016" s="37">
        <f t="shared" si="459"/>
        <v>0</v>
      </c>
      <c r="H2016" s="38">
        <f t="shared" si="460"/>
        <v>0</v>
      </c>
      <c r="I2016" s="37">
        <f t="shared" si="461"/>
        <v>0</v>
      </c>
      <c r="J2016" s="38">
        <v>0</v>
      </c>
      <c r="K2016" s="37">
        <f t="shared" si="462"/>
        <v>0</v>
      </c>
      <c r="L2016" s="38">
        <v>0</v>
      </c>
    </row>
    <row r="2017" spans="1:12" s="39" customFormat="1" ht="28.95" customHeight="1" outlineLevel="1" x14ac:dyDescent="0.25">
      <c r="A2017" s="33">
        <v>8</v>
      </c>
      <c r="B2017" s="34" t="s">
        <v>1272</v>
      </c>
      <c r="C2017" s="35" t="s">
        <v>115</v>
      </c>
      <c r="D2017" s="36">
        <v>2</v>
      </c>
      <c r="E2017" s="36">
        <v>77.415999999999997</v>
      </c>
      <c r="F2017" s="36">
        <f t="shared" si="458"/>
        <v>154.83199999999999</v>
      </c>
      <c r="G2017" s="37">
        <f t="shared" si="459"/>
        <v>0</v>
      </c>
      <c r="H2017" s="38">
        <f t="shared" si="460"/>
        <v>0</v>
      </c>
      <c r="I2017" s="37">
        <f t="shared" si="461"/>
        <v>0</v>
      </c>
      <c r="J2017" s="38">
        <v>0</v>
      </c>
      <c r="K2017" s="37">
        <f t="shared" si="462"/>
        <v>0</v>
      </c>
      <c r="L2017" s="38">
        <v>0</v>
      </c>
    </row>
    <row r="2018" spans="1:12" s="39" customFormat="1" ht="15.45" customHeight="1" outlineLevel="1" x14ac:dyDescent="0.25">
      <c r="A2018" s="33">
        <v>9</v>
      </c>
      <c r="B2018" s="34" t="s">
        <v>1273</v>
      </c>
      <c r="C2018" s="35" t="s">
        <v>55</v>
      </c>
      <c r="D2018" s="36">
        <v>2</v>
      </c>
      <c r="E2018" s="36">
        <v>50.139200000000002</v>
      </c>
      <c r="F2018" s="36">
        <f t="shared" si="458"/>
        <v>100.2784</v>
      </c>
      <c r="G2018" s="37">
        <f t="shared" si="459"/>
        <v>0</v>
      </c>
      <c r="H2018" s="38">
        <f t="shared" si="460"/>
        <v>0</v>
      </c>
      <c r="I2018" s="37">
        <f t="shared" si="461"/>
        <v>0</v>
      </c>
      <c r="J2018" s="38">
        <v>0</v>
      </c>
      <c r="K2018" s="37">
        <f t="shared" si="462"/>
        <v>0</v>
      </c>
      <c r="L2018" s="38">
        <v>0</v>
      </c>
    </row>
    <row r="2019" spans="1:12" s="39" customFormat="1" ht="15.45" customHeight="1" outlineLevel="1" x14ac:dyDescent="0.25">
      <c r="A2019" s="33">
        <v>10</v>
      </c>
      <c r="B2019" s="34" t="s">
        <v>1274</v>
      </c>
      <c r="C2019" s="35" t="s">
        <v>55</v>
      </c>
      <c r="D2019" s="36">
        <v>2</v>
      </c>
      <c r="E2019" s="36">
        <v>6.4423999999999992</v>
      </c>
      <c r="F2019" s="36">
        <f t="shared" si="458"/>
        <v>12.884799999999998</v>
      </c>
      <c r="G2019" s="37">
        <f t="shared" si="459"/>
        <v>0</v>
      </c>
      <c r="H2019" s="38">
        <f t="shared" si="460"/>
        <v>0</v>
      </c>
      <c r="I2019" s="37">
        <f t="shared" si="461"/>
        <v>0</v>
      </c>
      <c r="J2019" s="38">
        <v>0</v>
      </c>
      <c r="K2019" s="37">
        <f t="shared" si="462"/>
        <v>0</v>
      </c>
      <c r="L2019" s="38">
        <v>0</v>
      </c>
    </row>
    <row r="2020" spans="1:12" s="39" customFormat="1" ht="15.45" customHeight="1" outlineLevel="1" x14ac:dyDescent="0.25">
      <c r="A2020" s="33">
        <v>11</v>
      </c>
      <c r="B2020" s="34" t="s">
        <v>396</v>
      </c>
      <c r="C2020" s="35" t="s">
        <v>115</v>
      </c>
      <c r="D2020" s="36">
        <v>2</v>
      </c>
      <c r="E2020" s="36">
        <v>13.972</v>
      </c>
      <c r="F2020" s="36">
        <f t="shared" si="458"/>
        <v>27.943999999999999</v>
      </c>
      <c r="G2020" s="37">
        <f t="shared" si="459"/>
        <v>0</v>
      </c>
      <c r="H2020" s="38">
        <f t="shared" si="460"/>
        <v>0</v>
      </c>
      <c r="I2020" s="37">
        <f t="shared" si="461"/>
        <v>0</v>
      </c>
      <c r="J2020" s="38">
        <v>0</v>
      </c>
      <c r="K2020" s="37">
        <f t="shared" si="462"/>
        <v>0</v>
      </c>
      <c r="L2020" s="38">
        <v>0</v>
      </c>
    </row>
    <row r="2021" spans="1:12" s="39" customFormat="1" ht="15.45" customHeight="1" outlineLevel="1" x14ac:dyDescent="0.25">
      <c r="A2021" s="31" t="s">
        <v>1275</v>
      </c>
      <c r="B2021" s="40" t="s">
        <v>1276</v>
      </c>
      <c r="C2021" s="41">
        <v>0</v>
      </c>
      <c r="D2021" s="42"/>
      <c r="E2021" s="42"/>
      <c r="F2021" s="42"/>
      <c r="G2021" s="43"/>
      <c r="H2021" s="44"/>
      <c r="I2021" s="43"/>
      <c r="J2021" s="44"/>
      <c r="K2021" s="43"/>
      <c r="L2021" s="44">
        <v>0</v>
      </c>
    </row>
    <row r="2022" spans="1:12" s="46" customFormat="1" ht="28.95" customHeight="1" outlineLevel="1" x14ac:dyDescent="0.35">
      <c r="A2022" s="33">
        <v>1</v>
      </c>
      <c r="B2022" s="34" t="s">
        <v>1277</v>
      </c>
      <c r="C2022" s="35" t="s">
        <v>55</v>
      </c>
      <c r="D2022" s="36">
        <v>2</v>
      </c>
      <c r="E2022" s="36">
        <v>7.3521999999999998</v>
      </c>
      <c r="F2022" s="36">
        <f>+E2022*D2022</f>
        <v>14.7044</v>
      </c>
      <c r="G2022" s="37">
        <f>I2022+K2022</f>
        <v>0</v>
      </c>
      <c r="H2022" s="38">
        <f>J2022+L2022</f>
        <v>0</v>
      </c>
      <c r="I2022" s="37">
        <f>J2022/F2022</f>
        <v>0</v>
      </c>
      <c r="J2022" s="38">
        <v>0</v>
      </c>
      <c r="K2022" s="37">
        <f>L2022/F2022</f>
        <v>0</v>
      </c>
      <c r="L2022" s="38">
        <v>0</v>
      </c>
    </row>
    <row r="2023" spans="1:12" s="46" customFormat="1" ht="15.45" customHeight="1" outlineLevel="1" x14ac:dyDescent="0.35">
      <c r="A2023" s="33">
        <v>2</v>
      </c>
      <c r="B2023" s="34" t="s">
        <v>1278</v>
      </c>
      <c r="C2023" s="35" t="s">
        <v>106</v>
      </c>
      <c r="D2023" s="36">
        <v>1.4</v>
      </c>
      <c r="E2023" s="36">
        <v>22.252400000000009</v>
      </c>
      <c r="F2023" s="36">
        <f>+E2023*D2023</f>
        <v>31.15336000000001</v>
      </c>
      <c r="G2023" s="37">
        <f>I2023+K2023</f>
        <v>0</v>
      </c>
      <c r="H2023" s="38">
        <f>J2023+L2023</f>
        <v>0</v>
      </c>
      <c r="I2023" s="37">
        <f>J2023/F2023</f>
        <v>0</v>
      </c>
      <c r="J2023" s="38">
        <v>0</v>
      </c>
      <c r="K2023" s="37">
        <f>L2023/F2023</f>
        <v>0</v>
      </c>
      <c r="L2023" s="38">
        <v>0</v>
      </c>
    </row>
    <row r="2024" spans="1:12" s="45" customFormat="1" ht="15.45" customHeight="1" x14ac:dyDescent="0.3">
      <c r="A2024" s="31" t="s">
        <v>1279</v>
      </c>
      <c r="B2024" s="40" t="s">
        <v>1280</v>
      </c>
      <c r="C2024" s="41">
        <v>0</v>
      </c>
      <c r="D2024" s="42"/>
      <c r="E2024" s="42"/>
      <c r="F2024" s="42"/>
      <c r="G2024" s="43"/>
      <c r="H2024" s="44"/>
      <c r="I2024" s="43"/>
      <c r="J2024" s="44"/>
      <c r="K2024" s="43"/>
      <c r="L2024" s="44">
        <v>0</v>
      </c>
    </row>
    <row r="2025" spans="1:12" s="39" customFormat="1" ht="15.45" customHeight="1" outlineLevel="1" x14ac:dyDescent="0.25">
      <c r="A2025" s="33">
        <v>1</v>
      </c>
      <c r="B2025" s="34" t="s">
        <v>1281</v>
      </c>
      <c r="C2025" s="35" t="s">
        <v>55</v>
      </c>
      <c r="D2025" s="36">
        <v>1</v>
      </c>
      <c r="E2025" s="36">
        <v>6.1976000000000004</v>
      </c>
      <c r="F2025" s="36">
        <f t="shared" ref="F2025:F2034" si="463">+E2025*D2025</f>
        <v>6.1976000000000004</v>
      </c>
      <c r="G2025" s="37">
        <f t="shared" ref="G2025:G2034" si="464">I2025+K2025</f>
        <v>0</v>
      </c>
      <c r="H2025" s="38">
        <f t="shared" ref="H2025:H2034" si="465">J2025+L2025</f>
        <v>0</v>
      </c>
      <c r="I2025" s="37">
        <f t="shared" ref="I2025:I2034" si="466">J2025/F2025</f>
        <v>0</v>
      </c>
      <c r="J2025" s="38">
        <v>0</v>
      </c>
      <c r="K2025" s="37">
        <f t="shared" ref="K2025:K2034" si="467">L2025/F2025</f>
        <v>0</v>
      </c>
      <c r="L2025" s="38">
        <v>0</v>
      </c>
    </row>
    <row r="2026" spans="1:12" s="39" customFormat="1" ht="15.45" customHeight="1" outlineLevel="1" x14ac:dyDescent="0.25">
      <c r="A2026" s="33">
        <v>2</v>
      </c>
      <c r="B2026" s="34" t="s">
        <v>513</v>
      </c>
      <c r="C2026" s="35" t="s">
        <v>55</v>
      </c>
      <c r="D2026" s="36">
        <v>1</v>
      </c>
      <c r="E2026" s="36">
        <v>14.3698</v>
      </c>
      <c r="F2026" s="36">
        <f t="shared" si="463"/>
        <v>14.3698</v>
      </c>
      <c r="G2026" s="37">
        <f t="shared" si="464"/>
        <v>0</v>
      </c>
      <c r="H2026" s="38">
        <f t="shared" si="465"/>
        <v>0</v>
      </c>
      <c r="I2026" s="37">
        <f t="shared" si="466"/>
        <v>0</v>
      </c>
      <c r="J2026" s="38">
        <v>0</v>
      </c>
      <c r="K2026" s="37">
        <f t="shared" si="467"/>
        <v>0</v>
      </c>
      <c r="L2026" s="38">
        <v>0</v>
      </c>
    </row>
    <row r="2027" spans="1:12" s="39" customFormat="1" ht="15.45" customHeight="1" outlineLevel="1" x14ac:dyDescent="0.25">
      <c r="A2027" s="33">
        <v>3</v>
      </c>
      <c r="B2027" s="34" t="s">
        <v>1282</v>
      </c>
      <c r="C2027" s="35" t="s">
        <v>55</v>
      </c>
      <c r="D2027" s="36">
        <v>5</v>
      </c>
      <c r="E2027" s="36">
        <v>16.122199999999999</v>
      </c>
      <c r="F2027" s="36">
        <f t="shared" si="463"/>
        <v>80.61099999999999</v>
      </c>
      <c r="G2027" s="37">
        <f t="shared" si="464"/>
        <v>0</v>
      </c>
      <c r="H2027" s="38">
        <f t="shared" si="465"/>
        <v>0</v>
      </c>
      <c r="I2027" s="37">
        <f t="shared" si="466"/>
        <v>0</v>
      </c>
      <c r="J2027" s="38">
        <v>0</v>
      </c>
      <c r="K2027" s="37">
        <f t="shared" si="467"/>
        <v>0</v>
      </c>
      <c r="L2027" s="38">
        <v>0</v>
      </c>
    </row>
    <row r="2028" spans="1:12" s="39" customFormat="1" ht="15.45" customHeight="1" outlineLevel="1" x14ac:dyDescent="0.25">
      <c r="A2028" s="33">
        <v>4</v>
      </c>
      <c r="B2028" s="34" t="s">
        <v>598</v>
      </c>
      <c r="C2028" s="35" t="s">
        <v>55</v>
      </c>
      <c r="D2028" s="36">
        <v>5</v>
      </c>
      <c r="E2028" s="36">
        <v>9.7186000000000003</v>
      </c>
      <c r="F2028" s="36">
        <f t="shared" si="463"/>
        <v>48.593000000000004</v>
      </c>
      <c r="G2028" s="37">
        <f t="shared" si="464"/>
        <v>0</v>
      </c>
      <c r="H2028" s="38">
        <f t="shared" si="465"/>
        <v>0</v>
      </c>
      <c r="I2028" s="37">
        <f t="shared" si="466"/>
        <v>0</v>
      </c>
      <c r="J2028" s="38">
        <v>0</v>
      </c>
      <c r="K2028" s="37">
        <f t="shared" si="467"/>
        <v>0</v>
      </c>
      <c r="L2028" s="38">
        <v>0</v>
      </c>
    </row>
    <row r="2029" spans="1:12" s="39" customFormat="1" ht="15.45" customHeight="1" outlineLevel="1" x14ac:dyDescent="0.25">
      <c r="A2029" s="33">
        <v>5</v>
      </c>
      <c r="B2029" s="34" t="s">
        <v>1283</v>
      </c>
      <c r="C2029" s="35" t="s">
        <v>55</v>
      </c>
      <c r="D2029" s="36">
        <v>5</v>
      </c>
      <c r="E2029" s="36">
        <v>0.9</v>
      </c>
      <c r="F2029" s="36">
        <f t="shared" si="463"/>
        <v>4.5</v>
      </c>
      <c r="G2029" s="37">
        <f t="shared" si="464"/>
        <v>0</v>
      </c>
      <c r="H2029" s="38">
        <f t="shared" si="465"/>
        <v>0</v>
      </c>
      <c r="I2029" s="37">
        <f t="shared" si="466"/>
        <v>0</v>
      </c>
      <c r="J2029" s="38">
        <v>0</v>
      </c>
      <c r="K2029" s="37">
        <f t="shared" si="467"/>
        <v>0</v>
      </c>
      <c r="L2029" s="38">
        <v>0</v>
      </c>
    </row>
    <row r="2030" spans="1:12" s="39" customFormat="1" ht="28.95" customHeight="1" outlineLevel="1" x14ac:dyDescent="0.25">
      <c r="A2030" s="33">
        <v>6</v>
      </c>
      <c r="B2030" s="34" t="s">
        <v>1284</v>
      </c>
      <c r="C2030" s="35" t="s">
        <v>55</v>
      </c>
      <c r="D2030" s="36">
        <v>1</v>
      </c>
      <c r="E2030" s="36">
        <v>6.5444000000000004</v>
      </c>
      <c r="F2030" s="36">
        <f t="shared" si="463"/>
        <v>6.5444000000000004</v>
      </c>
      <c r="G2030" s="37">
        <f t="shared" si="464"/>
        <v>0</v>
      </c>
      <c r="H2030" s="38">
        <f t="shared" si="465"/>
        <v>0</v>
      </c>
      <c r="I2030" s="37">
        <f t="shared" si="466"/>
        <v>0</v>
      </c>
      <c r="J2030" s="38">
        <v>0</v>
      </c>
      <c r="K2030" s="37">
        <f t="shared" si="467"/>
        <v>0</v>
      </c>
      <c r="L2030" s="38">
        <v>0</v>
      </c>
    </row>
    <row r="2031" spans="1:12" s="39" customFormat="1" ht="28.95" customHeight="1" outlineLevel="1" x14ac:dyDescent="0.25">
      <c r="A2031" s="33">
        <v>7</v>
      </c>
      <c r="B2031" s="34" t="s">
        <v>1285</v>
      </c>
      <c r="C2031" s="35" t="s">
        <v>55</v>
      </c>
      <c r="D2031" s="36">
        <v>2</v>
      </c>
      <c r="E2031" s="36">
        <v>7.0135999999999994</v>
      </c>
      <c r="F2031" s="36">
        <f t="shared" si="463"/>
        <v>14.027199999999999</v>
      </c>
      <c r="G2031" s="37">
        <f t="shared" si="464"/>
        <v>0</v>
      </c>
      <c r="H2031" s="38">
        <f t="shared" si="465"/>
        <v>0</v>
      </c>
      <c r="I2031" s="37">
        <f t="shared" si="466"/>
        <v>0</v>
      </c>
      <c r="J2031" s="38">
        <v>0</v>
      </c>
      <c r="K2031" s="37">
        <f t="shared" si="467"/>
        <v>0</v>
      </c>
      <c r="L2031" s="38">
        <v>0</v>
      </c>
    </row>
    <row r="2032" spans="1:12" s="39" customFormat="1" ht="15.45" customHeight="1" outlineLevel="1" x14ac:dyDescent="0.25">
      <c r="A2032" s="33">
        <v>8</v>
      </c>
      <c r="B2032" s="34" t="s">
        <v>612</v>
      </c>
      <c r="C2032" s="35" t="s">
        <v>55</v>
      </c>
      <c r="D2032" s="36">
        <v>3</v>
      </c>
      <c r="E2032" s="36">
        <v>8.882200000000001</v>
      </c>
      <c r="F2032" s="36">
        <f t="shared" si="463"/>
        <v>26.646600000000003</v>
      </c>
      <c r="G2032" s="37">
        <f t="shared" si="464"/>
        <v>0</v>
      </c>
      <c r="H2032" s="38">
        <f t="shared" si="465"/>
        <v>0</v>
      </c>
      <c r="I2032" s="37">
        <f t="shared" si="466"/>
        <v>0</v>
      </c>
      <c r="J2032" s="38">
        <v>0</v>
      </c>
      <c r="K2032" s="37">
        <f t="shared" si="467"/>
        <v>0</v>
      </c>
      <c r="L2032" s="38">
        <v>0</v>
      </c>
    </row>
    <row r="2033" spans="1:12" s="39" customFormat="1" ht="15.45" customHeight="1" outlineLevel="1" x14ac:dyDescent="0.25">
      <c r="A2033" s="33">
        <v>9</v>
      </c>
      <c r="B2033" s="34" t="s">
        <v>1286</v>
      </c>
      <c r="C2033" s="35" t="s">
        <v>50</v>
      </c>
      <c r="D2033" s="36">
        <v>30</v>
      </c>
      <c r="E2033" s="36">
        <v>2.5099999999999998</v>
      </c>
      <c r="F2033" s="36">
        <f t="shared" si="463"/>
        <v>75.3</v>
      </c>
      <c r="G2033" s="37">
        <f t="shared" si="464"/>
        <v>0</v>
      </c>
      <c r="H2033" s="38">
        <f t="shared" si="465"/>
        <v>0</v>
      </c>
      <c r="I2033" s="37">
        <f t="shared" si="466"/>
        <v>0</v>
      </c>
      <c r="J2033" s="38">
        <v>0</v>
      </c>
      <c r="K2033" s="37">
        <f t="shared" si="467"/>
        <v>0</v>
      </c>
      <c r="L2033" s="38">
        <v>0</v>
      </c>
    </row>
    <row r="2034" spans="1:12" s="39" customFormat="1" ht="28.95" customHeight="1" outlineLevel="1" x14ac:dyDescent="0.25">
      <c r="A2034" s="33">
        <v>10</v>
      </c>
      <c r="B2034" s="34" t="s">
        <v>1116</v>
      </c>
      <c r="C2034" s="35" t="s">
        <v>50</v>
      </c>
      <c r="D2034" s="36">
        <v>30</v>
      </c>
      <c r="E2034" s="36">
        <v>1.885</v>
      </c>
      <c r="F2034" s="36">
        <f t="shared" si="463"/>
        <v>56.55</v>
      </c>
      <c r="G2034" s="37">
        <f t="shared" si="464"/>
        <v>0</v>
      </c>
      <c r="H2034" s="38">
        <f t="shared" si="465"/>
        <v>0</v>
      </c>
      <c r="I2034" s="37">
        <f t="shared" si="466"/>
        <v>0</v>
      </c>
      <c r="J2034" s="38">
        <v>0</v>
      </c>
      <c r="K2034" s="37">
        <f t="shared" si="467"/>
        <v>0</v>
      </c>
      <c r="L2034" s="38">
        <v>0</v>
      </c>
    </row>
    <row r="2035" spans="1:12" s="45" customFormat="1" ht="15.45" customHeight="1" x14ac:dyDescent="0.3">
      <c r="A2035" s="31" t="s">
        <v>1287</v>
      </c>
      <c r="B2035" s="40" t="s">
        <v>1288</v>
      </c>
      <c r="C2035" s="41">
        <v>0</v>
      </c>
      <c r="D2035" s="42"/>
      <c r="E2035" s="42"/>
      <c r="F2035" s="42"/>
      <c r="G2035" s="43"/>
      <c r="H2035" s="44"/>
      <c r="I2035" s="43"/>
      <c r="J2035" s="44"/>
      <c r="K2035" s="43"/>
      <c r="L2035" s="44">
        <v>0</v>
      </c>
    </row>
    <row r="2036" spans="1:12" s="46" customFormat="1" ht="28.95" customHeight="1" outlineLevel="1" x14ac:dyDescent="0.35">
      <c r="A2036" s="33">
        <v>1</v>
      </c>
      <c r="B2036" s="34" t="s">
        <v>1289</v>
      </c>
      <c r="C2036" s="35" t="s">
        <v>66</v>
      </c>
      <c r="D2036" s="36">
        <v>336</v>
      </c>
      <c r="E2036" s="36">
        <v>0.84182000000000001</v>
      </c>
      <c r="F2036" s="36">
        <f t="shared" ref="F2036:F2064" si="468">+E2036*D2036</f>
        <v>282.85151999999999</v>
      </c>
      <c r="G2036" s="37">
        <f t="shared" ref="G2036:G2064" si="469">I2036+K2036</f>
        <v>0</v>
      </c>
      <c r="H2036" s="38">
        <f t="shared" ref="H2036:H2064" si="470">J2036+L2036</f>
        <v>0</v>
      </c>
      <c r="I2036" s="37">
        <f t="shared" ref="I2036:I2064" si="471">J2036/F2036</f>
        <v>0</v>
      </c>
      <c r="J2036" s="38">
        <v>0</v>
      </c>
      <c r="K2036" s="37">
        <f t="shared" ref="K2036:K2064" si="472">L2036/F2036</f>
        <v>0</v>
      </c>
      <c r="L2036" s="38">
        <v>0</v>
      </c>
    </row>
    <row r="2037" spans="1:12" s="39" customFormat="1" ht="28.95" customHeight="1" outlineLevel="1" x14ac:dyDescent="0.25">
      <c r="A2037" s="33">
        <v>2</v>
      </c>
      <c r="B2037" s="34" t="s">
        <v>906</v>
      </c>
      <c r="C2037" s="35" t="s">
        <v>66</v>
      </c>
      <c r="D2037" s="36">
        <v>14</v>
      </c>
      <c r="E2037" s="36">
        <v>22.948</v>
      </c>
      <c r="F2037" s="36">
        <f t="shared" si="468"/>
        <v>321.27199999999999</v>
      </c>
      <c r="G2037" s="37">
        <f t="shared" si="469"/>
        <v>0</v>
      </c>
      <c r="H2037" s="38">
        <f t="shared" si="470"/>
        <v>0</v>
      </c>
      <c r="I2037" s="37">
        <f t="shared" si="471"/>
        <v>0</v>
      </c>
      <c r="J2037" s="38">
        <v>0</v>
      </c>
      <c r="K2037" s="37">
        <f t="shared" si="472"/>
        <v>0</v>
      </c>
      <c r="L2037" s="38">
        <v>0</v>
      </c>
    </row>
    <row r="2038" spans="1:12" s="39" customFormat="1" ht="43.5" customHeight="1" outlineLevel="1" x14ac:dyDescent="0.25">
      <c r="A2038" s="33">
        <v>3</v>
      </c>
      <c r="B2038" s="34" t="s">
        <v>766</v>
      </c>
      <c r="C2038" s="35" t="s">
        <v>66</v>
      </c>
      <c r="D2038" s="36">
        <v>279</v>
      </c>
      <c r="E2038" s="36">
        <v>0.9</v>
      </c>
      <c r="F2038" s="36">
        <f t="shared" si="468"/>
        <v>251.1</v>
      </c>
      <c r="G2038" s="37">
        <f t="shared" si="469"/>
        <v>0</v>
      </c>
      <c r="H2038" s="38">
        <f t="shared" si="470"/>
        <v>0</v>
      </c>
      <c r="I2038" s="37">
        <f t="shared" si="471"/>
        <v>0</v>
      </c>
      <c r="J2038" s="38">
        <v>0</v>
      </c>
      <c r="K2038" s="37">
        <f t="shared" si="472"/>
        <v>0</v>
      </c>
      <c r="L2038" s="38">
        <v>0</v>
      </c>
    </row>
    <row r="2039" spans="1:12" s="39" customFormat="1" ht="28.95" customHeight="1" outlineLevel="1" x14ac:dyDescent="0.25">
      <c r="A2039" s="33">
        <v>4</v>
      </c>
      <c r="B2039" s="34" t="s">
        <v>316</v>
      </c>
      <c r="C2039" s="35" t="s">
        <v>66</v>
      </c>
      <c r="D2039" s="36">
        <v>21</v>
      </c>
      <c r="E2039" s="36">
        <v>8.16</v>
      </c>
      <c r="F2039" s="36">
        <f t="shared" si="468"/>
        <v>171.36</v>
      </c>
      <c r="G2039" s="37">
        <f t="shared" si="469"/>
        <v>0</v>
      </c>
      <c r="H2039" s="38">
        <f t="shared" si="470"/>
        <v>0</v>
      </c>
      <c r="I2039" s="37">
        <f t="shared" si="471"/>
        <v>0</v>
      </c>
      <c r="J2039" s="38">
        <v>0</v>
      </c>
      <c r="K2039" s="37">
        <f t="shared" si="472"/>
        <v>0</v>
      </c>
      <c r="L2039" s="38">
        <v>0</v>
      </c>
    </row>
    <row r="2040" spans="1:12" s="46" customFormat="1" ht="28.95" customHeight="1" outlineLevel="1" x14ac:dyDescent="0.35">
      <c r="A2040" s="33">
        <v>5</v>
      </c>
      <c r="B2040" s="34" t="s">
        <v>234</v>
      </c>
      <c r="C2040" s="35" t="s">
        <v>66</v>
      </c>
      <c r="D2040" s="36">
        <v>300</v>
      </c>
      <c r="E2040" s="36">
        <v>2</v>
      </c>
      <c r="F2040" s="36">
        <f t="shared" si="468"/>
        <v>600</v>
      </c>
      <c r="G2040" s="37">
        <f t="shared" si="469"/>
        <v>0</v>
      </c>
      <c r="H2040" s="38">
        <f t="shared" si="470"/>
        <v>0</v>
      </c>
      <c r="I2040" s="37">
        <f t="shared" si="471"/>
        <v>0</v>
      </c>
      <c r="J2040" s="38">
        <v>0</v>
      </c>
      <c r="K2040" s="37">
        <f t="shared" si="472"/>
        <v>0</v>
      </c>
      <c r="L2040" s="38">
        <v>0</v>
      </c>
    </row>
    <row r="2041" spans="1:12" s="39" customFormat="1" ht="28.95" customHeight="1" outlineLevel="1" x14ac:dyDescent="0.25">
      <c r="A2041" s="33">
        <v>6</v>
      </c>
      <c r="B2041" s="34" t="s">
        <v>923</v>
      </c>
      <c r="C2041" s="35" t="s">
        <v>66</v>
      </c>
      <c r="D2041" s="36">
        <v>50</v>
      </c>
      <c r="E2041" s="36">
        <v>0.86834000000000011</v>
      </c>
      <c r="F2041" s="36">
        <f t="shared" si="468"/>
        <v>43.417000000000009</v>
      </c>
      <c r="G2041" s="37">
        <f t="shared" si="469"/>
        <v>0</v>
      </c>
      <c r="H2041" s="38">
        <f t="shared" si="470"/>
        <v>0</v>
      </c>
      <c r="I2041" s="37">
        <f t="shared" si="471"/>
        <v>0</v>
      </c>
      <c r="J2041" s="38">
        <v>0</v>
      </c>
      <c r="K2041" s="37">
        <f t="shared" si="472"/>
        <v>0</v>
      </c>
      <c r="L2041" s="38">
        <v>0</v>
      </c>
    </row>
    <row r="2042" spans="1:12" s="39" customFormat="1" ht="15.45" customHeight="1" outlineLevel="1" x14ac:dyDescent="0.25">
      <c r="A2042" s="33">
        <v>7</v>
      </c>
      <c r="B2042" s="34" t="s">
        <v>225</v>
      </c>
      <c r="C2042" s="35" t="s">
        <v>30</v>
      </c>
      <c r="D2042" s="36">
        <v>87.5</v>
      </c>
      <c r="E2042" s="36">
        <v>1.63</v>
      </c>
      <c r="F2042" s="36">
        <f t="shared" si="468"/>
        <v>142.625</v>
      </c>
      <c r="G2042" s="37">
        <f t="shared" si="469"/>
        <v>0</v>
      </c>
      <c r="H2042" s="38">
        <f t="shared" si="470"/>
        <v>0</v>
      </c>
      <c r="I2042" s="37">
        <f t="shared" si="471"/>
        <v>0</v>
      </c>
      <c r="J2042" s="38">
        <v>0</v>
      </c>
      <c r="K2042" s="37">
        <f t="shared" si="472"/>
        <v>0</v>
      </c>
      <c r="L2042" s="38">
        <v>0</v>
      </c>
    </row>
    <row r="2043" spans="1:12" s="39" customFormat="1" ht="28.95" customHeight="1" outlineLevel="1" x14ac:dyDescent="0.25">
      <c r="A2043" s="33">
        <v>8</v>
      </c>
      <c r="B2043" s="34" t="s">
        <v>1290</v>
      </c>
      <c r="C2043" s="35" t="s">
        <v>1123</v>
      </c>
      <c r="D2043" s="36">
        <v>4.0000000000000001E-3</v>
      </c>
      <c r="E2043" s="36">
        <v>8881.0462000000007</v>
      </c>
      <c r="F2043" s="36">
        <f t="shared" si="468"/>
        <v>35.5241848</v>
      </c>
      <c r="G2043" s="37">
        <f t="shared" si="469"/>
        <v>0</v>
      </c>
      <c r="H2043" s="38">
        <f t="shared" si="470"/>
        <v>0</v>
      </c>
      <c r="I2043" s="37">
        <f t="shared" si="471"/>
        <v>0</v>
      </c>
      <c r="J2043" s="38">
        <v>0</v>
      </c>
      <c r="K2043" s="37">
        <f t="shared" si="472"/>
        <v>0</v>
      </c>
      <c r="L2043" s="38">
        <v>0</v>
      </c>
    </row>
    <row r="2044" spans="1:12" s="39" customFormat="1" ht="28.95" customHeight="1" outlineLevel="1" x14ac:dyDescent="0.25">
      <c r="A2044" s="33">
        <v>9</v>
      </c>
      <c r="B2044" s="34" t="s">
        <v>1163</v>
      </c>
      <c r="C2044" s="35" t="s">
        <v>50</v>
      </c>
      <c r="D2044" s="36">
        <v>4</v>
      </c>
      <c r="E2044" s="36">
        <v>53.780600000000007</v>
      </c>
      <c r="F2044" s="36">
        <f t="shared" si="468"/>
        <v>215.12240000000003</v>
      </c>
      <c r="G2044" s="37">
        <f t="shared" si="469"/>
        <v>0</v>
      </c>
      <c r="H2044" s="38">
        <f t="shared" si="470"/>
        <v>0</v>
      </c>
      <c r="I2044" s="37">
        <f t="shared" si="471"/>
        <v>0</v>
      </c>
      <c r="J2044" s="38">
        <v>0</v>
      </c>
      <c r="K2044" s="37">
        <f t="shared" si="472"/>
        <v>0</v>
      </c>
      <c r="L2044" s="38">
        <v>0</v>
      </c>
    </row>
    <row r="2045" spans="1:12" s="45" customFormat="1" ht="28.95" customHeight="1" x14ac:dyDescent="0.3">
      <c r="A2045" s="33">
        <v>10</v>
      </c>
      <c r="B2045" s="34" t="s">
        <v>1291</v>
      </c>
      <c r="C2045" s="35" t="s">
        <v>1123</v>
      </c>
      <c r="D2045" s="36">
        <v>2.7E-2</v>
      </c>
      <c r="E2045" s="36">
        <v>4932.8301999999994</v>
      </c>
      <c r="F2045" s="36">
        <f t="shared" si="468"/>
        <v>133.18641539999999</v>
      </c>
      <c r="G2045" s="37">
        <f t="shared" si="469"/>
        <v>0</v>
      </c>
      <c r="H2045" s="38">
        <f t="shared" si="470"/>
        <v>0</v>
      </c>
      <c r="I2045" s="37">
        <f t="shared" si="471"/>
        <v>0</v>
      </c>
      <c r="J2045" s="38">
        <v>0</v>
      </c>
      <c r="K2045" s="37">
        <f t="shared" si="472"/>
        <v>0</v>
      </c>
      <c r="L2045" s="38">
        <v>0</v>
      </c>
    </row>
    <row r="2046" spans="1:12" s="39" customFormat="1" ht="43.5" customHeight="1" outlineLevel="1" x14ac:dyDescent="0.25">
      <c r="A2046" s="33">
        <v>11</v>
      </c>
      <c r="B2046" s="34" t="s">
        <v>1159</v>
      </c>
      <c r="C2046" s="35" t="s">
        <v>50</v>
      </c>
      <c r="D2046" s="36">
        <v>27</v>
      </c>
      <c r="E2046" s="36">
        <v>17.846</v>
      </c>
      <c r="F2046" s="36">
        <f t="shared" si="468"/>
        <v>481.84199999999998</v>
      </c>
      <c r="G2046" s="37">
        <f t="shared" si="469"/>
        <v>0</v>
      </c>
      <c r="H2046" s="38">
        <f t="shared" si="470"/>
        <v>0</v>
      </c>
      <c r="I2046" s="37">
        <f t="shared" si="471"/>
        <v>0</v>
      </c>
      <c r="J2046" s="38">
        <v>0</v>
      </c>
      <c r="K2046" s="37">
        <f t="shared" si="472"/>
        <v>0</v>
      </c>
      <c r="L2046" s="38">
        <v>0</v>
      </c>
    </row>
    <row r="2047" spans="1:12" s="39" customFormat="1" ht="28.95" customHeight="1" outlineLevel="1" x14ac:dyDescent="0.25">
      <c r="A2047" s="33">
        <v>12</v>
      </c>
      <c r="B2047" s="34" t="s">
        <v>1292</v>
      </c>
      <c r="C2047" s="35" t="s">
        <v>1123</v>
      </c>
      <c r="D2047" s="36">
        <v>8.8999999999999996E-2</v>
      </c>
      <c r="E2047" s="36">
        <v>3403.8501999999999</v>
      </c>
      <c r="F2047" s="36">
        <f t="shared" si="468"/>
        <v>302.94266779999998</v>
      </c>
      <c r="G2047" s="37">
        <f t="shared" si="469"/>
        <v>0</v>
      </c>
      <c r="H2047" s="38">
        <f t="shared" si="470"/>
        <v>0</v>
      </c>
      <c r="I2047" s="37">
        <f t="shared" si="471"/>
        <v>0</v>
      </c>
      <c r="J2047" s="38">
        <v>0</v>
      </c>
      <c r="K2047" s="37">
        <f t="shared" si="472"/>
        <v>0</v>
      </c>
      <c r="L2047" s="38">
        <v>0</v>
      </c>
    </row>
    <row r="2048" spans="1:12" s="39" customFormat="1" ht="43.5" customHeight="1" outlineLevel="1" x14ac:dyDescent="0.25">
      <c r="A2048" s="33">
        <v>13</v>
      </c>
      <c r="B2048" s="34" t="s">
        <v>1293</v>
      </c>
      <c r="C2048" s="35" t="s">
        <v>50</v>
      </c>
      <c r="D2048" s="36">
        <v>89</v>
      </c>
      <c r="E2048" s="36">
        <v>3.9842</v>
      </c>
      <c r="F2048" s="36">
        <f t="shared" si="468"/>
        <v>354.59379999999999</v>
      </c>
      <c r="G2048" s="37">
        <f t="shared" si="469"/>
        <v>0</v>
      </c>
      <c r="H2048" s="38">
        <f t="shared" si="470"/>
        <v>0</v>
      </c>
      <c r="I2048" s="37">
        <f t="shared" si="471"/>
        <v>0</v>
      </c>
      <c r="J2048" s="38">
        <v>0</v>
      </c>
      <c r="K2048" s="37">
        <f t="shared" si="472"/>
        <v>0</v>
      </c>
      <c r="L2048" s="38">
        <v>0</v>
      </c>
    </row>
    <row r="2049" spans="1:12" s="39" customFormat="1" ht="28.95" customHeight="1" outlineLevel="1" x14ac:dyDescent="0.25">
      <c r="A2049" s="33">
        <v>14</v>
      </c>
      <c r="B2049" s="34" t="s">
        <v>1294</v>
      </c>
      <c r="C2049" s="35" t="s">
        <v>1123</v>
      </c>
      <c r="D2049" s="36">
        <v>0.05</v>
      </c>
      <c r="E2049" s="36">
        <v>3403.8501999999999</v>
      </c>
      <c r="F2049" s="36">
        <f t="shared" si="468"/>
        <v>170.19251</v>
      </c>
      <c r="G2049" s="37">
        <f t="shared" si="469"/>
        <v>0</v>
      </c>
      <c r="H2049" s="38">
        <f t="shared" si="470"/>
        <v>0</v>
      </c>
      <c r="I2049" s="37">
        <f t="shared" si="471"/>
        <v>0</v>
      </c>
      <c r="J2049" s="38">
        <v>0</v>
      </c>
      <c r="K2049" s="37">
        <f t="shared" si="472"/>
        <v>0</v>
      </c>
      <c r="L2049" s="38">
        <v>0</v>
      </c>
    </row>
    <row r="2050" spans="1:12" s="39" customFormat="1" ht="43.5" customHeight="1" outlineLevel="1" x14ac:dyDescent="0.25">
      <c r="A2050" s="33">
        <v>15</v>
      </c>
      <c r="B2050" s="34" t="s">
        <v>1295</v>
      </c>
      <c r="C2050" s="35" t="s">
        <v>50</v>
      </c>
      <c r="D2050" s="36">
        <v>50</v>
      </c>
      <c r="E2050" s="36">
        <v>2.8723999999999998</v>
      </c>
      <c r="F2050" s="36">
        <f t="shared" si="468"/>
        <v>143.62</v>
      </c>
      <c r="G2050" s="37">
        <f t="shared" si="469"/>
        <v>0</v>
      </c>
      <c r="H2050" s="38">
        <f t="shared" si="470"/>
        <v>0</v>
      </c>
      <c r="I2050" s="37">
        <f t="shared" si="471"/>
        <v>0</v>
      </c>
      <c r="J2050" s="38">
        <v>0</v>
      </c>
      <c r="K2050" s="37">
        <f t="shared" si="472"/>
        <v>0</v>
      </c>
      <c r="L2050" s="38">
        <v>0</v>
      </c>
    </row>
    <row r="2051" spans="1:12" s="39" customFormat="1" ht="28.95" customHeight="1" outlineLevel="1" x14ac:dyDescent="0.25">
      <c r="A2051" s="33">
        <v>16</v>
      </c>
      <c r="B2051" s="34" t="s">
        <v>1296</v>
      </c>
      <c r="C2051" s="35" t="s">
        <v>1123</v>
      </c>
      <c r="D2051" s="36">
        <v>5.7000000000000002E-2</v>
      </c>
      <c r="E2051" s="36">
        <v>3259.9281999999998</v>
      </c>
      <c r="F2051" s="36">
        <f t="shared" si="468"/>
        <v>185.81590739999999</v>
      </c>
      <c r="G2051" s="37">
        <f t="shared" si="469"/>
        <v>0</v>
      </c>
      <c r="H2051" s="38">
        <f t="shared" si="470"/>
        <v>0</v>
      </c>
      <c r="I2051" s="37">
        <f t="shared" si="471"/>
        <v>0</v>
      </c>
      <c r="J2051" s="38">
        <v>0</v>
      </c>
      <c r="K2051" s="37">
        <f t="shared" si="472"/>
        <v>0</v>
      </c>
      <c r="L2051" s="38">
        <v>0</v>
      </c>
    </row>
    <row r="2052" spans="1:12" s="39" customFormat="1" ht="43.5" customHeight="1" outlineLevel="1" x14ac:dyDescent="0.25">
      <c r="A2052" s="33">
        <v>17</v>
      </c>
      <c r="B2052" s="34" t="s">
        <v>1243</v>
      </c>
      <c r="C2052" s="35" t="s">
        <v>50</v>
      </c>
      <c r="D2052" s="36">
        <v>57</v>
      </c>
      <c r="E2052" s="36">
        <v>0.9</v>
      </c>
      <c r="F2052" s="36">
        <f t="shared" si="468"/>
        <v>51.300000000000004</v>
      </c>
      <c r="G2052" s="37">
        <f t="shared" si="469"/>
        <v>0</v>
      </c>
      <c r="H2052" s="38">
        <f t="shared" si="470"/>
        <v>0</v>
      </c>
      <c r="I2052" s="37">
        <f t="shared" si="471"/>
        <v>0</v>
      </c>
      <c r="J2052" s="38">
        <v>0</v>
      </c>
      <c r="K2052" s="37">
        <f t="shared" si="472"/>
        <v>0</v>
      </c>
      <c r="L2052" s="38">
        <v>0</v>
      </c>
    </row>
    <row r="2053" spans="1:12" s="39" customFormat="1" ht="28.95" customHeight="1" outlineLevel="1" x14ac:dyDescent="0.25">
      <c r="A2053" s="33">
        <v>18</v>
      </c>
      <c r="B2053" s="34" t="s">
        <v>1297</v>
      </c>
      <c r="C2053" s="35" t="s">
        <v>1123</v>
      </c>
      <c r="D2053" s="36">
        <v>0.19600000000000001</v>
      </c>
      <c r="E2053" s="36">
        <v>651.78820000000007</v>
      </c>
      <c r="F2053" s="36">
        <f t="shared" si="468"/>
        <v>127.75048720000002</v>
      </c>
      <c r="G2053" s="37">
        <f t="shared" si="469"/>
        <v>0</v>
      </c>
      <c r="H2053" s="38">
        <f t="shared" si="470"/>
        <v>0</v>
      </c>
      <c r="I2053" s="37">
        <f t="shared" si="471"/>
        <v>0</v>
      </c>
      <c r="J2053" s="38">
        <v>0</v>
      </c>
      <c r="K2053" s="37">
        <f t="shared" si="472"/>
        <v>0</v>
      </c>
      <c r="L2053" s="38">
        <v>0</v>
      </c>
    </row>
    <row r="2054" spans="1:12" s="39" customFormat="1" ht="28.95" customHeight="1" outlineLevel="1" x14ac:dyDescent="0.25">
      <c r="A2054" s="33">
        <v>19</v>
      </c>
      <c r="B2054" s="34" t="s">
        <v>1298</v>
      </c>
      <c r="C2054" s="35" t="s">
        <v>55</v>
      </c>
      <c r="D2054" s="36">
        <v>2</v>
      </c>
      <c r="E2054" s="36">
        <v>53.721400000000003</v>
      </c>
      <c r="F2054" s="36">
        <f t="shared" si="468"/>
        <v>107.44280000000001</v>
      </c>
      <c r="G2054" s="37">
        <f t="shared" si="469"/>
        <v>0</v>
      </c>
      <c r="H2054" s="38">
        <f t="shared" si="470"/>
        <v>0</v>
      </c>
      <c r="I2054" s="37">
        <f t="shared" si="471"/>
        <v>0</v>
      </c>
      <c r="J2054" s="38">
        <v>0</v>
      </c>
      <c r="K2054" s="37">
        <f t="shared" si="472"/>
        <v>0</v>
      </c>
      <c r="L2054" s="38">
        <v>0</v>
      </c>
    </row>
    <row r="2055" spans="1:12" s="45" customFormat="1" ht="15.45" customHeight="1" x14ac:dyDescent="0.3">
      <c r="A2055" s="33">
        <v>20</v>
      </c>
      <c r="B2055" s="34" t="s">
        <v>1299</v>
      </c>
      <c r="C2055" s="35" t="s">
        <v>55</v>
      </c>
      <c r="D2055" s="36">
        <v>2</v>
      </c>
      <c r="E2055" s="36">
        <v>169.98920000000001</v>
      </c>
      <c r="F2055" s="36">
        <f t="shared" si="468"/>
        <v>339.97840000000002</v>
      </c>
      <c r="G2055" s="37">
        <f t="shared" si="469"/>
        <v>0</v>
      </c>
      <c r="H2055" s="38">
        <f t="shared" si="470"/>
        <v>0</v>
      </c>
      <c r="I2055" s="37">
        <f t="shared" si="471"/>
        <v>0</v>
      </c>
      <c r="J2055" s="38">
        <v>0</v>
      </c>
      <c r="K2055" s="37">
        <f t="shared" si="472"/>
        <v>0</v>
      </c>
      <c r="L2055" s="38">
        <v>0</v>
      </c>
    </row>
    <row r="2056" spans="1:12" s="39" customFormat="1" ht="28.95" customHeight="1" outlineLevel="1" x14ac:dyDescent="0.25">
      <c r="A2056" s="33">
        <v>21</v>
      </c>
      <c r="B2056" s="34" t="s">
        <v>1300</v>
      </c>
      <c r="C2056" s="35" t="s">
        <v>55</v>
      </c>
      <c r="D2056" s="36">
        <v>4</v>
      </c>
      <c r="E2056" s="36">
        <v>22.2544</v>
      </c>
      <c r="F2056" s="36">
        <f t="shared" si="468"/>
        <v>89.017600000000002</v>
      </c>
      <c r="G2056" s="37">
        <f t="shared" si="469"/>
        <v>0</v>
      </c>
      <c r="H2056" s="38">
        <f t="shared" si="470"/>
        <v>0</v>
      </c>
      <c r="I2056" s="37">
        <f t="shared" si="471"/>
        <v>0</v>
      </c>
      <c r="J2056" s="38">
        <v>0</v>
      </c>
      <c r="K2056" s="37">
        <f t="shared" si="472"/>
        <v>0</v>
      </c>
      <c r="L2056" s="38">
        <v>0</v>
      </c>
    </row>
    <row r="2057" spans="1:12" s="39" customFormat="1" ht="15.45" customHeight="1" outlineLevel="1" x14ac:dyDescent="0.25">
      <c r="A2057" s="33">
        <v>22</v>
      </c>
      <c r="B2057" s="34" t="s">
        <v>1301</v>
      </c>
      <c r="C2057" s="35" t="s">
        <v>55</v>
      </c>
      <c r="D2057" s="36">
        <v>4</v>
      </c>
      <c r="E2057" s="36">
        <v>42.6524</v>
      </c>
      <c r="F2057" s="36">
        <f t="shared" si="468"/>
        <v>170.6096</v>
      </c>
      <c r="G2057" s="37">
        <f t="shared" si="469"/>
        <v>0</v>
      </c>
      <c r="H2057" s="38">
        <f t="shared" si="470"/>
        <v>0</v>
      </c>
      <c r="I2057" s="37">
        <f t="shared" si="471"/>
        <v>0</v>
      </c>
      <c r="J2057" s="38">
        <v>0</v>
      </c>
      <c r="K2057" s="37">
        <f t="shared" si="472"/>
        <v>0</v>
      </c>
      <c r="L2057" s="38">
        <v>0</v>
      </c>
    </row>
    <row r="2058" spans="1:12" s="39" customFormat="1" ht="28.95" customHeight="1" outlineLevel="1" x14ac:dyDescent="0.25">
      <c r="A2058" s="33">
        <v>23</v>
      </c>
      <c r="B2058" s="34" t="s">
        <v>1302</v>
      </c>
      <c r="C2058" s="35" t="s">
        <v>55</v>
      </c>
      <c r="D2058" s="36">
        <v>4</v>
      </c>
      <c r="E2058" s="36">
        <v>24.129200000000001</v>
      </c>
      <c r="F2058" s="36">
        <f t="shared" si="468"/>
        <v>96.516800000000003</v>
      </c>
      <c r="G2058" s="37">
        <f t="shared" si="469"/>
        <v>0</v>
      </c>
      <c r="H2058" s="38">
        <f t="shared" si="470"/>
        <v>0</v>
      </c>
      <c r="I2058" s="37">
        <f t="shared" si="471"/>
        <v>0</v>
      </c>
      <c r="J2058" s="38">
        <v>0</v>
      </c>
      <c r="K2058" s="37">
        <f t="shared" si="472"/>
        <v>0</v>
      </c>
      <c r="L2058" s="38">
        <v>0</v>
      </c>
    </row>
    <row r="2059" spans="1:12" s="39" customFormat="1" ht="28.95" customHeight="1" outlineLevel="1" x14ac:dyDescent="0.25">
      <c r="A2059" s="33">
        <v>24</v>
      </c>
      <c r="B2059" s="34" t="s">
        <v>348</v>
      </c>
      <c r="C2059" s="35" t="s">
        <v>55</v>
      </c>
      <c r="D2059" s="36">
        <v>8</v>
      </c>
      <c r="E2059" s="36">
        <v>6.4423999999999992</v>
      </c>
      <c r="F2059" s="36">
        <f t="shared" si="468"/>
        <v>51.539199999999994</v>
      </c>
      <c r="G2059" s="37">
        <f t="shared" si="469"/>
        <v>0</v>
      </c>
      <c r="H2059" s="38">
        <f t="shared" si="470"/>
        <v>0</v>
      </c>
      <c r="I2059" s="37">
        <f t="shared" si="471"/>
        <v>0</v>
      </c>
      <c r="J2059" s="38">
        <v>0</v>
      </c>
      <c r="K2059" s="37">
        <f t="shared" si="472"/>
        <v>0</v>
      </c>
      <c r="L2059" s="38">
        <v>0</v>
      </c>
    </row>
    <row r="2060" spans="1:12" s="39" customFormat="1" ht="15.45" customHeight="1" outlineLevel="1" x14ac:dyDescent="0.25">
      <c r="A2060" s="33">
        <v>25</v>
      </c>
      <c r="B2060" s="34" t="s">
        <v>1303</v>
      </c>
      <c r="C2060" s="35" t="s">
        <v>55</v>
      </c>
      <c r="D2060" s="36">
        <v>2</v>
      </c>
      <c r="E2060" s="36">
        <v>10.646800000000001</v>
      </c>
      <c r="F2060" s="36">
        <f t="shared" si="468"/>
        <v>21.293600000000001</v>
      </c>
      <c r="G2060" s="37">
        <f t="shared" si="469"/>
        <v>0</v>
      </c>
      <c r="H2060" s="38">
        <f t="shared" si="470"/>
        <v>0</v>
      </c>
      <c r="I2060" s="37">
        <f t="shared" si="471"/>
        <v>0</v>
      </c>
      <c r="J2060" s="38">
        <v>0</v>
      </c>
      <c r="K2060" s="37">
        <f t="shared" si="472"/>
        <v>0</v>
      </c>
      <c r="L2060" s="38">
        <v>0</v>
      </c>
    </row>
    <row r="2061" spans="1:12" s="39" customFormat="1" ht="15.45" customHeight="1" outlineLevel="1" x14ac:dyDescent="0.25">
      <c r="A2061" s="33">
        <v>26</v>
      </c>
      <c r="B2061" s="34" t="s">
        <v>1304</v>
      </c>
      <c r="C2061" s="35" t="s">
        <v>50</v>
      </c>
      <c r="D2061" s="36">
        <v>40</v>
      </c>
      <c r="E2061" s="36">
        <v>4.4431999999999992</v>
      </c>
      <c r="F2061" s="36">
        <f t="shared" si="468"/>
        <v>177.72799999999995</v>
      </c>
      <c r="G2061" s="37">
        <f t="shared" si="469"/>
        <v>0</v>
      </c>
      <c r="H2061" s="38">
        <f t="shared" si="470"/>
        <v>0</v>
      </c>
      <c r="I2061" s="37">
        <f t="shared" si="471"/>
        <v>0</v>
      </c>
      <c r="J2061" s="38">
        <v>0</v>
      </c>
      <c r="K2061" s="37">
        <f t="shared" si="472"/>
        <v>0</v>
      </c>
      <c r="L2061" s="38">
        <v>0</v>
      </c>
    </row>
    <row r="2062" spans="1:12" s="39" customFormat="1" ht="15.45" customHeight="1" outlineLevel="1" x14ac:dyDescent="0.25">
      <c r="A2062" s="33">
        <v>27</v>
      </c>
      <c r="B2062" s="34" t="s">
        <v>1305</v>
      </c>
      <c r="C2062" s="35" t="s">
        <v>66</v>
      </c>
      <c r="D2062" s="36">
        <v>10</v>
      </c>
      <c r="E2062" s="36">
        <v>173.602</v>
      </c>
      <c r="F2062" s="36">
        <f t="shared" si="468"/>
        <v>1736.02</v>
      </c>
      <c r="G2062" s="37">
        <f t="shared" si="469"/>
        <v>0</v>
      </c>
      <c r="H2062" s="38">
        <f t="shared" si="470"/>
        <v>0</v>
      </c>
      <c r="I2062" s="37">
        <f t="shared" si="471"/>
        <v>0</v>
      </c>
      <c r="J2062" s="38">
        <v>0</v>
      </c>
      <c r="K2062" s="37">
        <f t="shared" si="472"/>
        <v>0</v>
      </c>
      <c r="L2062" s="38">
        <v>0</v>
      </c>
    </row>
    <row r="2063" spans="1:12" s="39" customFormat="1" ht="15.45" customHeight="1" outlineLevel="1" x14ac:dyDescent="0.25">
      <c r="A2063" s="33">
        <v>28</v>
      </c>
      <c r="B2063" s="34" t="s">
        <v>1306</v>
      </c>
      <c r="C2063" s="35" t="s">
        <v>66</v>
      </c>
      <c r="D2063" s="36">
        <v>10</v>
      </c>
      <c r="E2063" s="36">
        <v>85.0946</v>
      </c>
      <c r="F2063" s="36">
        <f t="shared" si="468"/>
        <v>850.94600000000003</v>
      </c>
      <c r="G2063" s="37">
        <f t="shared" si="469"/>
        <v>0</v>
      </c>
      <c r="H2063" s="38">
        <f t="shared" si="470"/>
        <v>0</v>
      </c>
      <c r="I2063" s="37">
        <f t="shared" si="471"/>
        <v>0</v>
      </c>
      <c r="J2063" s="38">
        <v>0</v>
      </c>
      <c r="K2063" s="37">
        <f t="shared" si="472"/>
        <v>0</v>
      </c>
      <c r="L2063" s="38">
        <v>0</v>
      </c>
    </row>
    <row r="2064" spans="1:12" s="39" customFormat="1" ht="15.45" customHeight="1" outlineLevel="1" x14ac:dyDescent="0.25">
      <c r="A2064" s="33">
        <v>29</v>
      </c>
      <c r="B2064" s="34" t="s">
        <v>1307</v>
      </c>
      <c r="C2064" s="35" t="s">
        <v>55</v>
      </c>
      <c r="D2064" s="36">
        <v>5</v>
      </c>
      <c r="E2064" s="36">
        <v>187.47200000000001</v>
      </c>
      <c r="F2064" s="36">
        <f t="shared" si="468"/>
        <v>937.36</v>
      </c>
      <c r="G2064" s="37">
        <f t="shared" si="469"/>
        <v>0</v>
      </c>
      <c r="H2064" s="38">
        <f t="shared" si="470"/>
        <v>0</v>
      </c>
      <c r="I2064" s="37">
        <f t="shared" si="471"/>
        <v>0</v>
      </c>
      <c r="J2064" s="38">
        <v>0</v>
      </c>
      <c r="K2064" s="37">
        <f t="shared" si="472"/>
        <v>0</v>
      </c>
      <c r="L2064" s="38">
        <v>0</v>
      </c>
    </row>
    <row r="2065" spans="1:12" s="39" customFormat="1" ht="15.45" customHeight="1" outlineLevel="1" x14ac:dyDescent="0.25">
      <c r="A2065" s="31" t="s">
        <v>1308</v>
      </c>
      <c r="B2065" s="40" t="s">
        <v>1309</v>
      </c>
      <c r="C2065" s="41">
        <v>0</v>
      </c>
      <c r="D2065" s="42"/>
      <c r="E2065" s="42"/>
      <c r="F2065" s="42"/>
      <c r="G2065" s="43"/>
      <c r="H2065" s="44"/>
      <c r="I2065" s="43"/>
      <c r="J2065" s="44"/>
      <c r="K2065" s="43"/>
      <c r="L2065" s="44">
        <v>0</v>
      </c>
    </row>
    <row r="2066" spans="1:12" s="39" customFormat="1" ht="28.95" customHeight="1" outlineLevel="1" x14ac:dyDescent="0.25">
      <c r="A2066" s="33">
        <v>1</v>
      </c>
      <c r="B2066" s="34" t="s">
        <v>1289</v>
      </c>
      <c r="C2066" s="35" t="s">
        <v>66</v>
      </c>
      <c r="D2066" s="36">
        <v>403</v>
      </c>
      <c r="E2066" s="36">
        <v>0.84182000000000001</v>
      </c>
      <c r="F2066" s="36">
        <f t="shared" ref="F2066:F2079" si="473">+E2066*D2066</f>
        <v>339.25346000000002</v>
      </c>
      <c r="G2066" s="37">
        <f t="shared" ref="G2066:G2079" si="474">I2066+K2066</f>
        <v>0</v>
      </c>
      <c r="H2066" s="38">
        <f t="shared" ref="H2066:H2079" si="475">J2066+L2066</f>
        <v>0</v>
      </c>
      <c r="I2066" s="37">
        <f t="shared" ref="I2066:I2079" si="476">J2066/F2066</f>
        <v>0</v>
      </c>
      <c r="J2066" s="38">
        <v>0</v>
      </c>
      <c r="K2066" s="37">
        <f t="shared" ref="K2066:K2079" si="477">L2066/F2066</f>
        <v>0</v>
      </c>
      <c r="L2066" s="38">
        <v>0</v>
      </c>
    </row>
    <row r="2067" spans="1:12" s="45" customFormat="1" ht="28.95" customHeight="1" x14ac:dyDescent="0.3">
      <c r="A2067" s="33">
        <v>2</v>
      </c>
      <c r="B2067" s="34" t="s">
        <v>906</v>
      </c>
      <c r="C2067" s="35" t="s">
        <v>66</v>
      </c>
      <c r="D2067" s="36">
        <v>17</v>
      </c>
      <c r="E2067" s="36">
        <v>22.948</v>
      </c>
      <c r="F2067" s="36">
        <f t="shared" si="473"/>
        <v>390.11599999999999</v>
      </c>
      <c r="G2067" s="37">
        <f t="shared" si="474"/>
        <v>0</v>
      </c>
      <c r="H2067" s="38">
        <f t="shared" si="475"/>
        <v>0</v>
      </c>
      <c r="I2067" s="37">
        <f t="shared" si="476"/>
        <v>0</v>
      </c>
      <c r="J2067" s="38">
        <v>0</v>
      </c>
      <c r="K2067" s="37">
        <f t="shared" si="477"/>
        <v>0</v>
      </c>
      <c r="L2067" s="38">
        <v>0</v>
      </c>
    </row>
    <row r="2068" spans="1:12" s="39" customFormat="1" ht="43.5" customHeight="1" outlineLevel="1" x14ac:dyDescent="0.25">
      <c r="A2068" s="33">
        <v>3</v>
      </c>
      <c r="B2068" s="34" t="s">
        <v>766</v>
      </c>
      <c r="C2068" s="35" t="s">
        <v>66</v>
      </c>
      <c r="D2068" s="36">
        <v>312</v>
      </c>
      <c r="E2068" s="36">
        <v>1.4137999999999999</v>
      </c>
      <c r="F2068" s="36">
        <f t="shared" si="473"/>
        <v>441.10559999999998</v>
      </c>
      <c r="G2068" s="37">
        <f t="shared" si="474"/>
        <v>0</v>
      </c>
      <c r="H2068" s="38">
        <f t="shared" si="475"/>
        <v>0</v>
      </c>
      <c r="I2068" s="37">
        <f t="shared" si="476"/>
        <v>0</v>
      </c>
      <c r="J2068" s="38">
        <v>0</v>
      </c>
      <c r="K2068" s="37">
        <f t="shared" si="477"/>
        <v>0</v>
      </c>
      <c r="L2068" s="38">
        <v>0</v>
      </c>
    </row>
    <row r="2069" spans="1:12" s="39" customFormat="1" ht="28.95" customHeight="1" outlineLevel="1" x14ac:dyDescent="0.25">
      <c r="A2069" s="33">
        <v>4</v>
      </c>
      <c r="B2069" s="34" t="s">
        <v>316</v>
      </c>
      <c r="C2069" s="35" t="s">
        <v>66</v>
      </c>
      <c r="D2069" s="36">
        <v>24</v>
      </c>
      <c r="E2069" s="36">
        <v>8.16</v>
      </c>
      <c r="F2069" s="36">
        <f t="shared" si="473"/>
        <v>195.84</v>
      </c>
      <c r="G2069" s="37">
        <f t="shared" si="474"/>
        <v>0</v>
      </c>
      <c r="H2069" s="38">
        <f t="shared" si="475"/>
        <v>0</v>
      </c>
      <c r="I2069" s="37">
        <f t="shared" si="476"/>
        <v>0</v>
      </c>
      <c r="J2069" s="38">
        <v>0</v>
      </c>
      <c r="K2069" s="37">
        <f t="shared" si="477"/>
        <v>0</v>
      </c>
      <c r="L2069" s="38">
        <v>0</v>
      </c>
    </row>
    <row r="2070" spans="1:12" s="39" customFormat="1" ht="28.95" customHeight="1" outlineLevel="1" x14ac:dyDescent="0.25">
      <c r="A2070" s="33">
        <v>5</v>
      </c>
      <c r="B2070" s="34" t="s">
        <v>234</v>
      </c>
      <c r="C2070" s="35" t="s">
        <v>66</v>
      </c>
      <c r="D2070" s="36">
        <v>336</v>
      </c>
      <c r="E2070" s="36">
        <v>2</v>
      </c>
      <c r="F2070" s="36">
        <f t="shared" si="473"/>
        <v>672</v>
      </c>
      <c r="G2070" s="37">
        <f t="shared" si="474"/>
        <v>0</v>
      </c>
      <c r="H2070" s="38">
        <f t="shared" si="475"/>
        <v>0</v>
      </c>
      <c r="I2070" s="37">
        <f t="shared" si="476"/>
        <v>0</v>
      </c>
      <c r="J2070" s="38">
        <v>0</v>
      </c>
      <c r="K2070" s="37">
        <f t="shared" si="477"/>
        <v>0</v>
      </c>
      <c r="L2070" s="38">
        <v>0</v>
      </c>
    </row>
    <row r="2071" spans="1:12" s="39" customFormat="1" ht="28.95" customHeight="1" outlineLevel="1" x14ac:dyDescent="0.25">
      <c r="A2071" s="33">
        <v>6</v>
      </c>
      <c r="B2071" s="34" t="s">
        <v>923</v>
      </c>
      <c r="C2071" s="35" t="s">
        <v>66</v>
      </c>
      <c r="D2071" s="36">
        <v>84</v>
      </c>
      <c r="E2071" s="36">
        <v>7.5255999999999998</v>
      </c>
      <c r="F2071" s="36">
        <f t="shared" si="473"/>
        <v>632.15039999999999</v>
      </c>
      <c r="G2071" s="37">
        <f t="shared" si="474"/>
        <v>0</v>
      </c>
      <c r="H2071" s="38">
        <f t="shared" si="475"/>
        <v>0</v>
      </c>
      <c r="I2071" s="37">
        <f t="shared" si="476"/>
        <v>0</v>
      </c>
      <c r="J2071" s="38">
        <v>0</v>
      </c>
      <c r="K2071" s="37">
        <f t="shared" si="477"/>
        <v>0</v>
      </c>
      <c r="L2071" s="38">
        <v>0</v>
      </c>
    </row>
    <row r="2072" spans="1:12" s="39" customFormat="1" ht="15.45" customHeight="1" outlineLevel="1" x14ac:dyDescent="0.25">
      <c r="A2072" s="33">
        <v>7</v>
      </c>
      <c r="B2072" s="34" t="s">
        <v>225</v>
      </c>
      <c r="C2072" s="35" t="s">
        <v>30</v>
      </c>
      <c r="D2072" s="36">
        <v>147</v>
      </c>
      <c r="E2072" s="36">
        <v>1.63</v>
      </c>
      <c r="F2072" s="36">
        <f t="shared" si="473"/>
        <v>239.60999999999999</v>
      </c>
      <c r="G2072" s="37">
        <f t="shared" si="474"/>
        <v>0</v>
      </c>
      <c r="H2072" s="38">
        <f t="shared" si="475"/>
        <v>0</v>
      </c>
      <c r="I2072" s="37">
        <f t="shared" si="476"/>
        <v>0</v>
      </c>
      <c r="J2072" s="38">
        <v>0</v>
      </c>
      <c r="K2072" s="37">
        <f t="shared" si="477"/>
        <v>0</v>
      </c>
      <c r="L2072" s="38">
        <v>0</v>
      </c>
    </row>
    <row r="2073" spans="1:12" s="45" customFormat="1" ht="28.95" customHeight="1" x14ac:dyDescent="0.3">
      <c r="A2073" s="33">
        <v>8</v>
      </c>
      <c r="B2073" s="34" t="s">
        <v>1310</v>
      </c>
      <c r="C2073" s="35" t="s">
        <v>1123</v>
      </c>
      <c r="D2073" s="36">
        <v>0.23</v>
      </c>
      <c r="E2073" s="36">
        <v>5021.0704000000014</v>
      </c>
      <c r="F2073" s="36">
        <f t="shared" si="473"/>
        <v>1154.8461920000004</v>
      </c>
      <c r="G2073" s="37">
        <f t="shared" si="474"/>
        <v>0</v>
      </c>
      <c r="H2073" s="38">
        <f t="shared" si="475"/>
        <v>0</v>
      </c>
      <c r="I2073" s="37">
        <f t="shared" si="476"/>
        <v>0</v>
      </c>
      <c r="J2073" s="38">
        <v>0</v>
      </c>
      <c r="K2073" s="37">
        <f t="shared" si="477"/>
        <v>0</v>
      </c>
      <c r="L2073" s="38">
        <v>0</v>
      </c>
    </row>
    <row r="2074" spans="1:12" s="39" customFormat="1" ht="58.05" customHeight="1" outlineLevel="1" x14ac:dyDescent="0.25">
      <c r="A2074" s="33">
        <v>9</v>
      </c>
      <c r="B2074" s="34" t="s">
        <v>1311</v>
      </c>
      <c r="C2074" s="35" t="s">
        <v>50</v>
      </c>
      <c r="D2074" s="36">
        <v>230</v>
      </c>
      <c r="E2074" s="36">
        <v>7.3807999999999998</v>
      </c>
      <c r="F2074" s="36">
        <f t="shared" si="473"/>
        <v>1697.5840000000001</v>
      </c>
      <c r="G2074" s="37">
        <f t="shared" si="474"/>
        <v>0</v>
      </c>
      <c r="H2074" s="38">
        <f t="shared" si="475"/>
        <v>0</v>
      </c>
      <c r="I2074" s="37">
        <f t="shared" si="476"/>
        <v>0</v>
      </c>
      <c r="J2074" s="38">
        <v>0</v>
      </c>
      <c r="K2074" s="37">
        <f t="shared" si="477"/>
        <v>0</v>
      </c>
      <c r="L2074" s="38">
        <v>0</v>
      </c>
    </row>
    <row r="2075" spans="1:12" s="39" customFormat="1" ht="28.95" customHeight="1" outlineLevel="1" x14ac:dyDescent="0.25">
      <c r="A2075" s="33">
        <v>10</v>
      </c>
      <c r="B2075" s="34" t="s">
        <v>1312</v>
      </c>
      <c r="C2075" s="35" t="s">
        <v>66</v>
      </c>
      <c r="D2075" s="36">
        <v>3.65</v>
      </c>
      <c r="E2075" s="36">
        <v>224.5</v>
      </c>
      <c r="F2075" s="36">
        <f t="shared" si="473"/>
        <v>819.42499999999995</v>
      </c>
      <c r="G2075" s="37">
        <f t="shared" si="474"/>
        <v>0</v>
      </c>
      <c r="H2075" s="38">
        <f t="shared" si="475"/>
        <v>0</v>
      </c>
      <c r="I2075" s="37">
        <f t="shared" si="476"/>
        <v>0</v>
      </c>
      <c r="J2075" s="38">
        <v>0</v>
      </c>
      <c r="K2075" s="37">
        <f t="shared" si="477"/>
        <v>0</v>
      </c>
      <c r="L2075" s="38">
        <v>0</v>
      </c>
    </row>
    <row r="2076" spans="1:12" s="39" customFormat="1" ht="28.95" customHeight="1" outlineLevel="1" x14ac:dyDescent="0.25">
      <c r="A2076" s="33">
        <v>11</v>
      </c>
      <c r="B2076" s="34" t="s">
        <v>1313</v>
      </c>
      <c r="C2076" s="35" t="s">
        <v>66</v>
      </c>
      <c r="D2076" s="36">
        <v>19.77</v>
      </c>
      <c r="E2076" s="36">
        <v>282.53800000000001</v>
      </c>
      <c r="F2076" s="36">
        <f t="shared" si="473"/>
        <v>5585.7762600000005</v>
      </c>
      <c r="G2076" s="37">
        <f t="shared" si="474"/>
        <v>0</v>
      </c>
      <c r="H2076" s="38">
        <f t="shared" si="475"/>
        <v>0</v>
      </c>
      <c r="I2076" s="37">
        <f t="shared" si="476"/>
        <v>0</v>
      </c>
      <c r="J2076" s="38">
        <v>0</v>
      </c>
      <c r="K2076" s="37">
        <f t="shared" si="477"/>
        <v>0</v>
      </c>
      <c r="L2076" s="38">
        <v>0</v>
      </c>
    </row>
    <row r="2077" spans="1:12" s="39" customFormat="1" ht="15.45" customHeight="1" outlineLevel="1" x14ac:dyDescent="0.25">
      <c r="A2077" s="33">
        <v>12</v>
      </c>
      <c r="B2077" s="34" t="s">
        <v>1306</v>
      </c>
      <c r="C2077" s="35" t="s">
        <v>66</v>
      </c>
      <c r="D2077" s="36">
        <v>23.42</v>
      </c>
      <c r="E2077" s="36">
        <v>85.0946</v>
      </c>
      <c r="F2077" s="36">
        <f t="shared" si="473"/>
        <v>1992.9155320000002</v>
      </c>
      <c r="G2077" s="37">
        <f t="shared" si="474"/>
        <v>0</v>
      </c>
      <c r="H2077" s="38">
        <f t="shared" si="475"/>
        <v>0</v>
      </c>
      <c r="I2077" s="37">
        <f t="shared" si="476"/>
        <v>0</v>
      </c>
      <c r="J2077" s="38">
        <v>0</v>
      </c>
      <c r="K2077" s="37">
        <f t="shared" si="477"/>
        <v>0</v>
      </c>
      <c r="L2077" s="38">
        <v>0</v>
      </c>
    </row>
    <row r="2078" spans="1:12" s="39" customFormat="1" ht="15.45" customHeight="1" outlineLevel="1" x14ac:dyDescent="0.25">
      <c r="A2078" s="33">
        <v>13</v>
      </c>
      <c r="B2078" s="34" t="s">
        <v>1307</v>
      </c>
      <c r="C2078" s="35" t="s">
        <v>55</v>
      </c>
      <c r="D2078" s="36">
        <v>19</v>
      </c>
      <c r="E2078" s="36">
        <v>187.47200000000001</v>
      </c>
      <c r="F2078" s="36">
        <f t="shared" si="473"/>
        <v>3561.9680000000003</v>
      </c>
      <c r="G2078" s="37">
        <f t="shared" si="474"/>
        <v>0</v>
      </c>
      <c r="H2078" s="38">
        <f t="shared" si="475"/>
        <v>0</v>
      </c>
      <c r="I2078" s="37">
        <f t="shared" si="476"/>
        <v>0</v>
      </c>
      <c r="J2078" s="38">
        <v>0</v>
      </c>
      <c r="K2078" s="37">
        <f t="shared" si="477"/>
        <v>0</v>
      </c>
      <c r="L2078" s="38">
        <v>0</v>
      </c>
    </row>
    <row r="2079" spans="1:12" s="39" customFormat="1" ht="15.45" customHeight="1" outlineLevel="1" x14ac:dyDescent="0.25">
      <c r="A2079" s="33">
        <v>14</v>
      </c>
      <c r="B2079" s="34" t="s">
        <v>1314</v>
      </c>
      <c r="C2079" s="35" t="s">
        <v>55</v>
      </c>
      <c r="D2079" s="36">
        <v>1</v>
      </c>
      <c r="E2079" s="36">
        <v>3736.9088000000002</v>
      </c>
      <c r="F2079" s="36">
        <f t="shared" si="473"/>
        <v>3736.9088000000002</v>
      </c>
      <c r="G2079" s="37">
        <f t="shared" si="474"/>
        <v>0</v>
      </c>
      <c r="H2079" s="38">
        <f t="shared" si="475"/>
        <v>0</v>
      </c>
      <c r="I2079" s="37">
        <f t="shared" si="476"/>
        <v>0</v>
      </c>
      <c r="J2079" s="38">
        <v>0</v>
      </c>
      <c r="K2079" s="37">
        <f t="shared" si="477"/>
        <v>0</v>
      </c>
      <c r="L2079" s="38">
        <v>0</v>
      </c>
    </row>
    <row r="2080" spans="1:12" s="39" customFormat="1" ht="15.45" customHeight="1" outlineLevel="1" x14ac:dyDescent="0.25">
      <c r="A2080" s="31" t="s">
        <v>1315</v>
      </c>
      <c r="B2080" s="40" t="s">
        <v>1316</v>
      </c>
      <c r="C2080" s="41">
        <v>0</v>
      </c>
      <c r="D2080" s="42"/>
      <c r="E2080" s="42"/>
      <c r="F2080" s="42"/>
      <c r="G2080" s="43"/>
      <c r="H2080" s="44"/>
      <c r="I2080" s="43"/>
      <c r="J2080" s="44"/>
      <c r="K2080" s="43"/>
      <c r="L2080" s="44">
        <v>0</v>
      </c>
    </row>
    <row r="2081" spans="1:12" s="39" customFormat="1" ht="28.95" customHeight="1" outlineLevel="1" x14ac:dyDescent="0.25">
      <c r="A2081" s="33">
        <v>1</v>
      </c>
      <c r="B2081" s="34" t="s">
        <v>907</v>
      </c>
      <c r="C2081" s="35" t="s">
        <v>66</v>
      </c>
      <c r="D2081" s="36">
        <v>4313</v>
      </c>
      <c r="E2081" s="36">
        <v>0.9</v>
      </c>
      <c r="F2081" s="36">
        <f t="shared" ref="F2081:F2090" si="478">+E2081*D2081</f>
        <v>3881.7000000000003</v>
      </c>
      <c r="G2081" s="37">
        <f t="shared" ref="G2081:G2090" si="479">I2081+K2081</f>
        <v>0</v>
      </c>
      <c r="H2081" s="38">
        <f t="shared" ref="H2081:H2090" si="480">J2081+L2081</f>
        <v>0</v>
      </c>
      <c r="I2081" s="37">
        <f t="shared" ref="I2081:I2090" si="481">J2081/F2081</f>
        <v>0</v>
      </c>
      <c r="J2081" s="38">
        <v>0</v>
      </c>
      <c r="K2081" s="37">
        <f t="shared" ref="K2081:K2090" si="482">L2081/F2081</f>
        <v>0</v>
      </c>
      <c r="L2081" s="38">
        <v>0</v>
      </c>
    </row>
    <row r="2082" spans="1:12" s="45" customFormat="1" ht="15.45" customHeight="1" x14ac:dyDescent="0.3">
      <c r="A2082" s="33">
        <v>2</v>
      </c>
      <c r="B2082" s="34" t="s">
        <v>1317</v>
      </c>
      <c r="C2082" s="35" t="s">
        <v>66</v>
      </c>
      <c r="D2082" s="36">
        <v>4313</v>
      </c>
      <c r="E2082" s="36">
        <v>0.9</v>
      </c>
      <c r="F2082" s="36">
        <f t="shared" si="478"/>
        <v>3881.7000000000003</v>
      </c>
      <c r="G2082" s="37">
        <f t="shared" si="479"/>
        <v>0</v>
      </c>
      <c r="H2082" s="38">
        <f t="shared" si="480"/>
        <v>0</v>
      </c>
      <c r="I2082" s="37">
        <f t="shared" si="481"/>
        <v>0</v>
      </c>
      <c r="J2082" s="38">
        <v>0</v>
      </c>
      <c r="K2082" s="37">
        <f t="shared" si="482"/>
        <v>0</v>
      </c>
      <c r="L2082" s="38">
        <v>0</v>
      </c>
    </row>
    <row r="2083" spans="1:12" s="39" customFormat="1" ht="43.5" customHeight="1" outlineLevel="1" x14ac:dyDescent="0.25">
      <c r="A2083" s="33">
        <v>3</v>
      </c>
      <c r="B2083" s="34" t="s">
        <v>1318</v>
      </c>
      <c r="C2083" s="35" t="s">
        <v>66</v>
      </c>
      <c r="D2083" s="36">
        <v>8683</v>
      </c>
      <c r="E2083" s="36">
        <v>0.9</v>
      </c>
      <c r="F2083" s="36">
        <f t="shared" si="478"/>
        <v>7814.7</v>
      </c>
      <c r="G2083" s="37">
        <f t="shared" si="479"/>
        <v>0</v>
      </c>
      <c r="H2083" s="38">
        <f t="shared" si="480"/>
        <v>0</v>
      </c>
      <c r="I2083" s="37">
        <f t="shared" si="481"/>
        <v>0</v>
      </c>
      <c r="J2083" s="38">
        <v>0</v>
      </c>
      <c r="K2083" s="37">
        <f t="shared" si="482"/>
        <v>0</v>
      </c>
      <c r="L2083" s="38">
        <v>0</v>
      </c>
    </row>
    <row r="2084" spans="1:12" s="39" customFormat="1" ht="15.45" customHeight="1" outlineLevel="1" x14ac:dyDescent="0.25">
      <c r="A2084" s="33">
        <v>4</v>
      </c>
      <c r="B2084" s="34" t="s">
        <v>225</v>
      </c>
      <c r="C2084" s="35" t="s">
        <v>30</v>
      </c>
      <c r="D2084" s="36">
        <v>15195.25</v>
      </c>
      <c r="E2084" s="36">
        <v>1.63</v>
      </c>
      <c r="F2084" s="36">
        <f t="shared" si="478"/>
        <v>24768.2575</v>
      </c>
      <c r="G2084" s="37">
        <f t="shared" si="479"/>
        <v>0</v>
      </c>
      <c r="H2084" s="38">
        <f t="shared" si="480"/>
        <v>0</v>
      </c>
      <c r="I2084" s="37">
        <f t="shared" si="481"/>
        <v>0</v>
      </c>
      <c r="J2084" s="38">
        <v>0</v>
      </c>
      <c r="K2084" s="37">
        <f t="shared" si="482"/>
        <v>0</v>
      </c>
      <c r="L2084" s="38">
        <v>0</v>
      </c>
    </row>
    <row r="2085" spans="1:12" s="39" customFormat="1" ht="43.5" customHeight="1" outlineLevel="1" x14ac:dyDescent="0.25">
      <c r="A2085" s="33">
        <v>5</v>
      </c>
      <c r="B2085" s="34" t="s">
        <v>766</v>
      </c>
      <c r="C2085" s="35" t="s">
        <v>66</v>
      </c>
      <c r="D2085" s="36">
        <v>12996</v>
      </c>
      <c r="E2085" s="36">
        <v>0.9</v>
      </c>
      <c r="F2085" s="36">
        <f t="shared" si="478"/>
        <v>11696.4</v>
      </c>
      <c r="G2085" s="37">
        <f t="shared" si="479"/>
        <v>0</v>
      </c>
      <c r="H2085" s="38">
        <f t="shared" si="480"/>
        <v>0</v>
      </c>
      <c r="I2085" s="37">
        <f t="shared" si="481"/>
        <v>0</v>
      </c>
      <c r="J2085" s="38">
        <v>0</v>
      </c>
      <c r="K2085" s="37">
        <f t="shared" si="482"/>
        <v>0</v>
      </c>
      <c r="L2085" s="38">
        <v>0</v>
      </c>
    </row>
    <row r="2086" spans="1:12" s="39" customFormat="1" ht="15.45" customHeight="1" outlineLevel="1" x14ac:dyDescent="0.25">
      <c r="A2086" s="33">
        <v>6</v>
      </c>
      <c r="B2086" s="34" t="s">
        <v>1319</v>
      </c>
      <c r="C2086" s="35" t="s">
        <v>66</v>
      </c>
      <c r="D2086" s="36">
        <v>12996</v>
      </c>
      <c r="E2086" s="36">
        <v>0.9</v>
      </c>
      <c r="F2086" s="36">
        <f t="shared" si="478"/>
        <v>11696.4</v>
      </c>
      <c r="G2086" s="37">
        <f t="shared" si="479"/>
        <v>0</v>
      </c>
      <c r="H2086" s="38">
        <f t="shared" si="480"/>
        <v>0</v>
      </c>
      <c r="I2086" s="37">
        <f t="shared" si="481"/>
        <v>0</v>
      </c>
      <c r="J2086" s="38">
        <v>0</v>
      </c>
      <c r="K2086" s="37">
        <f t="shared" si="482"/>
        <v>0</v>
      </c>
      <c r="L2086" s="38">
        <v>0</v>
      </c>
    </row>
    <row r="2087" spans="1:12" s="39" customFormat="1" ht="28.95" customHeight="1" outlineLevel="1" x14ac:dyDescent="0.25">
      <c r="A2087" s="33">
        <v>7</v>
      </c>
      <c r="B2087" s="34" t="s">
        <v>1320</v>
      </c>
      <c r="C2087" s="35" t="s">
        <v>66</v>
      </c>
      <c r="D2087" s="36">
        <v>12996</v>
      </c>
      <c r="E2087" s="36">
        <v>0.9</v>
      </c>
      <c r="F2087" s="36">
        <f t="shared" si="478"/>
        <v>11696.4</v>
      </c>
      <c r="G2087" s="37">
        <f t="shared" si="479"/>
        <v>0</v>
      </c>
      <c r="H2087" s="38">
        <f t="shared" si="480"/>
        <v>0</v>
      </c>
      <c r="I2087" s="37">
        <f t="shared" si="481"/>
        <v>0</v>
      </c>
      <c r="J2087" s="38">
        <v>0</v>
      </c>
      <c r="K2087" s="37">
        <f t="shared" si="482"/>
        <v>0</v>
      </c>
      <c r="L2087" s="38">
        <v>0</v>
      </c>
    </row>
    <row r="2088" spans="1:12" s="39" customFormat="1" ht="15.45" customHeight="1" outlineLevel="1" x14ac:dyDescent="0.25">
      <c r="A2088" s="33">
        <v>8</v>
      </c>
      <c r="B2088" s="34" t="s">
        <v>1321</v>
      </c>
      <c r="C2088" s="35" t="s">
        <v>66</v>
      </c>
      <c r="D2088" s="36">
        <v>12996</v>
      </c>
      <c r="E2088" s="36">
        <v>0.9</v>
      </c>
      <c r="F2088" s="36">
        <f t="shared" si="478"/>
        <v>11696.4</v>
      </c>
      <c r="G2088" s="37">
        <f t="shared" si="479"/>
        <v>0</v>
      </c>
      <c r="H2088" s="38">
        <f t="shared" si="480"/>
        <v>0</v>
      </c>
      <c r="I2088" s="37">
        <f t="shared" si="481"/>
        <v>0</v>
      </c>
      <c r="J2088" s="38">
        <v>0</v>
      </c>
      <c r="K2088" s="37">
        <f t="shared" si="482"/>
        <v>0</v>
      </c>
      <c r="L2088" s="38">
        <v>0</v>
      </c>
    </row>
    <row r="2089" spans="1:12" s="39" customFormat="1" ht="43.5" customHeight="1" outlineLevel="1" x14ac:dyDescent="0.25">
      <c r="A2089" s="33">
        <v>9</v>
      </c>
      <c r="B2089" s="34" t="s">
        <v>1322</v>
      </c>
      <c r="C2089" s="35" t="s">
        <v>66</v>
      </c>
      <c r="D2089" s="36">
        <v>522</v>
      </c>
      <c r="E2089" s="36">
        <v>0.9</v>
      </c>
      <c r="F2089" s="36">
        <f t="shared" si="478"/>
        <v>469.8</v>
      </c>
      <c r="G2089" s="37">
        <f t="shared" si="479"/>
        <v>0</v>
      </c>
      <c r="H2089" s="38">
        <f t="shared" si="480"/>
        <v>0</v>
      </c>
      <c r="I2089" s="37">
        <f t="shared" si="481"/>
        <v>0</v>
      </c>
      <c r="J2089" s="38">
        <v>0</v>
      </c>
      <c r="K2089" s="37">
        <f t="shared" si="482"/>
        <v>0</v>
      </c>
      <c r="L2089" s="38">
        <v>0</v>
      </c>
    </row>
    <row r="2090" spans="1:12" s="39" customFormat="1" ht="15.45" customHeight="1" outlineLevel="1" x14ac:dyDescent="0.25">
      <c r="A2090" s="33">
        <v>10</v>
      </c>
      <c r="B2090" s="34" t="s">
        <v>225</v>
      </c>
      <c r="C2090" s="35" t="s">
        <v>30</v>
      </c>
      <c r="D2090" s="36">
        <v>626.4</v>
      </c>
      <c r="E2090" s="36">
        <v>1.63</v>
      </c>
      <c r="F2090" s="36">
        <f t="shared" si="478"/>
        <v>1021.0319999999999</v>
      </c>
      <c r="G2090" s="37">
        <f t="shared" si="479"/>
        <v>0</v>
      </c>
      <c r="H2090" s="38">
        <f t="shared" si="480"/>
        <v>0</v>
      </c>
      <c r="I2090" s="37">
        <f t="shared" si="481"/>
        <v>0</v>
      </c>
      <c r="J2090" s="38">
        <v>0</v>
      </c>
      <c r="K2090" s="37">
        <f t="shared" si="482"/>
        <v>0</v>
      </c>
      <c r="L2090" s="38">
        <v>0</v>
      </c>
    </row>
    <row r="2091" spans="1:12" s="39" customFormat="1" ht="15.45" customHeight="1" outlineLevel="1" x14ac:dyDescent="0.25">
      <c r="A2091" s="31" t="s">
        <v>1323</v>
      </c>
      <c r="B2091" s="40" t="s">
        <v>1324</v>
      </c>
      <c r="C2091" s="41">
        <v>0</v>
      </c>
      <c r="D2091" s="42"/>
      <c r="E2091" s="42"/>
      <c r="F2091" s="42"/>
      <c r="G2091" s="43"/>
      <c r="H2091" s="44"/>
      <c r="I2091" s="43"/>
      <c r="J2091" s="44"/>
      <c r="K2091" s="43"/>
      <c r="L2091" s="44">
        <v>0</v>
      </c>
    </row>
    <row r="2092" spans="1:12" s="39" customFormat="1" ht="28.95" customHeight="1" outlineLevel="1" x14ac:dyDescent="0.25">
      <c r="A2092" s="33">
        <v>1</v>
      </c>
      <c r="B2092" s="34" t="s">
        <v>1325</v>
      </c>
      <c r="C2092" s="35" t="s">
        <v>66</v>
      </c>
      <c r="D2092" s="36">
        <v>96</v>
      </c>
      <c r="E2092" s="36">
        <v>4.4108000000000001</v>
      </c>
      <c r="F2092" s="36">
        <f t="shared" ref="F2092:F2100" si="483">+E2092*D2092</f>
        <v>423.43680000000001</v>
      </c>
      <c r="G2092" s="37">
        <f t="shared" ref="G2092:G2100" si="484">I2092+K2092</f>
        <v>0</v>
      </c>
      <c r="H2092" s="38">
        <f t="shared" ref="H2092:H2100" si="485">J2092+L2092</f>
        <v>0</v>
      </c>
      <c r="I2092" s="37">
        <f t="shared" ref="I2092:I2100" si="486">J2092/F2092</f>
        <v>0</v>
      </c>
      <c r="J2092" s="38">
        <v>0</v>
      </c>
      <c r="K2092" s="37">
        <f t="shared" ref="K2092:K2100" si="487">L2092/F2092</f>
        <v>0</v>
      </c>
      <c r="L2092" s="38">
        <v>0</v>
      </c>
    </row>
    <row r="2093" spans="1:12" s="45" customFormat="1" ht="15.45" customHeight="1" x14ac:dyDescent="0.3">
      <c r="A2093" s="33">
        <v>2</v>
      </c>
      <c r="B2093" s="34" t="s">
        <v>1326</v>
      </c>
      <c r="C2093" s="35" t="s">
        <v>66</v>
      </c>
      <c r="D2093" s="36">
        <v>96</v>
      </c>
      <c r="E2093" s="36">
        <v>22.048400000000001</v>
      </c>
      <c r="F2093" s="36">
        <f t="shared" si="483"/>
        <v>2116.6464000000001</v>
      </c>
      <c r="G2093" s="37">
        <f t="shared" si="484"/>
        <v>0</v>
      </c>
      <c r="H2093" s="38">
        <f t="shared" si="485"/>
        <v>0</v>
      </c>
      <c r="I2093" s="37">
        <f t="shared" si="486"/>
        <v>0</v>
      </c>
      <c r="J2093" s="38">
        <v>0</v>
      </c>
      <c r="K2093" s="37">
        <f t="shared" si="487"/>
        <v>0</v>
      </c>
      <c r="L2093" s="38">
        <v>0</v>
      </c>
    </row>
    <row r="2094" spans="1:12" s="39" customFormat="1" ht="28.95" customHeight="1" outlineLevel="1" x14ac:dyDescent="0.25">
      <c r="A2094" s="33">
        <v>3</v>
      </c>
      <c r="B2094" s="34" t="s">
        <v>1327</v>
      </c>
      <c r="C2094" s="35" t="s">
        <v>106</v>
      </c>
      <c r="D2094" s="36">
        <v>383.7</v>
      </c>
      <c r="E2094" s="36">
        <v>4.1891800000000003</v>
      </c>
      <c r="F2094" s="36">
        <f t="shared" si="483"/>
        <v>1607.3883660000001</v>
      </c>
      <c r="G2094" s="37">
        <f t="shared" si="484"/>
        <v>0</v>
      </c>
      <c r="H2094" s="38">
        <f t="shared" si="485"/>
        <v>0</v>
      </c>
      <c r="I2094" s="37">
        <f t="shared" si="486"/>
        <v>0</v>
      </c>
      <c r="J2094" s="38">
        <v>0</v>
      </c>
      <c r="K2094" s="37">
        <f t="shared" si="487"/>
        <v>0</v>
      </c>
      <c r="L2094" s="38">
        <v>0</v>
      </c>
    </row>
    <row r="2095" spans="1:12" s="39" customFormat="1" ht="15.45" customHeight="1" outlineLevel="1" x14ac:dyDescent="0.25">
      <c r="A2095" s="33">
        <v>4</v>
      </c>
      <c r="B2095" s="34" t="s">
        <v>1328</v>
      </c>
      <c r="C2095" s="35" t="s">
        <v>106</v>
      </c>
      <c r="D2095" s="36">
        <v>383.7</v>
      </c>
      <c r="E2095" s="36">
        <v>0.81122000000000005</v>
      </c>
      <c r="F2095" s="36">
        <f t="shared" si="483"/>
        <v>311.26511399999998</v>
      </c>
      <c r="G2095" s="37">
        <f t="shared" si="484"/>
        <v>0</v>
      </c>
      <c r="H2095" s="38">
        <f t="shared" si="485"/>
        <v>0</v>
      </c>
      <c r="I2095" s="37">
        <f t="shared" si="486"/>
        <v>0</v>
      </c>
      <c r="J2095" s="38">
        <v>0</v>
      </c>
      <c r="K2095" s="37">
        <f t="shared" si="487"/>
        <v>0</v>
      </c>
      <c r="L2095" s="38">
        <v>0</v>
      </c>
    </row>
    <row r="2096" spans="1:12" s="39" customFormat="1" ht="28.95" customHeight="1" outlineLevel="1" x14ac:dyDescent="0.25">
      <c r="A2096" s="33">
        <v>5</v>
      </c>
      <c r="B2096" s="34" t="s">
        <v>1329</v>
      </c>
      <c r="C2096" s="35" t="s">
        <v>106</v>
      </c>
      <c r="D2096" s="36">
        <v>383.7</v>
      </c>
      <c r="E2096" s="36">
        <v>7.0788399999999996</v>
      </c>
      <c r="F2096" s="36">
        <f t="shared" si="483"/>
        <v>2716.1509079999996</v>
      </c>
      <c r="G2096" s="37">
        <f t="shared" si="484"/>
        <v>0</v>
      </c>
      <c r="H2096" s="38">
        <f t="shared" si="485"/>
        <v>0</v>
      </c>
      <c r="I2096" s="37">
        <f t="shared" si="486"/>
        <v>0</v>
      </c>
      <c r="J2096" s="38">
        <v>0</v>
      </c>
      <c r="K2096" s="37">
        <f t="shared" si="487"/>
        <v>0</v>
      </c>
      <c r="L2096" s="38">
        <v>0</v>
      </c>
    </row>
    <row r="2097" spans="1:12" s="39" customFormat="1" ht="15.45" customHeight="1" outlineLevel="1" x14ac:dyDescent="0.25">
      <c r="A2097" s="33">
        <v>6</v>
      </c>
      <c r="B2097" s="34" t="s">
        <v>1330</v>
      </c>
      <c r="C2097" s="35" t="s">
        <v>106</v>
      </c>
      <c r="D2097" s="36">
        <v>383.7</v>
      </c>
      <c r="E2097" s="36">
        <v>4.6726599999999996</v>
      </c>
      <c r="F2097" s="36">
        <f t="shared" si="483"/>
        <v>1792.8996419999999</v>
      </c>
      <c r="G2097" s="37">
        <f t="shared" si="484"/>
        <v>0</v>
      </c>
      <c r="H2097" s="38">
        <f t="shared" si="485"/>
        <v>0</v>
      </c>
      <c r="I2097" s="37">
        <f t="shared" si="486"/>
        <v>0</v>
      </c>
      <c r="J2097" s="38">
        <v>0</v>
      </c>
      <c r="K2097" s="37">
        <f t="shared" si="487"/>
        <v>0</v>
      </c>
      <c r="L2097" s="38">
        <v>0</v>
      </c>
    </row>
    <row r="2098" spans="1:12" s="39" customFormat="1" ht="43.5" customHeight="1" outlineLevel="1" x14ac:dyDescent="0.25">
      <c r="A2098" s="33">
        <v>7</v>
      </c>
      <c r="B2098" s="34" t="s">
        <v>1331</v>
      </c>
      <c r="C2098" s="35" t="s">
        <v>106</v>
      </c>
      <c r="D2098" s="36">
        <v>383.7</v>
      </c>
      <c r="E2098" s="36">
        <v>7.1288199999999993</v>
      </c>
      <c r="F2098" s="36">
        <f t="shared" si="483"/>
        <v>2735.3282339999996</v>
      </c>
      <c r="G2098" s="37">
        <f t="shared" si="484"/>
        <v>0</v>
      </c>
      <c r="H2098" s="38">
        <f t="shared" si="485"/>
        <v>0</v>
      </c>
      <c r="I2098" s="37">
        <f t="shared" si="486"/>
        <v>0</v>
      </c>
      <c r="J2098" s="38">
        <v>0</v>
      </c>
      <c r="K2098" s="37">
        <f t="shared" si="487"/>
        <v>0</v>
      </c>
      <c r="L2098" s="38">
        <v>0</v>
      </c>
    </row>
    <row r="2099" spans="1:12" s="45" customFormat="1" ht="15.45" customHeight="1" x14ac:dyDescent="0.3">
      <c r="A2099" s="33">
        <v>8</v>
      </c>
      <c r="B2099" s="34" t="s">
        <v>1332</v>
      </c>
      <c r="C2099" s="35" t="s">
        <v>106</v>
      </c>
      <c r="D2099" s="36">
        <v>383.7</v>
      </c>
      <c r="E2099" s="36">
        <v>1.7259199999999999</v>
      </c>
      <c r="F2099" s="36">
        <f t="shared" si="483"/>
        <v>662.23550399999999</v>
      </c>
      <c r="G2099" s="37">
        <f t="shared" si="484"/>
        <v>0</v>
      </c>
      <c r="H2099" s="38">
        <f t="shared" si="485"/>
        <v>0</v>
      </c>
      <c r="I2099" s="37">
        <f t="shared" si="486"/>
        <v>0</v>
      </c>
      <c r="J2099" s="38">
        <v>0</v>
      </c>
      <c r="K2099" s="37">
        <f t="shared" si="487"/>
        <v>0</v>
      </c>
      <c r="L2099" s="38">
        <v>0</v>
      </c>
    </row>
    <row r="2100" spans="1:12" s="39" customFormat="1" ht="15.45" customHeight="1" outlineLevel="1" x14ac:dyDescent="0.25">
      <c r="A2100" s="33">
        <v>9</v>
      </c>
      <c r="B2100" s="34" t="s">
        <v>1333</v>
      </c>
      <c r="C2100" s="35" t="s">
        <v>50</v>
      </c>
      <c r="D2100" s="36">
        <v>242</v>
      </c>
      <c r="E2100" s="36">
        <v>20.0716</v>
      </c>
      <c r="F2100" s="36">
        <f t="shared" si="483"/>
        <v>4857.3271999999997</v>
      </c>
      <c r="G2100" s="37">
        <f t="shared" si="484"/>
        <v>0</v>
      </c>
      <c r="H2100" s="38">
        <f t="shared" si="485"/>
        <v>0</v>
      </c>
      <c r="I2100" s="37">
        <f t="shared" si="486"/>
        <v>0</v>
      </c>
      <c r="J2100" s="38">
        <v>0</v>
      </c>
      <c r="K2100" s="37">
        <f t="shared" si="487"/>
        <v>0</v>
      </c>
      <c r="L2100" s="38">
        <v>0</v>
      </c>
    </row>
    <row r="2101" spans="1:12" s="39" customFormat="1" ht="15.45" customHeight="1" outlineLevel="1" x14ac:dyDescent="0.25">
      <c r="A2101" s="31" t="s">
        <v>1334</v>
      </c>
      <c r="B2101" s="40" t="s">
        <v>1335</v>
      </c>
      <c r="C2101" s="41">
        <v>0</v>
      </c>
      <c r="D2101" s="42"/>
      <c r="E2101" s="42"/>
      <c r="F2101" s="42"/>
      <c r="G2101" s="43"/>
      <c r="H2101" s="44"/>
      <c r="I2101" s="43"/>
      <c r="J2101" s="44"/>
      <c r="K2101" s="43"/>
      <c r="L2101" s="44">
        <v>0</v>
      </c>
    </row>
    <row r="2102" spans="1:12" s="39" customFormat="1" ht="28.95" customHeight="1" outlineLevel="1" x14ac:dyDescent="0.25">
      <c r="A2102" s="33">
        <v>1</v>
      </c>
      <c r="B2102" s="34" t="s">
        <v>1325</v>
      </c>
      <c r="C2102" s="35" t="s">
        <v>66</v>
      </c>
      <c r="D2102" s="36">
        <v>54</v>
      </c>
      <c r="E2102" s="36">
        <v>5.3632</v>
      </c>
      <c r="F2102" s="36">
        <f t="shared" ref="F2102:F2110" si="488">+E2102*D2102</f>
        <v>289.61279999999999</v>
      </c>
      <c r="G2102" s="37">
        <f t="shared" ref="G2102:G2110" si="489">I2102+K2102</f>
        <v>0</v>
      </c>
      <c r="H2102" s="38">
        <f t="shared" ref="H2102:H2110" si="490">J2102+L2102</f>
        <v>0</v>
      </c>
      <c r="I2102" s="37">
        <f t="shared" ref="I2102:I2110" si="491">J2102/F2102</f>
        <v>0</v>
      </c>
      <c r="J2102" s="38">
        <v>0</v>
      </c>
      <c r="K2102" s="37">
        <f t="shared" ref="K2102:K2110" si="492">L2102/F2102</f>
        <v>0</v>
      </c>
      <c r="L2102" s="38">
        <v>0</v>
      </c>
    </row>
    <row r="2103" spans="1:12" s="39" customFormat="1" ht="15.45" customHeight="1" outlineLevel="1" x14ac:dyDescent="0.25">
      <c r="A2103" s="33">
        <v>2</v>
      </c>
      <c r="B2103" s="34" t="s">
        <v>1326</v>
      </c>
      <c r="C2103" s="35" t="s">
        <v>66</v>
      </c>
      <c r="D2103" s="36">
        <v>54</v>
      </c>
      <c r="E2103" s="36">
        <v>22.048400000000001</v>
      </c>
      <c r="F2103" s="36">
        <f t="shared" si="488"/>
        <v>1190.6136000000001</v>
      </c>
      <c r="G2103" s="37">
        <f t="shared" si="489"/>
        <v>0</v>
      </c>
      <c r="H2103" s="38">
        <f t="shared" si="490"/>
        <v>0</v>
      </c>
      <c r="I2103" s="37">
        <f t="shared" si="491"/>
        <v>0</v>
      </c>
      <c r="J2103" s="38">
        <v>0</v>
      </c>
      <c r="K2103" s="37">
        <f t="shared" si="492"/>
        <v>0</v>
      </c>
      <c r="L2103" s="38">
        <v>0</v>
      </c>
    </row>
    <row r="2104" spans="1:12" s="39" customFormat="1" ht="28.95" customHeight="1" outlineLevel="1" x14ac:dyDescent="0.25">
      <c r="A2104" s="33">
        <v>3</v>
      </c>
      <c r="B2104" s="34" t="s">
        <v>1327</v>
      </c>
      <c r="C2104" s="35" t="s">
        <v>106</v>
      </c>
      <c r="D2104" s="36">
        <v>216</v>
      </c>
      <c r="E2104" s="36">
        <v>4.1891800000000003</v>
      </c>
      <c r="F2104" s="36">
        <f t="shared" si="488"/>
        <v>904.86288000000013</v>
      </c>
      <c r="G2104" s="37">
        <f t="shared" si="489"/>
        <v>0</v>
      </c>
      <c r="H2104" s="38">
        <f t="shared" si="490"/>
        <v>0</v>
      </c>
      <c r="I2104" s="37">
        <f t="shared" si="491"/>
        <v>0</v>
      </c>
      <c r="J2104" s="38">
        <v>0</v>
      </c>
      <c r="K2104" s="37">
        <f t="shared" si="492"/>
        <v>0</v>
      </c>
      <c r="L2104" s="38">
        <v>0</v>
      </c>
    </row>
    <row r="2105" spans="1:12" s="39" customFormat="1" ht="15.45" customHeight="1" outlineLevel="1" x14ac:dyDescent="0.25">
      <c r="A2105" s="33">
        <v>4</v>
      </c>
      <c r="B2105" s="34" t="s">
        <v>1328</v>
      </c>
      <c r="C2105" s="35" t="s">
        <v>106</v>
      </c>
      <c r="D2105" s="36">
        <v>216</v>
      </c>
      <c r="E2105" s="36">
        <v>0.9</v>
      </c>
      <c r="F2105" s="36">
        <f t="shared" si="488"/>
        <v>194.4</v>
      </c>
      <c r="G2105" s="37">
        <f t="shared" si="489"/>
        <v>0</v>
      </c>
      <c r="H2105" s="38">
        <f t="shared" si="490"/>
        <v>0</v>
      </c>
      <c r="I2105" s="37">
        <f t="shared" si="491"/>
        <v>0</v>
      </c>
      <c r="J2105" s="38">
        <v>0</v>
      </c>
      <c r="K2105" s="37">
        <f t="shared" si="492"/>
        <v>0</v>
      </c>
      <c r="L2105" s="38">
        <v>0</v>
      </c>
    </row>
    <row r="2106" spans="1:12" s="39" customFormat="1" ht="28.95" customHeight="1" outlineLevel="1" x14ac:dyDescent="0.25">
      <c r="A2106" s="33">
        <v>5</v>
      </c>
      <c r="B2106" s="34" t="s">
        <v>1329</v>
      </c>
      <c r="C2106" s="35" t="s">
        <v>106</v>
      </c>
      <c r="D2106" s="36">
        <v>216</v>
      </c>
      <c r="E2106" s="36">
        <v>7.0768000000000004</v>
      </c>
      <c r="F2106" s="36">
        <f t="shared" si="488"/>
        <v>1528.5888</v>
      </c>
      <c r="G2106" s="37">
        <f t="shared" si="489"/>
        <v>0</v>
      </c>
      <c r="H2106" s="38">
        <f t="shared" si="490"/>
        <v>0</v>
      </c>
      <c r="I2106" s="37">
        <f t="shared" si="491"/>
        <v>0</v>
      </c>
      <c r="J2106" s="38">
        <v>0</v>
      </c>
      <c r="K2106" s="37">
        <f t="shared" si="492"/>
        <v>0</v>
      </c>
      <c r="L2106" s="38">
        <v>0</v>
      </c>
    </row>
    <row r="2107" spans="1:12" s="45" customFormat="1" ht="15.45" customHeight="1" x14ac:dyDescent="0.3">
      <c r="A2107" s="33">
        <v>6</v>
      </c>
      <c r="B2107" s="34" t="s">
        <v>1330</v>
      </c>
      <c r="C2107" s="35" t="s">
        <v>106</v>
      </c>
      <c r="D2107" s="36">
        <v>216</v>
      </c>
      <c r="E2107" s="36">
        <v>4.6185999999999998</v>
      </c>
      <c r="F2107" s="36">
        <f t="shared" si="488"/>
        <v>997.61759999999992</v>
      </c>
      <c r="G2107" s="37">
        <f t="shared" si="489"/>
        <v>0</v>
      </c>
      <c r="H2107" s="38">
        <f t="shared" si="490"/>
        <v>0</v>
      </c>
      <c r="I2107" s="37">
        <f t="shared" si="491"/>
        <v>0</v>
      </c>
      <c r="J2107" s="38">
        <v>0</v>
      </c>
      <c r="K2107" s="37">
        <f t="shared" si="492"/>
        <v>0</v>
      </c>
      <c r="L2107" s="38">
        <v>0</v>
      </c>
    </row>
    <row r="2108" spans="1:12" s="39" customFormat="1" ht="43.5" customHeight="1" outlineLevel="1" x14ac:dyDescent="0.25">
      <c r="A2108" s="33">
        <v>7</v>
      </c>
      <c r="B2108" s="34" t="s">
        <v>1331</v>
      </c>
      <c r="C2108" s="35" t="s">
        <v>106</v>
      </c>
      <c r="D2108" s="36">
        <v>216</v>
      </c>
      <c r="E2108" s="36">
        <v>7.1176000000000004</v>
      </c>
      <c r="F2108" s="36">
        <f t="shared" si="488"/>
        <v>1537.4016000000001</v>
      </c>
      <c r="G2108" s="37">
        <f t="shared" si="489"/>
        <v>0</v>
      </c>
      <c r="H2108" s="38">
        <f t="shared" si="490"/>
        <v>0</v>
      </c>
      <c r="I2108" s="37">
        <f t="shared" si="491"/>
        <v>0</v>
      </c>
      <c r="J2108" s="38">
        <v>0</v>
      </c>
      <c r="K2108" s="37">
        <f t="shared" si="492"/>
        <v>0</v>
      </c>
      <c r="L2108" s="38">
        <v>0</v>
      </c>
    </row>
    <row r="2109" spans="1:12" s="39" customFormat="1" ht="15.45" customHeight="1" outlineLevel="1" x14ac:dyDescent="0.25">
      <c r="A2109" s="33">
        <v>8</v>
      </c>
      <c r="B2109" s="34" t="s">
        <v>1332</v>
      </c>
      <c r="C2109" s="35" t="s">
        <v>106</v>
      </c>
      <c r="D2109" s="36">
        <v>216</v>
      </c>
      <c r="E2109" s="36">
        <v>1.7259199999999999</v>
      </c>
      <c r="F2109" s="36">
        <f t="shared" si="488"/>
        <v>372.79872</v>
      </c>
      <c r="G2109" s="37">
        <f t="shared" si="489"/>
        <v>0</v>
      </c>
      <c r="H2109" s="38">
        <f t="shared" si="490"/>
        <v>0</v>
      </c>
      <c r="I2109" s="37">
        <f t="shared" si="491"/>
        <v>0</v>
      </c>
      <c r="J2109" s="38">
        <v>0</v>
      </c>
      <c r="K2109" s="37">
        <f t="shared" si="492"/>
        <v>0</v>
      </c>
      <c r="L2109" s="38">
        <v>0</v>
      </c>
    </row>
    <row r="2110" spans="1:12" s="39" customFormat="1" ht="15.45" customHeight="1" outlineLevel="1" x14ac:dyDescent="0.25">
      <c r="A2110" s="33">
        <v>9</v>
      </c>
      <c r="B2110" s="34" t="s">
        <v>1333</v>
      </c>
      <c r="C2110" s="35" t="s">
        <v>50</v>
      </c>
      <c r="D2110" s="36">
        <v>39</v>
      </c>
      <c r="E2110" s="36">
        <v>20.0716</v>
      </c>
      <c r="F2110" s="36">
        <f t="shared" si="488"/>
        <v>782.79240000000004</v>
      </c>
      <c r="G2110" s="37">
        <f t="shared" si="489"/>
        <v>0</v>
      </c>
      <c r="H2110" s="38">
        <f t="shared" si="490"/>
        <v>0</v>
      </c>
      <c r="I2110" s="37">
        <f t="shared" si="491"/>
        <v>0</v>
      </c>
      <c r="J2110" s="38">
        <v>0</v>
      </c>
      <c r="K2110" s="37">
        <f t="shared" si="492"/>
        <v>0</v>
      </c>
      <c r="L2110" s="38">
        <v>0</v>
      </c>
    </row>
    <row r="2111" spans="1:12" s="39" customFormat="1" ht="15.45" customHeight="1" outlineLevel="1" x14ac:dyDescent="0.25">
      <c r="A2111" s="31" t="s">
        <v>1336</v>
      </c>
      <c r="B2111" s="40" t="s">
        <v>1337</v>
      </c>
      <c r="C2111" s="41">
        <v>0</v>
      </c>
      <c r="D2111" s="42"/>
      <c r="E2111" s="42"/>
      <c r="F2111" s="42"/>
      <c r="G2111" s="43"/>
      <c r="H2111" s="44"/>
      <c r="I2111" s="43"/>
      <c r="J2111" s="44"/>
      <c r="K2111" s="43"/>
      <c r="L2111" s="44">
        <v>0</v>
      </c>
    </row>
    <row r="2112" spans="1:12" s="39" customFormat="1" ht="28.95" customHeight="1" outlineLevel="1" x14ac:dyDescent="0.25">
      <c r="A2112" s="33">
        <v>1</v>
      </c>
      <c r="B2112" s="34" t="s">
        <v>1325</v>
      </c>
      <c r="C2112" s="35" t="s">
        <v>66</v>
      </c>
      <c r="D2112" s="36">
        <v>255.25</v>
      </c>
      <c r="E2112" s="36">
        <v>5.2815999999999992</v>
      </c>
      <c r="F2112" s="36">
        <f t="shared" ref="F2112:F2122" si="493">+E2112*D2112</f>
        <v>1348.1283999999998</v>
      </c>
      <c r="G2112" s="37">
        <f t="shared" ref="G2112:G2122" si="494">I2112+K2112</f>
        <v>0</v>
      </c>
      <c r="H2112" s="38">
        <f t="shared" ref="H2112:H2122" si="495">J2112+L2112</f>
        <v>0</v>
      </c>
      <c r="I2112" s="37">
        <f t="shared" ref="I2112:I2122" si="496">J2112/F2112</f>
        <v>0</v>
      </c>
      <c r="J2112" s="38">
        <v>0</v>
      </c>
      <c r="K2112" s="37">
        <f t="shared" ref="K2112:K2122" si="497">L2112/F2112</f>
        <v>0</v>
      </c>
      <c r="L2112" s="38">
        <v>0</v>
      </c>
    </row>
    <row r="2113" spans="1:12" s="39" customFormat="1" ht="15.45" customHeight="1" outlineLevel="1" x14ac:dyDescent="0.25">
      <c r="A2113" s="33">
        <v>2</v>
      </c>
      <c r="B2113" s="34" t="s">
        <v>1326</v>
      </c>
      <c r="C2113" s="35" t="s">
        <v>66</v>
      </c>
      <c r="D2113" s="36">
        <v>255.25</v>
      </c>
      <c r="E2113" s="36">
        <v>22.048400000000001</v>
      </c>
      <c r="F2113" s="36">
        <f t="shared" si="493"/>
        <v>5627.8541000000005</v>
      </c>
      <c r="G2113" s="37">
        <f t="shared" si="494"/>
        <v>0</v>
      </c>
      <c r="H2113" s="38">
        <f t="shared" si="495"/>
        <v>0</v>
      </c>
      <c r="I2113" s="37">
        <f t="shared" si="496"/>
        <v>0</v>
      </c>
      <c r="J2113" s="38">
        <v>0</v>
      </c>
      <c r="K2113" s="37">
        <f t="shared" si="497"/>
        <v>0</v>
      </c>
      <c r="L2113" s="38">
        <v>0</v>
      </c>
    </row>
    <row r="2114" spans="1:12" s="39" customFormat="1" ht="28.95" customHeight="1" outlineLevel="1" x14ac:dyDescent="0.25">
      <c r="A2114" s="33">
        <v>3</v>
      </c>
      <c r="B2114" s="34" t="s">
        <v>1327</v>
      </c>
      <c r="C2114" s="35" t="s">
        <v>106</v>
      </c>
      <c r="D2114" s="36">
        <v>1021</v>
      </c>
      <c r="E2114" s="36">
        <v>4.1891800000000003</v>
      </c>
      <c r="F2114" s="36">
        <f t="shared" si="493"/>
        <v>4277.1527800000003</v>
      </c>
      <c r="G2114" s="37">
        <f t="shared" si="494"/>
        <v>0</v>
      </c>
      <c r="H2114" s="38">
        <f t="shared" si="495"/>
        <v>0</v>
      </c>
      <c r="I2114" s="37">
        <f t="shared" si="496"/>
        <v>0</v>
      </c>
      <c r="J2114" s="38">
        <v>0</v>
      </c>
      <c r="K2114" s="37">
        <f t="shared" si="497"/>
        <v>0</v>
      </c>
      <c r="L2114" s="38">
        <v>0</v>
      </c>
    </row>
    <row r="2115" spans="1:12" s="45" customFormat="1" ht="15.45" customHeight="1" x14ac:dyDescent="0.3">
      <c r="A2115" s="33">
        <v>4</v>
      </c>
      <c r="B2115" s="34" t="s">
        <v>1328</v>
      </c>
      <c r="C2115" s="35" t="s">
        <v>106</v>
      </c>
      <c r="D2115" s="36">
        <v>1021</v>
      </c>
      <c r="E2115" s="36">
        <v>0.9</v>
      </c>
      <c r="F2115" s="36">
        <f t="shared" si="493"/>
        <v>918.9</v>
      </c>
      <c r="G2115" s="37">
        <f t="shared" si="494"/>
        <v>0</v>
      </c>
      <c r="H2115" s="38">
        <f t="shared" si="495"/>
        <v>0</v>
      </c>
      <c r="I2115" s="37">
        <f t="shared" si="496"/>
        <v>0</v>
      </c>
      <c r="J2115" s="38">
        <v>0</v>
      </c>
      <c r="K2115" s="37">
        <f t="shared" si="497"/>
        <v>0</v>
      </c>
      <c r="L2115" s="38">
        <v>0</v>
      </c>
    </row>
    <row r="2116" spans="1:12" s="39" customFormat="1" ht="28.95" customHeight="1" outlineLevel="1" x14ac:dyDescent="0.25">
      <c r="A2116" s="33">
        <v>5</v>
      </c>
      <c r="B2116" s="34" t="s">
        <v>237</v>
      </c>
      <c r="C2116" s="35" t="s">
        <v>30</v>
      </c>
      <c r="D2116" s="36">
        <v>18.132999999999999</v>
      </c>
      <c r="E2116" s="36">
        <v>447.25</v>
      </c>
      <c r="F2116" s="36">
        <f t="shared" si="493"/>
        <v>8109.9842499999995</v>
      </c>
      <c r="G2116" s="37">
        <f t="shared" si="494"/>
        <v>0</v>
      </c>
      <c r="H2116" s="38">
        <f t="shared" si="495"/>
        <v>0</v>
      </c>
      <c r="I2116" s="37">
        <f t="shared" si="496"/>
        <v>0</v>
      </c>
      <c r="J2116" s="38">
        <v>0</v>
      </c>
      <c r="K2116" s="37">
        <f t="shared" si="497"/>
        <v>0</v>
      </c>
      <c r="L2116" s="38">
        <v>0</v>
      </c>
    </row>
    <row r="2117" spans="1:12" s="39" customFormat="1" ht="15.45" customHeight="1" outlineLevel="1" x14ac:dyDescent="0.25">
      <c r="A2117" s="33">
        <v>6</v>
      </c>
      <c r="B2117" s="34" t="s">
        <v>46</v>
      </c>
      <c r="C2117" s="35" t="s">
        <v>30</v>
      </c>
      <c r="D2117" s="36">
        <v>18.132999999999999</v>
      </c>
      <c r="E2117" s="36">
        <v>1200.0999999999999</v>
      </c>
      <c r="F2117" s="36">
        <f t="shared" si="493"/>
        <v>21761.413299999997</v>
      </c>
      <c r="G2117" s="37">
        <f t="shared" si="494"/>
        <v>0</v>
      </c>
      <c r="H2117" s="38">
        <f t="shared" si="495"/>
        <v>0</v>
      </c>
      <c r="I2117" s="37">
        <f t="shared" si="496"/>
        <v>0</v>
      </c>
      <c r="J2117" s="38">
        <v>0</v>
      </c>
      <c r="K2117" s="37">
        <f t="shared" si="497"/>
        <v>0</v>
      </c>
      <c r="L2117" s="38">
        <v>0</v>
      </c>
    </row>
    <row r="2118" spans="1:12" s="39" customFormat="1" ht="15.45" customHeight="1" outlineLevel="1" x14ac:dyDescent="0.25">
      <c r="A2118" s="33">
        <v>7</v>
      </c>
      <c r="B2118" s="34" t="s">
        <v>1338</v>
      </c>
      <c r="C2118" s="35" t="s">
        <v>66</v>
      </c>
      <c r="D2118" s="36">
        <v>102.1</v>
      </c>
      <c r="E2118" s="36">
        <v>140.99260000000001</v>
      </c>
      <c r="F2118" s="36">
        <f t="shared" si="493"/>
        <v>14395.34446</v>
      </c>
      <c r="G2118" s="37">
        <f t="shared" si="494"/>
        <v>0</v>
      </c>
      <c r="H2118" s="38">
        <f t="shared" si="495"/>
        <v>0</v>
      </c>
      <c r="I2118" s="37">
        <f t="shared" si="496"/>
        <v>0</v>
      </c>
      <c r="J2118" s="38">
        <v>0</v>
      </c>
      <c r="K2118" s="37">
        <f t="shared" si="497"/>
        <v>0</v>
      </c>
      <c r="L2118" s="38">
        <v>0</v>
      </c>
    </row>
    <row r="2119" spans="1:12" s="39" customFormat="1" ht="28.95" customHeight="1" outlineLevel="1" x14ac:dyDescent="0.25">
      <c r="A2119" s="33">
        <v>8</v>
      </c>
      <c r="B2119" s="34" t="s">
        <v>1329</v>
      </c>
      <c r="C2119" s="35" t="s">
        <v>106</v>
      </c>
      <c r="D2119" s="36">
        <v>1021</v>
      </c>
      <c r="E2119" s="36">
        <v>7.0768000000000004</v>
      </c>
      <c r="F2119" s="36">
        <f t="shared" si="493"/>
        <v>7225.4128000000001</v>
      </c>
      <c r="G2119" s="37">
        <f t="shared" si="494"/>
        <v>0</v>
      </c>
      <c r="H2119" s="38">
        <f t="shared" si="495"/>
        <v>0</v>
      </c>
      <c r="I2119" s="37">
        <f t="shared" si="496"/>
        <v>0</v>
      </c>
      <c r="J2119" s="38">
        <v>0</v>
      </c>
      <c r="K2119" s="37">
        <f t="shared" si="497"/>
        <v>0</v>
      </c>
      <c r="L2119" s="38">
        <v>0</v>
      </c>
    </row>
    <row r="2120" spans="1:12" s="39" customFormat="1" ht="15.45" customHeight="1" outlineLevel="1" x14ac:dyDescent="0.25">
      <c r="A2120" s="33">
        <v>9</v>
      </c>
      <c r="B2120" s="34" t="s">
        <v>1330</v>
      </c>
      <c r="C2120" s="35" t="s">
        <v>106</v>
      </c>
      <c r="D2120" s="36">
        <v>1021</v>
      </c>
      <c r="E2120" s="36">
        <v>4.7420599999999986</v>
      </c>
      <c r="F2120" s="36">
        <f t="shared" si="493"/>
        <v>4841.6432599999989</v>
      </c>
      <c r="G2120" s="37">
        <f t="shared" si="494"/>
        <v>0</v>
      </c>
      <c r="H2120" s="38">
        <f t="shared" si="495"/>
        <v>0</v>
      </c>
      <c r="I2120" s="37">
        <f t="shared" si="496"/>
        <v>0</v>
      </c>
      <c r="J2120" s="38">
        <v>0</v>
      </c>
      <c r="K2120" s="37">
        <f t="shared" si="497"/>
        <v>0</v>
      </c>
      <c r="L2120" s="38">
        <v>0</v>
      </c>
    </row>
    <row r="2121" spans="1:12" s="39" customFormat="1" ht="43.5" customHeight="1" outlineLevel="1" x14ac:dyDescent="0.25">
      <c r="A2121" s="33">
        <v>10</v>
      </c>
      <c r="B2121" s="34" t="s">
        <v>1331</v>
      </c>
      <c r="C2121" s="35" t="s">
        <v>106</v>
      </c>
      <c r="D2121" s="36">
        <v>1021</v>
      </c>
      <c r="E2121" s="36">
        <v>7.1267799999999992</v>
      </c>
      <c r="F2121" s="36">
        <f t="shared" si="493"/>
        <v>7276.4423799999995</v>
      </c>
      <c r="G2121" s="37">
        <f t="shared" si="494"/>
        <v>0</v>
      </c>
      <c r="H2121" s="38">
        <f t="shared" si="495"/>
        <v>0</v>
      </c>
      <c r="I2121" s="37">
        <f t="shared" si="496"/>
        <v>0</v>
      </c>
      <c r="J2121" s="38">
        <v>0</v>
      </c>
      <c r="K2121" s="37">
        <f t="shared" si="497"/>
        <v>0</v>
      </c>
      <c r="L2121" s="38">
        <v>0</v>
      </c>
    </row>
    <row r="2122" spans="1:12" s="39" customFormat="1" ht="15.45" customHeight="1" outlineLevel="1" x14ac:dyDescent="0.25">
      <c r="A2122" s="33">
        <v>0</v>
      </c>
      <c r="B2122" s="34" t="s">
        <v>1332</v>
      </c>
      <c r="C2122" s="35" t="s">
        <v>106</v>
      </c>
      <c r="D2122" s="36">
        <v>1021</v>
      </c>
      <c r="E2122" s="36">
        <v>1.7259199999999999</v>
      </c>
      <c r="F2122" s="36">
        <f t="shared" si="493"/>
        <v>1762.1643199999999</v>
      </c>
      <c r="G2122" s="37">
        <f t="shared" si="494"/>
        <v>0</v>
      </c>
      <c r="H2122" s="38">
        <f t="shared" si="495"/>
        <v>0</v>
      </c>
      <c r="I2122" s="37">
        <f t="shared" si="496"/>
        <v>0</v>
      </c>
      <c r="J2122" s="38">
        <v>0</v>
      </c>
      <c r="K2122" s="37">
        <f t="shared" si="497"/>
        <v>0</v>
      </c>
      <c r="L2122" s="38">
        <v>0</v>
      </c>
    </row>
    <row r="2123" spans="1:12" s="45" customFormat="1" ht="15.45" customHeight="1" x14ac:dyDescent="0.3">
      <c r="A2123" s="31" t="s">
        <v>1339</v>
      </c>
      <c r="B2123" s="40" t="s">
        <v>1340</v>
      </c>
      <c r="C2123" s="41">
        <v>0</v>
      </c>
      <c r="D2123" s="42"/>
      <c r="E2123" s="42"/>
      <c r="F2123" s="42"/>
      <c r="G2123" s="43"/>
      <c r="H2123" s="44"/>
      <c r="I2123" s="43"/>
      <c r="J2123" s="44"/>
      <c r="K2123" s="43"/>
      <c r="L2123" s="44">
        <v>0</v>
      </c>
    </row>
    <row r="2124" spans="1:12" s="39" customFormat="1" ht="28.95" customHeight="1" outlineLevel="1" x14ac:dyDescent="0.25">
      <c r="A2124" s="33">
        <v>1</v>
      </c>
      <c r="B2124" s="34" t="s">
        <v>1341</v>
      </c>
      <c r="C2124" s="35" t="s">
        <v>66</v>
      </c>
      <c r="D2124" s="36">
        <v>143.78</v>
      </c>
      <c r="E2124" s="36">
        <v>5.3632</v>
      </c>
      <c r="F2124" s="36">
        <f>+E2124*D2124</f>
        <v>771.12089600000002</v>
      </c>
      <c r="G2124" s="37">
        <f t="shared" ref="G2124:H2128" si="498">I2124+K2124</f>
        <v>0</v>
      </c>
      <c r="H2124" s="38">
        <f t="shared" si="498"/>
        <v>0</v>
      </c>
      <c r="I2124" s="37">
        <f>J2124/F2124</f>
        <v>0</v>
      </c>
      <c r="J2124" s="38">
        <v>0</v>
      </c>
      <c r="K2124" s="37">
        <f>L2124/F2124</f>
        <v>0</v>
      </c>
      <c r="L2124" s="38">
        <v>0</v>
      </c>
    </row>
    <row r="2125" spans="1:12" s="39" customFormat="1" ht="15.45" customHeight="1" outlineLevel="1" x14ac:dyDescent="0.25">
      <c r="A2125" s="33">
        <v>2</v>
      </c>
      <c r="B2125" s="34" t="s">
        <v>1326</v>
      </c>
      <c r="C2125" s="35" t="s">
        <v>66</v>
      </c>
      <c r="D2125" s="36">
        <v>143.78</v>
      </c>
      <c r="E2125" s="36">
        <v>22.048400000000001</v>
      </c>
      <c r="F2125" s="36">
        <f>+E2125*D2125</f>
        <v>3170.1189520000003</v>
      </c>
      <c r="G2125" s="37">
        <f t="shared" si="498"/>
        <v>0</v>
      </c>
      <c r="H2125" s="38">
        <f t="shared" si="498"/>
        <v>0</v>
      </c>
      <c r="I2125" s="37">
        <f>J2125/F2125</f>
        <v>0</v>
      </c>
      <c r="J2125" s="38">
        <v>0</v>
      </c>
      <c r="K2125" s="37">
        <f>L2125/F2125</f>
        <v>0</v>
      </c>
      <c r="L2125" s="38">
        <v>0</v>
      </c>
    </row>
    <row r="2126" spans="1:12" s="39" customFormat="1" ht="28.95" customHeight="1" outlineLevel="1" x14ac:dyDescent="0.25">
      <c r="A2126" s="33">
        <v>3</v>
      </c>
      <c r="B2126" s="34" t="s">
        <v>1342</v>
      </c>
      <c r="C2126" s="35" t="s">
        <v>106</v>
      </c>
      <c r="D2126" s="36">
        <v>1437.8</v>
      </c>
      <c r="E2126" s="36">
        <v>6.9748000000000001</v>
      </c>
      <c r="F2126" s="36">
        <f>+E2126*D2126</f>
        <v>10028.36744</v>
      </c>
      <c r="G2126" s="37">
        <f t="shared" si="498"/>
        <v>0</v>
      </c>
      <c r="H2126" s="38">
        <f t="shared" si="498"/>
        <v>0</v>
      </c>
      <c r="I2126" s="37">
        <f>J2126/F2126</f>
        <v>0</v>
      </c>
      <c r="J2126" s="38">
        <v>0</v>
      </c>
      <c r="K2126" s="37">
        <f>L2126/F2126</f>
        <v>0</v>
      </c>
      <c r="L2126" s="38">
        <v>0</v>
      </c>
    </row>
    <row r="2127" spans="1:12" s="39" customFormat="1" ht="15.45" customHeight="1" outlineLevel="1" x14ac:dyDescent="0.25">
      <c r="A2127" s="33">
        <v>4</v>
      </c>
      <c r="B2127" s="34" t="s">
        <v>1343</v>
      </c>
      <c r="C2127" s="35" t="s">
        <v>106</v>
      </c>
      <c r="D2127" s="36">
        <v>1437.8</v>
      </c>
      <c r="E2127" s="36">
        <v>2.2624</v>
      </c>
      <c r="F2127" s="36">
        <f>+E2127*D2127</f>
        <v>3252.8787199999997</v>
      </c>
      <c r="G2127" s="37">
        <f t="shared" si="498"/>
        <v>0</v>
      </c>
      <c r="H2127" s="38">
        <f t="shared" si="498"/>
        <v>0</v>
      </c>
      <c r="I2127" s="37">
        <f>J2127/F2127</f>
        <v>0</v>
      </c>
      <c r="J2127" s="38">
        <v>0</v>
      </c>
      <c r="K2127" s="37">
        <f>L2127/F2127</f>
        <v>0</v>
      </c>
      <c r="L2127" s="38">
        <v>0</v>
      </c>
    </row>
    <row r="2128" spans="1:12" s="39" customFormat="1" ht="15.45" customHeight="1" outlineLevel="1" x14ac:dyDescent="0.25">
      <c r="A2128" s="33">
        <v>5</v>
      </c>
      <c r="B2128" s="34" t="s">
        <v>1333</v>
      </c>
      <c r="C2128" s="35" t="s">
        <v>50</v>
      </c>
      <c r="D2128" s="36">
        <v>726</v>
      </c>
      <c r="E2128" s="36">
        <v>16.266999999999999</v>
      </c>
      <c r="F2128" s="36">
        <f>+E2128*D2128</f>
        <v>11809.841999999999</v>
      </c>
      <c r="G2128" s="37">
        <f t="shared" si="498"/>
        <v>0</v>
      </c>
      <c r="H2128" s="38">
        <f t="shared" si="498"/>
        <v>0</v>
      </c>
      <c r="I2128" s="37">
        <f>J2128/F2128</f>
        <v>0</v>
      </c>
      <c r="J2128" s="38">
        <v>0</v>
      </c>
      <c r="K2128" s="37">
        <f>L2128/F2128</f>
        <v>0</v>
      </c>
      <c r="L2128" s="38">
        <v>0</v>
      </c>
    </row>
    <row r="2129" spans="1:12" s="39" customFormat="1" ht="15.45" customHeight="1" outlineLevel="1" x14ac:dyDescent="0.25">
      <c r="A2129" s="31" t="s">
        <v>1344</v>
      </c>
      <c r="B2129" s="40" t="s">
        <v>1345</v>
      </c>
      <c r="C2129" s="41">
        <v>0</v>
      </c>
      <c r="D2129" s="42"/>
      <c r="E2129" s="42"/>
      <c r="F2129" s="42"/>
      <c r="G2129" s="43"/>
      <c r="H2129" s="44"/>
      <c r="I2129" s="43"/>
      <c r="J2129" s="44"/>
      <c r="K2129" s="43"/>
      <c r="L2129" s="44">
        <v>0</v>
      </c>
    </row>
    <row r="2130" spans="1:12" s="39" customFormat="1" ht="15.45" customHeight="1" outlineLevel="1" x14ac:dyDescent="0.25">
      <c r="A2130" s="33">
        <v>1</v>
      </c>
      <c r="B2130" s="34" t="s">
        <v>1346</v>
      </c>
      <c r="C2130" s="35" t="s">
        <v>106</v>
      </c>
      <c r="D2130" s="36">
        <v>3482.3</v>
      </c>
      <c r="E2130" s="36">
        <v>0.9</v>
      </c>
      <c r="F2130" s="36">
        <f t="shared" ref="F2130:F2137" si="499">+E2130*D2130</f>
        <v>3134.07</v>
      </c>
      <c r="G2130" s="37">
        <f t="shared" ref="G2130:H2137" si="500">I2130+K2130</f>
        <v>0</v>
      </c>
      <c r="H2130" s="38">
        <f t="shared" si="500"/>
        <v>0</v>
      </c>
      <c r="I2130" s="37">
        <f t="shared" ref="I2130:I2137" si="501">J2130/F2130</f>
        <v>0</v>
      </c>
      <c r="J2130" s="38">
        <v>0</v>
      </c>
      <c r="K2130" s="37">
        <f t="shared" ref="K2130:K2137" si="502">L2130/F2130</f>
        <v>0</v>
      </c>
      <c r="L2130" s="38">
        <v>0</v>
      </c>
    </row>
    <row r="2131" spans="1:12" s="45" customFormat="1" ht="15.45" customHeight="1" x14ac:dyDescent="0.3">
      <c r="A2131" s="33">
        <v>2</v>
      </c>
      <c r="B2131" s="34" t="s">
        <v>1347</v>
      </c>
      <c r="C2131" s="35" t="s">
        <v>106</v>
      </c>
      <c r="D2131" s="36">
        <v>3482.3</v>
      </c>
      <c r="E2131" s="36">
        <v>1.2692000000000001</v>
      </c>
      <c r="F2131" s="36">
        <f t="shared" si="499"/>
        <v>4419.7351600000002</v>
      </c>
      <c r="G2131" s="37">
        <f t="shared" si="500"/>
        <v>0</v>
      </c>
      <c r="H2131" s="38">
        <f t="shared" si="500"/>
        <v>0</v>
      </c>
      <c r="I2131" s="37">
        <f t="shared" si="501"/>
        <v>0</v>
      </c>
      <c r="J2131" s="38">
        <v>0</v>
      </c>
      <c r="K2131" s="37">
        <f t="shared" si="502"/>
        <v>0</v>
      </c>
      <c r="L2131" s="38">
        <v>0</v>
      </c>
    </row>
    <row r="2132" spans="1:12" s="39" customFormat="1" ht="43.5" customHeight="1" outlineLevel="1" x14ac:dyDescent="0.25">
      <c r="A2132" s="33">
        <v>3</v>
      </c>
      <c r="B2132" s="34" t="s">
        <v>1348</v>
      </c>
      <c r="C2132" s="35" t="s">
        <v>55</v>
      </c>
      <c r="D2132" s="36">
        <v>55</v>
      </c>
      <c r="E2132" s="36">
        <v>76.599999999999994</v>
      </c>
      <c r="F2132" s="36">
        <f t="shared" si="499"/>
        <v>4213</v>
      </c>
      <c r="G2132" s="37">
        <f t="shared" si="500"/>
        <v>0</v>
      </c>
      <c r="H2132" s="38">
        <f t="shared" si="500"/>
        <v>0</v>
      </c>
      <c r="I2132" s="37">
        <f t="shared" si="501"/>
        <v>0</v>
      </c>
      <c r="J2132" s="38">
        <v>0</v>
      </c>
      <c r="K2132" s="37">
        <f t="shared" si="502"/>
        <v>0</v>
      </c>
      <c r="L2132" s="38">
        <v>0</v>
      </c>
    </row>
    <row r="2133" spans="1:12" s="39" customFormat="1" ht="15.45" customHeight="1" outlineLevel="1" x14ac:dyDescent="0.25">
      <c r="A2133" s="33">
        <v>4</v>
      </c>
      <c r="B2133" s="34" t="s">
        <v>1349</v>
      </c>
      <c r="C2133" s="35" t="s">
        <v>55</v>
      </c>
      <c r="D2133" s="36">
        <v>55</v>
      </c>
      <c r="E2133" s="36">
        <v>85.4</v>
      </c>
      <c r="F2133" s="36">
        <f t="shared" si="499"/>
        <v>4697</v>
      </c>
      <c r="G2133" s="37">
        <f t="shared" si="500"/>
        <v>0</v>
      </c>
      <c r="H2133" s="38">
        <f t="shared" si="500"/>
        <v>0</v>
      </c>
      <c r="I2133" s="37">
        <f t="shared" si="501"/>
        <v>0</v>
      </c>
      <c r="J2133" s="38">
        <v>0</v>
      </c>
      <c r="K2133" s="37">
        <f t="shared" si="502"/>
        <v>0</v>
      </c>
      <c r="L2133" s="38">
        <v>0</v>
      </c>
    </row>
    <row r="2134" spans="1:12" s="39" customFormat="1" ht="43.5" customHeight="1" outlineLevel="1" x14ac:dyDescent="0.25">
      <c r="A2134" s="33">
        <v>5</v>
      </c>
      <c r="B2134" s="34" t="s">
        <v>1350</v>
      </c>
      <c r="C2134" s="35" t="s">
        <v>55</v>
      </c>
      <c r="D2134" s="36">
        <v>400</v>
      </c>
      <c r="E2134" s="36">
        <v>43.552000000000007</v>
      </c>
      <c r="F2134" s="36">
        <f t="shared" si="499"/>
        <v>17420.800000000003</v>
      </c>
      <c r="G2134" s="37">
        <f t="shared" si="500"/>
        <v>0</v>
      </c>
      <c r="H2134" s="38">
        <f t="shared" si="500"/>
        <v>0</v>
      </c>
      <c r="I2134" s="37">
        <f t="shared" si="501"/>
        <v>0</v>
      </c>
      <c r="J2134" s="38">
        <v>0</v>
      </c>
      <c r="K2134" s="37">
        <f t="shared" si="502"/>
        <v>0</v>
      </c>
      <c r="L2134" s="38">
        <v>0</v>
      </c>
    </row>
    <row r="2135" spans="1:12" s="39" customFormat="1" ht="15.45" customHeight="1" outlineLevel="1" x14ac:dyDescent="0.25">
      <c r="A2135" s="33">
        <v>6</v>
      </c>
      <c r="B2135" s="34" t="s">
        <v>1351</v>
      </c>
      <c r="C2135" s="35" t="s">
        <v>55</v>
      </c>
      <c r="D2135" s="36">
        <v>400</v>
      </c>
      <c r="E2135" s="36">
        <v>42.634</v>
      </c>
      <c r="F2135" s="36">
        <f t="shared" si="499"/>
        <v>17053.599999999999</v>
      </c>
      <c r="G2135" s="37">
        <f t="shared" si="500"/>
        <v>0</v>
      </c>
      <c r="H2135" s="38">
        <f t="shared" si="500"/>
        <v>0</v>
      </c>
      <c r="I2135" s="37">
        <f t="shared" si="501"/>
        <v>0</v>
      </c>
      <c r="J2135" s="38">
        <v>0</v>
      </c>
      <c r="K2135" s="37">
        <f t="shared" si="502"/>
        <v>0</v>
      </c>
      <c r="L2135" s="38">
        <v>0</v>
      </c>
    </row>
    <row r="2136" spans="1:12" s="39" customFormat="1" ht="28.95" customHeight="1" outlineLevel="1" x14ac:dyDescent="0.25">
      <c r="A2136" s="33">
        <v>7</v>
      </c>
      <c r="B2136" s="34" t="s">
        <v>1352</v>
      </c>
      <c r="C2136" s="35" t="s">
        <v>106</v>
      </c>
      <c r="D2136" s="36">
        <v>200</v>
      </c>
      <c r="E2136" s="36">
        <v>3.0478000000000001</v>
      </c>
      <c r="F2136" s="36">
        <f t="shared" si="499"/>
        <v>609.56000000000006</v>
      </c>
      <c r="G2136" s="37">
        <f t="shared" si="500"/>
        <v>0</v>
      </c>
      <c r="H2136" s="38">
        <f t="shared" si="500"/>
        <v>0</v>
      </c>
      <c r="I2136" s="37">
        <f t="shared" si="501"/>
        <v>0</v>
      </c>
      <c r="J2136" s="38">
        <v>0</v>
      </c>
      <c r="K2136" s="37">
        <f t="shared" si="502"/>
        <v>0</v>
      </c>
      <c r="L2136" s="38">
        <v>0</v>
      </c>
    </row>
    <row r="2137" spans="1:12" s="39" customFormat="1" ht="15.45" customHeight="1" outlineLevel="1" x14ac:dyDescent="0.25">
      <c r="A2137" s="33">
        <v>8</v>
      </c>
      <c r="B2137" s="34" t="s">
        <v>1353</v>
      </c>
      <c r="C2137" s="35" t="s">
        <v>106</v>
      </c>
      <c r="D2137" s="36">
        <v>200</v>
      </c>
      <c r="E2137" s="36">
        <v>1.7116</v>
      </c>
      <c r="F2137" s="36">
        <f t="shared" si="499"/>
        <v>342.32</v>
      </c>
      <c r="G2137" s="37">
        <f t="shared" si="500"/>
        <v>0</v>
      </c>
      <c r="H2137" s="38">
        <f t="shared" si="500"/>
        <v>0</v>
      </c>
      <c r="I2137" s="37">
        <f t="shared" si="501"/>
        <v>0</v>
      </c>
      <c r="J2137" s="38">
        <v>0</v>
      </c>
      <c r="K2137" s="37">
        <f t="shared" si="502"/>
        <v>0</v>
      </c>
      <c r="L2137" s="38">
        <v>0</v>
      </c>
    </row>
    <row r="2138" spans="1:12" s="39" customFormat="1" ht="15.45" customHeight="1" outlineLevel="1" x14ac:dyDescent="0.25">
      <c r="A2138" s="31" t="s">
        <v>1354</v>
      </c>
      <c r="B2138" s="40" t="s">
        <v>1355</v>
      </c>
      <c r="C2138" s="41">
        <v>0</v>
      </c>
      <c r="D2138" s="42"/>
      <c r="E2138" s="42"/>
      <c r="F2138" s="42"/>
      <c r="G2138" s="43"/>
      <c r="H2138" s="44"/>
      <c r="I2138" s="43"/>
      <c r="J2138" s="44"/>
      <c r="K2138" s="43"/>
      <c r="L2138" s="44">
        <v>0</v>
      </c>
    </row>
    <row r="2139" spans="1:12" s="45" customFormat="1" ht="28.95" customHeight="1" x14ac:dyDescent="0.3">
      <c r="A2139" s="33">
        <v>1</v>
      </c>
      <c r="B2139" s="34" t="s">
        <v>231</v>
      </c>
      <c r="C2139" s="35" t="s">
        <v>66</v>
      </c>
      <c r="D2139" s="36">
        <v>24</v>
      </c>
      <c r="E2139" s="36">
        <v>8.9600000000000009</v>
      </c>
      <c r="F2139" s="36">
        <f t="shared" ref="F2139:F2148" si="503">+E2139*D2139</f>
        <v>215.04000000000002</v>
      </c>
      <c r="G2139" s="37">
        <f t="shared" ref="G2139:G2148" si="504">I2139+K2139</f>
        <v>0</v>
      </c>
      <c r="H2139" s="38">
        <f t="shared" ref="H2139:H2148" si="505">J2139+L2139</f>
        <v>0</v>
      </c>
      <c r="I2139" s="37">
        <f t="shared" ref="I2139:I2148" si="506">J2139/F2139</f>
        <v>0</v>
      </c>
      <c r="J2139" s="38">
        <v>0</v>
      </c>
      <c r="K2139" s="37">
        <f t="shared" ref="K2139:K2148" si="507">L2139/F2139</f>
        <v>0</v>
      </c>
      <c r="L2139" s="38">
        <v>0</v>
      </c>
    </row>
    <row r="2140" spans="1:12" s="39" customFormat="1" ht="15.45" customHeight="1" outlineLevel="1" x14ac:dyDescent="0.25">
      <c r="A2140" s="33">
        <v>2</v>
      </c>
      <c r="B2140" s="34" t="s">
        <v>225</v>
      </c>
      <c r="C2140" s="35" t="s">
        <v>30</v>
      </c>
      <c r="D2140" s="36">
        <v>46</v>
      </c>
      <c r="E2140" s="36">
        <v>1.63</v>
      </c>
      <c r="F2140" s="36">
        <f t="shared" si="503"/>
        <v>74.97999999999999</v>
      </c>
      <c r="G2140" s="37">
        <f t="shared" si="504"/>
        <v>0</v>
      </c>
      <c r="H2140" s="38">
        <f t="shared" si="505"/>
        <v>0</v>
      </c>
      <c r="I2140" s="37">
        <f t="shared" si="506"/>
        <v>0</v>
      </c>
      <c r="J2140" s="38">
        <v>0</v>
      </c>
      <c r="K2140" s="37">
        <f t="shared" si="507"/>
        <v>0</v>
      </c>
      <c r="L2140" s="38">
        <v>0</v>
      </c>
    </row>
    <row r="2141" spans="1:12" s="39" customFormat="1" ht="15.45" customHeight="1" outlineLevel="1" x14ac:dyDescent="0.25">
      <c r="A2141" s="33">
        <v>3</v>
      </c>
      <c r="B2141" s="34" t="s">
        <v>235</v>
      </c>
      <c r="C2141" s="35" t="s">
        <v>66</v>
      </c>
      <c r="D2141" s="36">
        <v>1</v>
      </c>
      <c r="E2141" s="36">
        <v>36.5</v>
      </c>
      <c r="F2141" s="36">
        <f t="shared" si="503"/>
        <v>36.5</v>
      </c>
      <c r="G2141" s="37">
        <f t="shared" si="504"/>
        <v>0</v>
      </c>
      <c r="H2141" s="38">
        <f t="shared" si="505"/>
        <v>0</v>
      </c>
      <c r="I2141" s="37">
        <f t="shared" si="506"/>
        <v>0</v>
      </c>
      <c r="J2141" s="38">
        <v>0</v>
      </c>
      <c r="K2141" s="37">
        <f t="shared" si="507"/>
        <v>0</v>
      </c>
      <c r="L2141" s="38">
        <v>0</v>
      </c>
    </row>
    <row r="2142" spans="1:12" s="39" customFormat="1" ht="15.45" customHeight="1" outlineLevel="1" x14ac:dyDescent="0.25">
      <c r="A2142" s="33">
        <v>4</v>
      </c>
      <c r="B2142" s="34" t="s">
        <v>43</v>
      </c>
      <c r="C2142" s="35" t="s">
        <v>66</v>
      </c>
      <c r="D2142" s="36">
        <v>0.7</v>
      </c>
      <c r="E2142" s="36">
        <v>124.1</v>
      </c>
      <c r="F2142" s="36">
        <f t="shared" si="503"/>
        <v>86.86999999999999</v>
      </c>
      <c r="G2142" s="37">
        <f t="shared" si="504"/>
        <v>0</v>
      </c>
      <c r="H2142" s="38">
        <f t="shared" si="505"/>
        <v>0</v>
      </c>
      <c r="I2142" s="37">
        <f t="shared" si="506"/>
        <v>0</v>
      </c>
      <c r="J2142" s="38">
        <v>0</v>
      </c>
      <c r="K2142" s="37">
        <f t="shared" si="507"/>
        <v>0</v>
      </c>
      <c r="L2142" s="38">
        <v>0</v>
      </c>
    </row>
    <row r="2143" spans="1:12" s="46" customFormat="1" ht="28.95" customHeight="1" outlineLevel="1" x14ac:dyDescent="0.35">
      <c r="A2143" s="33">
        <v>5</v>
      </c>
      <c r="B2143" s="34" t="s">
        <v>771</v>
      </c>
      <c r="C2143" s="35" t="s">
        <v>106</v>
      </c>
      <c r="D2143" s="36">
        <v>10.5</v>
      </c>
      <c r="E2143" s="36">
        <v>52.936000000000007</v>
      </c>
      <c r="F2143" s="36">
        <f t="shared" si="503"/>
        <v>555.82800000000009</v>
      </c>
      <c r="G2143" s="37">
        <f t="shared" si="504"/>
        <v>0</v>
      </c>
      <c r="H2143" s="38">
        <f t="shared" si="505"/>
        <v>0</v>
      </c>
      <c r="I2143" s="37">
        <f t="shared" si="506"/>
        <v>0</v>
      </c>
      <c r="J2143" s="38">
        <v>0</v>
      </c>
      <c r="K2143" s="37">
        <f t="shared" si="507"/>
        <v>0</v>
      </c>
      <c r="L2143" s="38">
        <v>0</v>
      </c>
    </row>
    <row r="2144" spans="1:12" s="39" customFormat="1" ht="28.95" customHeight="1" outlineLevel="1" x14ac:dyDescent="0.25">
      <c r="A2144" s="33">
        <v>6</v>
      </c>
      <c r="B2144" s="34" t="s">
        <v>306</v>
      </c>
      <c r="C2144" s="35" t="s">
        <v>106</v>
      </c>
      <c r="D2144" s="36">
        <v>26</v>
      </c>
      <c r="E2144" s="36">
        <v>10.8202</v>
      </c>
      <c r="F2144" s="36">
        <f t="shared" si="503"/>
        <v>281.3252</v>
      </c>
      <c r="G2144" s="37">
        <f t="shared" si="504"/>
        <v>0</v>
      </c>
      <c r="H2144" s="38">
        <f t="shared" si="505"/>
        <v>0</v>
      </c>
      <c r="I2144" s="37">
        <f t="shared" si="506"/>
        <v>0</v>
      </c>
      <c r="J2144" s="38">
        <v>0</v>
      </c>
      <c r="K2144" s="37">
        <f t="shared" si="507"/>
        <v>0</v>
      </c>
      <c r="L2144" s="38">
        <v>0</v>
      </c>
    </row>
    <row r="2145" spans="1:12" s="39" customFormat="1" ht="28.95" customHeight="1" outlineLevel="1" x14ac:dyDescent="0.25">
      <c r="A2145" s="33">
        <v>7</v>
      </c>
      <c r="B2145" s="34" t="s">
        <v>949</v>
      </c>
      <c r="C2145" s="35" t="s">
        <v>106</v>
      </c>
      <c r="D2145" s="36">
        <v>21</v>
      </c>
      <c r="E2145" s="36">
        <v>12.115600000000001</v>
      </c>
      <c r="F2145" s="36">
        <f t="shared" si="503"/>
        <v>254.42760000000001</v>
      </c>
      <c r="G2145" s="37">
        <f t="shared" si="504"/>
        <v>0</v>
      </c>
      <c r="H2145" s="38">
        <f t="shared" si="505"/>
        <v>0</v>
      </c>
      <c r="I2145" s="37">
        <f t="shared" si="506"/>
        <v>0</v>
      </c>
      <c r="J2145" s="38">
        <v>0</v>
      </c>
      <c r="K2145" s="37">
        <f t="shared" si="507"/>
        <v>0</v>
      </c>
      <c r="L2145" s="38">
        <v>0</v>
      </c>
    </row>
    <row r="2146" spans="1:12" s="39" customFormat="1" ht="28.95" customHeight="1" outlineLevel="1" x14ac:dyDescent="0.25">
      <c r="A2146" s="33">
        <v>8</v>
      </c>
      <c r="B2146" s="34" t="s">
        <v>1356</v>
      </c>
      <c r="C2146" s="35" t="s">
        <v>106</v>
      </c>
      <c r="D2146" s="36">
        <v>21</v>
      </c>
      <c r="E2146" s="36">
        <v>5.6794000000000011</v>
      </c>
      <c r="F2146" s="36">
        <f t="shared" si="503"/>
        <v>119.26740000000002</v>
      </c>
      <c r="G2146" s="37">
        <f t="shared" si="504"/>
        <v>0</v>
      </c>
      <c r="H2146" s="38">
        <f t="shared" si="505"/>
        <v>0</v>
      </c>
      <c r="I2146" s="37">
        <f t="shared" si="506"/>
        <v>0</v>
      </c>
      <c r="J2146" s="38">
        <v>0</v>
      </c>
      <c r="K2146" s="37">
        <f t="shared" si="507"/>
        <v>0</v>
      </c>
      <c r="L2146" s="38">
        <v>0</v>
      </c>
    </row>
    <row r="2147" spans="1:12" s="45" customFormat="1" ht="15.45" customHeight="1" x14ac:dyDescent="0.3">
      <c r="A2147" s="33">
        <v>9</v>
      </c>
      <c r="B2147" s="34" t="s">
        <v>1357</v>
      </c>
      <c r="C2147" s="35" t="s">
        <v>66</v>
      </c>
      <c r="D2147" s="36">
        <v>0.378</v>
      </c>
      <c r="E2147" s="36">
        <v>529.19240000000002</v>
      </c>
      <c r="F2147" s="36">
        <f t="shared" si="503"/>
        <v>200.03472720000002</v>
      </c>
      <c r="G2147" s="37">
        <f t="shared" si="504"/>
        <v>0</v>
      </c>
      <c r="H2147" s="38">
        <f t="shared" si="505"/>
        <v>0</v>
      </c>
      <c r="I2147" s="37">
        <f t="shared" si="506"/>
        <v>0</v>
      </c>
      <c r="J2147" s="38">
        <v>0</v>
      </c>
      <c r="K2147" s="37">
        <f t="shared" si="507"/>
        <v>0</v>
      </c>
      <c r="L2147" s="38">
        <v>0</v>
      </c>
    </row>
    <row r="2148" spans="1:12" s="39" customFormat="1" ht="15.45" customHeight="1" outlineLevel="1" x14ac:dyDescent="0.25">
      <c r="A2148" s="33">
        <v>10</v>
      </c>
      <c r="B2148" s="34" t="s">
        <v>1358</v>
      </c>
      <c r="C2148" s="35" t="s">
        <v>66</v>
      </c>
      <c r="D2148" s="36">
        <v>20</v>
      </c>
      <c r="E2148" s="36">
        <v>61.259200000000007</v>
      </c>
      <c r="F2148" s="36">
        <f t="shared" si="503"/>
        <v>1225.1840000000002</v>
      </c>
      <c r="G2148" s="37">
        <f t="shared" si="504"/>
        <v>0</v>
      </c>
      <c r="H2148" s="38">
        <f t="shared" si="505"/>
        <v>0</v>
      </c>
      <c r="I2148" s="37">
        <f t="shared" si="506"/>
        <v>0</v>
      </c>
      <c r="J2148" s="38">
        <v>0</v>
      </c>
      <c r="K2148" s="37">
        <f t="shared" si="507"/>
        <v>0</v>
      </c>
      <c r="L2148" s="38">
        <v>0</v>
      </c>
    </row>
    <row r="2149" spans="1:12" s="39" customFormat="1" ht="15.45" customHeight="1" outlineLevel="1" x14ac:dyDescent="0.25">
      <c r="A2149" s="31" t="s">
        <v>1359</v>
      </c>
      <c r="B2149" s="40" t="s">
        <v>1360</v>
      </c>
      <c r="C2149" s="41">
        <v>0</v>
      </c>
      <c r="D2149" s="42"/>
      <c r="E2149" s="42"/>
      <c r="F2149" s="42"/>
      <c r="G2149" s="43"/>
      <c r="H2149" s="44"/>
      <c r="I2149" s="43"/>
      <c r="J2149" s="44"/>
      <c r="K2149" s="43"/>
      <c r="L2149" s="44">
        <v>0</v>
      </c>
    </row>
    <row r="2150" spans="1:12" s="39" customFormat="1" ht="28.95" customHeight="1" outlineLevel="1" x14ac:dyDescent="0.25">
      <c r="A2150" s="33">
        <v>1</v>
      </c>
      <c r="B2150" s="34" t="s">
        <v>764</v>
      </c>
      <c r="C2150" s="35" t="s">
        <v>66</v>
      </c>
      <c r="D2150" s="36">
        <v>1658</v>
      </c>
      <c r="E2150" s="36">
        <v>0.9</v>
      </c>
      <c r="F2150" s="36">
        <f>+E2150*D2150</f>
        <v>1492.2</v>
      </c>
      <c r="G2150" s="37">
        <f t="shared" ref="G2150:H2154" si="508">I2150+K2150</f>
        <v>0</v>
      </c>
      <c r="H2150" s="38">
        <f t="shared" si="508"/>
        <v>0</v>
      </c>
      <c r="I2150" s="37">
        <f>J2150/F2150</f>
        <v>0</v>
      </c>
      <c r="J2150" s="38">
        <v>0</v>
      </c>
      <c r="K2150" s="37">
        <f>L2150/F2150</f>
        <v>0</v>
      </c>
      <c r="L2150" s="38">
        <v>0</v>
      </c>
    </row>
    <row r="2151" spans="1:12" s="39" customFormat="1" ht="28.95" customHeight="1" outlineLevel="1" x14ac:dyDescent="0.25">
      <c r="A2151" s="33">
        <v>2</v>
      </c>
      <c r="B2151" s="34" t="s">
        <v>765</v>
      </c>
      <c r="C2151" s="35" t="s">
        <v>66</v>
      </c>
      <c r="D2151" s="36">
        <v>51</v>
      </c>
      <c r="E2151" s="36">
        <v>8.9600000000000009</v>
      </c>
      <c r="F2151" s="36">
        <f>+E2151*D2151</f>
        <v>456.96000000000004</v>
      </c>
      <c r="G2151" s="37">
        <f t="shared" si="508"/>
        <v>0</v>
      </c>
      <c r="H2151" s="38">
        <f t="shared" si="508"/>
        <v>0</v>
      </c>
      <c r="I2151" s="37">
        <f>J2151/F2151</f>
        <v>0</v>
      </c>
      <c r="J2151" s="38">
        <v>0</v>
      </c>
      <c r="K2151" s="37">
        <f>L2151/F2151</f>
        <v>0</v>
      </c>
      <c r="L2151" s="38">
        <v>0</v>
      </c>
    </row>
    <row r="2152" spans="1:12" s="39" customFormat="1" ht="43.5" customHeight="1" outlineLevel="1" x14ac:dyDescent="0.25">
      <c r="A2152" s="33">
        <v>3</v>
      </c>
      <c r="B2152" s="34" t="s">
        <v>766</v>
      </c>
      <c r="C2152" s="35" t="s">
        <v>66</v>
      </c>
      <c r="D2152" s="36">
        <v>885</v>
      </c>
      <c r="E2152" s="36">
        <v>0.9</v>
      </c>
      <c r="F2152" s="36">
        <f>+E2152*D2152</f>
        <v>796.5</v>
      </c>
      <c r="G2152" s="37">
        <f t="shared" si="508"/>
        <v>0</v>
      </c>
      <c r="H2152" s="38">
        <f t="shared" si="508"/>
        <v>0</v>
      </c>
      <c r="I2152" s="37">
        <f>J2152/F2152</f>
        <v>0</v>
      </c>
      <c r="J2152" s="38">
        <v>0</v>
      </c>
      <c r="K2152" s="37">
        <f>L2152/F2152</f>
        <v>0</v>
      </c>
      <c r="L2152" s="38">
        <v>0</v>
      </c>
    </row>
    <row r="2153" spans="1:12" s="39" customFormat="1" ht="28.95" customHeight="1" outlineLevel="1" x14ac:dyDescent="0.25">
      <c r="A2153" s="33">
        <v>4</v>
      </c>
      <c r="B2153" s="34" t="s">
        <v>234</v>
      </c>
      <c r="C2153" s="35" t="s">
        <v>66</v>
      </c>
      <c r="D2153" s="36">
        <v>885</v>
      </c>
      <c r="E2153" s="36">
        <v>2</v>
      </c>
      <c r="F2153" s="36">
        <f>+E2153*D2153</f>
        <v>1770</v>
      </c>
      <c r="G2153" s="37">
        <f t="shared" si="508"/>
        <v>0</v>
      </c>
      <c r="H2153" s="38">
        <f t="shared" si="508"/>
        <v>0</v>
      </c>
      <c r="I2153" s="37">
        <f>J2153/F2153</f>
        <v>0</v>
      </c>
      <c r="J2153" s="38">
        <v>0</v>
      </c>
      <c r="K2153" s="37">
        <f>L2153/F2153</f>
        <v>0</v>
      </c>
      <c r="L2153" s="38">
        <v>0</v>
      </c>
    </row>
    <row r="2154" spans="1:12" s="39" customFormat="1" ht="28.95" customHeight="1" outlineLevel="1" x14ac:dyDescent="0.25">
      <c r="A2154" s="33">
        <v>5</v>
      </c>
      <c r="B2154" s="34" t="s">
        <v>316</v>
      </c>
      <c r="C2154" s="35" t="s">
        <v>66</v>
      </c>
      <c r="D2154" s="36">
        <v>221</v>
      </c>
      <c r="E2154" s="36">
        <v>8.16</v>
      </c>
      <c r="F2154" s="36">
        <f>+E2154*D2154</f>
        <v>1803.3600000000001</v>
      </c>
      <c r="G2154" s="37">
        <f t="shared" si="508"/>
        <v>0</v>
      </c>
      <c r="H2154" s="38">
        <f t="shared" si="508"/>
        <v>0</v>
      </c>
      <c r="I2154" s="37">
        <f>J2154/F2154</f>
        <v>0</v>
      </c>
      <c r="J2154" s="38">
        <v>0</v>
      </c>
      <c r="K2154" s="37">
        <f>L2154/F2154</f>
        <v>0</v>
      </c>
      <c r="L2154" s="38">
        <v>0</v>
      </c>
    </row>
    <row r="2155" spans="1:12" s="45" customFormat="1" ht="15.45" customHeight="1" x14ac:dyDescent="0.3">
      <c r="A2155" s="31" t="s">
        <v>69</v>
      </c>
      <c r="B2155" s="40" t="s">
        <v>70</v>
      </c>
      <c r="C2155" s="41">
        <v>0</v>
      </c>
      <c r="D2155" s="42"/>
      <c r="E2155" s="42"/>
      <c r="F2155" s="42"/>
      <c r="G2155" s="43"/>
      <c r="H2155" s="44"/>
      <c r="I2155" s="43"/>
      <c r="J2155" s="44"/>
      <c r="K2155" s="43"/>
      <c r="L2155" s="44">
        <v>0</v>
      </c>
    </row>
    <row r="2156" spans="1:12" s="39" customFormat="1" ht="15.45" customHeight="1" outlineLevel="1" x14ac:dyDescent="0.25">
      <c r="A2156" s="33">
        <v>1</v>
      </c>
      <c r="B2156" s="34" t="s">
        <v>41</v>
      </c>
      <c r="C2156" s="35" t="s">
        <v>66</v>
      </c>
      <c r="D2156" s="36">
        <v>5.44</v>
      </c>
      <c r="E2156" s="36">
        <v>36.616</v>
      </c>
      <c r="F2156" s="36">
        <f t="shared" ref="F2156:F2161" si="509">+E2156*D2156</f>
        <v>199.19104000000002</v>
      </c>
      <c r="G2156" s="37">
        <f t="shared" ref="G2156:H2161" si="510">I2156+K2156</f>
        <v>0</v>
      </c>
      <c r="H2156" s="38">
        <f t="shared" si="510"/>
        <v>0</v>
      </c>
      <c r="I2156" s="37">
        <f t="shared" ref="I2156:I2161" si="511">J2156/F2156</f>
        <v>0</v>
      </c>
      <c r="J2156" s="38">
        <v>0</v>
      </c>
      <c r="K2156" s="37">
        <f t="shared" ref="K2156:K2161" si="512">L2156/F2156</f>
        <v>0</v>
      </c>
      <c r="L2156" s="38">
        <v>0</v>
      </c>
    </row>
    <row r="2157" spans="1:12" s="39" customFormat="1" ht="15.45" customHeight="1" outlineLevel="1" x14ac:dyDescent="0.25">
      <c r="A2157" s="33">
        <v>2</v>
      </c>
      <c r="B2157" s="34" t="s">
        <v>1361</v>
      </c>
      <c r="C2157" s="35" t="s">
        <v>66</v>
      </c>
      <c r="D2157" s="36">
        <v>2.56</v>
      </c>
      <c r="E2157" s="36">
        <v>124.1</v>
      </c>
      <c r="F2157" s="36">
        <f t="shared" si="509"/>
        <v>317.69599999999997</v>
      </c>
      <c r="G2157" s="37">
        <f t="shared" si="510"/>
        <v>0</v>
      </c>
      <c r="H2157" s="38">
        <f t="shared" si="510"/>
        <v>0</v>
      </c>
      <c r="I2157" s="37">
        <f t="shared" si="511"/>
        <v>0</v>
      </c>
      <c r="J2157" s="38">
        <v>0</v>
      </c>
      <c r="K2157" s="37">
        <f t="shared" si="512"/>
        <v>0</v>
      </c>
      <c r="L2157" s="38">
        <v>0</v>
      </c>
    </row>
    <row r="2158" spans="1:12" s="39" customFormat="1" ht="28.95" customHeight="1" outlineLevel="1" x14ac:dyDescent="0.25">
      <c r="A2158" s="33">
        <v>3</v>
      </c>
      <c r="B2158" s="34" t="s">
        <v>1362</v>
      </c>
      <c r="C2158" s="35" t="s">
        <v>66</v>
      </c>
      <c r="D2158" s="36">
        <v>14.4</v>
      </c>
      <c r="E2158" s="36">
        <v>177.81</v>
      </c>
      <c r="F2158" s="36">
        <f t="shared" si="509"/>
        <v>2560.4639999999999</v>
      </c>
      <c r="G2158" s="37">
        <f t="shared" si="510"/>
        <v>0</v>
      </c>
      <c r="H2158" s="38">
        <f t="shared" si="510"/>
        <v>0</v>
      </c>
      <c r="I2158" s="37">
        <f t="shared" si="511"/>
        <v>0</v>
      </c>
      <c r="J2158" s="38">
        <v>0</v>
      </c>
      <c r="K2158" s="37">
        <f t="shared" si="512"/>
        <v>0</v>
      </c>
      <c r="L2158" s="38">
        <v>0</v>
      </c>
    </row>
    <row r="2159" spans="1:12" s="46" customFormat="1" ht="15.45" customHeight="1" outlineLevel="1" x14ac:dyDescent="0.35">
      <c r="A2159" s="33">
        <v>4</v>
      </c>
      <c r="B2159" s="34" t="s">
        <v>46</v>
      </c>
      <c r="C2159" s="35" t="s">
        <v>30</v>
      </c>
      <c r="D2159" s="36">
        <v>1.2689999999999999</v>
      </c>
      <c r="E2159" s="36">
        <v>1200.0999999999999</v>
      </c>
      <c r="F2159" s="36">
        <f t="shared" si="509"/>
        <v>1522.9268999999997</v>
      </c>
      <c r="G2159" s="37">
        <f t="shared" si="510"/>
        <v>0</v>
      </c>
      <c r="H2159" s="38">
        <f t="shared" si="510"/>
        <v>0</v>
      </c>
      <c r="I2159" s="37">
        <f t="shared" si="511"/>
        <v>0</v>
      </c>
      <c r="J2159" s="38">
        <v>0</v>
      </c>
      <c r="K2159" s="37">
        <f t="shared" si="512"/>
        <v>0</v>
      </c>
      <c r="L2159" s="38">
        <v>0</v>
      </c>
    </row>
    <row r="2160" spans="1:12" s="39" customFormat="1" ht="15.45" customHeight="1" outlineLevel="1" x14ac:dyDescent="0.25">
      <c r="A2160" s="33">
        <v>6</v>
      </c>
      <c r="B2160" s="34" t="s">
        <v>45</v>
      </c>
      <c r="C2160" s="35" t="s">
        <v>30</v>
      </c>
      <c r="D2160" s="36">
        <v>3.9E-2</v>
      </c>
      <c r="E2160" s="36">
        <v>1325.1</v>
      </c>
      <c r="F2160" s="36">
        <f t="shared" si="509"/>
        <v>51.678899999999999</v>
      </c>
      <c r="G2160" s="37">
        <f t="shared" si="510"/>
        <v>0</v>
      </c>
      <c r="H2160" s="38">
        <f t="shared" si="510"/>
        <v>0</v>
      </c>
      <c r="I2160" s="37">
        <f t="shared" si="511"/>
        <v>0</v>
      </c>
      <c r="J2160" s="38">
        <v>0</v>
      </c>
      <c r="K2160" s="37">
        <f t="shared" si="512"/>
        <v>0</v>
      </c>
      <c r="L2160" s="38">
        <v>0</v>
      </c>
    </row>
    <row r="2161" spans="1:12" s="39" customFormat="1" ht="15.45" customHeight="1" outlineLevel="1" x14ac:dyDescent="0.25">
      <c r="A2161" s="33">
        <v>7</v>
      </c>
      <c r="B2161" s="34" t="s">
        <v>46</v>
      </c>
      <c r="C2161" s="35" t="s">
        <v>30</v>
      </c>
      <c r="D2161" s="36">
        <v>1.736</v>
      </c>
      <c r="E2161" s="36">
        <v>1200.0999999999999</v>
      </c>
      <c r="F2161" s="36">
        <f t="shared" si="509"/>
        <v>2083.3735999999999</v>
      </c>
      <c r="G2161" s="37">
        <f t="shared" si="510"/>
        <v>0</v>
      </c>
      <c r="H2161" s="38">
        <f t="shared" si="510"/>
        <v>0</v>
      </c>
      <c r="I2161" s="37">
        <f t="shared" si="511"/>
        <v>0</v>
      </c>
      <c r="J2161" s="38">
        <v>0</v>
      </c>
      <c r="K2161" s="37">
        <f t="shared" si="512"/>
        <v>0</v>
      </c>
      <c r="L2161" s="38">
        <v>0</v>
      </c>
    </row>
    <row r="2162" spans="1:12" s="39" customFormat="1" ht="15.45" customHeight="1" outlineLevel="1" x14ac:dyDescent="0.25">
      <c r="A2162" s="31" t="s">
        <v>72</v>
      </c>
      <c r="B2162" s="40" t="s">
        <v>73</v>
      </c>
      <c r="C2162" s="41">
        <v>0</v>
      </c>
      <c r="D2162" s="42"/>
      <c r="E2162" s="42"/>
      <c r="F2162" s="42"/>
      <c r="G2162" s="43"/>
      <c r="H2162" s="44"/>
      <c r="I2162" s="43"/>
      <c r="J2162" s="44"/>
      <c r="K2162" s="43"/>
      <c r="L2162" s="44">
        <v>0</v>
      </c>
    </row>
    <row r="2163" spans="1:12" s="45" customFormat="1" ht="15.45" customHeight="1" x14ac:dyDescent="0.3">
      <c r="A2163" s="33">
        <v>1</v>
      </c>
      <c r="B2163" s="34" t="s">
        <v>41</v>
      </c>
      <c r="C2163" s="35" t="s">
        <v>66</v>
      </c>
      <c r="D2163" s="36">
        <v>20.399999999999999</v>
      </c>
      <c r="E2163" s="36">
        <v>36.616</v>
      </c>
      <c r="F2163" s="36">
        <f t="shared" ref="F2163:F2168" si="513">+E2163*D2163</f>
        <v>746.96639999999991</v>
      </c>
      <c r="G2163" s="37">
        <f t="shared" ref="G2163:H2168" si="514">I2163+K2163</f>
        <v>0</v>
      </c>
      <c r="H2163" s="38">
        <f t="shared" si="514"/>
        <v>0</v>
      </c>
      <c r="I2163" s="37">
        <f t="shared" ref="I2163:I2168" si="515">J2163/F2163</f>
        <v>0</v>
      </c>
      <c r="J2163" s="38">
        <v>0</v>
      </c>
      <c r="K2163" s="37">
        <f t="shared" ref="K2163:K2168" si="516">L2163/F2163</f>
        <v>0</v>
      </c>
      <c r="L2163" s="38">
        <v>0</v>
      </c>
    </row>
    <row r="2164" spans="1:12" s="39" customFormat="1" ht="15.45" customHeight="1" outlineLevel="1" x14ac:dyDescent="0.25">
      <c r="A2164" s="33">
        <v>2</v>
      </c>
      <c r="B2164" s="34" t="s">
        <v>1361</v>
      </c>
      <c r="C2164" s="35" t="s">
        <v>66</v>
      </c>
      <c r="D2164" s="36">
        <v>9.6</v>
      </c>
      <c r="E2164" s="36">
        <v>124.1</v>
      </c>
      <c r="F2164" s="36">
        <f t="shared" si="513"/>
        <v>1191.3599999999999</v>
      </c>
      <c r="G2164" s="37">
        <f t="shared" si="514"/>
        <v>0</v>
      </c>
      <c r="H2164" s="38">
        <f t="shared" si="514"/>
        <v>0</v>
      </c>
      <c r="I2164" s="37">
        <f t="shared" si="515"/>
        <v>0</v>
      </c>
      <c r="J2164" s="38">
        <v>0</v>
      </c>
      <c r="K2164" s="37">
        <f t="shared" si="516"/>
        <v>0</v>
      </c>
      <c r="L2164" s="38">
        <v>0</v>
      </c>
    </row>
    <row r="2165" spans="1:12" s="39" customFormat="1" ht="28.95" customHeight="1" outlineLevel="1" x14ac:dyDescent="0.25">
      <c r="A2165" s="33">
        <v>3</v>
      </c>
      <c r="B2165" s="34" t="s">
        <v>1362</v>
      </c>
      <c r="C2165" s="35" t="s">
        <v>66</v>
      </c>
      <c r="D2165" s="36">
        <v>54</v>
      </c>
      <c r="E2165" s="36">
        <v>177.81</v>
      </c>
      <c r="F2165" s="36">
        <f t="shared" si="513"/>
        <v>9601.74</v>
      </c>
      <c r="G2165" s="37">
        <f t="shared" si="514"/>
        <v>0</v>
      </c>
      <c r="H2165" s="38">
        <f t="shared" si="514"/>
        <v>0</v>
      </c>
      <c r="I2165" s="37">
        <f t="shared" si="515"/>
        <v>0</v>
      </c>
      <c r="J2165" s="38">
        <v>0</v>
      </c>
      <c r="K2165" s="37">
        <f t="shared" si="516"/>
        <v>0</v>
      </c>
      <c r="L2165" s="38">
        <v>0</v>
      </c>
    </row>
    <row r="2166" spans="1:12" s="39" customFormat="1" ht="15.45" customHeight="1" outlineLevel="1" x14ac:dyDescent="0.25">
      <c r="A2166" s="33">
        <v>4</v>
      </c>
      <c r="B2166" s="34" t="s">
        <v>46</v>
      </c>
      <c r="C2166" s="35" t="s">
        <v>30</v>
      </c>
      <c r="D2166" s="36">
        <v>4.8780000000000001</v>
      </c>
      <c r="E2166" s="36">
        <v>1200.0999999999999</v>
      </c>
      <c r="F2166" s="36">
        <f t="shared" si="513"/>
        <v>5854.0877999999993</v>
      </c>
      <c r="G2166" s="37">
        <f t="shared" si="514"/>
        <v>0</v>
      </c>
      <c r="H2166" s="38">
        <f t="shared" si="514"/>
        <v>0</v>
      </c>
      <c r="I2166" s="37">
        <f t="shared" si="515"/>
        <v>0</v>
      </c>
      <c r="J2166" s="38">
        <v>0</v>
      </c>
      <c r="K2166" s="37">
        <f t="shared" si="516"/>
        <v>0</v>
      </c>
      <c r="L2166" s="38">
        <v>0</v>
      </c>
    </row>
    <row r="2167" spans="1:12" s="39" customFormat="1" ht="15.45" customHeight="1" outlineLevel="1" x14ac:dyDescent="0.25">
      <c r="A2167" s="33">
        <v>6</v>
      </c>
      <c r="B2167" s="34" t="s">
        <v>45</v>
      </c>
      <c r="C2167" s="35" t="s">
        <v>30</v>
      </c>
      <c r="D2167" s="36">
        <v>0.16800000000000001</v>
      </c>
      <c r="E2167" s="36">
        <v>1325.1</v>
      </c>
      <c r="F2167" s="36">
        <f t="shared" si="513"/>
        <v>222.61680000000001</v>
      </c>
      <c r="G2167" s="37">
        <f t="shared" si="514"/>
        <v>0</v>
      </c>
      <c r="H2167" s="38">
        <f t="shared" si="514"/>
        <v>0</v>
      </c>
      <c r="I2167" s="37">
        <f t="shared" si="515"/>
        <v>0</v>
      </c>
      <c r="J2167" s="38">
        <v>0</v>
      </c>
      <c r="K2167" s="37">
        <f t="shared" si="516"/>
        <v>0</v>
      </c>
      <c r="L2167" s="38">
        <v>0</v>
      </c>
    </row>
    <row r="2168" spans="1:12" s="39" customFormat="1" ht="15.45" customHeight="1" outlineLevel="1" x14ac:dyDescent="0.25">
      <c r="A2168" s="33">
        <v>7</v>
      </c>
      <c r="B2168" s="34" t="s">
        <v>46</v>
      </c>
      <c r="C2168" s="35" t="s">
        <v>30</v>
      </c>
      <c r="D2168" s="36">
        <v>5.18</v>
      </c>
      <c r="E2168" s="36">
        <v>1200.0999999999999</v>
      </c>
      <c r="F2168" s="36">
        <f t="shared" si="513"/>
        <v>6216.5179999999991</v>
      </c>
      <c r="G2168" s="37">
        <f t="shared" si="514"/>
        <v>0</v>
      </c>
      <c r="H2168" s="38">
        <f t="shared" si="514"/>
        <v>0</v>
      </c>
      <c r="I2168" s="37">
        <f t="shared" si="515"/>
        <v>0</v>
      </c>
      <c r="J2168" s="38">
        <v>0</v>
      </c>
      <c r="K2168" s="37">
        <f t="shared" si="516"/>
        <v>0</v>
      </c>
      <c r="L2168" s="38">
        <v>0</v>
      </c>
    </row>
    <row r="2169" spans="1:12" s="39" customFormat="1" ht="15.45" customHeight="1" outlineLevel="1" x14ac:dyDescent="0.25">
      <c r="A2169" s="31" t="s">
        <v>74</v>
      </c>
      <c r="B2169" s="40" t="s">
        <v>75</v>
      </c>
      <c r="C2169" s="41">
        <v>0</v>
      </c>
      <c r="D2169" s="42"/>
      <c r="E2169" s="42"/>
      <c r="F2169" s="42"/>
      <c r="G2169" s="43"/>
      <c r="H2169" s="44"/>
      <c r="I2169" s="43"/>
      <c r="J2169" s="44"/>
      <c r="K2169" s="43"/>
      <c r="L2169" s="44">
        <v>0</v>
      </c>
    </row>
    <row r="2170" spans="1:12" s="39" customFormat="1" ht="15.45" customHeight="1" outlineLevel="1" x14ac:dyDescent="0.25">
      <c r="A2170" s="33">
        <v>1</v>
      </c>
      <c r="B2170" s="34" t="s">
        <v>41</v>
      </c>
      <c r="C2170" s="35" t="s">
        <v>66</v>
      </c>
      <c r="D2170" s="36">
        <v>10.199999999999999</v>
      </c>
      <c r="E2170" s="36">
        <v>36.616</v>
      </c>
      <c r="F2170" s="36">
        <f t="shared" ref="F2170:F2175" si="517">+E2170*D2170</f>
        <v>373.48319999999995</v>
      </c>
      <c r="G2170" s="37">
        <f t="shared" ref="G2170:H2175" si="518">I2170+K2170</f>
        <v>0</v>
      </c>
      <c r="H2170" s="38">
        <f t="shared" si="518"/>
        <v>0</v>
      </c>
      <c r="I2170" s="37">
        <f t="shared" ref="I2170:I2175" si="519">J2170/F2170</f>
        <v>0</v>
      </c>
      <c r="J2170" s="38">
        <v>0</v>
      </c>
      <c r="K2170" s="37">
        <f t="shared" ref="K2170:K2175" si="520">L2170/F2170</f>
        <v>0</v>
      </c>
      <c r="L2170" s="38">
        <v>0</v>
      </c>
    </row>
    <row r="2171" spans="1:12" s="45" customFormat="1" ht="15.45" customHeight="1" x14ac:dyDescent="0.3">
      <c r="A2171" s="33">
        <v>2</v>
      </c>
      <c r="B2171" s="34" t="s">
        <v>1361</v>
      </c>
      <c r="C2171" s="35" t="s">
        <v>66</v>
      </c>
      <c r="D2171" s="36">
        <v>4.8</v>
      </c>
      <c r="E2171" s="36">
        <v>124.1</v>
      </c>
      <c r="F2171" s="36">
        <f t="shared" si="517"/>
        <v>595.67999999999995</v>
      </c>
      <c r="G2171" s="37">
        <f t="shared" si="518"/>
        <v>0</v>
      </c>
      <c r="H2171" s="38">
        <f t="shared" si="518"/>
        <v>0</v>
      </c>
      <c r="I2171" s="37">
        <f t="shared" si="519"/>
        <v>0</v>
      </c>
      <c r="J2171" s="38">
        <v>0</v>
      </c>
      <c r="K2171" s="37">
        <f t="shared" si="520"/>
        <v>0</v>
      </c>
      <c r="L2171" s="38">
        <v>0</v>
      </c>
    </row>
    <row r="2172" spans="1:12" s="39" customFormat="1" ht="28.95" customHeight="1" outlineLevel="1" x14ac:dyDescent="0.25">
      <c r="A2172" s="33">
        <v>3</v>
      </c>
      <c r="B2172" s="34" t="s">
        <v>1362</v>
      </c>
      <c r="C2172" s="35" t="s">
        <v>66</v>
      </c>
      <c r="D2172" s="36">
        <v>26.4</v>
      </c>
      <c r="E2172" s="36">
        <v>177.81</v>
      </c>
      <c r="F2172" s="36">
        <f t="shared" si="517"/>
        <v>4694.1840000000002</v>
      </c>
      <c r="G2172" s="37">
        <f t="shared" si="518"/>
        <v>0</v>
      </c>
      <c r="H2172" s="38">
        <f t="shared" si="518"/>
        <v>0</v>
      </c>
      <c r="I2172" s="37">
        <f t="shared" si="519"/>
        <v>0</v>
      </c>
      <c r="J2172" s="38">
        <v>0</v>
      </c>
      <c r="K2172" s="37">
        <f t="shared" si="520"/>
        <v>0</v>
      </c>
      <c r="L2172" s="38">
        <v>0</v>
      </c>
    </row>
    <row r="2173" spans="1:12" s="39" customFormat="1" ht="15.45" customHeight="1" outlineLevel="1" x14ac:dyDescent="0.25">
      <c r="A2173" s="33">
        <v>4</v>
      </c>
      <c r="B2173" s="34" t="s">
        <v>46</v>
      </c>
      <c r="C2173" s="35" t="s">
        <v>30</v>
      </c>
      <c r="D2173" s="36">
        <v>2.56</v>
      </c>
      <c r="E2173" s="36">
        <v>1200.0999999999999</v>
      </c>
      <c r="F2173" s="36">
        <f t="shared" si="517"/>
        <v>3072.2559999999999</v>
      </c>
      <c r="G2173" s="37">
        <f t="shared" si="518"/>
        <v>0</v>
      </c>
      <c r="H2173" s="38">
        <f t="shared" si="518"/>
        <v>0</v>
      </c>
      <c r="I2173" s="37">
        <f t="shared" si="519"/>
        <v>0</v>
      </c>
      <c r="J2173" s="38">
        <v>0</v>
      </c>
      <c r="K2173" s="37">
        <f t="shared" si="520"/>
        <v>0</v>
      </c>
      <c r="L2173" s="38">
        <v>0</v>
      </c>
    </row>
    <row r="2174" spans="1:12" s="39" customFormat="1" ht="15.45" customHeight="1" outlineLevel="1" x14ac:dyDescent="0.25">
      <c r="A2174" s="33">
        <v>6</v>
      </c>
      <c r="B2174" s="34" t="s">
        <v>45</v>
      </c>
      <c r="C2174" s="35" t="s">
        <v>30</v>
      </c>
      <c r="D2174" s="36">
        <v>7.5999999999999998E-2</v>
      </c>
      <c r="E2174" s="36">
        <v>1325.1</v>
      </c>
      <c r="F2174" s="36">
        <f t="shared" si="517"/>
        <v>100.70759999999999</v>
      </c>
      <c r="G2174" s="37">
        <f t="shared" si="518"/>
        <v>0</v>
      </c>
      <c r="H2174" s="38">
        <f t="shared" si="518"/>
        <v>0</v>
      </c>
      <c r="I2174" s="37">
        <f t="shared" si="519"/>
        <v>0</v>
      </c>
      <c r="J2174" s="38">
        <v>0</v>
      </c>
      <c r="K2174" s="37">
        <f t="shared" si="520"/>
        <v>0</v>
      </c>
      <c r="L2174" s="38">
        <v>0</v>
      </c>
    </row>
    <row r="2175" spans="1:12" s="39" customFormat="1" ht="15.45" customHeight="1" outlineLevel="1" x14ac:dyDescent="0.25">
      <c r="A2175" s="33">
        <v>7</v>
      </c>
      <c r="B2175" s="34" t="s">
        <v>46</v>
      </c>
      <c r="C2175" s="35" t="s">
        <v>30</v>
      </c>
      <c r="D2175" s="36">
        <v>3.5019999999999998</v>
      </c>
      <c r="E2175" s="36">
        <v>1200.0999999999999</v>
      </c>
      <c r="F2175" s="36">
        <f t="shared" si="517"/>
        <v>4202.7501999999995</v>
      </c>
      <c r="G2175" s="37">
        <f t="shared" si="518"/>
        <v>0</v>
      </c>
      <c r="H2175" s="38">
        <f t="shared" si="518"/>
        <v>0</v>
      </c>
      <c r="I2175" s="37">
        <f t="shared" si="519"/>
        <v>0</v>
      </c>
      <c r="J2175" s="38">
        <v>0</v>
      </c>
      <c r="K2175" s="37">
        <f t="shared" si="520"/>
        <v>0</v>
      </c>
      <c r="L2175" s="38">
        <v>0</v>
      </c>
    </row>
    <row r="2176" spans="1:12" s="39" customFormat="1" ht="15.45" customHeight="1" outlineLevel="1" x14ac:dyDescent="0.25">
      <c r="A2176" s="31" t="s">
        <v>76</v>
      </c>
      <c r="B2176" s="40" t="s">
        <v>77</v>
      </c>
      <c r="C2176" s="41">
        <v>0</v>
      </c>
      <c r="D2176" s="42"/>
      <c r="E2176" s="42"/>
      <c r="F2176" s="42"/>
      <c r="G2176" s="43"/>
      <c r="H2176" s="44"/>
      <c r="I2176" s="43"/>
      <c r="J2176" s="44"/>
      <c r="K2176" s="43"/>
      <c r="L2176" s="44">
        <v>0</v>
      </c>
    </row>
    <row r="2177" spans="1:12" s="39" customFormat="1" ht="15.45" customHeight="1" outlineLevel="1" x14ac:dyDescent="0.25">
      <c r="A2177" s="33">
        <v>1</v>
      </c>
      <c r="B2177" s="34" t="s">
        <v>41</v>
      </c>
      <c r="C2177" s="35" t="s">
        <v>66</v>
      </c>
      <c r="D2177" s="36">
        <v>10.641999999999999</v>
      </c>
      <c r="E2177" s="36">
        <v>36.616</v>
      </c>
      <c r="F2177" s="36">
        <f t="shared" ref="F2177:F2182" si="521">+E2177*D2177</f>
        <v>389.66747199999998</v>
      </c>
      <c r="G2177" s="37">
        <f t="shared" ref="G2177:H2182" si="522">I2177+K2177</f>
        <v>0</v>
      </c>
      <c r="H2177" s="38">
        <f t="shared" si="522"/>
        <v>0</v>
      </c>
      <c r="I2177" s="37">
        <f t="shared" ref="I2177:I2182" si="523">J2177/F2177</f>
        <v>0</v>
      </c>
      <c r="J2177" s="38">
        <v>0</v>
      </c>
      <c r="K2177" s="37">
        <f t="shared" ref="K2177:K2182" si="524">L2177/F2177</f>
        <v>0</v>
      </c>
      <c r="L2177" s="38">
        <v>0</v>
      </c>
    </row>
    <row r="2178" spans="1:12" s="39" customFormat="1" ht="15.45" customHeight="1" outlineLevel="1" x14ac:dyDescent="0.25">
      <c r="A2178" s="33">
        <v>2</v>
      </c>
      <c r="B2178" s="34" t="s">
        <v>1361</v>
      </c>
      <c r="C2178" s="35" t="s">
        <v>66</v>
      </c>
      <c r="D2178" s="36">
        <v>5.01</v>
      </c>
      <c r="E2178" s="36">
        <v>124.1</v>
      </c>
      <c r="F2178" s="36">
        <f t="shared" si="521"/>
        <v>621.74099999999999</v>
      </c>
      <c r="G2178" s="37">
        <f t="shared" si="522"/>
        <v>0</v>
      </c>
      <c r="H2178" s="38">
        <f t="shared" si="522"/>
        <v>0</v>
      </c>
      <c r="I2178" s="37">
        <f t="shared" si="523"/>
        <v>0</v>
      </c>
      <c r="J2178" s="38">
        <v>0</v>
      </c>
      <c r="K2178" s="37">
        <f t="shared" si="524"/>
        <v>0</v>
      </c>
      <c r="L2178" s="38">
        <v>0</v>
      </c>
    </row>
    <row r="2179" spans="1:12" s="45" customFormat="1" ht="28.95" customHeight="1" x14ac:dyDescent="0.3">
      <c r="A2179" s="33">
        <v>3</v>
      </c>
      <c r="B2179" s="34" t="s">
        <v>1362</v>
      </c>
      <c r="C2179" s="35" t="s">
        <v>66</v>
      </c>
      <c r="D2179" s="36">
        <v>29.25</v>
      </c>
      <c r="E2179" s="36">
        <v>177.81</v>
      </c>
      <c r="F2179" s="36">
        <f t="shared" si="521"/>
        <v>5200.9425000000001</v>
      </c>
      <c r="G2179" s="37">
        <f t="shared" si="522"/>
        <v>0</v>
      </c>
      <c r="H2179" s="38">
        <f t="shared" si="522"/>
        <v>0</v>
      </c>
      <c r="I2179" s="37">
        <f t="shared" si="523"/>
        <v>0</v>
      </c>
      <c r="J2179" s="38">
        <v>0</v>
      </c>
      <c r="K2179" s="37">
        <f t="shared" si="524"/>
        <v>0</v>
      </c>
      <c r="L2179" s="38">
        <v>0</v>
      </c>
    </row>
    <row r="2180" spans="1:12" s="39" customFormat="1" ht="15.45" customHeight="1" outlineLevel="1" x14ac:dyDescent="0.25">
      <c r="A2180" s="33">
        <v>4</v>
      </c>
      <c r="B2180" s="34" t="s">
        <v>46</v>
      </c>
      <c r="C2180" s="35" t="s">
        <v>30</v>
      </c>
      <c r="D2180" s="36">
        <v>2.6829999999999998</v>
      </c>
      <c r="E2180" s="36">
        <v>1200.0999999999999</v>
      </c>
      <c r="F2180" s="36">
        <f t="shared" si="521"/>
        <v>3219.8682999999996</v>
      </c>
      <c r="G2180" s="37">
        <f t="shared" si="522"/>
        <v>0</v>
      </c>
      <c r="H2180" s="38">
        <f t="shared" si="522"/>
        <v>0</v>
      </c>
      <c r="I2180" s="37">
        <f t="shared" si="523"/>
        <v>0</v>
      </c>
      <c r="J2180" s="38">
        <v>0</v>
      </c>
      <c r="K2180" s="37">
        <f t="shared" si="524"/>
        <v>0</v>
      </c>
      <c r="L2180" s="38">
        <v>0</v>
      </c>
    </row>
    <row r="2181" spans="1:12" s="39" customFormat="1" ht="15.45" customHeight="1" outlineLevel="1" x14ac:dyDescent="0.25">
      <c r="A2181" s="33">
        <v>6</v>
      </c>
      <c r="B2181" s="34" t="s">
        <v>45</v>
      </c>
      <c r="C2181" s="35" t="s">
        <v>30</v>
      </c>
      <c r="D2181" s="36">
        <v>7.0000000000000007E-2</v>
      </c>
      <c r="E2181" s="36">
        <v>1325.1</v>
      </c>
      <c r="F2181" s="36">
        <f t="shared" si="521"/>
        <v>92.757000000000005</v>
      </c>
      <c r="G2181" s="37">
        <f t="shared" si="522"/>
        <v>0</v>
      </c>
      <c r="H2181" s="38">
        <f t="shared" si="522"/>
        <v>0</v>
      </c>
      <c r="I2181" s="37">
        <f t="shared" si="523"/>
        <v>0</v>
      </c>
      <c r="J2181" s="38">
        <v>0</v>
      </c>
      <c r="K2181" s="37">
        <f t="shared" si="524"/>
        <v>0</v>
      </c>
      <c r="L2181" s="38">
        <v>0</v>
      </c>
    </row>
    <row r="2182" spans="1:12" s="39" customFormat="1" ht="15.45" customHeight="1" outlineLevel="1" x14ac:dyDescent="0.25">
      <c r="A2182" s="33">
        <v>7</v>
      </c>
      <c r="B2182" s="34" t="s">
        <v>46</v>
      </c>
      <c r="C2182" s="35" t="s">
        <v>30</v>
      </c>
      <c r="D2182" s="36">
        <v>3.3079999999999998</v>
      </c>
      <c r="E2182" s="36">
        <v>1200.0999999999999</v>
      </c>
      <c r="F2182" s="36">
        <f t="shared" si="521"/>
        <v>3969.9307999999996</v>
      </c>
      <c r="G2182" s="37">
        <f t="shared" si="522"/>
        <v>0</v>
      </c>
      <c r="H2182" s="38">
        <f t="shared" si="522"/>
        <v>0</v>
      </c>
      <c r="I2182" s="37">
        <f t="shared" si="523"/>
        <v>0</v>
      </c>
      <c r="J2182" s="38">
        <v>0</v>
      </c>
      <c r="K2182" s="37">
        <f t="shared" si="524"/>
        <v>0</v>
      </c>
      <c r="L2182" s="38">
        <v>0</v>
      </c>
    </row>
    <row r="2183" spans="1:12" s="39" customFormat="1" ht="15.45" customHeight="1" outlineLevel="1" x14ac:dyDescent="0.25">
      <c r="A2183" s="31" t="s">
        <v>78</v>
      </c>
      <c r="B2183" s="40" t="s">
        <v>79</v>
      </c>
      <c r="C2183" s="41">
        <v>0</v>
      </c>
      <c r="D2183" s="42"/>
      <c r="E2183" s="42"/>
      <c r="F2183" s="42"/>
      <c r="G2183" s="43"/>
      <c r="H2183" s="44"/>
      <c r="I2183" s="43"/>
      <c r="J2183" s="44"/>
      <c r="K2183" s="43"/>
      <c r="L2183" s="44">
        <v>0</v>
      </c>
    </row>
    <row r="2184" spans="1:12" s="39" customFormat="1" ht="15.45" customHeight="1" outlineLevel="1" x14ac:dyDescent="0.25">
      <c r="A2184" s="33">
        <v>1</v>
      </c>
      <c r="B2184" s="34" t="s">
        <v>41</v>
      </c>
      <c r="C2184" s="35" t="s">
        <v>66</v>
      </c>
      <c r="D2184" s="36">
        <v>10.199999999999999</v>
      </c>
      <c r="E2184" s="36">
        <v>36.616</v>
      </c>
      <c r="F2184" s="36">
        <f t="shared" ref="F2184:F2189" si="525">+E2184*D2184</f>
        <v>373.48319999999995</v>
      </c>
      <c r="G2184" s="37">
        <f t="shared" ref="G2184:H2189" si="526">I2184+K2184</f>
        <v>0</v>
      </c>
      <c r="H2184" s="38">
        <f t="shared" si="526"/>
        <v>0</v>
      </c>
      <c r="I2184" s="37">
        <f t="shared" ref="I2184:I2189" si="527">J2184/F2184</f>
        <v>0</v>
      </c>
      <c r="J2184" s="38">
        <v>0</v>
      </c>
      <c r="K2184" s="37">
        <f t="shared" ref="K2184:K2189" si="528">L2184/F2184</f>
        <v>0</v>
      </c>
      <c r="L2184" s="38">
        <v>0</v>
      </c>
    </row>
    <row r="2185" spans="1:12" s="39" customFormat="1" ht="15.45" customHeight="1" outlineLevel="1" x14ac:dyDescent="0.25">
      <c r="A2185" s="33">
        <v>2</v>
      </c>
      <c r="B2185" s="34" t="s">
        <v>1361</v>
      </c>
      <c r="C2185" s="35" t="s">
        <v>66</v>
      </c>
      <c r="D2185" s="36">
        <v>4.8</v>
      </c>
      <c r="E2185" s="36">
        <v>124.1</v>
      </c>
      <c r="F2185" s="36">
        <f t="shared" si="525"/>
        <v>595.67999999999995</v>
      </c>
      <c r="G2185" s="37">
        <f t="shared" si="526"/>
        <v>0</v>
      </c>
      <c r="H2185" s="38">
        <f t="shared" si="526"/>
        <v>0</v>
      </c>
      <c r="I2185" s="37">
        <f t="shared" si="527"/>
        <v>0</v>
      </c>
      <c r="J2185" s="38">
        <v>0</v>
      </c>
      <c r="K2185" s="37">
        <f t="shared" si="528"/>
        <v>0</v>
      </c>
      <c r="L2185" s="38">
        <v>0</v>
      </c>
    </row>
    <row r="2186" spans="1:12" s="39" customFormat="1" ht="28.95" customHeight="1" outlineLevel="1" x14ac:dyDescent="0.25">
      <c r="A2186" s="33">
        <v>3</v>
      </c>
      <c r="B2186" s="34" t="s">
        <v>1362</v>
      </c>
      <c r="C2186" s="35" t="s">
        <v>66</v>
      </c>
      <c r="D2186" s="36">
        <v>29.16</v>
      </c>
      <c r="E2186" s="36">
        <v>177.81</v>
      </c>
      <c r="F2186" s="36">
        <f t="shared" si="525"/>
        <v>5184.9395999999997</v>
      </c>
      <c r="G2186" s="37">
        <f t="shared" si="526"/>
        <v>0</v>
      </c>
      <c r="H2186" s="38">
        <f t="shared" si="526"/>
        <v>0</v>
      </c>
      <c r="I2186" s="37">
        <f t="shared" si="527"/>
        <v>0</v>
      </c>
      <c r="J2186" s="38">
        <v>0</v>
      </c>
      <c r="K2186" s="37">
        <f t="shared" si="528"/>
        <v>0</v>
      </c>
      <c r="L2186" s="38">
        <v>0</v>
      </c>
    </row>
    <row r="2187" spans="1:12" s="45" customFormat="1" ht="15.45" customHeight="1" x14ac:dyDescent="0.3">
      <c r="A2187" s="33">
        <v>4</v>
      </c>
      <c r="B2187" s="34" t="s">
        <v>46</v>
      </c>
      <c r="C2187" s="35" t="s">
        <v>30</v>
      </c>
      <c r="D2187" s="36">
        <v>2.5960000000000001</v>
      </c>
      <c r="E2187" s="36">
        <v>1200.0999999999999</v>
      </c>
      <c r="F2187" s="36">
        <f t="shared" si="525"/>
        <v>3115.4595999999997</v>
      </c>
      <c r="G2187" s="37">
        <f t="shared" si="526"/>
        <v>0</v>
      </c>
      <c r="H2187" s="38">
        <f t="shared" si="526"/>
        <v>0</v>
      </c>
      <c r="I2187" s="37">
        <f t="shared" si="527"/>
        <v>0</v>
      </c>
      <c r="J2187" s="38">
        <v>0</v>
      </c>
      <c r="K2187" s="37">
        <f t="shared" si="528"/>
        <v>0</v>
      </c>
      <c r="L2187" s="38">
        <v>0</v>
      </c>
    </row>
    <row r="2188" spans="1:12" s="46" customFormat="1" ht="15.45" customHeight="1" outlineLevel="1" x14ac:dyDescent="0.35">
      <c r="A2188" s="33">
        <v>6</v>
      </c>
      <c r="B2188" s="34" t="s">
        <v>45</v>
      </c>
      <c r="C2188" s="35" t="s">
        <v>30</v>
      </c>
      <c r="D2188" s="36">
        <v>0.22</v>
      </c>
      <c r="E2188" s="36">
        <v>1325.1</v>
      </c>
      <c r="F2188" s="36">
        <f t="shared" si="525"/>
        <v>291.52199999999999</v>
      </c>
      <c r="G2188" s="37">
        <f t="shared" si="526"/>
        <v>0</v>
      </c>
      <c r="H2188" s="38">
        <f t="shared" si="526"/>
        <v>0</v>
      </c>
      <c r="I2188" s="37">
        <f t="shared" si="527"/>
        <v>0</v>
      </c>
      <c r="J2188" s="38">
        <v>0</v>
      </c>
      <c r="K2188" s="37">
        <f t="shared" si="528"/>
        <v>0</v>
      </c>
      <c r="L2188" s="38">
        <v>0</v>
      </c>
    </row>
    <row r="2189" spans="1:12" s="39" customFormat="1" ht="15.45" customHeight="1" outlineLevel="1" x14ac:dyDescent="0.25">
      <c r="A2189" s="33">
        <v>7</v>
      </c>
      <c r="B2189" s="34" t="s">
        <v>46</v>
      </c>
      <c r="C2189" s="35" t="s">
        <v>30</v>
      </c>
      <c r="D2189" s="36">
        <v>3.3719999999999999</v>
      </c>
      <c r="E2189" s="36">
        <v>1200.0999999999999</v>
      </c>
      <c r="F2189" s="36">
        <f t="shared" si="525"/>
        <v>4046.7371999999996</v>
      </c>
      <c r="G2189" s="37">
        <f t="shared" si="526"/>
        <v>0</v>
      </c>
      <c r="H2189" s="38">
        <f t="shared" si="526"/>
        <v>0</v>
      </c>
      <c r="I2189" s="37">
        <f t="shared" si="527"/>
        <v>0</v>
      </c>
      <c r="J2189" s="38">
        <v>0</v>
      </c>
      <c r="K2189" s="37">
        <f t="shared" si="528"/>
        <v>0</v>
      </c>
      <c r="L2189" s="38">
        <v>0</v>
      </c>
    </row>
    <row r="2190" spans="1:12" s="39" customFormat="1" ht="15.45" customHeight="1" outlineLevel="1" x14ac:dyDescent="0.25">
      <c r="A2190" s="31" t="s">
        <v>80</v>
      </c>
      <c r="B2190" s="40" t="s">
        <v>81</v>
      </c>
      <c r="C2190" s="41">
        <v>0</v>
      </c>
      <c r="D2190" s="42"/>
      <c r="E2190" s="42"/>
      <c r="F2190" s="42"/>
      <c r="G2190" s="43"/>
      <c r="H2190" s="44"/>
      <c r="I2190" s="43"/>
      <c r="J2190" s="44"/>
      <c r="K2190" s="43"/>
      <c r="L2190" s="44">
        <v>0</v>
      </c>
    </row>
    <row r="2191" spans="1:12" s="39" customFormat="1" ht="15.45" customHeight="1" outlineLevel="1" x14ac:dyDescent="0.25">
      <c r="A2191" s="33">
        <v>1</v>
      </c>
      <c r="B2191" s="34" t="s">
        <v>41</v>
      </c>
      <c r="C2191" s="35" t="s">
        <v>66</v>
      </c>
      <c r="D2191" s="36">
        <v>11.3</v>
      </c>
      <c r="E2191" s="36">
        <v>36.616</v>
      </c>
      <c r="F2191" s="36">
        <f t="shared" ref="F2191:F2196" si="529">+E2191*D2191</f>
        <v>413.76080000000002</v>
      </c>
      <c r="G2191" s="37">
        <f t="shared" ref="G2191:H2196" si="530">I2191+K2191</f>
        <v>0</v>
      </c>
      <c r="H2191" s="38">
        <f t="shared" si="530"/>
        <v>0</v>
      </c>
      <c r="I2191" s="37">
        <f t="shared" ref="I2191:I2196" si="531">J2191/F2191</f>
        <v>0</v>
      </c>
      <c r="J2191" s="38">
        <v>0</v>
      </c>
      <c r="K2191" s="37">
        <f t="shared" ref="K2191:K2196" si="532">L2191/F2191</f>
        <v>0</v>
      </c>
      <c r="L2191" s="38">
        <v>0</v>
      </c>
    </row>
    <row r="2192" spans="1:12" s="39" customFormat="1" ht="15.45" customHeight="1" outlineLevel="1" x14ac:dyDescent="0.25">
      <c r="A2192" s="33">
        <v>2</v>
      </c>
      <c r="B2192" s="34" t="s">
        <v>1361</v>
      </c>
      <c r="C2192" s="35" t="s">
        <v>66</v>
      </c>
      <c r="D2192" s="36">
        <v>5.3</v>
      </c>
      <c r="E2192" s="36">
        <v>124.1</v>
      </c>
      <c r="F2192" s="36">
        <f t="shared" si="529"/>
        <v>657.7299999999999</v>
      </c>
      <c r="G2192" s="37">
        <f t="shared" si="530"/>
        <v>0</v>
      </c>
      <c r="H2192" s="38">
        <f t="shared" si="530"/>
        <v>0</v>
      </c>
      <c r="I2192" s="37">
        <f t="shared" si="531"/>
        <v>0</v>
      </c>
      <c r="J2192" s="38">
        <v>0</v>
      </c>
      <c r="K2192" s="37">
        <f t="shared" si="532"/>
        <v>0</v>
      </c>
      <c r="L2192" s="38">
        <v>0</v>
      </c>
    </row>
    <row r="2193" spans="1:12" s="39" customFormat="1" ht="28.95" customHeight="1" outlineLevel="1" x14ac:dyDescent="0.25">
      <c r="A2193" s="33">
        <v>3</v>
      </c>
      <c r="B2193" s="34" t="s">
        <v>1362</v>
      </c>
      <c r="C2193" s="35" t="s">
        <v>66</v>
      </c>
      <c r="D2193" s="36">
        <v>51.84</v>
      </c>
      <c r="E2193" s="36">
        <v>177.81</v>
      </c>
      <c r="F2193" s="36">
        <f t="shared" si="529"/>
        <v>9217.6704000000009</v>
      </c>
      <c r="G2193" s="37">
        <f t="shared" si="530"/>
        <v>0</v>
      </c>
      <c r="H2193" s="38">
        <f t="shared" si="530"/>
        <v>0</v>
      </c>
      <c r="I2193" s="37">
        <f t="shared" si="531"/>
        <v>0</v>
      </c>
      <c r="J2193" s="38">
        <v>0</v>
      </c>
      <c r="K2193" s="37">
        <f t="shared" si="532"/>
        <v>0</v>
      </c>
      <c r="L2193" s="38">
        <v>0</v>
      </c>
    </row>
    <row r="2194" spans="1:12" s="39" customFormat="1" ht="15.45" customHeight="1" outlineLevel="1" x14ac:dyDescent="0.25">
      <c r="A2194" s="33">
        <v>4</v>
      </c>
      <c r="B2194" s="34" t="s">
        <v>46</v>
      </c>
      <c r="C2194" s="35" t="s">
        <v>30</v>
      </c>
      <c r="D2194" s="36">
        <v>3.7130000000000001</v>
      </c>
      <c r="E2194" s="36">
        <v>1200.0999999999999</v>
      </c>
      <c r="F2194" s="36">
        <f t="shared" si="529"/>
        <v>4455.9713000000002</v>
      </c>
      <c r="G2194" s="37">
        <f t="shared" si="530"/>
        <v>0</v>
      </c>
      <c r="H2194" s="38">
        <f t="shared" si="530"/>
        <v>0</v>
      </c>
      <c r="I2194" s="37">
        <f t="shared" si="531"/>
        <v>0</v>
      </c>
      <c r="J2194" s="38">
        <v>0</v>
      </c>
      <c r="K2194" s="37">
        <f t="shared" si="532"/>
        <v>0</v>
      </c>
      <c r="L2194" s="38">
        <v>0</v>
      </c>
    </row>
    <row r="2195" spans="1:12" s="45" customFormat="1" ht="15.45" customHeight="1" x14ac:dyDescent="0.3">
      <c r="A2195" s="33">
        <v>6</v>
      </c>
      <c r="B2195" s="34" t="s">
        <v>45</v>
      </c>
      <c r="C2195" s="35" t="s">
        <v>30</v>
      </c>
      <c r="D2195" s="36">
        <v>0.11799999999999999</v>
      </c>
      <c r="E2195" s="36">
        <v>1325.1</v>
      </c>
      <c r="F2195" s="36">
        <f t="shared" si="529"/>
        <v>156.36179999999999</v>
      </c>
      <c r="G2195" s="37">
        <f t="shared" si="530"/>
        <v>0</v>
      </c>
      <c r="H2195" s="38">
        <f t="shared" si="530"/>
        <v>0</v>
      </c>
      <c r="I2195" s="37">
        <f t="shared" si="531"/>
        <v>0</v>
      </c>
      <c r="J2195" s="38">
        <v>0</v>
      </c>
      <c r="K2195" s="37">
        <f t="shared" si="532"/>
        <v>0</v>
      </c>
      <c r="L2195" s="38">
        <v>0</v>
      </c>
    </row>
    <row r="2196" spans="1:12" s="39" customFormat="1" ht="15.45" customHeight="1" outlineLevel="1" x14ac:dyDescent="0.25">
      <c r="A2196" s="33">
        <v>7</v>
      </c>
      <c r="B2196" s="34" t="s">
        <v>46</v>
      </c>
      <c r="C2196" s="35" t="s">
        <v>30</v>
      </c>
      <c r="D2196" s="36">
        <v>3.992</v>
      </c>
      <c r="E2196" s="36">
        <v>1200.0999999999999</v>
      </c>
      <c r="F2196" s="36">
        <f t="shared" si="529"/>
        <v>4790.7991999999995</v>
      </c>
      <c r="G2196" s="37">
        <f t="shared" si="530"/>
        <v>0</v>
      </c>
      <c r="H2196" s="38">
        <f t="shared" si="530"/>
        <v>0</v>
      </c>
      <c r="I2196" s="37">
        <f t="shared" si="531"/>
        <v>0</v>
      </c>
      <c r="J2196" s="38">
        <v>0</v>
      </c>
      <c r="K2196" s="37">
        <f t="shared" si="532"/>
        <v>0</v>
      </c>
      <c r="L2196" s="38">
        <v>0</v>
      </c>
    </row>
    <row r="2197" spans="1:12" s="39" customFormat="1" ht="15.45" customHeight="1" outlineLevel="1" x14ac:dyDescent="0.25">
      <c r="A2197" s="31" t="s">
        <v>82</v>
      </c>
      <c r="B2197" s="40" t="s">
        <v>83</v>
      </c>
      <c r="C2197" s="41">
        <v>0</v>
      </c>
      <c r="D2197" s="42"/>
      <c r="E2197" s="42"/>
      <c r="F2197" s="42"/>
      <c r="G2197" s="43"/>
      <c r="H2197" s="44"/>
      <c r="I2197" s="43"/>
      <c r="J2197" s="44"/>
      <c r="K2197" s="43"/>
      <c r="L2197" s="44">
        <v>0</v>
      </c>
    </row>
    <row r="2198" spans="1:12" s="39" customFormat="1" ht="15.45" customHeight="1" outlineLevel="1" x14ac:dyDescent="0.25">
      <c r="A2198" s="33">
        <v>1</v>
      </c>
      <c r="B2198" s="34" t="s">
        <v>41</v>
      </c>
      <c r="C2198" s="35" t="s">
        <v>66</v>
      </c>
      <c r="D2198" s="36">
        <v>10.199999999999999</v>
      </c>
      <c r="E2198" s="36">
        <v>36.616</v>
      </c>
      <c r="F2198" s="36">
        <f t="shared" ref="F2198:F2203" si="533">+E2198*D2198</f>
        <v>373.48319999999995</v>
      </c>
      <c r="G2198" s="37">
        <f t="shared" ref="G2198:H2203" si="534">I2198+K2198</f>
        <v>0</v>
      </c>
      <c r="H2198" s="38">
        <f t="shared" si="534"/>
        <v>0</v>
      </c>
      <c r="I2198" s="37">
        <f t="shared" ref="I2198:I2203" si="535">J2198/F2198</f>
        <v>0</v>
      </c>
      <c r="J2198" s="38">
        <v>0</v>
      </c>
      <c r="K2198" s="37">
        <f t="shared" ref="K2198:K2203" si="536">L2198/F2198</f>
        <v>0</v>
      </c>
      <c r="L2198" s="38">
        <v>0</v>
      </c>
    </row>
    <row r="2199" spans="1:12" s="39" customFormat="1" ht="15.45" customHeight="1" outlineLevel="1" x14ac:dyDescent="0.25">
      <c r="A2199" s="33">
        <v>2</v>
      </c>
      <c r="B2199" s="34" t="s">
        <v>1361</v>
      </c>
      <c r="C2199" s="35" t="s">
        <v>66</v>
      </c>
      <c r="D2199" s="36">
        <v>4.8</v>
      </c>
      <c r="E2199" s="36">
        <v>124.1</v>
      </c>
      <c r="F2199" s="36">
        <f t="shared" si="533"/>
        <v>595.67999999999995</v>
      </c>
      <c r="G2199" s="37">
        <f t="shared" si="534"/>
        <v>0</v>
      </c>
      <c r="H2199" s="38">
        <f t="shared" si="534"/>
        <v>0</v>
      </c>
      <c r="I2199" s="37">
        <f t="shared" si="535"/>
        <v>0</v>
      </c>
      <c r="J2199" s="38">
        <v>0</v>
      </c>
      <c r="K2199" s="37">
        <f t="shared" si="536"/>
        <v>0</v>
      </c>
      <c r="L2199" s="38">
        <v>0</v>
      </c>
    </row>
    <row r="2200" spans="1:12" s="39" customFormat="1" ht="28.95" customHeight="1" outlineLevel="1" x14ac:dyDescent="0.25">
      <c r="A2200" s="33">
        <v>3</v>
      </c>
      <c r="B2200" s="34" t="s">
        <v>1362</v>
      </c>
      <c r="C2200" s="35" t="s">
        <v>66</v>
      </c>
      <c r="D2200" s="36">
        <v>59.36</v>
      </c>
      <c r="E2200" s="36">
        <v>177.81</v>
      </c>
      <c r="F2200" s="36">
        <f t="shared" si="533"/>
        <v>10554.801600000001</v>
      </c>
      <c r="G2200" s="37">
        <f t="shared" si="534"/>
        <v>0</v>
      </c>
      <c r="H2200" s="38">
        <f t="shared" si="534"/>
        <v>0</v>
      </c>
      <c r="I2200" s="37">
        <f t="shared" si="535"/>
        <v>0</v>
      </c>
      <c r="J2200" s="38">
        <v>0</v>
      </c>
      <c r="K2200" s="37">
        <f t="shared" si="536"/>
        <v>0</v>
      </c>
      <c r="L2200" s="38">
        <v>0</v>
      </c>
    </row>
    <row r="2201" spans="1:12" s="39" customFormat="1" ht="15.45" customHeight="1" outlineLevel="1" x14ac:dyDescent="0.25">
      <c r="A2201" s="33">
        <v>4</v>
      </c>
      <c r="B2201" s="34" t="s">
        <v>46</v>
      </c>
      <c r="C2201" s="35" t="s">
        <v>30</v>
      </c>
      <c r="D2201" s="36">
        <v>2.44</v>
      </c>
      <c r="E2201" s="36">
        <v>1200.0999999999999</v>
      </c>
      <c r="F2201" s="36">
        <f t="shared" si="533"/>
        <v>2928.2439999999997</v>
      </c>
      <c r="G2201" s="37">
        <f t="shared" si="534"/>
        <v>0</v>
      </c>
      <c r="H2201" s="38">
        <f t="shared" si="534"/>
        <v>0</v>
      </c>
      <c r="I2201" s="37">
        <f t="shared" si="535"/>
        <v>0</v>
      </c>
      <c r="J2201" s="38">
        <v>0</v>
      </c>
      <c r="K2201" s="37">
        <f t="shared" si="536"/>
        <v>0</v>
      </c>
      <c r="L2201" s="38">
        <v>0</v>
      </c>
    </row>
    <row r="2202" spans="1:12" s="39" customFormat="1" ht="15.45" customHeight="1" outlineLevel="1" x14ac:dyDescent="0.25">
      <c r="A2202" s="33">
        <v>6</v>
      </c>
      <c r="B2202" s="34" t="s">
        <v>45</v>
      </c>
      <c r="C2202" s="35" t="s">
        <v>30</v>
      </c>
      <c r="D2202" s="36">
        <v>0.17699999999999999</v>
      </c>
      <c r="E2202" s="36">
        <v>1325.1</v>
      </c>
      <c r="F2202" s="36">
        <f t="shared" si="533"/>
        <v>234.54269999999997</v>
      </c>
      <c r="G2202" s="37">
        <f t="shared" si="534"/>
        <v>0</v>
      </c>
      <c r="H2202" s="38">
        <f t="shared" si="534"/>
        <v>0</v>
      </c>
      <c r="I2202" s="37">
        <f t="shared" si="535"/>
        <v>0</v>
      </c>
      <c r="J2202" s="38">
        <v>0</v>
      </c>
      <c r="K2202" s="37">
        <f t="shared" si="536"/>
        <v>0</v>
      </c>
      <c r="L2202" s="38">
        <v>0</v>
      </c>
    </row>
    <row r="2203" spans="1:12" s="45" customFormat="1" ht="15.45" customHeight="1" x14ac:dyDescent="0.3">
      <c r="A2203" s="33">
        <v>7</v>
      </c>
      <c r="B2203" s="34" t="s">
        <v>46</v>
      </c>
      <c r="C2203" s="35" t="s">
        <v>30</v>
      </c>
      <c r="D2203" s="36">
        <v>5.9649999999999999</v>
      </c>
      <c r="E2203" s="36">
        <v>1200.0999999999999</v>
      </c>
      <c r="F2203" s="36">
        <f t="shared" si="533"/>
        <v>7158.5964999999997</v>
      </c>
      <c r="G2203" s="37">
        <f t="shared" si="534"/>
        <v>0</v>
      </c>
      <c r="H2203" s="38">
        <f t="shared" si="534"/>
        <v>0</v>
      </c>
      <c r="I2203" s="37">
        <f t="shared" si="535"/>
        <v>0</v>
      </c>
      <c r="J2203" s="38">
        <v>0</v>
      </c>
      <c r="K2203" s="37">
        <f t="shared" si="536"/>
        <v>0</v>
      </c>
      <c r="L2203" s="38">
        <v>0</v>
      </c>
    </row>
    <row r="2204" spans="1:12" s="39" customFormat="1" ht="15.45" customHeight="1" outlineLevel="1" x14ac:dyDescent="0.25">
      <c r="A2204" s="31" t="s">
        <v>84</v>
      </c>
      <c r="B2204" s="40" t="s">
        <v>85</v>
      </c>
      <c r="C2204" s="41">
        <v>0</v>
      </c>
      <c r="D2204" s="42"/>
      <c r="E2204" s="42"/>
      <c r="F2204" s="42"/>
      <c r="G2204" s="43"/>
      <c r="H2204" s="44"/>
      <c r="I2204" s="43"/>
      <c r="J2204" s="44"/>
      <c r="K2204" s="43"/>
      <c r="L2204" s="44">
        <v>0</v>
      </c>
    </row>
    <row r="2205" spans="1:12" s="39" customFormat="1" ht="15.45" customHeight="1" outlineLevel="1" x14ac:dyDescent="0.25">
      <c r="A2205" s="33">
        <v>1</v>
      </c>
      <c r="B2205" s="34" t="s">
        <v>41</v>
      </c>
      <c r="C2205" s="35" t="s">
        <v>66</v>
      </c>
      <c r="D2205" s="36">
        <v>30.6</v>
      </c>
      <c r="E2205" s="36">
        <v>36.616</v>
      </c>
      <c r="F2205" s="36">
        <f t="shared" ref="F2205:F2210" si="537">+E2205*D2205</f>
        <v>1120.4496000000001</v>
      </c>
      <c r="G2205" s="37">
        <f t="shared" ref="G2205:H2210" si="538">I2205+K2205</f>
        <v>0</v>
      </c>
      <c r="H2205" s="38">
        <f t="shared" si="538"/>
        <v>0</v>
      </c>
      <c r="I2205" s="37">
        <f t="shared" ref="I2205:I2210" si="539">J2205/F2205</f>
        <v>0</v>
      </c>
      <c r="J2205" s="38">
        <v>0</v>
      </c>
      <c r="K2205" s="37">
        <f t="shared" ref="K2205:K2210" si="540">L2205/F2205</f>
        <v>0</v>
      </c>
      <c r="L2205" s="38">
        <v>0</v>
      </c>
    </row>
    <row r="2206" spans="1:12" s="39" customFormat="1" ht="15.45" customHeight="1" outlineLevel="1" x14ac:dyDescent="0.25">
      <c r="A2206" s="33">
        <v>2</v>
      </c>
      <c r="B2206" s="34" t="s">
        <v>1361</v>
      </c>
      <c r="C2206" s="35" t="s">
        <v>66</v>
      </c>
      <c r="D2206" s="36">
        <v>14.4</v>
      </c>
      <c r="E2206" s="36">
        <v>124.1</v>
      </c>
      <c r="F2206" s="36">
        <f t="shared" si="537"/>
        <v>1787.04</v>
      </c>
      <c r="G2206" s="37">
        <f t="shared" si="538"/>
        <v>0</v>
      </c>
      <c r="H2206" s="38">
        <f t="shared" si="538"/>
        <v>0</v>
      </c>
      <c r="I2206" s="37">
        <f t="shared" si="539"/>
        <v>0</v>
      </c>
      <c r="J2206" s="38">
        <v>0</v>
      </c>
      <c r="K2206" s="37">
        <f t="shared" si="540"/>
        <v>0</v>
      </c>
      <c r="L2206" s="38">
        <v>0</v>
      </c>
    </row>
    <row r="2207" spans="1:12" s="39" customFormat="1" ht="28.95" customHeight="1" outlineLevel="1" x14ac:dyDescent="0.25">
      <c r="A2207" s="33">
        <v>3</v>
      </c>
      <c r="B2207" s="34" t="s">
        <v>1362</v>
      </c>
      <c r="C2207" s="35" t="s">
        <v>66</v>
      </c>
      <c r="D2207" s="36">
        <v>144</v>
      </c>
      <c r="E2207" s="36">
        <v>177.81</v>
      </c>
      <c r="F2207" s="36">
        <f t="shared" si="537"/>
        <v>25604.639999999999</v>
      </c>
      <c r="G2207" s="37">
        <f t="shared" si="538"/>
        <v>0</v>
      </c>
      <c r="H2207" s="38">
        <f t="shared" si="538"/>
        <v>0</v>
      </c>
      <c r="I2207" s="37">
        <f t="shared" si="539"/>
        <v>0</v>
      </c>
      <c r="J2207" s="38">
        <v>0</v>
      </c>
      <c r="K2207" s="37">
        <f t="shared" si="540"/>
        <v>0</v>
      </c>
      <c r="L2207" s="38">
        <v>0</v>
      </c>
    </row>
    <row r="2208" spans="1:12" s="39" customFormat="1" ht="15.45" customHeight="1" outlineLevel="1" x14ac:dyDescent="0.25">
      <c r="A2208" s="33">
        <v>4</v>
      </c>
      <c r="B2208" s="34" t="s">
        <v>46</v>
      </c>
      <c r="C2208" s="35" t="s">
        <v>30</v>
      </c>
      <c r="D2208" s="36">
        <v>9.81</v>
      </c>
      <c r="E2208" s="36">
        <v>1200.0999999999999</v>
      </c>
      <c r="F2208" s="36">
        <f t="shared" si="537"/>
        <v>11772.981</v>
      </c>
      <c r="G2208" s="37">
        <f t="shared" si="538"/>
        <v>0</v>
      </c>
      <c r="H2208" s="38">
        <f t="shared" si="538"/>
        <v>0</v>
      </c>
      <c r="I2208" s="37">
        <f t="shared" si="539"/>
        <v>0</v>
      </c>
      <c r="J2208" s="38">
        <v>0</v>
      </c>
      <c r="K2208" s="37">
        <f t="shared" si="540"/>
        <v>0</v>
      </c>
      <c r="L2208" s="38">
        <v>0</v>
      </c>
    </row>
    <row r="2209" spans="1:12" s="39" customFormat="1" ht="15.45" customHeight="1" outlineLevel="1" x14ac:dyDescent="0.25">
      <c r="A2209" s="33">
        <v>6</v>
      </c>
      <c r="B2209" s="34" t="s">
        <v>45</v>
      </c>
      <c r="C2209" s="35" t="s">
        <v>30</v>
      </c>
      <c r="D2209" s="36">
        <v>0.44800000000000001</v>
      </c>
      <c r="E2209" s="36">
        <v>1325.1</v>
      </c>
      <c r="F2209" s="36">
        <f t="shared" si="537"/>
        <v>593.64479999999992</v>
      </c>
      <c r="G2209" s="37">
        <f t="shared" si="538"/>
        <v>0</v>
      </c>
      <c r="H2209" s="38">
        <f t="shared" si="538"/>
        <v>0</v>
      </c>
      <c r="I2209" s="37">
        <f t="shared" si="539"/>
        <v>0</v>
      </c>
      <c r="J2209" s="38">
        <v>0</v>
      </c>
      <c r="K2209" s="37">
        <f t="shared" si="540"/>
        <v>0</v>
      </c>
      <c r="L2209" s="38">
        <v>0</v>
      </c>
    </row>
    <row r="2210" spans="1:12" s="39" customFormat="1" ht="15.45" customHeight="1" outlineLevel="1" x14ac:dyDescent="0.25">
      <c r="A2210" s="33">
        <v>7</v>
      </c>
      <c r="B2210" s="34" t="s">
        <v>46</v>
      </c>
      <c r="C2210" s="35" t="s">
        <v>30</v>
      </c>
      <c r="D2210" s="36">
        <v>14.976000000000001</v>
      </c>
      <c r="E2210" s="36">
        <v>1200.0999999999999</v>
      </c>
      <c r="F2210" s="36">
        <f t="shared" si="537"/>
        <v>17972.6976</v>
      </c>
      <c r="G2210" s="37">
        <f t="shared" si="538"/>
        <v>0</v>
      </c>
      <c r="H2210" s="38">
        <f t="shared" si="538"/>
        <v>0</v>
      </c>
      <c r="I2210" s="37">
        <f t="shared" si="539"/>
        <v>0</v>
      </c>
      <c r="J2210" s="38">
        <v>0</v>
      </c>
      <c r="K2210" s="37">
        <f t="shared" si="540"/>
        <v>0</v>
      </c>
      <c r="L2210" s="38">
        <v>0</v>
      </c>
    </row>
    <row r="2211" spans="1:12" s="39" customFormat="1" ht="15.45" customHeight="1" outlineLevel="1" x14ac:dyDescent="0.25">
      <c r="A2211" s="31" t="s">
        <v>86</v>
      </c>
      <c r="B2211" s="40" t="s">
        <v>87</v>
      </c>
      <c r="C2211" s="41">
        <v>0</v>
      </c>
      <c r="D2211" s="42"/>
      <c r="E2211" s="42"/>
      <c r="F2211" s="42"/>
      <c r="G2211" s="43"/>
      <c r="H2211" s="44"/>
      <c r="I2211" s="43"/>
      <c r="J2211" s="44"/>
      <c r="K2211" s="43"/>
      <c r="L2211" s="44">
        <v>0</v>
      </c>
    </row>
    <row r="2212" spans="1:12" s="39" customFormat="1" ht="15.45" customHeight="1" outlineLevel="1" x14ac:dyDescent="0.25">
      <c r="A2212" s="33">
        <v>1</v>
      </c>
      <c r="B2212" s="34" t="s">
        <v>41</v>
      </c>
      <c r="C2212" s="35" t="s">
        <v>66</v>
      </c>
      <c r="D2212" s="36">
        <v>10.199999999999999</v>
      </c>
      <c r="E2212" s="36">
        <v>36.616</v>
      </c>
      <c r="F2212" s="36">
        <f t="shared" ref="F2212:F2217" si="541">+E2212*D2212</f>
        <v>373.48319999999995</v>
      </c>
      <c r="G2212" s="37">
        <f t="shared" ref="G2212:H2217" si="542">I2212+K2212</f>
        <v>0</v>
      </c>
      <c r="H2212" s="38">
        <f t="shared" si="542"/>
        <v>0</v>
      </c>
      <c r="I2212" s="37">
        <f t="shared" ref="I2212:I2217" si="543">J2212/F2212</f>
        <v>0</v>
      </c>
      <c r="J2212" s="38">
        <v>0</v>
      </c>
      <c r="K2212" s="37">
        <f t="shared" ref="K2212:K2217" si="544">L2212/F2212</f>
        <v>0</v>
      </c>
      <c r="L2212" s="38">
        <v>0</v>
      </c>
    </row>
    <row r="2213" spans="1:12" s="39" customFormat="1" ht="15.45" customHeight="1" outlineLevel="1" x14ac:dyDescent="0.25">
      <c r="A2213" s="33">
        <v>2</v>
      </c>
      <c r="B2213" s="34" t="s">
        <v>1361</v>
      </c>
      <c r="C2213" s="35" t="s">
        <v>66</v>
      </c>
      <c r="D2213" s="36">
        <v>4.8</v>
      </c>
      <c r="E2213" s="36">
        <v>124.1</v>
      </c>
      <c r="F2213" s="36">
        <f t="shared" si="541"/>
        <v>595.67999999999995</v>
      </c>
      <c r="G2213" s="37">
        <f t="shared" si="542"/>
        <v>0</v>
      </c>
      <c r="H2213" s="38">
        <f t="shared" si="542"/>
        <v>0</v>
      </c>
      <c r="I2213" s="37">
        <f t="shared" si="543"/>
        <v>0</v>
      </c>
      <c r="J2213" s="38">
        <v>0</v>
      </c>
      <c r="K2213" s="37">
        <f t="shared" si="544"/>
        <v>0</v>
      </c>
      <c r="L2213" s="38">
        <v>0</v>
      </c>
    </row>
    <row r="2214" spans="1:12" s="39" customFormat="1" ht="28.95" customHeight="1" outlineLevel="1" x14ac:dyDescent="0.25">
      <c r="A2214" s="33">
        <v>3</v>
      </c>
      <c r="B2214" s="34" t="s">
        <v>1362</v>
      </c>
      <c r="C2214" s="35" t="s">
        <v>66</v>
      </c>
      <c r="D2214" s="36">
        <v>50.56</v>
      </c>
      <c r="E2214" s="36">
        <v>177.81</v>
      </c>
      <c r="F2214" s="36">
        <f t="shared" si="541"/>
        <v>8990.0735999999997</v>
      </c>
      <c r="G2214" s="37">
        <f t="shared" si="542"/>
        <v>0</v>
      </c>
      <c r="H2214" s="38">
        <f t="shared" si="542"/>
        <v>0</v>
      </c>
      <c r="I2214" s="37">
        <f t="shared" si="543"/>
        <v>0</v>
      </c>
      <c r="J2214" s="38">
        <v>0</v>
      </c>
      <c r="K2214" s="37">
        <f t="shared" si="544"/>
        <v>0</v>
      </c>
      <c r="L2214" s="38">
        <v>0</v>
      </c>
    </row>
    <row r="2215" spans="1:12" s="39" customFormat="1" ht="15.45" customHeight="1" outlineLevel="1" x14ac:dyDescent="0.25">
      <c r="A2215" s="33">
        <v>4</v>
      </c>
      <c r="B2215" s="34" t="s">
        <v>46</v>
      </c>
      <c r="C2215" s="35" t="s">
        <v>30</v>
      </c>
      <c r="D2215" s="36">
        <v>3.476</v>
      </c>
      <c r="E2215" s="36">
        <v>1200.0999999999999</v>
      </c>
      <c r="F2215" s="36">
        <f t="shared" si="541"/>
        <v>4171.5475999999999</v>
      </c>
      <c r="G2215" s="37">
        <f t="shared" si="542"/>
        <v>0</v>
      </c>
      <c r="H2215" s="38">
        <f t="shared" si="542"/>
        <v>0</v>
      </c>
      <c r="I2215" s="37">
        <f t="shared" si="543"/>
        <v>0</v>
      </c>
      <c r="J2215" s="38">
        <v>0</v>
      </c>
      <c r="K2215" s="37">
        <f t="shared" si="544"/>
        <v>0</v>
      </c>
      <c r="L2215" s="38">
        <v>0</v>
      </c>
    </row>
    <row r="2216" spans="1:12" s="39" customFormat="1" ht="15.45" customHeight="1" outlineLevel="1" x14ac:dyDescent="0.25">
      <c r="A2216" s="33">
        <v>6</v>
      </c>
      <c r="B2216" s="34" t="s">
        <v>45</v>
      </c>
      <c r="C2216" s="35" t="s">
        <v>30</v>
      </c>
      <c r="D2216" s="36">
        <v>0.14899999999999999</v>
      </c>
      <c r="E2216" s="36">
        <v>1325.1</v>
      </c>
      <c r="F2216" s="36">
        <f t="shared" si="541"/>
        <v>197.43989999999997</v>
      </c>
      <c r="G2216" s="37">
        <f t="shared" si="542"/>
        <v>0</v>
      </c>
      <c r="H2216" s="38">
        <f t="shared" si="542"/>
        <v>0</v>
      </c>
      <c r="I2216" s="37">
        <f t="shared" si="543"/>
        <v>0</v>
      </c>
      <c r="J2216" s="38">
        <v>0</v>
      </c>
      <c r="K2216" s="37">
        <f t="shared" si="544"/>
        <v>0</v>
      </c>
      <c r="L2216" s="38">
        <v>0</v>
      </c>
    </row>
    <row r="2217" spans="1:12" s="39" customFormat="1" ht="15.45" customHeight="1" outlineLevel="1" x14ac:dyDescent="0.25">
      <c r="A2217" s="33">
        <v>7</v>
      </c>
      <c r="B2217" s="34" t="s">
        <v>46</v>
      </c>
      <c r="C2217" s="35" t="s">
        <v>30</v>
      </c>
      <c r="D2217" s="36">
        <v>4.9720000000000004</v>
      </c>
      <c r="E2217" s="36">
        <v>1200.0999999999999</v>
      </c>
      <c r="F2217" s="36">
        <f t="shared" si="541"/>
        <v>5966.8972000000003</v>
      </c>
      <c r="G2217" s="37">
        <f t="shared" si="542"/>
        <v>0</v>
      </c>
      <c r="H2217" s="38">
        <f t="shared" si="542"/>
        <v>0</v>
      </c>
      <c r="I2217" s="37">
        <f t="shared" si="543"/>
        <v>0</v>
      </c>
      <c r="J2217" s="38">
        <v>0</v>
      </c>
      <c r="K2217" s="37">
        <f t="shared" si="544"/>
        <v>0</v>
      </c>
      <c r="L2217" s="38">
        <v>0</v>
      </c>
    </row>
    <row r="2218" spans="1:12" s="39" customFormat="1" ht="15.45" customHeight="1" outlineLevel="1" x14ac:dyDescent="0.25">
      <c r="A2218" s="31" t="s">
        <v>88</v>
      </c>
      <c r="B2218" s="40" t="s">
        <v>89</v>
      </c>
      <c r="C2218" s="41">
        <v>0</v>
      </c>
      <c r="D2218" s="42"/>
      <c r="E2218" s="42"/>
      <c r="F2218" s="42"/>
      <c r="G2218" s="43"/>
      <c r="H2218" s="44"/>
      <c r="I2218" s="43"/>
      <c r="J2218" s="44"/>
      <c r="K2218" s="43"/>
      <c r="L2218" s="44">
        <v>0</v>
      </c>
    </row>
    <row r="2219" spans="1:12" s="39" customFormat="1" ht="15.45" customHeight="1" outlineLevel="1" x14ac:dyDescent="0.25">
      <c r="A2219" s="33">
        <v>1</v>
      </c>
      <c r="B2219" s="34" t="s">
        <v>41</v>
      </c>
      <c r="C2219" s="35" t="s">
        <v>66</v>
      </c>
      <c r="D2219" s="36">
        <v>10.199999999999999</v>
      </c>
      <c r="E2219" s="36">
        <v>36.616</v>
      </c>
      <c r="F2219" s="36">
        <f t="shared" ref="F2219:F2224" si="545">+E2219*D2219</f>
        <v>373.48319999999995</v>
      </c>
      <c r="G2219" s="37">
        <f t="shared" ref="G2219:H2224" si="546">I2219+K2219</f>
        <v>0</v>
      </c>
      <c r="H2219" s="38">
        <f t="shared" si="546"/>
        <v>0</v>
      </c>
      <c r="I2219" s="37">
        <f t="shared" ref="I2219:I2224" si="547">J2219/F2219</f>
        <v>0</v>
      </c>
      <c r="J2219" s="38">
        <v>0</v>
      </c>
      <c r="K2219" s="37">
        <f t="shared" ref="K2219:K2224" si="548">L2219/F2219</f>
        <v>0</v>
      </c>
      <c r="L2219" s="38">
        <v>0</v>
      </c>
    </row>
    <row r="2220" spans="1:12" s="39" customFormat="1" ht="15.45" customHeight="1" outlineLevel="1" x14ac:dyDescent="0.25">
      <c r="A2220" s="33">
        <v>2</v>
      </c>
      <c r="B2220" s="34" t="s">
        <v>1361</v>
      </c>
      <c r="C2220" s="35" t="s">
        <v>66</v>
      </c>
      <c r="D2220" s="36">
        <v>4.8</v>
      </c>
      <c r="E2220" s="36">
        <v>124.1</v>
      </c>
      <c r="F2220" s="36">
        <f t="shared" si="545"/>
        <v>595.67999999999995</v>
      </c>
      <c r="G2220" s="37">
        <f t="shared" si="546"/>
        <v>0</v>
      </c>
      <c r="H2220" s="38">
        <f t="shared" si="546"/>
        <v>0</v>
      </c>
      <c r="I2220" s="37">
        <f t="shared" si="547"/>
        <v>0</v>
      </c>
      <c r="J2220" s="38">
        <v>0</v>
      </c>
      <c r="K2220" s="37">
        <f t="shared" si="548"/>
        <v>0</v>
      </c>
      <c r="L2220" s="38">
        <v>0</v>
      </c>
    </row>
    <row r="2221" spans="1:12" s="45" customFormat="1" ht="28.95" customHeight="1" x14ac:dyDescent="0.3">
      <c r="A2221" s="33">
        <v>3</v>
      </c>
      <c r="B2221" s="34" t="s">
        <v>1362</v>
      </c>
      <c r="C2221" s="35" t="s">
        <v>66</v>
      </c>
      <c r="D2221" s="36">
        <v>53.12</v>
      </c>
      <c r="E2221" s="36">
        <v>177.81</v>
      </c>
      <c r="F2221" s="36">
        <f t="shared" si="545"/>
        <v>9445.2672000000002</v>
      </c>
      <c r="G2221" s="37">
        <f t="shared" si="546"/>
        <v>0</v>
      </c>
      <c r="H2221" s="38">
        <f t="shared" si="546"/>
        <v>0</v>
      </c>
      <c r="I2221" s="37">
        <f t="shared" si="547"/>
        <v>0</v>
      </c>
      <c r="J2221" s="38">
        <v>0</v>
      </c>
      <c r="K2221" s="37">
        <f t="shared" si="548"/>
        <v>0</v>
      </c>
      <c r="L2221" s="38">
        <v>0</v>
      </c>
    </row>
    <row r="2222" spans="1:12" s="39" customFormat="1" ht="15.45" customHeight="1" outlineLevel="1" x14ac:dyDescent="0.25">
      <c r="A2222" s="33">
        <v>4</v>
      </c>
      <c r="B2222" s="34" t="s">
        <v>46</v>
      </c>
      <c r="C2222" s="35" t="s">
        <v>30</v>
      </c>
      <c r="D2222" s="36">
        <v>3.6909999999999998</v>
      </c>
      <c r="E2222" s="36">
        <v>1200.0999999999999</v>
      </c>
      <c r="F2222" s="36">
        <f t="shared" si="545"/>
        <v>4429.5690999999997</v>
      </c>
      <c r="G2222" s="37">
        <f t="shared" si="546"/>
        <v>0</v>
      </c>
      <c r="H2222" s="38">
        <f t="shared" si="546"/>
        <v>0</v>
      </c>
      <c r="I2222" s="37">
        <f t="shared" si="547"/>
        <v>0</v>
      </c>
      <c r="J2222" s="38">
        <v>0</v>
      </c>
      <c r="K2222" s="37">
        <f t="shared" si="548"/>
        <v>0</v>
      </c>
      <c r="L2222" s="38">
        <v>0</v>
      </c>
    </row>
    <row r="2223" spans="1:12" s="46" customFormat="1" ht="15.45" customHeight="1" outlineLevel="1" x14ac:dyDescent="0.35">
      <c r="A2223" s="33">
        <v>6</v>
      </c>
      <c r="B2223" s="34" t="s">
        <v>45</v>
      </c>
      <c r="C2223" s="35" t="s">
        <v>30</v>
      </c>
      <c r="D2223" s="36">
        <v>0.14899999999999999</v>
      </c>
      <c r="E2223" s="36">
        <v>1325.1</v>
      </c>
      <c r="F2223" s="36">
        <f t="shared" si="545"/>
        <v>197.43989999999997</v>
      </c>
      <c r="G2223" s="37">
        <f t="shared" si="546"/>
        <v>0</v>
      </c>
      <c r="H2223" s="38">
        <f t="shared" si="546"/>
        <v>0</v>
      </c>
      <c r="I2223" s="37">
        <f t="shared" si="547"/>
        <v>0</v>
      </c>
      <c r="J2223" s="38">
        <v>0</v>
      </c>
      <c r="K2223" s="37">
        <f t="shared" si="548"/>
        <v>0</v>
      </c>
      <c r="L2223" s="38">
        <v>0</v>
      </c>
    </row>
    <row r="2224" spans="1:12" s="46" customFormat="1" ht="15.45" customHeight="1" outlineLevel="1" x14ac:dyDescent="0.35">
      <c r="A2224" s="33">
        <v>7</v>
      </c>
      <c r="B2224" s="34" t="s">
        <v>46</v>
      </c>
      <c r="C2224" s="35" t="s">
        <v>30</v>
      </c>
      <c r="D2224" s="36">
        <v>4.91</v>
      </c>
      <c r="E2224" s="36">
        <v>1200.0999999999999</v>
      </c>
      <c r="F2224" s="36">
        <f t="shared" si="545"/>
        <v>5892.491</v>
      </c>
      <c r="G2224" s="37">
        <f t="shared" si="546"/>
        <v>0</v>
      </c>
      <c r="H2224" s="38">
        <f t="shared" si="546"/>
        <v>0</v>
      </c>
      <c r="I2224" s="37">
        <f t="shared" si="547"/>
        <v>0</v>
      </c>
      <c r="J2224" s="38">
        <v>0</v>
      </c>
      <c r="K2224" s="37">
        <f t="shared" si="548"/>
        <v>0</v>
      </c>
      <c r="L2224" s="38">
        <v>0</v>
      </c>
    </row>
    <row r="2225" spans="1:12" s="46" customFormat="1" ht="15.45" customHeight="1" outlineLevel="1" x14ac:dyDescent="0.35">
      <c r="A2225" s="31" t="s">
        <v>90</v>
      </c>
      <c r="B2225" s="40" t="s">
        <v>91</v>
      </c>
      <c r="C2225" s="41">
        <v>0</v>
      </c>
      <c r="D2225" s="42"/>
      <c r="E2225" s="42"/>
      <c r="F2225" s="42"/>
      <c r="G2225" s="43"/>
      <c r="H2225" s="44"/>
      <c r="I2225" s="43"/>
      <c r="J2225" s="44"/>
      <c r="K2225" s="43"/>
      <c r="L2225" s="44">
        <v>0</v>
      </c>
    </row>
    <row r="2226" spans="1:12" s="39" customFormat="1" ht="15.45" customHeight="1" outlineLevel="1" x14ac:dyDescent="0.25">
      <c r="A2226" s="33">
        <v>1</v>
      </c>
      <c r="B2226" s="34" t="s">
        <v>41</v>
      </c>
      <c r="C2226" s="35" t="s">
        <v>66</v>
      </c>
      <c r="D2226" s="36">
        <v>5.3719999999999999</v>
      </c>
      <c r="E2226" s="36">
        <v>36.616</v>
      </c>
      <c r="F2226" s="36">
        <f t="shared" ref="F2226:F2231" si="549">+E2226*D2226</f>
        <v>196.70115200000001</v>
      </c>
      <c r="G2226" s="37">
        <f t="shared" ref="G2226:H2231" si="550">I2226+K2226</f>
        <v>0</v>
      </c>
      <c r="H2226" s="38">
        <f t="shared" si="550"/>
        <v>0</v>
      </c>
      <c r="I2226" s="37">
        <f t="shared" ref="I2226:I2231" si="551">J2226/F2226</f>
        <v>0</v>
      </c>
      <c r="J2226" s="38">
        <v>0</v>
      </c>
      <c r="K2226" s="37">
        <f t="shared" ref="K2226:K2231" si="552">L2226/F2226</f>
        <v>0</v>
      </c>
      <c r="L2226" s="38">
        <v>0</v>
      </c>
    </row>
    <row r="2227" spans="1:12" s="39" customFormat="1" ht="15.45" customHeight="1" outlineLevel="1" x14ac:dyDescent="0.25">
      <c r="A2227" s="33">
        <v>2</v>
      </c>
      <c r="B2227" s="34" t="s">
        <v>1361</v>
      </c>
      <c r="C2227" s="35" t="s">
        <v>66</v>
      </c>
      <c r="D2227" s="36">
        <v>2.528</v>
      </c>
      <c r="E2227" s="36">
        <v>124.1</v>
      </c>
      <c r="F2227" s="36">
        <f t="shared" si="549"/>
        <v>313.72480000000002</v>
      </c>
      <c r="G2227" s="37">
        <f t="shared" si="550"/>
        <v>0</v>
      </c>
      <c r="H2227" s="38">
        <f t="shared" si="550"/>
        <v>0</v>
      </c>
      <c r="I2227" s="37">
        <f t="shared" si="551"/>
        <v>0</v>
      </c>
      <c r="J2227" s="38">
        <v>0</v>
      </c>
      <c r="K2227" s="37">
        <f t="shared" si="552"/>
        <v>0</v>
      </c>
      <c r="L2227" s="38">
        <v>0</v>
      </c>
    </row>
    <row r="2228" spans="1:12" s="39" customFormat="1" ht="28.95" customHeight="1" outlineLevel="1" x14ac:dyDescent="0.25">
      <c r="A2228" s="33">
        <v>3</v>
      </c>
      <c r="B2228" s="34" t="s">
        <v>1362</v>
      </c>
      <c r="C2228" s="35" t="s">
        <v>66</v>
      </c>
      <c r="D2228" s="36">
        <v>33.92</v>
      </c>
      <c r="E2228" s="36">
        <v>177.81</v>
      </c>
      <c r="F2228" s="36">
        <f t="shared" si="549"/>
        <v>6031.3152</v>
      </c>
      <c r="G2228" s="37">
        <f t="shared" si="550"/>
        <v>0</v>
      </c>
      <c r="H2228" s="38">
        <f t="shared" si="550"/>
        <v>0</v>
      </c>
      <c r="I2228" s="37">
        <f t="shared" si="551"/>
        <v>0</v>
      </c>
      <c r="J2228" s="38">
        <v>0</v>
      </c>
      <c r="K2228" s="37">
        <f t="shared" si="552"/>
        <v>0</v>
      </c>
      <c r="L2228" s="38">
        <v>0</v>
      </c>
    </row>
    <row r="2229" spans="1:12" s="39" customFormat="1" ht="15.45" customHeight="1" outlineLevel="1" x14ac:dyDescent="0.25">
      <c r="A2229" s="33">
        <v>4</v>
      </c>
      <c r="B2229" s="34" t="s">
        <v>46</v>
      </c>
      <c r="C2229" s="35" t="s">
        <v>30</v>
      </c>
      <c r="D2229" s="36">
        <v>2.2690000000000001</v>
      </c>
      <c r="E2229" s="36">
        <v>1200.0999999999999</v>
      </c>
      <c r="F2229" s="36">
        <f t="shared" si="549"/>
        <v>2723.0268999999998</v>
      </c>
      <c r="G2229" s="37">
        <f t="shared" si="550"/>
        <v>0</v>
      </c>
      <c r="H2229" s="38">
        <f t="shared" si="550"/>
        <v>0</v>
      </c>
      <c r="I2229" s="37">
        <f t="shared" si="551"/>
        <v>0</v>
      </c>
      <c r="J2229" s="38">
        <v>0</v>
      </c>
      <c r="K2229" s="37">
        <f t="shared" si="552"/>
        <v>0</v>
      </c>
      <c r="L2229" s="38">
        <v>0</v>
      </c>
    </row>
    <row r="2230" spans="1:12" s="39" customFormat="1" ht="15.45" customHeight="1" outlineLevel="1" x14ac:dyDescent="0.25">
      <c r="A2230" s="33">
        <v>6</v>
      </c>
      <c r="B2230" s="34" t="s">
        <v>45</v>
      </c>
      <c r="C2230" s="35" t="s">
        <v>30</v>
      </c>
      <c r="D2230" s="36">
        <v>0.106</v>
      </c>
      <c r="E2230" s="36">
        <v>1325.1</v>
      </c>
      <c r="F2230" s="36">
        <f t="shared" si="549"/>
        <v>140.4606</v>
      </c>
      <c r="G2230" s="37">
        <f t="shared" si="550"/>
        <v>0</v>
      </c>
      <c r="H2230" s="38">
        <f t="shared" si="550"/>
        <v>0</v>
      </c>
      <c r="I2230" s="37">
        <f t="shared" si="551"/>
        <v>0</v>
      </c>
      <c r="J2230" s="38">
        <v>0</v>
      </c>
      <c r="K2230" s="37">
        <f t="shared" si="552"/>
        <v>0</v>
      </c>
      <c r="L2230" s="38">
        <v>0</v>
      </c>
    </row>
    <row r="2231" spans="1:12" s="39" customFormat="1" ht="15.45" customHeight="1" outlineLevel="1" x14ac:dyDescent="0.25">
      <c r="A2231" s="33">
        <v>7</v>
      </c>
      <c r="B2231" s="34" t="s">
        <v>46</v>
      </c>
      <c r="C2231" s="35" t="s">
        <v>30</v>
      </c>
      <c r="D2231" s="36">
        <v>3.5270000000000001</v>
      </c>
      <c r="E2231" s="36">
        <v>1200.0999999999999</v>
      </c>
      <c r="F2231" s="36">
        <f t="shared" si="549"/>
        <v>4232.7527</v>
      </c>
      <c r="G2231" s="37">
        <f t="shared" si="550"/>
        <v>0</v>
      </c>
      <c r="H2231" s="38">
        <f t="shared" si="550"/>
        <v>0</v>
      </c>
      <c r="I2231" s="37">
        <f t="shared" si="551"/>
        <v>0</v>
      </c>
      <c r="J2231" s="38">
        <v>0</v>
      </c>
      <c r="K2231" s="37">
        <f t="shared" si="552"/>
        <v>0</v>
      </c>
      <c r="L2231" s="38">
        <v>0</v>
      </c>
    </row>
    <row r="2232" spans="1:12" s="39" customFormat="1" ht="15.45" customHeight="1" outlineLevel="1" x14ac:dyDescent="0.25">
      <c r="A2232" s="31" t="s">
        <v>92</v>
      </c>
      <c r="B2232" s="40" t="s">
        <v>93</v>
      </c>
      <c r="C2232" s="41">
        <v>0</v>
      </c>
      <c r="D2232" s="42"/>
      <c r="E2232" s="42"/>
      <c r="F2232" s="42"/>
      <c r="G2232" s="43"/>
      <c r="H2232" s="44"/>
      <c r="I2232" s="43"/>
      <c r="J2232" s="44"/>
      <c r="K2232" s="43"/>
      <c r="L2232" s="44">
        <v>0</v>
      </c>
    </row>
    <row r="2233" spans="1:12" s="39" customFormat="1" ht="15.45" customHeight="1" outlineLevel="1" x14ac:dyDescent="0.25">
      <c r="A2233" s="33">
        <v>1</v>
      </c>
      <c r="B2233" s="34" t="s">
        <v>41</v>
      </c>
      <c r="C2233" s="35" t="s">
        <v>66</v>
      </c>
      <c r="D2233" s="36">
        <v>12.036</v>
      </c>
      <c r="E2233" s="36">
        <v>36.616</v>
      </c>
      <c r="F2233" s="36">
        <f t="shared" ref="F2233:F2238" si="553">+E2233*D2233</f>
        <v>440.71017599999999</v>
      </c>
      <c r="G2233" s="37">
        <f t="shared" ref="G2233:H2238" si="554">I2233+K2233</f>
        <v>0</v>
      </c>
      <c r="H2233" s="38">
        <f t="shared" si="554"/>
        <v>0</v>
      </c>
      <c r="I2233" s="37">
        <f t="shared" ref="I2233:I2238" si="555">J2233/F2233</f>
        <v>0</v>
      </c>
      <c r="J2233" s="38">
        <v>0</v>
      </c>
      <c r="K2233" s="37">
        <f t="shared" ref="K2233:K2238" si="556">L2233/F2233</f>
        <v>0</v>
      </c>
      <c r="L2233" s="38">
        <v>0</v>
      </c>
    </row>
    <row r="2234" spans="1:12" s="39" customFormat="1" ht="15.45" customHeight="1" outlineLevel="1" x14ac:dyDescent="0.25">
      <c r="A2234" s="33">
        <v>2</v>
      </c>
      <c r="B2234" s="34" t="s">
        <v>1361</v>
      </c>
      <c r="C2234" s="35" t="s">
        <v>66</v>
      </c>
      <c r="D2234" s="36">
        <v>5.6639999999999997</v>
      </c>
      <c r="E2234" s="36">
        <v>124.1</v>
      </c>
      <c r="F2234" s="36">
        <f t="shared" si="553"/>
        <v>702.90239999999994</v>
      </c>
      <c r="G2234" s="37">
        <f t="shared" si="554"/>
        <v>0</v>
      </c>
      <c r="H2234" s="38">
        <f t="shared" si="554"/>
        <v>0</v>
      </c>
      <c r="I2234" s="37">
        <f t="shared" si="555"/>
        <v>0</v>
      </c>
      <c r="J2234" s="38">
        <v>0</v>
      </c>
      <c r="K2234" s="37">
        <f t="shared" si="556"/>
        <v>0</v>
      </c>
      <c r="L2234" s="38">
        <v>0</v>
      </c>
    </row>
    <row r="2235" spans="1:12" s="39" customFormat="1" ht="28.95" customHeight="1" outlineLevel="1" x14ac:dyDescent="0.25">
      <c r="A2235" s="33">
        <v>3</v>
      </c>
      <c r="B2235" s="34" t="s">
        <v>1362</v>
      </c>
      <c r="C2235" s="35" t="s">
        <v>66</v>
      </c>
      <c r="D2235" s="36">
        <v>60.8</v>
      </c>
      <c r="E2235" s="36">
        <v>177.81</v>
      </c>
      <c r="F2235" s="36">
        <f t="shared" si="553"/>
        <v>10810.848</v>
      </c>
      <c r="G2235" s="37">
        <f t="shared" si="554"/>
        <v>0</v>
      </c>
      <c r="H2235" s="38">
        <f t="shared" si="554"/>
        <v>0</v>
      </c>
      <c r="I2235" s="37">
        <f t="shared" si="555"/>
        <v>0</v>
      </c>
      <c r="J2235" s="38">
        <v>0</v>
      </c>
      <c r="K2235" s="37">
        <f t="shared" si="556"/>
        <v>0</v>
      </c>
      <c r="L2235" s="38">
        <v>0</v>
      </c>
    </row>
    <row r="2236" spans="1:12" s="39" customFormat="1" ht="15.45" customHeight="1" outlineLevel="1" x14ac:dyDescent="0.25">
      <c r="A2236" s="33">
        <v>4</v>
      </c>
      <c r="B2236" s="34" t="s">
        <v>46</v>
      </c>
      <c r="C2236" s="35" t="s">
        <v>30</v>
      </c>
      <c r="D2236" s="36">
        <v>4.4189999999999996</v>
      </c>
      <c r="E2236" s="36">
        <v>1200.0999999999999</v>
      </c>
      <c r="F2236" s="36">
        <f t="shared" si="553"/>
        <v>5303.2418999999991</v>
      </c>
      <c r="G2236" s="37">
        <f t="shared" si="554"/>
        <v>0</v>
      </c>
      <c r="H2236" s="38">
        <f t="shared" si="554"/>
        <v>0</v>
      </c>
      <c r="I2236" s="37">
        <f t="shared" si="555"/>
        <v>0</v>
      </c>
      <c r="J2236" s="38">
        <v>0</v>
      </c>
      <c r="K2236" s="37">
        <f t="shared" si="556"/>
        <v>0</v>
      </c>
      <c r="L2236" s="38">
        <v>0</v>
      </c>
    </row>
    <row r="2237" spans="1:12" s="46" customFormat="1" ht="15.45" customHeight="1" outlineLevel="1" x14ac:dyDescent="0.35">
      <c r="A2237" s="33">
        <v>6</v>
      </c>
      <c r="B2237" s="34" t="s">
        <v>45</v>
      </c>
      <c r="C2237" s="35" t="s">
        <v>30</v>
      </c>
      <c r="D2237" s="36">
        <v>0.14099999999999999</v>
      </c>
      <c r="E2237" s="36">
        <v>1325.1</v>
      </c>
      <c r="F2237" s="36">
        <f t="shared" si="553"/>
        <v>186.83909999999997</v>
      </c>
      <c r="G2237" s="37">
        <f t="shared" si="554"/>
        <v>0</v>
      </c>
      <c r="H2237" s="38">
        <f t="shared" si="554"/>
        <v>0</v>
      </c>
      <c r="I2237" s="37">
        <f t="shared" si="555"/>
        <v>0</v>
      </c>
      <c r="J2237" s="38">
        <v>0</v>
      </c>
      <c r="K2237" s="37">
        <f t="shared" si="556"/>
        <v>0</v>
      </c>
      <c r="L2237" s="38">
        <v>0</v>
      </c>
    </row>
    <row r="2238" spans="1:12" s="39" customFormat="1" ht="15.45" customHeight="1" outlineLevel="1" x14ac:dyDescent="0.25">
      <c r="A2238" s="33">
        <v>7</v>
      </c>
      <c r="B2238" s="34" t="s">
        <v>46</v>
      </c>
      <c r="C2238" s="35" t="s">
        <v>30</v>
      </c>
      <c r="D2238" s="36">
        <v>4.6520000000000001</v>
      </c>
      <c r="E2238" s="36">
        <v>1200.0999999999999</v>
      </c>
      <c r="F2238" s="36">
        <f t="shared" si="553"/>
        <v>5582.8652000000002</v>
      </c>
      <c r="G2238" s="37">
        <f t="shared" si="554"/>
        <v>0</v>
      </c>
      <c r="H2238" s="38">
        <f t="shared" si="554"/>
        <v>0</v>
      </c>
      <c r="I2238" s="37">
        <f t="shared" si="555"/>
        <v>0</v>
      </c>
      <c r="J2238" s="38">
        <v>0</v>
      </c>
      <c r="K2238" s="37">
        <f t="shared" si="556"/>
        <v>0</v>
      </c>
      <c r="L2238" s="38">
        <v>0</v>
      </c>
    </row>
    <row r="2239" spans="1:12" s="39" customFormat="1" ht="15.45" customHeight="1" outlineLevel="1" x14ac:dyDescent="0.25">
      <c r="A2239" s="31" t="s">
        <v>94</v>
      </c>
      <c r="B2239" s="40" t="s">
        <v>95</v>
      </c>
      <c r="C2239" s="41">
        <v>0</v>
      </c>
      <c r="D2239" s="42"/>
      <c r="E2239" s="42"/>
      <c r="F2239" s="42"/>
      <c r="G2239" s="43"/>
      <c r="H2239" s="44"/>
      <c r="I2239" s="43"/>
      <c r="J2239" s="44"/>
      <c r="K2239" s="43"/>
      <c r="L2239" s="44">
        <v>0</v>
      </c>
    </row>
    <row r="2240" spans="1:12" s="45" customFormat="1" ht="15.45" customHeight="1" x14ac:dyDescent="0.3">
      <c r="A2240" s="33">
        <v>1</v>
      </c>
      <c r="B2240" s="34" t="s">
        <v>41</v>
      </c>
      <c r="C2240" s="35" t="s">
        <v>66</v>
      </c>
      <c r="D2240" s="36">
        <v>8.33</v>
      </c>
      <c r="E2240" s="36">
        <v>36.616</v>
      </c>
      <c r="F2240" s="36">
        <f t="shared" ref="F2240:F2245" si="557">+E2240*D2240</f>
        <v>305.01128</v>
      </c>
      <c r="G2240" s="37">
        <f t="shared" ref="G2240:H2245" si="558">I2240+K2240</f>
        <v>0</v>
      </c>
      <c r="H2240" s="38">
        <f t="shared" si="558"/>
        <v>0</v>
      </c>
      <c r="I2240" s="37">
        <f t="shared" ref="I2240:I2245" si="559">J2240/F2240</f>
        <v>0</v>
      </c>
      <c r="J2240" s="38">
        <v>0</v>
      </c>
      <c r="K2240" s="37">
        <f t="shared" ref="K2240:K2245" si="560">L2240/F2240</f>
        <v>0</v>
      </c>
      <c r="L2240" s="38">
        <v>0</v>
      </c>
    </row>
    <row r="2241" spans="1:12" s="46" customFormat="1" ht="15.45" customHeight="1" outlineLevel="1" x14ac:dyDescent="0.35">
      <c r="A2241" s="33">
        <v>2</v>
      </c>
      <c r="B2241" s="34" t="s">
        <v>1361</v>
      </c>
      <c r="C2241" s="35" t="s">
        <v>66</v>
      </c>
      <c r="D2241" s="36">
        <v>3.92</v>
      </c>
      <c r="E2241" s="36">
        <v>124.1</v>
      </c>
      <c r="F2241" s="36">
        <f t="shared" si="557"/>
        <v>486.47199999999998</v>
      </c>
      <c r="G2241" s="37">
        <f t="shared" si="558"/>
        <v>0</v>
      </c>
      <c r="H2241" s="38">
        <f t="shared" si="558"/>
        <v>0</v>
      </c>
      <c r="I2241" s="37">
        <f t="shared" si="559"/>
        <v>0</v>
      </c>
      <c r="J2241" s="38">
        <v>0</v>
      </c>
      <c r="K2241" s="37">
        <f t="shared" si="560"/>
        <v>0</v>
      </c>
      <c r="L2241" s="38">
        <v>0</v>
      </c>
    </row>
    <row r="2242" spans="1:12" s="39" customFormat="1" ht="28.95" customHeight="1" outlineLevel="1" x14ac:dyDescent="0.25">
      <c r="A2242" s="33">
        <v>3</v>
      </c>
      <c r="B2242" s="34" t="s">
        <v>1362</v>
      </c>
      <c r="C2242" s="35" t="s">
        <v>66</v>
      </c>
      <c r="D2242" s="36">
        <v>26.4</v>
      </c>
      <c r="E2242" s="36">
        <v>177.81</v>
      </c>
      <c r="F2242" s="36">
        <f t="shared" si="557"/>
        <v>4694.1840000000002</v>
      </c>
      <c r="G2242" s="37">
        <f t="shared" si="558"/>
        <v>0</v>
      </c>
      <c r="H2242" s="38">
        <f t="shared" si="558"/>
        <v>0</v>
      </c>
      <c r="I2242" s="37">
        <f t="shared" si="559"/>
        <v>0</v>
      </c>
      <c r="J2242" s="38">
        <v>0</v>
      </c>
      <c r="K2242" s="37">
        <f t="shared" si="560"/>
        <v>0</v>
      </c>
      <c r="L2242" s="38">
        <v>0</v>
      </c>
    </row>
    <row r="2243" spans="1:12" s="39" customFormat="1" ht="15.45" customHeight="1" outlineLevel="1" x14ac:dyDescent="0.25">
      <c r="A2243" s="33">
        <v>4</v>
      </c>
      <c r="B2243" s="34" t="s">
        <v>46</v>
      </c>
      <c r="C2243" s="35" t="s">
        <v>30</v>
      </c>
      <c r="D2243" s="36">
        <v>2.5579999999999998</v>
      </c>
      <c r="E2243" s="36">
        <v>1200.0999999999999</v>
      </c>
      <c r="F2243" s="36">
        <f t="shared" si="557"/>
        <v>3069.8557999999994</v>
      </c>
      <c r="G2243" s="37">
        <f t="shared" si="558"/>
        <v>0</v>
      </c>
      <c r="H2243" s="38">
        <f t="shared" si="558"/>
        <v>0</v>
      </c>
      <c r="I2243" s="37">
        <f t="shared" si="559"/>
        <v>0</v>
      </c>
      <c r="J2243" s="38">
        <v>0</v>
      </c>
      <c r="K2243" s="37">
        <f t="shared" si="560"/>
        <v>0</v>
      </c>
      <c r="L2243" s="38">
        <v>0</v>
      </c>
    </row>
    <row r="2244" spans="1:12" s="39" customFormat="1" ht="15.45" customHeight="1" outlineLevel="1" x14ac:dyDescent="0.25">
      <c r="A2244" s="33">
        <v>6</v>
      </c>
      <c r="B2244" s="34" t="s">
        <v>45</v>
      </c>
      <c r="C2244" s="35" t="s">
        <v>30</v>
      </c>
      <c r="D2244" s="36">
        <v>6.3E-2</v>
      </c>
      <c r="E2244" s="36">
        <v>1325.1</v>
      </c>
      <c r="F2244" s="36">
        <f t="shared" si="557"/>
        <v>83.48129999999999</v>
      </c>
      <c r="G2244" s="37">
        <f t="shared" si="558"/>
        <v>0</v>
      </c>
      <c r="H2244" s="38">
        <f t="shared" si="558"/>
        <v>0</v>
      </c>
      <c r="I2244" s="37">
        <f t="shared" si="559"/>
        <v>0</v>
      </c>
      <c r="J2244" s="38">
        <v>0</v>
      </c>
      <c r="K2244" s="37">
        <f t="shared" si="560"/>
        <v>0</v>
      </c>
      <c r="L2244" s="38">
        <v>0</v>
      </c>
    </row>
    <row r="2245" spans="1:12" s="39" customFormat="1" ht="15.45" customHeight="1" outlineLevel="1" x14ac:dyDescent="0.25">
      <c r="A2245" s="33">
        <v>7</v>
      </c>
      <c r="B2245" s="34" t="s">
        <v>46</v>
      </c>
      <c r="C2245" s="35" t="s">
        <v>30</v>
      </c>
      <c r="D2245" s="36">
        <v>2.8420000000000001</v>
      </c>
      <c r="E2245" s="36">
        <v>1200.0999999999999</v>
      </c>
      <c r="F2245" s="36">
        <f t="shared" si="557"/>
        <v>3410.6841999999997</v>
      </c>
      <c r="G2245" s="37">
        <f t="shared" si="558"/>
        <v>0</v>
      </c>
      <c r="H2245" s="38">
        <f t="shared" si="558"/>
        <v>0</v>
      </c>
      <c r="I2245" s="37">
        <f t="shared" si="559"/>
        <v>0</v>
      </c>
      <c r="J2245" s="38">
        <v>0</v>
      </c>
      <c r="K2245" s="37">
        <f t="shared" si="560"/>
        <v>0</v>
      </c>
      <c r="L2245" s="38">
        <v>0</v>
      </c>
    </row>
    <row r="2246" spans="1:12" s="39" customFormat="1" ht="15.45" customHeight="1" outlineLevel="1" x14ac:dyDescent="0.25">
      <c r="A2246" s="31" t="s">
        <v>1363</v>
      </c>
      <c r="B2246" s="40" t="s">
        <v>1364</v>
      </c>
      <c r="C2246" s="41">
        <v>0</v>
      </c>
      <c r="D2246" s="42"/>
      <c r="E2246" s="42"/>
      <c r="F2246" s="42"/>
      <c r="G2246" s="43"/>
      <c r="H2246" s="44"/>
      <c r="I2246" s="43"/>
      <c r="J2246" s="44"/>
      <c r="K2246" s="43"/>
      <c r="L2246" s="44">
        <v>0</v>
      </c>
    </row>
    <row r="2247" spans="1:12" s="39" customFormat="1" ht="15.45" customHeight="1" outlineLevel="1" x14ac:dyDescent="0.25">
      <c r="A2247" s="33">
        <v>1</v>
      </c>
      <c r="B2247" s="34" t="s">
        <v>41</v>
      </c>
      <c r="C2247" s="35" t="s">
        <v>66</v>
      </c>
      <c r="D2247" s="36">
        <v>7.8719999999999999</v>
      </c>
      <c r="E2247" s="36">
        <v>36.616</v>
      </c>
      <c r="F2247" s="36">
        <f t="shared" ref="F2247:F2263" si="561">+E2247*D2247</f>
        <v>288.241152</v>
      </c>
      <c r="G2247" s="37">
        <f t="shared" ref="G2247:G2263" si="562">I2247+K2247</f>
        <v>0</v>
      </c>
      <c r="H2247" s="38">
        <f t="shared" ref="H2247:H2263" si="563">J2247+L2247</f>
        <v>0</v>
      </c>
      <c r="I2247" s="37">
        <f t="shared" ref="I2247:I2263" si="564">J2247/F2247</f>
        <v>0</v>
      </c>
      <c r="J2247" s="38">
        <v>0</v>
      </c>
      <c r="K2247" s="37">
        <f t="shared" ref="K2247:K2263" si="565">L2247/F2247</f>
        <v>0</v>
      </c>
      <c r="L2247" s="38">
        <v>0</v>
      </c>
    </row>
    <row r="2248" spans="1:12" s="39" customFormat="1" ht="15.45" customHeight="1" outlineLevel="1" x14ac:dyDescent="0.25">
      <c r="A2248" s="33">
        <v>2</v>
      </c>
      <c r="B2248" s="34" t="s">
        <v>833</v>
      </c>
      <c r="C2248" s="35" t="s">
        <v>66</v>
      </c>
      <c r="D2248" s="36">
        <v>3.28</v>
      </c>
      <c r="E2248" s="36">
        <v>99.24</v>
      </c>
      <c r="F2248" s="36">
        <f t="shared" si="561"/>
        <v>325.50719999999995</v>
      </c>
      <c r="G2248" s="37">
        <f t="shared" si="562"/>
        <v>0</v>
      </c>
      <c r="H2248" s="38">
        <f t="shared" si="563"/>
        <v>0</v>
      </c>
      <c r="I2248" s="37">
        <f t="shared" si="564"/>
        <v>0</v>
      </c>
      <c r="J2248" s="38">
        <v>0</v>
      </c>
      <c r="K2248" s="37">
        <f t="shared" si="565"/>
        <v>0</v>
      </c>
      <c r="L2248" s="38">
        <v>0</v>
      </c>
    </row>
    <row r="2249" spans="1:12" s="39" customFormat="1" ht="28.95" customHeight="1" outlineLevel="1" x14ac:dyDescent="0.25">
      <c r="A2249" s="33">
        <v>3</v>
      </c>
      <c r="B2249" s="34" t="s">
        <v>1365</v>
      </c>
      <c r="C2249" s="35" t="s">
        <v>66</v>
      </c>
      <c r="D2249" s="36">
        <v>10.5</v>
      </c>
      <c r="E2249" s="36">
        <v>171.46</v>
      </c>
      <c r="F2249" s="36">
        <f t="shared" si="561"/>
        <v>1800.3300000000002</v>
      </c>
      <c r="G2249" s="37">
        <f t="shared" si="562"/>
        <v>0</v>
      </c>
      <c r="H2249" s="38">
        <f t="shared" si="563"/>
        <v>0</v>
      </c>
      <c r="I2249" s="37">
        <f t="shared" si="564"/>
        <v>0</v>
      </c>
      <c r="J2249" s="38">
        <v>0</v>
      </c>
      <c r="K2249" s="37">
        <f t="shared" si="565"/>
        <v>0</v>
      </c>
      <c r="L2249" s="38">
        <v>0</v>
      </c>
    </row>
    <row r="2250" spans="1:12" s="39" customFormat="1" ht="15.45" customHeight="1" outlineLevel="1" x14ac:dyDescent="0.25">
      <c r="A2250" s="33">
        <v>4</v>
      </c>
      <c r="B2250" s="34" t="s">
        <v>45</v>
      </c>
      <c r="C2250" s="35" t="s">
        <v>30</v>
      </c>
      <c r="D2250" s="36">
        <v>0.254</v>
      </c>
      <c r="E2250" s="36">
        <v>1325.1</v>
      </c>
      <c r="F2250" s="36">
        <f t="shared" si="561"/>
        <v>336.5754</v>
      </c>
      <c r="G2250" s="37">
        <f t="shared" si="562"/>
        <v>0</v>
      </c>
      <c r="H2250" s="38">
        <f t="shared" si="563"/>
        <v>0</v>
      </c>
      <c r="I2250" s="37">
        <f t="shared" si="564"/>
        <v>0</v>
      </c>
      <c r="J2250" s="38">
        <v>0</v>
      </c>
      <c r="K2250" s="37">
        <f t="shared" si="565"/>
        <v>0</v>
      </c>
      <c r="L2250" s="38">
        <v>0</v>
      </c>
    </row>
    <row r="2251" spans="1:12" s="39" customFormat="1" ht="15.45" customHeight="1" outlineLevel="1" x14ac:dyDescent="0.25">
      <c r="A2251" s="33">
        <v>5</v>
      </c>
      <c r="B2251" s="34" t="s">
        <v>46</v>
      </c>
      <c r="C2251" s="35" t="s">
        <v>30</v>
      </c>
      <c r="D2251" s="36">
        <v>0.435</v>
      </c>
      <c r="E2251" s="36">
        <v>1200.0999999999999</v>
      </c>
      <c r="F2251" s="36">
        <f t="shared" si="561"/>
        <v>522.04349999999999</v>
      </c>
      <c r="G2251" s="37">
        <f t="shared" si="562"/>
        <v>0</v>
      </c>
      <c r="H2251" s="38">
        <f t="shared" si="563"/>
        <v>0</v>
      </c>
      <c r="I2251" s="37">
        <f t="shared" si="564"/>
        <v>0</v>
      </c>
      <c r="J2251" s="38">
        <v>0</v>
      </c>
      <c r="K2251" s="37">
        <f t="shared" si="565"/>
        <v>0</v>
      </c>
      <c r="L2251" s="38">
        <v>0</v>
      </c>
    </row>
    <row r="2252" spans="1:12" s="39" customFormat="1" ht="28.95" customHeight="1" outlineLevel="1" x14ac:dyDescent="0.25">
      <c r="A2252" s="33">
        <v>6</v>
      </c>
      <c r="B2252" s="34" t="s">
        <v>1366</v>
      </c>
      <c r="C2252" s="35" t="s">
        <v>106</v>
      </c>
      <c r="D2252" s="36">
        <v>56.26</v>
      </c>
      <c r="E2252" s="36">
        <v>76.396000000000001</v>
      </c>
      <c r="F2252" s="36">
        <f t="shared" si="561"/>
        <v>4298.0389599999999</v>
      </c>
      <c r="G2252" s="37">
        <f t="shared" si="562"/>
        <v>0</v>
      </c>
      <c r="H2252" s="38">
        <f t="shared" si="563"/>
        <v>0</v>
      </c>
      <c r="I2252" s="37">
        <f t="shared" si="564"/>
        <v>0</v>
      </c>
      <c r="J2252" s="38">
        <v>0</v>
      </c>
      <c r="K2252" s="37">
        <f t="shared" si="565"/>
        <v>0</v>
      </c>
      <c r="L2252" s="38">
        <v>0</v>
      </c>
    </row>
    <row r="2253" spans="1:12" s="39" customFormat="1" ht="28.95" customHeight="1" outlineLevel="1" x14ac:dyDescent="0.25">
      <c r="A2253" s="33">
        <v>7</v>
      </c>
      <c r="B2253" s="34" t="s">
        <v>1257</v>
      </c>
      <c r="C2253" s="35" t="s">
        <v>106</v>
      </c>
      <c r="D2253" s="36">
        <v>92.6</v>
      </c>
      <c r="E2253" s="36">
        <v>10.8202</v>
      </c>
      <c r="F2253" s="36">
        <f t="shared" si="561"/>
        <v>1001.9505199999999</v>
      </c>
      <c r="G2253" s="37">
        <f t="shared" si="562"/>
        <v>0</v>
      </c>
      <c r="H2253" s="38">
        <f t="shared" si="563"/>
        <v>0</v>
      </c>
      <c r="I2253" s="37">
        <f t="shared" si="564"/>
        <v>0</v>
      </c>
      <c r="J2253" s="38">
        <v>0</v>
      </c>
      <c r="K2253" s="37">
        <f t="shared" si="565"/>
        <v>0</v>
      </c>
      <c r="L2253" s="38">
        <v>0</v>
      </c>
    </row>
    <row r="2254" spans="1:12" s="39" customFormat="1" ht="28.95" customHeight="1" outlineLevel="1" x14ac:dyDescent="0.25">
      <c r="A2254" s="33">
        <v>8</v>
      </c>
      <c r="B2254" s="34" t="s">
        <v>240</v>
      </c>
      <c r="C2254" s="35" t="s">
        <v>106</v>
      </c>
      <c r="D2254" s="36">
        <v>192.2</v>
      </c>
      <c r="E2254" s="36">
        <v>3.67</v>
      </c>
      <c r="F2254" s="36">
        <f t="shared" si="561"/>
        <v>705.37399999999991</v>
      </c>
      <c r="G2254" s="37">
        <f t="shared" si="562"/>
        <v>0</v>
      </c>
      <c r="H2254" s="38">
        <f t="shared" si="563"/>
        <v>0</v>
      </c>
      <c r="I2254" s="37">
        <f t="shared" si="564"/>
        <v>0</v>
      </c>
      <c r="J2254" s="38">
        <v>0</v>
      </c>
      <c r="K2254" s="37">
        <f t="shared" si="565"/>
        <v>0</v>
      </c>
      <c r="L2254" s="38">
        <v>0</v>
      </c>
    </row>
    <row r="2255" spans="1:12" s="39" customFormat="1" ht="28.95" customHeight="1" outlineLevel="1" x14ac:dyDescent="0.25">
      <c r="A2255" s="33">
        <v>9</v>
      </c>
      <c r="B2255" s="34" t="s">
        <v>1367</v>
      </c>
      <c r="C2255" s="35" t="s">
        <v>66</v>
      </c>
      <c r="D2255" s="36">
        <v>7.31</v>
      </c>
      <c r="E2255" s="36">
        <v>281.11200000000002</v>
      </c>
      <c r="F2255" s="36">
        <f t="shared" si="561"/>
        <v>2054.9287199999999</v>
      </c>
      <c r="G2255" s="37">
        <f t="shared" si="562"/>
        <v>0</v>
      </c>
      <c r="H2255" s="38">
        <f t="shared" si="563"/>
        <v>0</v>
      </c>
      <c r="I2255" s="37">
        <f t="shared" si="564"/>
        <v>0</v>
      </c>
      <c r="J2255" s="38">
        <v>0</v>
      </c>
      <c r="K2255" s="37">
        <f t="shared" si="565"/>
        <v>0</v>
      </c>
      <c r="L2255" s="38">
        <v>0</v>
      </c>
    </row>
    <row r="2256" spans="1:12" s="39" customFormat="1" ht="15.45" customHeight="1" outlineLevel="1" x14ac:dyDescent="0.25">
      <c r="A2256" s="33">
        <v>10</v>
      </c>
      <c r="B2256" s="34" t="s">
        <v>45</v>
      </c>
      <c r="C2256" s="35" t="s">
        <v>30</v>
      </c>
      <c r="D2256" s="36">
        <v>0.32500000000000001</v>
      </c>
      <c r="E2256" s="36">
        <v>1325.1</v>
      </c>
      <c r="F2256" s="36">
        <f t="shared" si="561"/>
        <v>430.65749999999997</v>
      </c>
      <c r="G2256" s="37">
        <f t="shared" si="562"/>
        <v>0</v>
      </c>
      <c r="H2256" s="38">
        <f t="shared" si="563"/>
        <v>0</v>
      </c>
      <c r="I2256" s="37">
        <f t="shared" si="564"/>
        <v>0</v>
      </c>
      <c r="J2256" s="38">
        <v>0</v>
      </c>
      <c r="K2256" s="37">
        <f t="shared" si="565"/>
        <v>0</v>
      </c>
      <c r="L2256" s="38">
        <v>0</v>
      </c>
    </row>
    <row r="2257" spans="1:12" s="39" customFormat="1" ht="15.45" customHeight="1" outlineLevel="1" x14ac:dyDescent="0.25">
      <c r="A2257" s="33">
        <v>11</v>
      </c>
      <c r="B2257" s="34" t="s">
        <v>46</v>
      </c>
      <c r="C2257" s="35" t="s">
        <v>30</v>
      </c>
      <c r="D2257" s="36">
        <v>0.34300000000000003</v>
      </c>
      <c r="E2257" s="36">
        <v>1200.0999999999999</v>
      </c>
      <c r="F2257" s="36">
        <f t="shared" si="561"/>
        <v>411.6343</v>
      </c>
      <c r="G2257" s="37">
        <f t="shared" si="562"/>
        <v>0</v>
      </c>
      <c r="H2257" s="38">
        <f t="shared" si="563"/>
        <v>0</v>
      </c>
      <c r="I2257" s="37">
        <f t="shared" si="564"/>
        <v>0</v>
      </c>
      <c r="J2257" s="38">
        <v>0</v>
      </c>
      <c r="K2257" s="37">
        <f t="shared" si="565"/>
        <v>0</v>
      </c>
      <c r="L2257" s="38">
        <v>0</v>
      </c>
    </row>
    <row r="2258" spans="1:12" s="45" customFormat="1" ht="15.45" customHeight="1" x14ac:dyDescent="0.3">
      <c r="A2258" s="33">
        <v>12</v>
      </c>
      <c r="B2258" s="34" t="s">
        <v>845</v>
      </c>
      <c r="C2258" s="35" t="s">
        <v>66</v>
      </c>
      <c r="D2258" s="36">
        <v>6.8</v>
      </c>
      <c r="E2258" s="36">
        <v>249.38800000000001</v>
      </c>
      <c r="F2258" s="36">
        <f t="shared" si="561"/>
        <v>1695.8384000000001</v>
      </c>
      <c r="G2258" s="37">
        <f t="shared" si="562"/>
        <v>0</v>
      </c>
      <c r="H2258" s="38">
        <f t="shared" si="563"/>
        <v>0</v>
      </c>
      <c r="I2258" s="37">
        <f t="shared" si="564"/>
        <v>0</v>
      </c>
      <c r="J2258" s="38">
        <v>0</v>
      </c>
      <c r="K2258" s="37">
        <f t="shared" si="565"/>
        <v>0</v>
      </c>
      <c r="L2258" s="38">
        <v>0</v>
      </c>
    </row>
    <row r="2259" spans="1:12" s="39" customFormat="1" ht="15.45" customHeight="1" outlineLevel="1" x14ac:dyDescent="0.25">
      <c r="A2259" s="33">
        <v>13</v>
      </c>
      <c r="B2259" s="34" t="s">
        <v>45</v>
      </c>
      <c r="C2259" s="35" t="s">
        <v>30</v>
      </c>
      <c r="D2259" s="36">
        <v>0.182</v>
      </c>
      <c r="E2259" s="36">
        <v>1325.1</v>
      </c>
      <c r="F2259" s="36">
        <f t="shared" si="561"/>
        <v>241.16819999999998</v>
      </c>
      <c r="G2259" s="37">
        <f t="shared" si="562"/>
        <v>0</v>
      </c>
      <c r="H2259" s="38">
        <f t="shared" si="563"/>
        <v>0</v>
      </c>
      <c r="I2259" s="37">
        <f t="shared" si="564"/>
        <v>0</v>
      </c>
      <c r="J2259" s="38">
        <v>0</v>
      </c>
      <c r="K2259" s="37">
        <f t="shared" si="565"/>
        <v>0</v>
      </c>
      <c r="L2259" s="38">
        <v>0</v>
      </c>
    </row>
    <row r="2260" spans="1:12" s="39" customFormat="1" ht="15.45" customHeight="1" outlineLevel="1" x14ac:dyDescent="0.25">
      <c r="A2260" s="33">
        <v>14</v>
      </c>
      <c r="B2260" s="34" t="s">
        <v>46</v>
      </c>
      <c r="C2260" s="35" t="s">
        <v>30</v>
      </c>
      <c r="D2260" s="36">
        <v>0.32</v>
      </c>
      <c r="E2260" s="36">
        <v>1200.0999999999999</v>
      </c>
      <c r="F2260" s="36">
        <f t="shared" si="561"/>
        <v>384.03199999999998</v>
      </c>
      <c r="G2260" s="37">
        <f t="shared" si="562"/>
        <v>0</v>
      </c>
      <c r="H2260" s="38">
        <f t="shared" si="563"/>
        <v>0</v>
      </c>
      <c r="I2260" s="37">
        <f t="shared" si="564"/>
        <v>0</v>
      </c>
      <c r="J2260" s="38">
        <v>0</v>
      </c>
      <c r="K2260" s="37">
        <f t="shared" si="565"/>
        <v>0</v>
      </c>
      <c r="L2260" s="38">
        <v>0</v>
      </c>
    </row>
    <row r="2261" spans="1:12" s="45" customFormat="1" ht="28.95" customHeight="1" x14ac:dyDescent="0.3">
      <c r="A2261" s="33">
        <v>15</v>
      </c>
      <c r="B2261" s="34" t="s">
        <v>771</v>
      </c>
      <c r="C2261" s="35" t="s">
        <v>106</v>
      </c>
      <c r="D2261" s="36">
        <v>41.2</v>
      </c>
      <c r="E2261" s="36">
        <v>52.936000000000007</v>
      </c>
      <c r="F2261" s="36">
        <f t="shared" si="561"/>
        <v>2180.9632000000006</v>
      </c>
      <c r="G2261" s="37">
        <f t="shared" si="562"/>
        <v>0</v>
      </c>
      <c r="H2261" s="38">
        <f t="shared" si="563"/>
        <v>0</v>
      </c>
      <c r="I2261" s="37">
        <f t="shared" si="564"/>
        <v>0</v>
      </c>
      <c r="J2261" s="38">
        <v>0</v>
      </c>
      <c r="K2261" s="37">
        <f t="shared" si="565"/>
        <v>0</v>
      </c>
      <c r="L2261" s="38">
        <v>0</v>
      </c>
    </row>
    <row r="2262" spans="1:12" s="39" customFormat="1" ht="28.95" customHeight="1" outlineLevel="1" x14ac:dyDescent="0.25">
      <c r="A2262" s="33">
        <v>16</v>
      </c>
      <c r="B2262" s="34" t="s">
        <v>1368</v>
      </c>
      <c r="C2262" s="35" t="s">
        <v>106</v>
      </c>
      <c r="D2262" s="36">
        <v>82.4</v>
      </c>
      <c r="E2262" s="36">
        <v>10.320399999999999</v>
      </c>
      <c r="F2262" s="36">
        <f t="shared" si="561"/>
        <v>850.40096000000005</v>
      </c>
      <c r="G2262" s="37">
        <f t="shared" si="562"/>
        <v>0</v>
      </c>
      <c r="H2262" s="38">
        <f t="shared" si="563"/>
        <v>0</v>
      </c>
      <c r="I2262" s="37">
        <f t="shared" si="564"/>
        <v>0</v>
      </c>
      <c r="J2262" s="38">
        <v>0</v>
      </c>
      <c r="K2262" s="37">
        <f t="shared" si="565"/>
        <v>0</v>
      </c>
      <c r="L2262" s="38">
        <v>0</v>
      </c>
    </row>
    <row r="2263" spans="1:12" s="39" customFormat="1" ht="28.95" customHeight="1" outlineLevel="1" x14ac:dyDescent="0.25">
      <c r="A2263" s="33">
        <v>17</v>
      </c>
      <c r="B2263" s="34" t="s">
        <v>1369</v>
      </c>
      <c r="C2263" s="35" t="s">
        <v>106</v>
      </c>
      <c r="D2263" s="36">
        <v>142.69999999999999</v>
      </c>
      <c r="E2263" s="36">
        <v>2.2216</v>
      </c>
      <c r="F2263" s="36">
        <f t="shared" si="561"/>
        <v>317.02231999999998</v>
      </c>
      <c r="G2263" s="37">
        <f t="shared" si="562"/>
        <v>0</v>
      </c>
      <c r="H2263" s="38">
        <f t="shared" si="563"/>
        <v>0</v>
      </c>
      <c r="I2263" s="37">
        <f t="shared" si="564"/>
        <v>0</v>
      </c>
      <c r="J2263" s="38">
        <v>0</v>
      </c>
      <c r="K2263" s="37">
        <f t="shared" si="565"/>
        <v>0</v>
      </c>
      <c r="L2263" s="38">
        <v>0</v>
      </c>
    </row>
    <row r="2264" spans="1:12" s="39" customFormat="1" ht="15.45" customHeight="1" outlineLevel="1" x14ac:dyDescent="0.25">
      <c r="A2264" s="31" t="s">
        <v>1370</v>
      </c>
      <c r="B2264" s="40" t="s">
        <v>1371</v>
      </c>
      <c r="C2264" s="41">
        <v>0</v>
      </c>
      <c r="D2264" s="42"/>
      <c r="E2264" s="42"/>
      <c r="F2264" s="42"/>
      <c r="G2264" s="43"/>
      <c r="H2264" s="44"/>
      <c r="I2264" s="43"/>
      <c r="J2264" s="44"/>
      <c r="K2264" s="43"/>
      <c r="L2264" s="44">
        <v>0</v>
      </c>
    </row>
    <row r="2265" spans="1:12" s="39" customFormat="1" ht="15.45" customHeight="1" outlineLevel="1" x14ac:dyDescent="0.25">
      <c r="A2265" s="33">
        <v>1</v>
      </c>
      <c r="B2265" s="34" t="s">
        <v>41</v>
      </c>
      <c r="C2265" s="35" t="s">
        <v>66</v>
      </c>
      <c r="D2265" s="36">
        <v>8.6999999999999993</v>
      </c>
      <c r="E2265" s="36">
        <v>36.616</v>
      </c>
      <c r="F2265" s="36">
        <f t="shared" ref="F2265:F2282" si="566">+E2265*D2265</f>
        <v>318.55919999999998</v>
      </c>
      <c r="G2265" s="37">
        <f t="shared" ref="G2265:G2282" si="567">I2265+K2265</f>
        <v>0</v>
      </c>
      <c r="H2265" s="38">
        <f t="shared" ref="H2265:H2282" si="568">J2265+L2265</f>
        <v>0</v>
      </c>
      <c r="I2265" s="37">
        <f t="shared" ref="I2265:I2282" si="569">J2265/F2265</f>
        <v>0</v>
      </c>
      <c r="J2265" s="38">
        <v>0</v>
      </c>
      <c r="K2265" s="37">
        <f t="shared" ref="K2265:K2282" si="570">L2265/F2265</f>
        <v>0</v>
      </c>
      <c r="L2265" s="38">
        <v>0</v>
      </c>
    </row>
    <row r="2266" spans="1:12" s="39" customFormat="1" ht="15.45" customHeight="1" outlineLevel="1" x14ac:dyDescent="0.25">
      <c r="A2266" s="33">
        <v>2</v>
      </c>
      <c r="B2266" s="34" t="s">
        <v>833</v>
      </c>
      <c r="C2266" s="35" t="s">
        <v>66</v>
      </c>
      <c r="D2266" s="36">
        <v>3.625</v>
      </c>
      <c r="E2266" s="36">
        <v>99.24</v>
      </c>
      <c r="F2266" s="36">
        <f t="shared" si="566"/>
        <v>359.745</v>
      </c>
      <c r="G2266" s="37">
        <f t="shared" si="567"/>
        <v>0</v>
      </c>
      <c r="H2266" s="38">
        <f t="shared" si="568"/>
        <v>0</v>
      </c>
      <c r="I2266" s="37">
        <f t="shared" si="569"/>
        <v>0</v>
      </c>
      <c r="J2266" s="38">
        <v>0</v>
      </c>
      <c r="K2266" s="37">
        <f t="shared" si="570"/>
        <v>0</v>
      </c>
      <c r="L2266" s="38">
        <v>0</v>
      </c>
    </row>
    <row r="2267" spans="1:12" s="45" customFormat="1" ht="28.95" customHeight="1" x14ac:dyDescent="0.3">
      <c r="A2267" s="33">
        <v>3</v>
      </c>
      <c r="B2267" s="34" t="s">
        <v>1372</v>
      </c>
      <c r="C2267" s="35" t="s">
        <v>66</v>
      </c>
      <c r="D2267" s="36">
        <v>11.6</v>
      </c>
      <c r="E2267" s="36">
        <v>171.46</v>
      </c>
      <c r="F2267" s="36">
        <f t="shared" si="566"/>
        <v>1988.9359999999999</v>
      </c>
      <c r="G2267" s="37">
        <f t="shared" si="567"/>
        <v>0</v>
      </c>
      <c r="H2267" s="38">
        <f t="shared" si="568"/>
        <v>0</v>
      </c>
      <c r="I2267" s="37">
        <f t="shared" si="569"/>
        <v>0</v>
      </c>
      <c r="J2267" s="38">
        <v>0</v>
      </c>
      <c r="K2267" s="37">
        <f t="shared" si="570"/>
        <v>0</v>
      </c>
      <c r="L2267" s="38">
        <v>0</v>
      </c>
    </row>
    <row r="2268" spans="1:12" s="39" customFormat="1" ht="15.45" customHeight="1" outlineLevel="1" x14ac:dyDescent="0.25">
      <c r="A2268" s="33">
        <v>4</v>
      </c>
      <c r="B2268" s="34" t="s">
        <v>45</v>
      </c>
      <c r="C2268" s="35" t="s">
        <v>30</v>
      </c>
      <c r="D2268" s="36">
        <v>0.254</v>
      </c>
      <c r="E2268" s="36">
        <v>1325.1</v>
      </c>
      <c r="F2268" s="36">
        <f t="shared" si="566"/>
        <v>336.5754</v>
      </c>
      <c r="G2268" s="37">
        <f t="shared" si="567"/>
        <v>0</v>
      </c>
      <c r="H2268" s="38">
        <f t="shared" si="568"/>
        <v>0</v>
      </c>
      <c r="I2268" s="37">
        <f t="shared" si="569"/>
        <v>0</v>
      </c>
      <c r="J2268" s="38">
        <v>0</v>
      </c>
      <c r="K2268" s="37">
        <f t="shared" si="570"/>
        <v>0</v>
      </c>
      <c r="L2268" s="38">
        <v>0</v>
      </c>
    </row>
    <row r="2269" spans="1:12" s="39" customFormat="1" ht="15.45" customHeight="1" outlineLevel="1" x14ac:dyDescent="0.25">
      <c r="A2269" s="33">
        <v>5</v>
      </c>
      <c r="B2269" s="34" t="s">
        <v>46</v>
      </c>
      <c r="C2269" s="35" t="s">
        <v>30</v>
      </c>
      <c r="D2269" s="36">
        <v>0.435</v>
      </c>
      <c r="E2269" s="36">
        <v>1200.0999999999999</v>
      </c>
      <c r="F2269" s="36">
        <f t="shared" si="566"/>
        <v>522.04349999999999</v>
      </c>
      <c r="G2269" s="37">
        <f t="shared" si="567"/>
        <v>0</v>
      </c>
      <c r="H2269" s="38">
        <f t="shared" si="568"/>
        <v>0</v>
      </c>
      <c r="I2269" s="37">
        <f t="shared" si="569"/>
        <v>0</v>
      </c>
      <c r="J2269" s="38">
        <v>0</v>
      </c>
      <c r="K2269" s="37">
        <f t="shared" si="570"/>
        <v>0</v>
      </c>
      <c r="L2269" s="38">
        <v>0</v>
      </c>
    </row>
    <row r="2270" spans="1:12" s="39" customFormat="1" ht="28.95" customHeight="1" outlineLevel="1" x14ac:dyDescent="0.25">
      <c r="A2270" s="33">
        <v>6</v>
      </c>
      <c r="B2270" s="34" t="s">
        <v>1373</v>
      </c>
      <c r="C2270" s="35" t="s">
        <v>106</v>
      </c>
      <c r="D2270" s="36">
        <v>8.1999999999999993</v>
      </c>
      <c r="E2270" s="36">
        <v>73.335999999999999</v>
      </c>
      <c r="F2270" s="36">
        <f t="shared" si="566"/>
        <v>601.35519999999997</v>
      </c>
      <c r="G2270" s="37">
        <f t="shared" si="567"/>
        <v>0</v>
      </c>
      <c r="H2270" s="38">
        <f t="shared" si="568"/>
        <v>0</v>
      </c>
      <c r="I2270" s="37">
        <f t="shared" si="569"/>
        <v>0</v>
      </c>
      <c r="J2270" s="38">
        <v>0</v>
      </c>
      <c r="K2270" s="37">
        <f t="shared" si="570"/>
        <v>0</v>
      </c>
      <c r="L2270" s="38">
        <v>0</v>
      </c>
    </row>
    <row r="2271" spans="1:12" s="39" customFormat="1" ht="28.95" customHeight="1" outlineLevel="1" x14ac:dyDescent="0.25">
      <c r="A2271" s="33">
        <v>7</v>
      </c>
      <c r="B2271" s="34" t="s">
        <v>1366</v>
      </c>
      <c r="C2271" s="35" t="s">
        <v>106</v>
      </c>
      <c r="D2271" s="36">
        <v>13.4</v>
      </c>
      <c r="E2271" s="36">
        <v>76.396000000000001</v>
      </c>
      <c r="F2271" s="36">
        <f t="shared" si="566"/>
        <v>1023.7064</v>
      </c>
      <c r="G2271" s="37">
        <f t="shared" si="567"/>
        <v>0</v>
      </c>
      <c r="H2271" s="38">
        <f t="shared" si="568"/>
        <v>0</v>
      </c>
      <c r="I2271" s="37">
        <f t="shared" si="569"/>
        <v>0</v>
      </c>
      <c r="J2271" s="38">
        <v>0</v>
      </c>
      <c r="K2271" s="37">
        <f t="shared" si="570"/>
        <v>0</v>
      </c>
      <c r="L2271" s="38">
        <v>0</v>
      </c>
    </row>
    <row r="2272" spans="1:12" s="39" customFormat="1" ht="28.95" customHeight="1" outlineLevel="1" x14ac:dyDescent="0.25">
      <c r="A2272" s="33">
        <v>8</v>
      </c>
      <c r="B2272" s="34" t="s">
        <v>1257</v>
      </c>
      <c r="C2272" s="35" t="s">
        <v>106</v>
      </c>
      <c r="D2272" s="36">
        <v>51.6</v>
      </c>
      <c r="E2272" s="36">
        <v>10.8202</v>
      </c>
      <c r="F2272" s="36">
        <f t="shared" si="566"/>
        <v>558.32231999999999</v>
      </c>
      <c r="G2272" s="37">
        <f t="shared" si="567"/>
        <v>0</v>
      </c>
      <c r="H2272" s="38">
        <f t="shared" si="568"/>
        <v>0</v>
      </c>
      <c r="I2272" s="37">
        <f t="shared" si="569"/>
        <v>0</v>
      </c>
      <c r="J2272" s="38">
        <v>0</v>
      </c>
      <c r="K2272" s="37">
        <f t="shared" si="570"/>
        <v>0</v>
      </c>
      <c r="L2272" s="38">
        <v>0</v>
      </c>
    </row>
    <row r="2273" spans="1:12" s="39" customFormat="1" ht="28.95" customHeight="1" outlineLevel="1" x14ac:dyDescent="0.25">
      <c r="A2273" s="33">
        <v>9</v>
      </c>
      <c r="B2273" s="34" t="s">
        <v>240</v>
      </c>
      <c r="C2273" s="35" t="s">
        <v>106</v>
      </c>
      <c r="D2273" s="36">
        <v>77.7</v>
      </c>
      <c r="E2273" s="36">
        <v>3.67</v>
      </c>
      <c r="F2273" s="36">
        <f t="shared" si="566"/>
        <v>285.15899999999999</v>
      </c>
      <c r="G2273" s="37">
        <f t="shared" si="567"/>
        <v>0</v>
      </c>
      <c r="H2273" s="38">
        <f t="shared" si="568"/>
        <v>0</v>
      </c>
      <c r="I2273" s="37">
        <f t="shared" si="569"/>
        <v>0</v>
      </c>
      <c r="J2273" s="38">
        <v>0</v>
      </c>
      <c r="K2273" s="37">
        <f t="shared" si="570"/>
        <v>0</v>
      </c>
      <c r="L2273" s="38">
        <v>0</v>
      </c>
    </row>
    <row r="2274" spans="1:12" s="39" customFormat="1" ht="28.95" customHeight="1" outlineLevel="1" x14ac:dyDescent="0.25">
      <c r="A2274" s="33">
        <v>10</v>
      </c>
      <c r="B2274" s="34" t="s">
        <v>1367</v>
      </c>
      <c r="C2274" s="35" t="s">
        <v>66</v>
      </c>
      <c r="D2274" s="36">
        <v>9.34</v>
      </c>
      <c r="E2274" s="36">
        <v>281.11200000000002</v>
      </c>
      <c r="F2274" s="36">
        <f t="shared" si="566"/>
        <v>2625.58608</v>
      </c>
      <c r="G2274" s="37">
        <f t="shared" si="567"/>
        <v>0</v>
      </c>
      <c r="H2274" s="38">
        <f t="shared" si="568"/>
        <v>0</v>
      </c>
      <c r="I2274" s="37">
        <f t="shared" si="569"/>
        <v>0</v>
      </c>
      <c r="J2274" s="38">
        <v>0</v>
      </c>
      <c r="K2274" s="37">
        <f t="shared" si="570"/>
        <v>0</v>
      </c>
      <c r="L2274" s="38">
        <v>0</v>
      </c>
    </row>
    <row r="2275" spans="1:12" s="39" customFormat="1" ht="15.45" customHeight="1" outlineLevel="1" x14ac:dyDescent="0.25">
      <c r="A2275" s="33">
        <v>11</v>
      </c>
      <c r="B2275" s="34" t="s">
        <v>45</v>
      </c>
      <c r="C2275" s="35" t="s">
        <v>30</v>
      </c>
      <c r="D2275" s="36">
        <v>0.21199999999999999</v>
      </c>
      <c r="E2275" s="36">
        <v>1325.1</v>
      </c>
      <c r="F2275" s="36">
        <f t="shared" si="566"/>
        <v>280.9212</v>
      </c>
      <c r="G2275" s="37">
        <f t="shared" si="567"/>
        <v>0</v>
      </c>
      <c r="H2275" s="38">
        <f t="shared" si="568"/>
        <v>0</v>
      </c>
      <c r="I2275" s="37">
        <f t="shared" si="569"/>
        <v>0</v>
      </c>
      <c r="J2275" s="38">
        <v>0</v>
      </c>
      <c r="K2275" s="37">
        <f t="shared" si="570"/>
        <v>0</v>
      </c>
      <c r="L2275" s="38">
        <v>0</v>
      </c>
    </row>
    <row r="2276" spans="1:12" s="39" customFormat="1" ht="15.45" customHeight="1" outlineLevel="1" x14ac:dyDescent="0.25">
      <c r="A2276" s="33">
        <v>12</v>
      </c>
      <c r="B2276" s="34" t="s">
        <v>46</v>
      </c>
      <c r="C2276" s="35" t="s">
        <v>30</v>
      </c>
      <c r="D2276" s="36">
        <v>0.246</v>
      </c>
      <c r="E2276" s="36">
        <v>1200.0999999999999</v>
      </c>
      <c r="F2276" s="36">
        <f t="shared" si="566"/>
        <v>295.22459999999995</v>
      </c>
      <c r="G2276" s="37">
        <f t="shared" si="567"/>
        <v>0</v>
      </c>
      <c r="H2276" s="38">
        <f t="shared" si="568"/>
        <v>0</v>
      </c>
      <c r="I2276" s="37">
        <f t="shared" si="569"/>
        <v>0</v>
      </c>
      <c r="J2276" s="38">
        <v>0</v>
      </c>
      <c r="K2276" s="37">
        <f t="shared" si="570"/>
        <v>0</v>
      </c>
      <c r="L2276" s="38">
        <v>0</v>
      </c>
    </row>
    <row r="2277" spans="1:12" s="39" customFormat="1" ht="15.45" customHeight="1" outlineLevel="1" x14ac:dyDescent="0.25">
      <c r="A2277" s="33">
        <v>13</v>
      </c>
      <c r="B2277" s="34" t="s">
        <v>845</v>
      </c>
      <c r="C2277" s="35" t="s">
        <v>66</v>
      </c>
      <c r="D2277" s="36">
        <v>3.13</v>
      </c>
      <c r="E2277" s="36">
        <v>249.38800000000001</v>
      </c>
      <c r="F2277" s="36">
        <f t="shared" si="566"/>
        <v>780.58443999999997</v>
      </c>
      <c r="G2277" s="37">
        <f t="shared" si="567"/>
        <v>0</v>
      </c>
      <c r="H2277" s="38">
        <f t="shared" si="568"/>
        <v>0</v>
      </c>
      <c r="I2277" s="37">
        <f t="shared" si="569"/>
        <v>0</v>
      </c>
      <c r="J2277" s="38">
        <v>0</v>
      </c>
      <c r="K2277" s="37">
        <f t="shared" si="570"/>
        <v>0</v>
      </c>
      <c r="L2277" s="38">
        <v>0</v>
      </c>
    </row>
    <row r="2278" spans="1:12" s="39" customFormat="1" ht="15.45" customHeight="1" outlineLevel="1" x14ac:dyDescent="0.25">
      <c r="A2278" s="33">
        <v>14</v>
      </c>
      <c r="B2278" s="34" t="s">
        <v>45</v>
      </c>
      <c r="C2278" s="35" t="s">
        <v>30</v>
      </c>
      <c r="D2278" s="36">
        <v>0.153</v>
      </c>
      <c r="E2278" s="36">
        <v>1325.1</v>
      </c>
      <c r="F2278" s="36">
        <f t="shared" si="566"/>
        <v>202.74029999999999</v>
      </c>
      <c r="G2278" s="37">
        <f t="shared" si="567"/>
        <v>0</v>
      </c>
      <c r="H2278" s="38">
        <f t="shared" si="568"/>
        <v>0</v>
      </c>
      <c r="I2278" s="37">
        <f t="shared" si="569"/>
        <v>0</v>
      </c>
      <c r="J2278" s="38">
        <v>0</v>
      </c>
      <c r="K2278" s="37">
        <f t="shared" si="570"/>
        <v>0</v>
      </c>
      <c r="L2278" s="38">
        <v>0</v>
      </c>
    </row>
    <row r="2279" spans="1:12" s="39" customFormat="1" ht="15.45" customHeight="1" outlineLevel="1" x14ac:dyDescent="0.25">
      <c r="A2279" s="33">
        <v>15</v>
      </c>
      <c r="B2279" s="34" t="s">
        <v>46</v>
      </c>
      <c r="C2279" s="35" t="s">
        <v>30</v>
      </c>
      <c r="D2279" s="36">
        <v>0.17299999999999999</v>
      </c>
      <c r="E2279" s="36">
        <v>1200.0999999999999</v>
      </c>
      <c r="F2279" s="36">
        <f t="shared" si="566"/>
        <v>207.61729999999997</v>
      </c>
      <c r="G2279" s="37">
        <f t="shared" si="567"/>
        <v>0</v>
      </c>
      <c r="H2279" s="38">
        <f t="shared" si="568"/>
        <v>0</v>
      </c>
      <c r="I2279" s="37">
        <f t="shared" si="569"/>
        <v>0</v>
      </c>
      <c r="J2279" s="38">
        <v>0</v>
      </c>
      <c r="K2279" s="37">
        <f t="shared" si="570"/>
        <v>0</v>
      </c>
      <c r="L2279" s="38">
        <v>0</v>
      </c>
    </row>
    <row r="2280" spans="1:12" s="39" customFormat="1" ht="28.95" customHeight="1" outlineLevel="1" x14ac:dyDescent="0.25">
      <c r="A2280" s="33">
        <v>16</v>
      </c>
      <c r="B2280" s="34" t="s">
        <v>771</v>
      </c>
      <c r="C2280" s="35" t="s">
        <v>106</v>
      </c>
      <c r="D2280" s="36">
        <v>64.099999999999994</v>
      </c>
      <c r="E2280" s="36">
        <v>52.936000000000007</v>
      </c>
      <c r="F2280" s="36">
        <f t="shared" si="566"/>
        <v>3393.1976</v>
      </c>
      <c r="G2280" s="37">
        <f t="shared" si="567"/>
        <v>0</v>
      </c>
      <c r="H2280" s="38">
        <f t="shared" si="568"/>
        <v>0</v>
      </c>
      <c r="I2280" s="37">
        <f t="shared" si="569"/>
        <v>0</v>
      </c>
      <c r="J2280" s="38">
        <v>0</v>
      </c>
      <c r="K2280" s="37">
        <f t="shared" si="570"/>
        <v>0</v>
      </c>
      <c r="L2280" s="38">
        <v>0</v>
      </c>
    </row>
    <row r="2281" spans="1:12" s="45" customFormat="1" ht="28.95" customHeight="1" x14ac:dyDescent="0.3">
      <c r="A2281" s="33">
        <v>17</v>
      </c>
      <c r="B2281" s="34" t="s">
        <v>1368</v>
      </c>
      <c r="C2281" s="35" t="s">
        <v>106</v>
      </c>
      <c r="D2281" s="36">
        <v>104.5</v>
      </c>
      <c r="E2281" s="36">
        <v>10.320399999999999</v>
      </c>
      <c r="F2281" s="36">
        <f t="shared" si="566"/>
        <v>1078.4818</v>
      </c>
      <c r="G2281" s="37">
        <f t="shared" si="567"/>
        <v>0</v>
      </c>
      <c r="H2281" s="38">
        <f t="shared" si="568"/>
        <v>0</v>
      </c>
      <c r="I2281" s="37">
        <f t="shared" si="569"/>
        <v>0</v>
      </c>
      <c r="J2281" s="38">
        <v>0</v>
      </c>
      <c r="K2281" s="37">
        <f t="shared" si="570"/>
        <v>0</v>
      </c>
      <c r="L2281" s="38">
        <v>0</v>
      </c>
    </row>
    <row r="2282" spans="1:12" s="39" customFormat="1" ht="28.95" customHeight="1" outlineLevel="1" x14ac:dyDescent="0.25">
      <c r="A2282" s="33">
        <v>18</v>
      </c>
      <c r="B2282" s="34" t="s">
        <v>1369</v>
      </c>
      <c r="C2282" s="35" t="s">
        <v>106</v>
      </c>
      <c r="D2282" s="36">
        <v>171</v>
      </c>
      <c r="E2282" s="36">
        <v>2.2216</v>
      </c>
      <c r="F2282" s="36">
        <f t="shared" si="566"/>
        <v>379.89359999999999</v>
      </c>
      <c r="G2282" s="37">
        <f t="shared" si="567"/>
        <v>0</v>
      </c>
      <c r="H2282" s="38">
        <f t="shared" si="568"/>
        <v>0</v>
      </c>
      <c r="I2282" s="37">
        <f t="shared" si="569"/>
        <v>0</v>
      </c>
      <c r="J2282" s="38">
        <v>0</v>
      </c>
      <c r="K2282" s="37">
        <f t="shared" si="570"/>
        <v>0</v>
      </c>
      <c r="L2282" s="38">
        <v>0</v>
      </c>
    </row>
    <row r="2283" spans="1:12" s="39" customFormat="1" ht="15.45" customHeight="1" outlineLevel="1" x14ac:dyDescent="0.25">
      <c r="A2283" s="31" t="s">
        <v>1374</v>
      </c>
      <c r="B2283" s="40" t="s">
        <v>1375</v>
      </c>
      <c r="C2283" s="41">
        <v>0</v>
      </c>
      <c r="D2283" s="42"/>
      <c r="E2283" s="42"/>
      <c r="F2283" s="42"/>
      <c r="G2283" s="43"/>
      <c r="H2283" s="44"/>
      <c r="I2283" s="43"/>
      <c r="J2283" s="44"/>
      <c r="K2283" s="43"/>
      <c r="L2283" s="44">
        <v>0</v>
      </c>
    </row>
    <row r="2284" spans="1:12" s="39" customFormat="1" ht="15.45" customHeight="1" outlineLevel="1" x14ac:dyDescent="0.25">
      <c r="A2284" s="33">
        <v>1</v>
      </c>
      <c r="B2284" s="34" t="s">
        <v>41</v>
      </c>
      <c r="C2284" s="35" t="s">
        <v>66</v>
      </c>
      <c r="D2284" s="36">
        <v>4.2</v>
      </c>
      <c r="E2284" s="36">
        <v>36.616</v>
      </c>
      <c r="F2284" s="36">
        <f t="shared" ref="F2284:F2300" si="571">+E2284*D2284</f>
        <v>153.78720000000001</v>
      </c>
      <c r="G2284" s="37">
        <f t="shared" ref="G2284:G2300" si="572">I2284+K2284</f>
        <v>0</v>
      </c>
      <c r="H2284" s="38">
        <f t="shared" ref="H2284:H2300" si="573">J2284+L2284</f>
        <v>0</v>
      </c>
      <c r="I2284" s="37">
        <f t="shared" ref="I2284:I2300" si="574">J2284/F2284</f>
        <v>0</v>
      </c>
      <c r="J2284" s="38">
        <v>0</v>
      </c>
      <c r="K2284" s="37">
        <f t="shared" ref="K2284:K2300" si="575">L2284/F2284</f>
        <v>0</v>
      </c>
      <c r="L2284" s="38">
        <v>0</v>
      </c>
    </row>
    <row r="2285" spans="1:12" s="39" customFormat="1" ht="15.45" customHeight="1" outlineLevel="1" x14ac:dyDescent="0.25">
      <c r="A2285" s="33">
        <v>2</v>
      </c>
      <c r="B2285" s="34" t="s">
        <v>833</v>
      </c>
      <c r="C2285" s="35" t="s">
        <v>66</v>
      </c>
      <c r="D2285" s="36">
        <v>2.1</v>
      </c>
      <c r="E2285" s="36">
        <v>99.24</v>
      </c>
      <c r="F2285" s="36">
        <f t="shared" si="571"/>
        <v>208.404</v>
      </c>
      <c r="G2285" s="37">
        <f t="shared" si="572"/>
        <v>0</v>
      </c>
      <c r="H2285" s="38">
        <f t="shared" si="573"/>
        <v>0</v>
      </c>
      <c r="I2285" s="37">
        <f t="shared" si="574"/>
        <v>0</v>
      </c>
      <c r="J2285" s="38">
        <v>0</v>
      </c>
      <c r="K2285" s="37">
        <f t="shared" si="575"/>
        <v>0</v>
      </c>
      <c r="L2285" s="38">
        <v>0</v>
      </c>
    </row>
    <row r="2286" spans="1:12" s="39" customFormat="1" ht="28.95" customHeight="1" outlineLevel="1" x14ac:dyDescent="0.25">
      <c r="A2286" s="33">
        <v>3</v>
      </c>
      <c r="B2286" s="34" t="s">
        <v>1372</v>
      </c>
      <c r="C2286" s="35" t="s">
        <v>66</v>
      </c>
      <c r="D2286" s="36">
        <v>6.3</v>
      </c>
      <c r="E2286" s="36">
        <v>171.46</v>
      </c>
      <c r="F2286" s="36">
        <f t="shared" si="571"/>
        <v>1080.1980000000001</v>
      </c>
      <c r="G2286" s="37">
        <f t="shared" si="572"/>
        <v>0</v>
      </c>
      <c r="H2286" s="38">
        <f t="shared" si="573"/>
        <v>0</v>
      </c>
      <c r="I2286" s="37">
        <f t="shared" si="574"/>
        <v>0</v>
      </c>
      <c r="J2286" s="38">
        <v>0</v>
      </c>
      <c r="K2286" s="37">
        <f t="shared" si="575"/>
        <v>0</v>
      </c>
      <c r="L2286" s="38">
        <v>0</v>
      </c>
    </row>
    <row r="2287" spans="1:12" s="39" customFormat="1" ht="15.45" customHeight="1" outlineLevel="1" x14ac:dyDescent="0.25">
      <c r="A2287" s="33">
        <v>4</v>
      </c>
      <c r="B2287" s="34" t="s">
        <v>45</v>
      </c>
      <c r="C2287" s="35" t="s">
        <v>30</v>
      </c>
      <c r="D2287" s="36">
        <v>0.10100000000000001</v>
      </c>
      <c r="E2287" s="36">
        <v>1325.1</v>
      </c>
      <c r="F2287" s="36">
        <f t="shared" si="571"/>
        <v>133.83510000000001</v>
      </c>
      <c r="G2287" s="37">
        <f t="shared" si="572"/>
        <v>0</v>
      </c>
      <c r="H2287" s="38">
        <f t="shared" si="573"/>
        <v>0</v>
      </c>
      <c r="I2287" s="37">
        <f t="shared" si="574"/>
        <v>0</v>
      </c>
      <c r="J2287" s="38">
        <v>0</v>
      </c>
      <c r="K2287" s="37">
        <f t="shared" si="575"/>
        <v>0</v>
      </c>
      <c r="L2287" s="38">
        <v>0</v>
      </c>
    </row>
    <row r="2288" spans="1:12" s="39" customFormat="1" ht="15.45" customHeight="1" outlineLevel="1" x14ac:dyDescent="0.25">
      <c r="A2288" s="33">
        <v>5</v>
      </c>
      <c r="B2288" s="34" t="s">
        <v>46</v>
      </c>
      <c r="C2288" s="35" t="s">
        <v>30</v>
      </c>
      <c r="D2288" s="36">
        <v>0.21</v>
      </c>
      <c r="E2288" s="36">
        <v>1200.0999999999999</v>
      </c>
      <c r="F2288" s="36">
        <f t="shared" si="571"/>
        <v>252.02099999999996</v>
      </c>
      <c r="G2288" s="37">
        <f t="shared" si="572"/>
        <v>0</v>
      </c>
      <c r="H2288" s="38">
        <f t="shared" si="573"/>
        <v>0</v>
      </c>
      <c r="I2288" s="37">
        <f t="shared" si="574"/>
        <v>0</v>
      </c>
      <c r="J2288" s="38">
        <v>0</v>
      </c>
      <c r="K2288" s="37">
        <f t="shared" si="575"/>
        <v>0</v>
      </c>
      <c r="L2288" s="38">
        <v>0</v>
      </c>
    </row>
    <row r="2289" spans="1:12" s="39" customFormat="1" ht="28.95" customHeight="1" outlineLevel="1" x14ac:dyDescent="0.25">
      <c r="A2289" s="33">
        <v>6</v>
      </c>
      <c r="B2289" s="34" t="s">
        <v>771</v>
      </c>
      <c r="C2289" s="35" t="s">
        <v>106</v>
      </c>
      <c r="D2289" s="36">
        <v>10.199999999999999</v>
      </c>
      <c r="E2289" s="36">
        <v>52.936000000000007</v>
      </c>
      <c r="F2289" s="36">
        <f t="shared" si="571"/>
        <v>539.94720000000007</v>
      </c>
      <c r="G2289" s="37">
        <f t="shared" si="572"/>
        <v>0</v>
      </c>
      <c r="H2289" s="38">
        <f t="shared" si="573"/>
        <v>0</v>
      </c>
      <c r="I2289" s="37">
        <f t="shared" si="574"/>
        <v>0</v>
      </c>
      <c r="J2289" s="38">
        <v>0</v>
      </c>
      <c r="K2289" s="37">
        <f t="shared" si="575"/>
        <v>0</v>
      </c>
      <c r="L2289" s="38">
        <v>0</v>
      </c>
    </row>
    <row r="2290" spans="1:12" s="45" customFormat="1" ht="28.95" customHeight="1" x14ac:dyDescent="0.3">
      <c r="A2290" s="33">
        <v>7</v>
      </c>
      <c r="B2290" s="34" t="s">
        <v>1257</v>
      </c>
      <c r="C2290" s="35" t="s">
        <v>106</v>
      </c>
      <c r="D2290" s="36">
        <v>20.399999999999999</v>
      </c>
      <c r="E2290" s="36">
        <v>10.8202</v>
      </c>
      <c r="F2290" s="36">
        <f t="shared" si="571"/>
        <v>220.73207999999997</v>
      </c>
      <c r="G2290" s="37">
        <f t="shared" si="572"/>
        <v>0</v>
      </c>
      <c r="H2290" s="38">
        <f t="shared" si="573"/>
        <v>0</v>
      </c>
      <c r="I2290" s="37">
        <f t="shared" si="574"/>
        <v>0</v>
      </c>
      <c r="J2290" s="38">
        <v>0</v>
      </c>
      <c r="K2290" s="37">
        <f t="shared" si="575"/>
        <v>0</v>
      </c>
      <c r="L2290" s="38">
        <v>0</v>
      </c>
    </row>
    <row r="2291" spans="1:12" s="39" customFormat="1" ht="28.95" customHeight="1" outlineLevel="1" x14ac:dyDescent="0.25">
      <c r="A2291" s="33">
        <v>8</v>
      </c>
      <c r="B2291" s="34" t="s">
        <v>240</v>
      </c>
      <c r="C2291" s="35" t="s">
        <v>106</v>
      </c>
      <c r="D2291" s="36">
        <v>41.4</v>
      </c>
      <c r="E2291" s="36">
        <v>3.67</v>
      </c>
      <c r="F2291" s="36">
        <f t="shared" si="571"/>
        <v>151.93799999999999</v>
      </c>
      <c r="G2291" s="37">
        <f t="shared" si="572"/>
        <v>0</v>
      </c>
      <c r="H2291" s="38">
        <f t="shared" si="573"/>
        <v>0</v>
      </c>
      <c r="I2291" s="37">
        <f t="shared" si="574"/>
        <v>0</v>
      </c>
      <c r="J2291" s="38">
        <v>0</v>
      </c>
      <c r="K2291" s="37">
        <f t="shared" si="575"/>
        <v>0</v>
      </c>
      <c r="L2291" s="38">
        <v>0</v>
      </c>
    </row>
    <row r="2292" spans="1:12" s="39" customFormat="1" ht="28.95" customHeight="1" outlineLevel="1" x14ac:dyDescent="0.25">
      <c r="A2292" s="33">
        <v>9</v>
      </c>
      <c r="B2292" s="34" t="s">
        <v>1367</v>
      </c>
      <c r="C2292" s="35" t="s">
        <v>66</v>
      </c>
      <c r="D2292" s="36">
        <v>3.6</v>
      </c>
      <c r="E2292" s="36">
        <v>281.11200000000002</v>
      </c>
      <c r="F2292" s="36">
        <f t="shared" si="571"/>
        <v>1012.0032000000001</v>
      </c>
      <c r="G2292" s="37">
        <f t="shared" si="572"/>
        <v>0</v>
      </c>
      <c r="H2292" s="38">
        <f t="shared" si="573"/>
        <v>0</v>
      </c>
      <c r="I2292" s="37">
        <f t="shared" si="574"/>
        <v>0</v>
      </c>
      <c r="J2292" s="38">
        <v>0</v>
      </c>
      <c r="K2292" s="37">
        <f t="shared" si="575"/>
        <v>0</v>
      </c>
      <c r="L2292" s="38">
        <v>0</v>
      </c>
    </row>
    <row r="2293" spans="1:12" s="39" customFormat="1" ht="15.45" customHeight="1" outlineLevel="1" x14ac:dyDescent="0.25">
      <c r="A2293" s="33">
        <v>10</v>
      </c>
      <c r="B2293" s="34" t="s">
        <v>45</v>
      </c>
      <c r="C2293" s="35" t="s">
        <v>30</v>
      </c>
      <c r="D2293" s="36">
        <v>0.32500000000000001</v>
      </c>
      <c r="E2293" s="36">
        <v>1325.1</v>
      </c>
      <c r="F2293" s="36">
        <f t="shared" si="571"/>
        <v>430.65749999999997</v>
      </c>
      <c r="G2293" s="37">
        <f t="shared" si="572"/>
        <v>0</v>
      </c>
      <c r="H2293" s="38">
        <f t="shared" si="573"/>
        <v>0</v>
      </c>
      <c r="I2293" s="37">
        <f t="shared" si="574"/>
        <v>0</v>
      </c>
      <c r="J2293" s="38">
        <v>0</v>
      </c>
      <c r="K2293" s="37">
        <f t="shared" si="575"/>
        <v>0</v>
      </c>
      <c r="L2293" s="38">
        <v>0</v>
      </c>
    </row>
    <row r="2294" spans="1:12" s="39" customFormat="1" ht="15.45" customHeight="1" outlineLevel="1" x14ac:dyDescent="0.25">
      <c r="A2294" s="33">
        <v>11</v>
      </c>
      <c r="B2294" s="34" t="s">
        <v>46</v>
      </c>
      <c r="C2294" s="35" t="s">
        <v>30</v>
      </c>
      <c r="D2294" s="36">
        <v>0.34300000000000003</v>
      </c>
      <c r="E2294" s="36">
        <v>1200.0999999999999</v>
      </c>
      <c r="F2294" s="36">
        <f t="shared" si="571"/>
        <v>411.6343</v>
      </c>
      <c r="G2294" s="37">
        <f t="shared" si="572"/>
        <v>0</v>
      </c>
      <c r="H2294" s="38">
        <f t="shared" si="573"/>
        <v>0</v>
      </c>
      <c r="I2294" s="37">
        <f t="shared" si="574"/>
        <v>0</v>
      </c>
      <c r="J2294" s="38">
        <v>0</v>
      </c>
      <c r="K2294" s="37">
        <f t="shared" si="575"/>
        <v>0</v>
      </c>
      <c r="L2294" s="38">
        <v>0</v>
      </c>
    </row>
    <row r="2295" spans="1:12" s="39" customFormat="1" ht="15.45" customHeight="1" outlineLevel="1" x14ac:dyDescent="0.25">
      <c r="A2295" s="33">
        <v>12</v>
      </c>
      <c r="B2295" s="34" t="s">
        <v>845</v>
      </c>
      <c r="C2295" s="35" t="s">
        <v>66</v>
      </c>
      <c r="D2295" s="36">
        <v>1.75</v>
      </c>
      <c r="E2295" s="36">
        <v>249.38800000000001</v>
      </c>
      <c r="F2295" s="36">
        <f t="shared" si="571"/>
        <v>436.42900000000003</v>
      </c>
      <c r="G2295" s="37">
        <f t="shared" si="572"/>
        <v>0</v>
      </c>
      <c r="H2295" s="38">
        <f t="shared" si="573"/>
        <v>0</v>
      </c>
      <c r="I2295" s="37">
        <f t="shared" si="574"/>
        <v>0</v>
      </c>
      <c r="J2295" s="38">
        <v>0</v>
      </c>
      <c r="K2295" s="37">
        <f t="shared" si="575"/>
        <v>0</v>
      </c>
      <c r="L2295" s="38">
        <v>0</v>
      </c>
    </row>
    <row r="2296" spans="1:12" s="39" customFormat="1" ht="15.45" customHeight="1" outlineLevel="1" x14ac:dyDescent="0.25">
      <c r="A2296" s="33">
        <v>13</v>
      </c>
      <c r="B2296" s="34" t="s">
        <v>45</v>
      </c>
      <c r="C2296" s="35" t="s">
        <v>30</v>
      </c>
      <c r="D2296" s="36">
        <v>5.1999999999999998E-2</v>
      </c>
      <c r="E2296" s="36">
        <v>1325.1</v>
      </c>
      <c r="F2296" s="36">
        <f t="shared" si="571"/>
        <v>68.905199999999994</v>
      </c>
      <c r="G2296" s="37">
        <f t="shared" si="572"/>
        <v>0</v>
      </c>
      <c r="H2296" s="38">
        <f t="shared" si="573"/>
        <v>0</v>
      </c>
      <c r="I2296" s="37">
        <f t="shared" si="574"/>
        <v>0</v>
      </c>
      <c r="J2296" s="38">
        <v>0</v>
      </c>
      <c r="K2296" s="37">
        <f t="shared" si="575"/>
        <v>0</v>
      </c>
      <c r="L2296" s="38">
        <v>0</v>
      </c>
    </row>
    <row r="2297" spans="1:12" s="39" customFormat="1" ht="15.45" customHeight="1" outlineLevel="1" x14ac:dyDescent="0.25">
      <c r="A2297" s="33">
        <v>14</v>
      </c>
      <c r="B2297" s="34" t="s">
        <v>46</v>
      </c>
      <c r="C2297" s="35" t="s">
        <v>30</v>
      </c>
      <c r="D2297" s="36">
        <v>8.4000000000000005E-2</v>
      </c>
      <c r="E2297" s="36">
        <v>1200.0999999999999</v>
      </c>
      <c r="F2297" s="36">
        <f t="shared" si="571"/>
        <v>100.80839999999999</v>
      </c>
      <c r="G2297" s="37">
        <f t="shared" si="572"/>
        <v>0</v>
      </c>
      <c r="H2297" s="38">
        <f t="shared" si="573"/>
        <v>0</v>
      </c>
      <c r="I2297" s="37">
        <f t="shared" si="574"/>
        <v>0</v>
      </c>
      <c r="J2297" s="38">
        <v>0</v>
      </c>
      <c r="K2297" s="37">
        <f t="shared" si="575"/>
        <v>0</v>
      </c>
      <c r="L2297" s="38">
        <v>0</v>
      </c>
    </row>
    <row r="2298" spans="1:12" s="39" customFormat="1" ht="28.95" customHeight="1" outlineLevel="1" x14ac:dyDescent="0.25">
      <c r="A2298" s="33">
        <v>15</v>
      </c>
      <c r="B2298" s="34" t="s">
        <v>771</v>
      </c>
      <c r="C2298" s="35" t="s">
        <v>106</v>
      </c>
      <c r="D2298" s="36">
        <v>46.7</v>
      </c>
      <c r="E2298" s="36">
        <v>52.936000000000007</v>
      </c>
      <c r="F2298" s="36">
        <f t="shared" si="571"/>
        <v>2472.1112000000003</v>
      </c>
      <c r="G2298" s="37">
        <f t="shared" si="572"/>
        <v>0</v>
      </c>
      <c r="H2298" s="38">
        <f t="shared" si="573"/>
        <v>0</v>
      </c>
      <c r="I2298" s="37">
        <f t="shared" si="574"/>
        <v>0</v>
      </c>
      <c r="J2298" s="38">
        <v>0</v>
      </c>
      <c r="K2298" s="37">
        <f t="shared" si="575"/>
        <v>0</v>
      </c>
      <c r="L2298" s="38">
        <v>0</v>
      </c>
    </row>
    <row r="2299" spans="1:12" s="39" customFormat="1" ht="28.95" customHeight="1" outlineLevel="1" x14ac:dyDescent="0.25">
      <c r="A2299" s="33">
        <v>16</v>
      </c>
      <c r="B2299" s="34" t="s">
        <v>1368</v>
      </c>
      <c r="C2299" s="35" t="s">
        <v>106</v>
      </c>
      <c r="D2299" s="36">
        <v>93.4</v>
      </c>
      <c r="E2299" s="36">
        <v>10.320399999999999</v>
      </c>
      <c r="F2299" s="36">
        <f t="shared" si="571"/>
        <v>963.92535999999996</v>
      </c>
      <c r="G2299" s="37">
        <f t="shared" si="572"/>
        <v>0</v>
      </c>
      <c r="H2299" s="38">
        <f t="shared" si="573"/>
        <v>0</v>
      </c>
      <c r="I2299" s="37">
        <f t="shared" si="574"/>
        <v>0</v>
      </c>
      <c r="J2299" s="38">
        <v>0</v>
      </c>
      <c r="K2299" s="37">
        <f t="shared" si="575"/>
        <v>0</v>
      </c>
      <c r="L2299" s="38">
        <v>0</v>
      </c>
    </row>
    <row r="2300" spans="1:12" s="39" customFormat="1" ht="28.95" customHeight="1" outlineLevel="1" x14ac:dyDescent="0.25">
      <c r="A2300" s="33">
        <v>17</v>
      </c>
      <c r="B2300" s="34" t="s">
        <v>1369</v>
      </c>
      <c r="C2300" s="35" t="s">
        <v>106</v>
      </c>
      <c r="D2300" s="36">
        <v>136.30000000000001</v>
      </c>
      <c r="E2300" s="36">
        <v>2.2216</v>
      </c>
      <c r="F2300" s="36">
        <f t="shared" si="571"/>
        <v>302.80408000000006</v>
      </c>
      <c r="G2300" s="37">
        <f t="shared" si="572"/>
        <v>0</v>
      </c>
      <c r="H2300" s="38">
        <f t="shared" si="573"/>
        <v>0</v>
      </c>
      <c r="I2300" s="37">
        <f t="shared" si="574"/>
        <v>0</v>
      </c>
      <c r="J2300" s="38">
        <v>0</v>
      </c>
      <c r="K2300" s="37">
        <f t="shared" si="575"/>
        <v>0</v>
      </c>
      <c r="L2300" s="38">
        <v>0</v>
      </c>
    </row>
    <row r="2301" spans="1:12" s="46" customFormat="1" ht="15.45" customHeight="1" outlineLevel="1" x14ac:dyDescent="0.35">
      <c r="A2301" s="31" t="s">
        <v>1376</v>
      </c>
      <c r="B2301" s="40" t="s">
        <v>1377</v>
      </c>
      <c r="C2301" s="41">
        <v>0</v>
      </c>
      <c r="D2301" s="42"/>
      <c r="E2301" s="42"/>
      <c r="F2301" s="42"/>
      <c r="G2301" s="43"/>
      <c r="H2301" s="44"/>
      <c r="I2301" s="43"/>
      <c r="J2301" s="44"/>
      <c r="K2301" s="43"/>
      <c r="L2301" s="44">
        <v>0</v>
      </c>
    </row>
    <row r="2302" spans="1:12" s="45" customFormat="1" ht="28.95" customHeight="1" x14ac:dyDescent="0.3">
      <c r="A2302" s="33">
        <v>1</v>
      </c>
      <c r="B2302" s="34" t="s">
        <v>1378</v>
      </c>
      <c r="C2302" s="35" t="s">
        <v>115</v>
      </c>
      <c r="D2302" s="36">
        <v>2</v>
      </c>
      <c r="E2302" s="36">
        <v>214.62639999999999</v>
      </c>
      <c r="F2302" s="36">
        <f>+E2302*D2302</f>
        <v>429.25279999999998</v>
      </c>
      <c r="G2302" s="37">
        <f>I2302+K2302</f>
        <v>0</v>
      </c>
      <c r="H2302" s="38">
        <f>J2302+L2302</f>
        <v>0</v>
      </c>
      <c r="I2302" s="37">
        <f>J2302/F2302</f>
        <v>0</v>
      </c>
      <c r="J2302" s="38">
        <v>0</v>
      </c>
      <c r="K2302" s="37">
        <f>L2302/F2302</f>
        <v>0</v>
      </c>
      <c r="L2302" s="38">
        <v>0</v>
      </c>
    </row>
    <row r="2303" spans="1:12" s="39" customFormat="1" ht="43.5" customHeight="1" outlineLevel="1" x14ac:dyDescent="0.25">
      <c r="A2303" s="33">
        <v>2</v>
      </c>
      <c r="B2303" s="34" t="s">
        <v>1379</v>
      </c>
      <c r="C2303" s="35" t="s">
        <v>115</v>
      </c>
      <c r="D2303" s="36">
        <v>2</v>
      </c>
      <c r="E2303" s="36">
        <v>1445.336</v>
      </c>
      <c r="F2303" s="36">
        <f>+E2303*D2303</f>
        <v>2890.672</v>
      </c>
      <c r="G2303" s="37">
        <f>I2303+K2303</f>
        <v>0</v>
      </c>
      <c r="H2303" s="38">
        <f>J2303+L2303</f>
        <v>0</v>
      </c>
      <c r="I2303" s="37">
        <f>J2303/F2303</f>
        <v>0</v>
      </c>
      <c r="J2303" s="38">
        <v>0</v>
      </c>
      <c r="K2303" s="37">
        <f>L2303/F2303</f>
        <v>0</v>
      </c>
      <c r="L2303" s="38">
        <v>0</v>
      </c>
    </row>
    <row r="2304" spans="1:12" s="39" customFormat="1" ht="15.45" customHeight="1" outlineLevel="1" x14ac:dyDescent="0.25">
      <c r="A2304" s="31" t="s">
        <v>1380</v>
      </c>
      <c r="B2304" s="40" t="s">
        <v>1381</v>
      </c>
      <c r="C2304" s="41">
        <v>0</v>
      </c>
      <c r="D2304" s="42"/>
      <c r="E2304" s="42"/>
      <c r="F2304" s="42"/>
      <c r="G2304" s="43"/>
      <c r="H2304" s="44"/>
      <c r="I2304" s="43"/>
      <c r="J2304" s="44"/>
      <c r="K2304" s="43"/>
      <c r="L2304" s="44">
        <v>0</v>
      </c>
    </row>
    <row r="2305" spans="1:12" s="45" customFormat="1" ht="28.95" customHeight="1" x14ac:dyDescent="0.3">
      <c r="A2305" s="33">
        <v>1</v>
      </c>
      <c r="B2305" s="34" t="s">
        <v>764</v>
      </c>
      <c r="C2305" s="35" t="s">
        <v>66</v>
      </c>
      <c r="D2305" s="36">
        <v>67</v>
      </c>
      <c r="E2305" s="36">
        <v>0.9</v>
      </c>
      <c r="F2305" s="36">
        <f>+E2305*D2305</f>
        <v>60.300000000000004</v>
      </c>
      <c r="G2305" s="37">
        <f t="shared" ref="G2305:H2309" si="576">I2305+K2305</f>
        <v>0</v>
      </c>
      <c r="H2305" s="38">
        <f t="shared" si="576"/>
        <v>0</v>
      </c>
      <c r="I2305" s="37">
        <f>J2305/F2305</f>
        <v>0</v>
      </c>
      <c r="J2305" s="38">
        <v>0</v>
      </c>
      <c r="K2305" s="37">
        <f>L2305/F2305</f>
        <v>0</v>
      </c>
      <c r="L2305" s="38">
        <v>0</v>
      </c>
    </row>
    <row r="2306" spans="1:12" s="39" customFormat="1" ht="28.95" customHeight="1" outlineLevel="1" x14ac:dyDescent="0.25">
      <c r="A2306" s="33">
        <v>2</v>
      </c>
      <c r="B2306" s="34" t="s">
        <v>765</v>
      </c>
      <c r="C2306" s="35" t="s">
        <v>66</v>
      </c>
      <c r="D2306" s="36">
        <v>2</v>
      </c>
      <c r="E2306" s="36">
        <v>8.9600000000000009</v>
      </c>
      <c r="F2306" s="36">
        <f>+E2306*D2306</f>
        <v>17.920000000000002</v>
      </c>
      <c r="G2306" s="37">
        <f t="shared" si="576"/>
        <v>0</v>
      </c>
      <c r="H2306" s="38">
        <f t="shared" si="576"/>
        <v>0</v>
      </c>
      <c r="I2306" s="37">
        <f>J2306/F2306</f>
        <v>0</v>
      </c>
      <c r="J2306" s="38">
        <v>0</v>
      </c>
      <c r="K2306" s="37">
        <f>L2306/F2306</f>
        <v>0</v>
      </c>
      <c r="L2306" s="38">
        <v>0</v>
      </c>
    </row>
    <row r="2307" spans="1:12" s="39" customFormat="1" ht="43.5" customHeight="1" outlineLevel="1" x14ac:dyDescent="0.25">
      <c r="A2307" s="33">
        <v>3</v>
      </c>
      <c r="B2307" s="34" t="s">
        <v>766</v>
      </c>
      <c r="C2307" s="35" t="s">
        <v>66</v>
      </c>
      <c r="D2307" s="36">
        <v>41</v>
      </c>
      <c r="E2307" s="36">
        <v>0.9</v>
      </c>
      <c r="F2307" s="36">
        <f>+E2307*D2307</f>
        <v>36.9</v>
      </c>
      <c r="G2307" s="37">
        <f t="shared" si="576"/>
        <v>0</v>
      </c>
      <c r="H2307" s="38">
        <f t="shared" si="576"/>
        <v>0</v>
      </c>
      <c r="I2307" s="37">
        <f>J2307/F2307</f>
        <v>0</v>
      </c>
      <c r="J2307" s="38">
        <v>0</v>
      </c>
      <c r="K2307" s="37">
        <f>L2307/F2307</f>
        <v>0</v>
      </c>
      <c r="L2307" s="38">
        <v>0</v>
      </c>
    </row>
    <row r="2308" spans="1:12" s="39" customFormat="1" ht="28.95" customHeight="1" outlineLevel="1" x14ac:dyDescent="0.25">
      <c r="A2308" s="33">
        <v>4</v>
      </c>
      <c r="B2308" s="34" t="s">
        <v>234</v>
      </c>
      <c r="C2308" s="35" t="s">
        <v>66</v>
      </c>
      <c r="D2308" s="36">
        <v>41</v>
      </c>
      <c r="E2308" s="36">
        <v>2</v>
      </c>
      <c r="F2308" s="36">
        <f>+E2308*D2308</f>
        <v>82</v>
      </c>
      <c r="G2308" s="37">
        <f t="shared" si="576"/>
        <v>0</v>
      </c>
      <c r="H2308" s="38">
        <f t="shared" si="576"/>
        <v>0</v>
      </c>
      <c r="I2308" s="37">
        <f>J2308/F2308</f>
        <v>0</v>
      </c>
      <c r="J2308" s="38">
        <v>0</v>
      </c>
      <c r="K2308" s="37">
        <f>L2308/F2308</f>
        <v>0</v>
      </c>
      <c r="L2308" s="38">
        <v>0</v>
      </c>
    </row>
    <row r="2309" spans="1:12" s="45" customFormat="1" ht="28.95" customHeight="1" x14ac:dyDescent="0.3">
      <c r="A2309" s="33">
        <v>5</v>
      </c>
      <c r="B2309" s="34" t="s">
        <v>316</v>
      </c>
      <c r="C2309" s="35" t="s">
        <v>66</v>
      </c>
      <c r="D2309" s="36">
        <v>11</v>
      </c>
      <c r="E2309" s="36">
        <v>8.16</v>
      </c>
      <c r="F2309" s="36">
        <f>+E2309*D2309</f>
        <v>89.76</v>
      </c>
      <c r="G2309" s="37">
        <f t="shared" si="576"/>
        <v>0</v>
      </c>
      <c r="H2309" s="38">
        <f t="shared" si="576"/>
        <v>0</v>
      </c>
      <c r="I2309" s="37">
        <f>J2309/F2309</f>
        <v>0</v>
      </c>
      <c r="J2309" s="38">
        <v>0</v>
      </c>
      <c r="K2309" s="37">
        <f>L2309/F2309</f>
        <v>0</v>
      </c>
      <c r="L2309" s="38">
        <v>0</v>
      </c>
    </row>
    <row r="2310" spans="1:12" s="39" customFormat="1" ht="15.45" customHeight="1" outlineLevel="1" x14ac:dyDescent="0.25">
      <c r="A2310" s="31" t="s">
        <v>1382</v>
      </c>
      <c r="B2310" s="40" t="s">
        <v>1383</v>
      </c>
      <c r="C2310" s="41">
        <v>0</v>
      </c>
      <c r="D2310" s="42"/>
      <c r="E2310" s="42"/>
      <c r="F2310" s="42"/>
      <c r="G2310" s="43"/>
      <c r="H2310" s="44"/>
      <c r="I2310" s="43"/>
      <c r="J2310" s="44"/>
      <c r="K2310" s="43"/>
      <c r="L2310" s="44">
        <v>0</v>
      </c>
    </row>
    <row r="2311" spans="1:12" s="39" customFormat="1" ht="15.45" customHeight="1" outlineLevel="1" x14ac:dyDescent="0.25">
      <c r="A2311" s="33">
        <v>1</v>
      </c>
      <c r="B2311" s="34" t="s">
        <v>41</v>
      </c>
      <c r="C2311" s="35" t="s">
        <v>66</v>
      </c>
      <c r="D2311" s="36">
        <v>1.31</v>
      </c>
      <c r="E2311" s="36">
        <v>11.044600000000001</v>
      </c>
      <c r="F2311" s="36">
        <f t="shared" ref="F2311:F2323" si="577">+E2311*D2311</f>
        <v>14.468426000000001</v>
      </c>
      <c r="G2311" s="37">
        <f t="shared" ref="G2311:G2323" si="578">I2311+K2311</f>
        <v>0</v>
      </c>
      <c r="H2311" s="38">
        <f t="shared" ref="H2311:H2323" si="579">J2311+L2311</f>
        <v>0</v>
      </c>
      <c r="I2311" s="37">
        <f t="shared" ref="I2311:I2323" si="580">J2311/F2311</f>
        <v>0</v>
      </c>
      <c r="J2311" s="38">
        <v>0</v>
      </c>
      <c r="K2311" s="37">
        <f t="shared" ref="K2311:K2323" si="581">L2311/F2311</f>
        <v>0</v>
      </c>
      <c r="L2311" s="38">
        <v>0</v>
      </c>
    </row>
    <row r="2312" spans="1:12" s="39" customFormat="1" ht="15.45" customHeight="1" outlineLevel="1" x14ac:dyDescent="0.25">
      <c r="A2312" s="33">
        <v>2</v>
      </c>
      <c r="B2312" s="34" t="s">
        <v>1384</v>
      </c>
      <c r="C2312" s="35" t="s">
        <v>106</v>
      </c>
      <c r="D2312" s="36">
        <v>13.1</v>
      </c>
      <c r="E2312" s="36">
        <v>7.5970000000000004</v>
      </c>
      <c r="F2312" s="36">
        <f t="shared" si="577"/>
        <v>99.520700000000005</v>
      </c>
      <c r="G2312" s="37">
        <f t="shared" si="578"/>
        <v>0</v>
      </c>
      <c r="H2312" s="38">
        <f t="shared" si="579"/>
        <v>0</v>
      </c>
      <c r="I2312" s="37">
        <f t="shared" si="580"/>
        <v>0</v>
      </c>
      <c r="J2312" s="38">
        <v>0</v>
      </c>
      <c r="K2312" s="37">
        <f t="shared" si="581"/>
        <v>0</v>
      </c>
      <c r="L2312" s="38">
        <v>0</v>
      </c>
    </row>
    <row r="2313" spans="1:12" s="46" customFormat="1" ht="15.45" customHeight="1" outlineLevel="1" x14ac:dyDescent="0.35">
      <c r="A2313" s="33">
        <v>3</v>
      </c>
      <c r="B2313" s="34" t="s">
        <v>1385</v>
      </c>
      <c r="C2313" s="35" t="s">
        <v>106</v>
      </c>
      <c r="D2313" s="36">
        <v>13.1</v>
      </c>
      <c r="E2313" s="36">
        <v>7.4440000000000008</v>
      </c>
      <c r="F2313" s="36">
        <f t="shared" si="577"/>
        <v>97.516400000000004</v>
      </c>
      <c r="G2313" s="37">
        <f t="shared" si="578"/>
        <v>0</v>
      </c>
      <c r="H2313" s="38">
        <f t="shared" si="579"/>
        <v>0</v>
      </c>
      <c r="I2313" s="37">
        <f t="shared" si="580"/>
        <v>0</v>
      </c>
      <c r="J2313" s="38">
        <v>0</v>
      </c>
      <c r="K2313" s="37">
        <f t="shared" si="581"/>
        <v>0</v>
      </c>
      <c r="L2313" s="38">
        <v>0</v>
      </c>
    </row>
    <row r="2314" spans="1:12" s="39" customFormat="1" ht="28.95" customHeight="1" outlineLevel="1" x14ac:dyDescent="0.25">
      <c r="A2314" s="33">
        <v>4</v>
      </c>
      <c r="B2314" s="34" t="s">
        <v>1386</v>
      </c>
      <c r="C2314" s="35" t="s">
        <v>66</v>
      </c>
      <c r="D2314" s="36">
        <v>2.4</v>
      </c>
      <c r="E2314" s="36">
        <v>160.56</v>
      </c>
      <c r="F2314" s="36">
        <f t="shared" si="577"/>
        <v>385.34399999999999</v>
      </c>
      <c r="G2314" s="37">
        <f t="shared" si="578"/>
        <v>0</v>
      </c>
      <c r="H2314" s="38">
        <f t="shared" si="579"/>
        <v>0</v>
      </c>
      <c r="I2314" s="37">
        <f t="shared" si="580"/>
        <v>0</v>
      </c>
      <c r="J2314" s="38">
        <v>0</v>
      </c>
      <c r="K2314" s="37">
        <f t="shared" si="581"/>
        <v>0</v>
      </c>
      <c r="L2314" s="38">
        <v>0</v>
      </c>
    </row>
    <row r="2315" spans="1:12" s="39" customFormat="1" ht="15.45" customHeight="1" outlineLevel="1" x14ac:dyDescent="0.25">
      <c r="A2315" s="33">
        <v>5</v>
      </c>
      <c r="B2315" s="34" t="s">
        <v>45</v>
      </c>
      <c r="C2315" s="35" t="s">
        <v>30</v>
      </c>
      <c r="D2315" s="36">
        <v>7.5999999999999998E-2</v>
      </c>
      <c r="E2315" s="36">
        <v>1325.1</v>
      </c>
      <c r="F2315" s="36">
        <f t="shared" si="577"/>
        <v>100.70759999999999</v>
      </c>
      <c r="G2315" s="37">
        <f t="shared" si="578"/>
        <v>0</v>
      </c>
      <c r="H2315" s="38">
        <f t="shared" si="579"/>
        <v>0</v>
      </c>
      <c r="I2315" s="37">
        <f t="shared" si="580"/>
        <v>0</v>
      </c>
      <c r="J2315" s="38">
        <v>0</v>
      </c>
      <c r="K2315" s="37">
        <f t="shared" si="581"/>
        <v>0</v>
      </c>
      <c r="L2315" s="38">
        <v>0</v>
      </c>
    </row>
    <row r="2316" spans="1:12" s="39" customFormat="1" ht="15.45" customHeight="1" outlineLevel="1" x14ac:dyDescent="0.25">
      <c r="A2316" s="33">
        <v>6</v>
      </c>
      <c r="B2316" s="34" t="s">
        <v>46</v>
      </c>
      <c r="C2316" s="35" t="s">
        <v>30</v>
      </c>
      <c r="D2316" s="36">
        <v>0.12</v>
      </c>
      <c r="E2316" s="36">
        <v>1200.0999999999999</v>
      </c>
      <c r="F2316" s="36">
        <f t="shared" si="577"/>
        <v>144.01199999999997</v>
      </c>
      <c r="G2316" s="37">
        <f t="shared" si="578"/>
        <v>0</v>
      </c>
      <c r="H2316" s="38">
        <f t="shared" si="579"/>
        <v>0</v>
      </c>
      <c r="I2316" s="37">
        <f t="shared" si="580"/>
        <v>0</v>
      </c>
      <c r="J2316" s="38">
        <v>0</v>
      </c>
      <c r="K2316" s="37">
        <f t="shared" si="581"/>
        <v>0</v>
      </c>
      <c r="L2316" s="38">
        <v>0</v>
      </c>
    </row>
    <row r="2317" spans="1:12" s="46" customFormat="1" ht="15.45" customHeight="1" outlineLevel="1" x14ac:dyDescent="0.35">
      <c r="A2317" s="33">
        <v>7</v>
      </c>
      <c r="B2317" s="34" t="s">
        <v>1387</v>
      </c>
      <c r="C2317" s="35" t="s">
        <v>30</v>
      </c>
      <c r="D2317" s="36">
        <v>3.3000000000000002E-2</v>
      </c>
      <c r="E2317" s="36">
        <v>4108.0276000000003</v>
      </c>
      <c r="F2317" s="36">
        <f t="shared" si="577"/>
        <v>135.56491080000001</v>
      </c>
      <c r="G2317" s="37">
        <f t="shared" si="578"/>
        <v>0</v>
      </c>
      <c r="H2317" s="38">
        <f t="shared" si="579"/>
        <v>0</v>
      </c>
      <c r="I2317" s="37">
        <f t="shared" si="580"/>
        <v>0</v>
      </c>
      <c r="J2317" s="38">
        <v>0</v>
      </c>
      <c r="K2317" s="37">
        <f t="shared" si="581"/>
        <v>0</v>
      </c>
      <c r="L2317" s="38">
        <v>0</v>
      </c>
    </row>
    <row r="2318" spans="1:12" s="39" customFormat="1" ht="28.95" customHeight="1" outlineLevel="1" x14ac:dyDescent="0.25">
      <c r="A2318" s="33">
        <v>8</v>
      </c>
      <c r="B2318" s="34" t="s">
        <v>1388</v>
      </c>
      <c r="C2318" s="35" t="s">
        <v>66</v>
      </c>
      <c r="D2318" s="36">
        <v>0.32</v>
      </c>
      <c r="E2318" s="36">
        <v>143.8486</v>
      </c>
      <c r="F2318" s="36">
        <f t="shared" si="577"/>
        <v>46.031552000000005</v>
      </c>
      <c r="G2318" s="37">
        <f t="shared" si="578"/>
        <v>0</v>
      </c>
      <c r="H2318" s="38">
        <f t="shared" si="579"/>
        <v>0</v>
      </c>
      <c r="I2318" s="37">
        <f t="shared" si="580"/>
        <v>0</v>
      </c>
      <c r="J2318" s="38">
        <v>0</v>
      </c>
      <c r="K2318" s="37">
        <f t="shared" si="581"/>
        <v>0</v>
      </c>
      <c r="L2318" s="38">
        <v>0</v>
      </c>
    </row>
    <row r="2319" spans="1:12" s="39" customFormat="1" ht="15.45" customHeight="1" outlineLevel="1" x14ac:dyDescent="0.25">
      <c r="A2319" s="33">
        <v>9</v>
      </c>
      <c r="B2319" s="34" t="s">
        <v>1389</v>
      </c>
      <c r="C2319" s="35" t="s">
        <v>106</v>
      </c>
      <c r="D2319" s="36">
        <v>2.5</v>
      </c>
      <c r="E2319" s="36">
        <v>1.885</v>
      </c>
      <c r="F2319" s="36">
        <f t="shared" si="577"/>
        <v>4.7125000000000004</v>
      </c>
      <c r="G2319" s="37">
        <f t="shared" si="578"/>
        <v>0</v>
      </c>
      <c r="H2319" s="38">
        <f t="shared" si="579"/>
        <v>0</v>
      </c>
      <c r="I2319" s="37">
        <f t="shared" si="580"/>
        <v>0</v>
      </c>
      <c r="J2319" s="38">
        <v>0</v>
      </c>
      <c r="K2319" s="37">
        <f t="shared" si="581"/>
        <v>0</v>
      </c>
      <c r="L2319" s="38">
        <v>0</v>
      </c>
    </row>
    <row r="2320" spans="1:12" s="39" customFormat="1" ht="15.45" customHeight="1" outlineLevel="1" x14ac:dyDescent="0.25">
      <c r="A2320" s="33">
        <v>10</v>
      </c>
      <c r="B2320" s="34" t="s">
        <v>1384</v>
      </c>
      <c r="C2320" s="35" t="s">
        <v>106</v>
      </c>
      <c r="D2320" s="36">
        <v>25</v>
      </c>
      <c r="E2320" s="36">
        <v>7.5970000000000004</v>
      </c>
      <c r="F2320" s="36">
        <f t="shared" si="577"/>
        <v>189.92500000000001</v>
      </c>
      <c r="G2320" s="37">
        <f t="shared" si="578"/>
        <v>0</v>
      </c>
      <c r="H2320" s="38">
        <f t="shared" si="579"/>
        <v>0</v>
      </c>
      <c r="I2320" s="37">
        <f t="shared" si="580"/>
        <v>0</v>
      </c>
      <c r="J2320" s="38">
        <v>0</v>
      </c>
      <c r="K2320" s="37">
        <f t="shared" si="581"/>
        <v>0</v>
      </c>
      <c r="L2320" s="38">
        <v>0</v>
      </c>
    </row>
    <row r="2321" spans="1:12" s="39" customFormat="1" ht="15.45" customHeight="1" outlineLevel="1" x14ac:dyDescent="0.25">
      <c r="A2321" s="33">
        <v>11</v>
      </c>
      <c r="B2321" s="34" t="s">
        <v>1385</v>
      </c>
      <c r="C2321" s="35" t="s">
        <v>106</v>
      </c>
      <c r="D2321" s="36">
        <v>25</v>
      </c>
      <c r="E2321" s="36">
        <v>7.4440000000000008</v>
      </c>
      <c r="F2321" s="36">
        <f t="shared" si="577"/>
        <v>186.10000000000002</v>
      </c>
      <c r="G2321" s="37">
        <f t="shared" si="578"/>
        <v>0</v>
      </c>
      <c r="H2321" s="38">
        <f t="shared" si="579"/>
        <v>0</v>
      </c>
      <c r="I2321" s="37">
        <f t="shared" si="580"/>
        <v>0</v>
      </c>
      <c r="J2321" s="38">
        <v>0</v>
      </c>
      <c r="K2321" s="37">
        <f t="shared" si="581"/>
        <v>0</v>
      </c>
      <c r="L2321" s="38">
        <v>0</v>
      </c>
    </row>
    <row r="2322" spans="1:12" s="39" customFormat="1" ht="28.95" customHeight="1" outlineLevel="1" x14ac:dyDescent="0.25">
      <c r="A2322" s="33">
        <v>12</v>
      </c>
      <c r="B2322" s="34" t="s">
        <v>1390</v>
      </c>
      <c r="C2322" s="35" t="s">
        <v>66</v>
      </c>
      <c r="D2322" s="36">
        <v>3</v>
      </c>
      <c r="E2322" s="36">
        <v>111.1066</v>
      </c>
      <c r="F2322" s="36">
        <f t="shared" si="577"/>
        <v>333.31979999999999</v>
      </c>
      <c r="G2322" s="37">
        <f t="shared" si="578"/>
        <v>0</v>
      </c>
      <c r="H2322" s="38">
        <f t="shared" si="579"/>
        <v>0</v>
      </c>
      <c r="I2322" s="37">
        <f t="shared" si="580"/>
        <v>0</v>
      </c>
      <c r="J2322" s="38">
        <v>0</v>
      </c>
      <c r="K2322" s="37">
        <f t="shared" si="581"/>
        <v>0</v>
      </c>
      <c r="L2322" s="38">
        <v>0</v>
      </c>
    </row>
    <row r="2323" spans="1:12" s="39" customFormat="1" ht="15.45" customHeight="1" outlineLevel="1" x14ac:dyDescent="0.25">
      <c r="A2323" s="33">
        <v>13</v>
      </c>
      <c r="B2323" s="34" t="s">
        <v>46</v>
      </c>
      <c r="C2323" s="35" t="s">
        <v>30</v>
      </c>
      <c r="D2323" s="36">
        <v>0.11700000000000001</v>
      </c>
      <c r="E2323" s="36">
        <v>1200.0999999999999</v>
      </c>
      <c r="F2323" s="36">
        <f t="shared" si="577"/>
        <v>140.4117</v>
      </c>
      <c r="G2323" s="37">
        <f t="shared" si="578"/>
        <v>0</v>
      </c>
      <c r="H2323" s="38">
        <f t="shared" si="579"/>
        <v>0</v>
      </c>
      <c r="I2323" s="37">
        <f t="shared" si="580"/>
        <v>0</v>
      </c>
      <c r="J2323" s="38">
        <v>0</v>
      </c>
      <c r="K2323" s="37">
        <f t="shared" si="581"/>
        <v>0</v>
      </c>
      <c r="L2323" s="38">
        <v>0</v>
      </c>
    </row>
    <row r="2324" spans="1:12" s="39" customFormat="1" ht="15.45" customHeight="1" outlineLevel="1" x14ac:dyDescent="0.25">
      <c r="A2324" s="31" t="s">
        <v>1391</v>
      </c>
      <c r="B2324" s="40" t="s">
        <v>1392</v>
      </c>
      <c r="C2324" s="41">
        <v>0</v>
      </c>
      <c r="D2324" s="42"/>
      <c r="E2324" s="42"/>
      <c r="F2324" s="42"/>
      <c r="G2324" s="43"/>
      <c r="H2324" s="44"/>
      <c r="I2324" s="43"/>
      <c r="J2324" s="44"/>
      <c r="K2324" s="43"/>
      <c r="L2324" s="44">
        <v>0</v>
      </c>
    </row>
    <row r="2325" spans="1:12" s="39" customFormat="1" ht="28.95" customHeight="1" outlineLevel="1" x14ac:dyDescent="0.25">
      <c r="A2325" s="33">
        <v>1</v>
      </c>
      <c r="B2325" s="34" t="s">
        <v>1393</v>
      </c>
      <c r="C2325" s="35" t="s">
        <v>30</v>
      </c>
      <c r="D2325" s="36">
        <v>0.38700000000000001</v>
      </c>
      <c r="E2325" s="36">
        <v>2738.8714</v>
      </c>
      <c r="F2325" s="36">
        <f t="shared" ref="F2325:F2332" si="582">+E2325*D2325</f>
        <v>1059.9432317999999</v>
      </c>
      <c r="G2325" s="37">
        <f t="shared" ref="G2325:H2332" si="583">I2325+K2325</f>
        <v>0</v>
      </c>
      <c r="H2325" s="38">
        <f t="shared" si="583"/>
        <v>0</v>
      </c>
      <c r="I2325" s="37">
        <f t="shared" ref="I2325:I2332" si="584">J2325/F2325</f>
        <v>0</v>
      </c>
      <c r="J2325" s="38">
        <v>0</v>
      </c>
      <c r="K2325" s="37">
        <f t="shared" ref="K2325:K2332" si="585">L2325/F2325</f>
        <v>0</v>
      </c>
      <c r="L2325" s="38">
        <v>0</v>
      </c>
    </row>
    <row r="2326" spans="1:12" s="39" customFormat="1" ht="28.95" customHeight="1" outlineLevel="1" x14ac:dyDescent="0.25">
      <c r="A2326" s="33">
        <v>2</v>
      </c>
      <c r="B2326" s="34" t="s">
        <v>1394</v>
      </c>
      <c r="C2326" s="35" t="s">
        <v>30</v>
      </c>
      <c r="D2326" s="36">
        <v>0.158</v>
      </c>
      <c r="E2326" s="36">
        <v>2816.6260000000002</v>
      </c>
      <c r="F2326" s="36">
        <f t="shared" si="582"/>
        <v>445.02690800000005</v>
      </c>
      <c r="G2326" s="37">
        <f t="shared" si="583"/>
        <v>0</v>
      </c>
      <c r="H2326" s="38">
        <f t="shared" si="583"/>
        <v>0</v>
      </c>
      <c r="I2326" s="37">
        <f t="shared" si="584"/>
        <v>0</v>
      </c>
      <c r="J2326" s="38">
        <v>0</v>
      </c>
      <c r="K2326" s="37">
        <f t="shared" si="585"/>
        <v>0</v>
      </c>
      <c r="L2326" s="38">
        <v>0</v>
      </c>
    </row>
    <row r="2327" spans="1:12" s="39" customFormat="1" ht="15.45" customHeight="1" outlineLevel="1" x14ac:dyDescent="0.25">
      <c r="A2327" s="33">
        <v>3</v>
      </c>
      <c r="B2327" s="34" t="s">
        <v>49</v>
      </c>
      <c r="C2327" s="35" t="s">
        <v>50</v>
      </c>
      <c r="D2327" s="36">
        <v>10.8</v>
      </c>
      <c r="E2327" s="36">
        <v>40.9</v>
      </c>
      <c r="F2327" s="36">
        <f t="shared" si="582"/>
        <v>441.72</v>
      </c>
      <c r="G2327" s="37">
        <f t="shared" si="583"/>
        <v>0</v>
      </c>
      <c r="H2327" s="38">
        <f t="shared" si="583"/>
        <v>0</v>
      </c>
      <c r="I2327" s="37">
        <f t="shared" si="584"/>
        <v>0</v>
      </c>
      <c r="J2327" s="38">
        <v>0</v>
      </c>
      <c r="K2327" s="37">
        <f t="shared" si="585"/>
        <v>0</v>
      </c>
      <c r="L2327" s="38">
        <v>0</v>
      </c>
    </row>
    <row r="2328" spans="1:12" s="39" customFormat="1" ht="28.95" customHeight="1" outlineLevel="1" x14ac:dyDescent="0.25">
      <c r="A2328" s="33">
        <v>4</v>
      </c>
      <c r="B2328" s="34" t="s">
        <v>1395</v>
      </c>
      <c r="C2328" s="35" t="s">
        <v>30</v>
      </c>
      <c r="D2328" s="36">
        <v>0.17100000000000001</v>
      </c>
      <c r="E2328" s="36">
        <v>2593.9274</v>
      </c>
      <c r="F2328" s="36">
        <f t="shared" si="582"/>
        <v>443.56158540000001</v>
      </c>
      <c r="G2328" s="37">
        <f t="shared" si="583"/>
        <v>0</v>
      </c>
      <c r="H2328" s="38">
        <f t="shared" si="583"/>
        <v>0</v>
      </c>
      <c r="I2328" s="37">
        <f t="shared" si="584"/>
        <v>0</v>
      </c>
      <c r="J2328" s="38">
        <v>0</v>
      </c>
      <c r="K2328" s="37">
        <f t="shared" si="585"/>
        <v>0</v>
      </c>
      <c r="L2328" s="38">
        <v>0</v>
      </c>
    </row>
    <row r="2329" spans="1:12" s="39" customFormat="1" ht="28.95" customHeight="1" outlineLevel="1" x14ac:dyDescent="0.25">
      <c r="A2329" s="33">
        <v>5</v>
      </c>
      <c r="B2329" s="34" t="s">
        <v>1396</v>
      </c>
      <c r="C2329" s="35" t="s">
        <v>106</v>
      </c>
      <c r="D2329" s="36">
        <v>18</v>
      </c>
      <c r="E2329" s="36">
        <v>9.4635999999999996</v>
      </c>
      <c r="F2329" s="36">
        <f t="shared" si="582"/>
        <v>170.34479999999999</v>
      </c>
      <c r="G2329" s="37">
        <f t="shared" si="583"/>
        <v>0</v>
      </c>
      <c r="H2329" s="38">
        <f t="shared" si="583"/>
        <v>0</v>
      </c>
      <c r="I2329" s="37">
        <f t="shared" si="584"/>
        <v>0</v>
      </c>
      <c r="J2329" s="38">
        <v>0</v>
      </c>
      <c r="K2329" s="37">
        <f t="shared" si="585"/>
        <v>0</v>
      </c>
      <c r="L2329" s="38">
        <v>0</v>
      </c>
    </row>
    <row r="2330" spans="1:12" s="39" customFormat="1" ht="28.95" customHeight="1" outlineLevel="1" x14ac:dyDescent="0.25">
      <c r="A2330" s="33">
        <v>6</v>
      </c>
      <c r="B2330" s="34" t="s">
        <v>1397</v>
      </c>
      <c r="C2330" s="35" t="s">
        <v>30</v>
      </c>
      <c r="D2330" s="36">
        <v>8.6999999999999994E-2</v>
      </c>
      <c r="E2330" s="36">
        <v>3178.6444000000001</v>
      </c>
      <c r="F2330" s="36">
        <f t="shared" si="582"/>
        <v>276.5420628</v>
      </c>
      <c r="G2330" s="37">
        <f t="shared" si="583"/>
        <v>0</v>
      </c>
      <c r="H2330" s="38">
        <f t="shared" si="583"/>
        <v>0</v>
      </c>
      <c r="I2330" s="37">
        <f t="shared" si="584"/>
        <v>0</v>
      </c>
      <c r="J2330" s="38">
        <v>0</v>
      </c>
      <c r="K2330" s="37">
        <f t="shared" si="585"/>
        <v>0</v>
      </c>
      <c r="L2330" s="38">
        <v>0</v>
      </c>
    </row>
    <row r="2331" spans="1:12" s="45" customFormat="1" ht="15.45" customHeight="1" x14ac:dyDescent="0.3">
      <c r="A2331" s="33">
        <v>7</v>
      </c>
      <c r="B2331" s="34" t="s">
        <v>1048</v>
      </c>
      <c r="C2331" s="35" t="s">
        <v>106</v>
      </c>
      <c r="D2331" s="36">
        <v>18</v>
      </c>
      <c r="E2331" s="36">
        <v>1.5382</v>
      </c>
      <c r="F2331" s="36">
        <f t="shared" si="582"/>
        <v>27.6876</v>
      </c>
      <c r="G2331" s="37">
        <f t="shared" si="583"/>
        <v>0</v>
      </c>
      <c r="H2331" s="38">
        <f t="shared" si="583"/>
        <v>0</v>
      </c>
      <c r="I2331" s="37">
        <f t="shared" si="584"/>
        <v>0</v>
      </c>
      <c r="J2331" s="38">
        <v>0</v>
      </c>
      <c r="K2331" s="37">
        <f t="shared" si="585"/>
        <v>0</v>
      </c>
      <c r="L2331" s="38">
        <v>0</v>
      </c>
    </row>
    <row r="2332" spans="1:12" s="45" customFormat="1" ht="15.45" customHeight="1" x14ac:dyDescent="0.3">
      <c r="A2332" s="33">
        <v>8</v>
      </c>
      <c r="B2332" s="34" t="s">
        <v>1101</v>
      </c>
      <c r="C2332" s="35" t="s">
        <v>106</v>
      </c>
      <c r="D2332" s="36">
        <v>18</v>
      </c>
      <c r="E2332" s="36">
        <v>0.95300000000000007</v>
      </c>
      <c r="F2332" s="36">
        <f t="shared" si="582"/>
        <v>17.154</v>
      </c>
      <c r="G2332" s="37">
        <f t="shared" si="583"/>
        <v>0</v>
      </c>
      <c r="H2332" s="38">
        <f t="shared" si="583"/>
        <v>0</v>
      </c>
      <c r="I2332" s="37">
        <f t="shared" si="584"/>
        <v>0</v>
      </c>
      <c r="J2332" s="38">
        <v>0</v>
      </c>
      <c r="K2332" s="37">
        <f t="shared" si="585"/>
        <v>0</v>
      </c>
      <c r="L2332" s="38">
        <v>0</v>
      </c>
    </row>
    <row r="2333" spans="1:12" s="57" customFormat="1" ht="15.45" customHeight="1" x14ac:dyDescent="0.25">
      <c r="A2333" s="31" t="s">
        <v>215</v>
      </c>
      <c r="B2333" s="40" t="s">
        <v>216</v>
      </c>
      <c r="C2333" s="41">
        <v>0</v>
      </c>
      <c r="D2333" s="42"/>
      <c r="E2333" s="42"/>
      <c r="F2333" s="42"/>
      <c r="G2333" s="43"/>
      <c r="H2333" s="44"/>
      <c r="I2333" s="43"/>
      <c r="J2333" s="44"/>
      <c r="K2333" s="43"/>
      <c r="L2333" s="44">
        <v>0</v>
      </c>
    </row>
    <row r="2334" spans="1:12" s="57" customFormat="1" ht="15.45" customHeight="1" x14ac:dyDescent="0.25">
      <c r="A2334" s="33">
        <v>1</v>
      </c>
      <c r="B2334" s="34" t="s">
        <v>160</v>
      </c>
      <c r="C2334" s="35" t="s">
        <v>66</v>
      </c>
      <c r="D2334" s="36">
        <v>0.92800000000000005</v>
      </c>
      <c r="E2334" s="36">
        <v>793.13980000000004</v>
      </c>
      <c r="F2334" s="36">
        <f t="shared" ref="F2334:F2341" si="586">+E2334*D2334</f>
        <v>736.03373440000007</v>
      </c>
      <c r="G2334" s="37">
        <f t="shared" ref="G2334:H2341" si="587">I2334+K2334</f>
        <v>0</v>
      </c>
      <c r="H2334" s="38">
        <f t="shared" si="587"/>
        <v>0</v>
      </c>
      <c r="I2334" s="37">
        <f t="shared" ref="I2334:I2341" si="588">J2334/F2334</f>
        <v>0</v>
      </c>
      <c r="J2334" s="38">
        <v>0</v>
      </c>
      <c r="K2334" s="37">
        <f t="shared" ref="K2334:K2341" si="589">L2334/F2334</f>
        <v>0</v>
      </c>
      <c r="L2334" s="38">
        <v>0</v>
      </c>
    </row>
    <row r="2335" spans="1:12" s="57" customFormat="1" ht="28.95" customHeight="1" x14ac:dyDescent="0.25">
      <c r="A2335" s="33">
        <v>3</v>
      </c>
      <c r="B2335" s="34" t="s">
        <v>199</v>
      </c>
      <c r="C2335" s="35" t="s">
        <v>106</v>
      </c>
      <c r="D2335" s="36">
        <v>26.3</v>
      </c>
      <c r="E2335" s="36">
        <v>1.7218</v>
      </c>
      <c r="F2335" s="36">
        <f t="shared" si="586"/>
        <v>45.283340000000003</v>
      </c>
      <c r="G2335" s="37">
        <f t="shared" si="587"/>
        <v>0</v>
      </c>
      <c r="H2335" s="38">
        <f t="shared" si="587"/>
        <v>0</v>
      </c>
      <c r="I2335" s="37">
        <f t="shared" si="588"/>
        <v>0</v>
      </c>
      <c r="J2335" s="38">
        <v>0</v>
      </c>
      <c r="K2335" s="37">
        <f t="shared" si="589"/>
        <v>0</v>
      </c>
      <c r="L2335" s="38">
        <v>0</v>
      </c>
    </row>
    <row r="2336" spans="1:12" ht="15.45" customHeight="1" x14ac:dyDescent="0.25">
      <c r="A2336" s="33">
        <v>5</v>
      </c>
      <c r="B2336" s="34" t="s">
        <v>164</v>
      </c>
      <c r="C2336" s="35" t="s">
        <v>50</v>
      </c>
      <c r="D2336" s="36">
        <v>16</v>
      </c>
      <c r="E2336" s="36">
        <v>7.2808000000000002</v>
      </c>
      <c r="F2336" s="36">
        <f t="shared" si="586"/>
        <v>116.4928</v>
      </c>
      <c r="G2336" s="37">
        <f t="shared" si="587"/>
        <v>0</v>
      </c>
      <c r="H2336" s="38">
        <f t="shared" si="587"/>
        <v>0</v>
      </c>
      <c r="I2336" s="37">
        <f t="shared" si="588"/>
        <v>0</v>
      </c>
      <c r="J2336" s="38">
        <v>0</v>
      </c>
      <c r="K2336" s="37">
        <f t="shared" si="589"/>
        <v>0</v>
      </c>
      <c r="L2336" s="38">
        <v>0</v>
      </c>
    </row>
    <row r="2337" spans="1:12" ht="15.45" customHeight="1" x14ac:dyDescent="0.25">
      <c r="A2337" s="33">
        <v>7</v>
      </c>
      <c r="B2337" s="34" t="s">
        <v>188</v>
      </c>
      <c r="C2337" s="35" t="s">
        <v>50</v>
      </c>
      <c r="D2337" s="36">
        <v>14</v>
      </c>
      <c r="E2337" s="36">
        <v>11.411799999999999</v>
      </c>
      <c r="F2337" s="36">
        <f t="shared" si="586"/>
        <v>159.76519999999999</v>
      </c>
      <c r="G2337" s="37">
        <f t="shared" si="587"/>
        <v>0</v>
      </c>
      <c r="H2337" s="38">
        <f t="shared" si="587"/>
        <v>0</v>
      </c>
      <c r="I2337" s="37">
        <f t="shared" si="588"/>
        <v>0</v>
      </c>
      <c r="J2337" s="38">
        <v>0</v>
      </c>
      <c r="K2337" s="37">
        <f t="shared" si="589"/>
        <v>0</v>
      </c>
      <c r="L2337" s="38">
        <v>0</v>
      </c>
    </row>
    <row r="2338" spans="1:12" s="61" customFormat="1" ht="15.45" customHeight="1" x14ac:dyDescent="0.35">
      <c r="A2338" s="33">
        <v>8</v>
      </c>
      <c r="B2338" s="34" t="s">
        <v>200</v>
      </c>
      <c r="C2338" s="35" t="s">
        <v>55</v>
      </c>
      <c r="D2338" s="36">
        <v>2</v>
      </c>
      <c r="E2338" s="36">
        <v>5.6487999999999996</v>
      </c>
      <c r="F2338" s="36">
        <f t="shared" si="586"/>
        <v>11.297599999999999</v>
      </c>
      <c r="G2338" s="37">
        <f t="shared" si="587"/>
        <v>0</v>
      </c>
      <c r="H2338" s="38">
        <f t="shared" si="587"/>
        <v>0</v>
      </c>
      <c r="I2338" s="37">
        <f t="shared" si="588"/>
        <v>0</v>
      </c>
      <c r="J2338" s="38">
        <v>0</v>
      </c>
      <c r="K2338" s="37">
        <f t="shared" si="589"/>
        <v>0</v>
      </c>
      <c r="L2338" s="38">
        <v>0</v>
      </c>
    </row>
    <row r="2339" spans="1:12" ht="28.95" customHeight="1" x14ac:dyDescent="0.25">
      <c r="A2339" s="33">
        <v>9</v>
      </c>
      <c r="B2339" s="34" t="s">
        <v>1398</v>
      </c>
      <c r="C2339" s="35" t="s">
        <v>30</v>
      </c>
      <c r="D2339" s="36">
        <v>2.4E-2</v>
      </c>
      <c r="E2339" s="36">
        <v>5545.6257999999998</v>
      </c>
      <c r="F2339" s="36">
        <f t="shared" si="586"/>
        <v>133.0950192</v>
      </c>
      <c r="G2339" s="37">
        <f t="shared" si="587"/>
        <v>0</v>
      </c>
      <c r="H2339" s="38">
        <f t="shared" si="587"/>
        <v>0</v>
      </c>
      <c r="I2339" s="37">
        <f t="shared" si="588"/>
        <v>0</v>
      </c>
      <c r="J2339" s="38">
        <v>0</v>
      </c>
      <c r="K2339" s="37">
        <f t="shared" si="589"/>
        <v>0</v>
      </c>
      <c r="L2339" s="38">
        <v>0</v>
      </c>
    </row>
    <row r="2340" spans="1:12" ht="15.45" customHeight="1" x14ac:dyDescent="0.25">
      <c r="A2340" s="33">
        <v>10</v>
      </c>
      <c r="B2340" s="34" t="s">
        <v>1387</v>
      </c>
      <c r="C2340" s="35" t="s">
        <v>30</v>
      </c>
      <c r="D2340" s="36">
        <v>3.1E-2</v>
      </c>
      <c r="E2340" s="36">
        <v>4108.0276000000003</v>
      </c>
      <c r="F2340" s="36">
        <f t="shared" si="586"/>
        <v>127.34885560000001</v>
      </c>
      <c r="G2340" s="37">
        <f t="shared" si="587"/>
        <v>0</v>
      </c>
      <c r="H2340" s="38">
        <f t="shared" si="587"/>
        <v>0</v>
      </c>
      <c r="I2340" s="37">
        <f t="shared" si="588"/>
        <v>0</v>
      </c>
      <c r="J2340" s="38">
        <v>0</v>
      </c>
      <c r="K2340" s="37">
        <f t="shared" si="589"/>
        <v>0</v>
      </c>
      <c r="L2340" s="38">
        <v>0</v>
      </c>
    </row>
    <row r="2341" spans="1:12" ht="28.95" customHeight="1" x14ac:dyDescent="0.25">
      <c r="A2341" s="33">
        <v>11</v>
      </c>
      <c r="B2341" s="34" t="s">
        <v>1399</v>
      </c>
      <c r="C2341" s="35" t="s">
        <v>106</v>
      </c>
      <c r="D2341" s="36">
        <v>14.75</v>
      </c>
      <c r="E2341" s="36">
        <v>26.558800000000009</v>
      </c>
      <c r="F2341" s="36">
        <f t="shared" si="586"/>
        <v>391.74230000000011</v>
      </c>
      <c r="G2341" s="37">
        <f t="shared" si="587"/>
        <v>0</v>
      </c>
      <c r="H2341" s="38">
        <f t="shared" si="587"/>
        <v>0</v>
      </c>
      <c r="I2341" s="37">
        <f t="shared" si="588"/>
        <v>0</v>
      </c>
      <c r="J2341" s="38">
        <v>0</v>
      </c>
      <c r="K2341" s="37">
        <f t="shared" si="589"/>
        <v>0</v>
      </c>
      <c r="L2341" s="38">
        <v>0</v>
      </c>
    </row>
    <row r="2342" spans="1:12" ht="15.45" customHeight="1" x14ac:dyDescent="0.25">
      <c r="A2342" s="31" t="s">
        <v>1400</v>
      </c>
      <c r="B2342" s="40" t="s">
        <v>1401</v>
      </c>
      <c r="C2342" s="41">
        <v>0</v>
      </c>
      <c r="D2342" s="42"/>
      <c r="E2342" s="42"/>
      <c r="F2342" s="42"/>
      <c r="G2342" s="43"/>
      <c r="H2342" s="44"/>
      <c r="I2342" s="43"/>
      <c r="J2342" s="44"/>
      <c r="K2342" s="43"/>
      <c r="L2342" s="44">
        <v>0</v>
      </c>
    </row>
    <row r="2343" spans="1:12" ht="15.45" customHeight="1" x14ac:dyDescent="0.25">
      <c r="A2343" s="33">
        <v>1</v>
      </c>
      <c r="B2343" s="34" t="s">
        <v>1402</v>
      </c>
      <c r="C2343" s="35" t="s">
        <v>66</v>
      </c>
      <c r="D2343" s="36">
        <v>0.23799999999999999</v>
      </c>
      <c r="E2343" s="36">
        <v>656.26600000000008</v>
      </c>
      <c r="F2343" s="36">
        <f>+E2343*D2343</f>
        <v>156.19130800000002</v>
      </c>
      <c r="G2343" s="37">
        <f>I2343+K2343</f>
        <v>0</v>
      </c>
      <c r="H2343" s="38">
        <f>J2343+L2343</f>
        <v>0</v>
      </c>
      <c r="I2343" s="37">
        <f>J2343/F2343</f>
        <v>0</v>
      </c>
      <c r="J2343" s="38">
        <v>0</v>
      </c>
      <c r="K2343" s="37">
        <f>L2343/F2343</f>
        <v>0</v>
      </c>
      <c r="L2343" s="38">
        <v>0</v>
      </c>
    </row>
    <row r="2344" spans="1:12" ht="15.45" customHeight="1" x14ac:dyDescent="0.25">
      <c r="A2344" s="33">
        <v>2</v>
      </c>
      <c r="B2344" s="34" t="s">
        <v>863</v>
      </c>
      <c r="C2344" s="35" t="s">
        <v>106</v>
      </c>
      <c r="D2344" s="36">
        <v>18</v>
      </c>
      <c r="E2344" s="36">
        <v>2.2113999999999998</v>
      </c>
      <c r="F2344" s="36">
        <f>+E2344*D2344</f>
        <v>39.805199999999999</v>
      </c>
      <c r="G2344" s="37">
        <f>I2344+K2344</f>
        <v>0</v>
      </c>
      <c r="H2344" s="38">
        <f>J2344+L2344</f>
        <v>0</v>
      </c>
      <c r="I2344" s="37">
        <f>J2344/F2344</f>
        <v>0</v>
      </c>
      <c r="J2344" s="38">
        <v>0</v>
      </c>
      <c r="K2344" s="37">
        <f>L2344/F2344</f>
        <v>0</v>
      </c>
      <c r="L2344" s="38">
        <v>0</v>
      </c>
    </row>
    <row r="2345" spans="1:12" ht="15.45" customHeight="1" x14ac:dyDescent="0.25">
      <c r="A2345" s="31" t="s">
        <v>1403</v>
      </c>
      <c r="B2345" s="40" t="s">
        <v>1404</v>
      </c>
      <c r="C2345" s="41">
        <v>0</v>
      </c>
      <c r="D2345" s="42"/>
      <c r="E2345" s="42"/>
      <c r="F2345" s="42"/>
      <c r="G2345" s="43"/>
      <c r="H2345" s="44"/>
      <c r="I2345" s="43"/>
      <c r="J2345" s="44"/>
      <c r="K2345" s="43"/>
      <c r="L2345" s="44">
        <v>0</v>
      </c>
    </row>
    <row r="2346" spans="1:12" ht="15.45" customHeight="1" x14ac:dyDescent="0.25">
      <c r="A2346" s="33">
        <v>1</v>
      </c>
      <c r="B2346" s="34" t="s">
        <v>47</v>
      </c>
      <c r="C2346" s="35" t="s">
        <v>106</v>
      </c>
      <c r="D2346" s="36">
        <v>17.66</v>
      </c>
      <c r="E2346" s="36">
        <v>5.4732580000000004</v>
      </c>
      <c r="F2346" s="36">
        <f>+E2346*D2346</f>
        <v>96.657736280000009</v>
      </c>
      <c r="G2346" s="37">
        <f t="shared" ref="G2346:H2348" si="590">I2346+K2346</f>
        <v>0</v>
      </c>
      <c r="H2346" s="38">
        <f t="shared" si="590"/>
        <v>0</v>
      </c>
      <c r="I2346" s="37">
        <f>J2346/F2346</f>
        <v>0</v>
      </c>
      <c r="J2346" s="38">
        <v>0</v>
      </c>
      <c r="K2346" s="37">
        <f>L2346/F2346</f>
        <v>0</v>
      </c>
      <c r="L2346" s="38">
        <v>0</v>
      </c>
    </row>
    <row r="2347" spans="1:12" ht="15.45" customHeight="1" x14ac:dyDescent="0.25">
      <c r="A2347" s="33">
        <v>2</v>
      </c>
      <c r="B2347" s="34" t="s">
        <v>960</v>
      </c>
      <c r="C2347" s="35" t="s">
        <v>106</v>
      </c>
      <c r="D2347" s="36">
        <v>17.66</v>
      </c>
      <c r="E2347" s="36">
        <v>1.4770000000000001</v>
      </c>
      <c r="F2347" s="36">
        <f>+E2347*D2347</f>
        <v>26.083820000000003</v>
      </c>
      <c r="G2347" s="37">
        <f t="shared" si="590"/>
        <v>0</v>
      </c>
      <c r="H2347" s="38">
        <f t="shared" si="590"/>
        <v>0</v>
      </c>
      <c r="I2347" s="37">
        <f>J2347/F2347</f>
        <v>0</v>
      </c>
      <c r="J2347" s="38">
        <v>0</v>
      </c>
      <c r="K2347" s="37">
        <f>L2347/F2347</f>
        <v>0</v>
      </c>
      <c r="L2347" s="38">
        <v>0</v>
      </c>
    </row>
    <row r="2348" spans="1:12" ht="28.95" customHeight="1" x14ac:dyDescent="0.25">
      <c r="A2348" s="33">
        <v>3</v>
      </c>
      <c r="B2348" s="34" t="s">
        <v>1405</v>
      </c>
      <c r="C2348" s="35" t="s">
        <v>106</v>
      </c>
      <c r="D2348" s="36">
        <v>17.66</v>
      </c>
      <c r="E2348" s="36">
        <v>210.52600000000001</v>
      </c>
      <c r="F2348" s="36">
        <f>+E2348*D2348</f>
        <v>3717.8891600000002</v>
      </c>
      <c r="G2348" s="37">
        <f t="shared" si="590"/>
        <v>0</v>
      </c>
      <c r="H2348" s="38">
        <f t="shared" si="590"/>
        <v>0</v>
      </c>
      <c r="I2348" s="37">
        <f>J2348/F2348</f>
        <v>0</v>
      </c>
      <c r="J2348" s="38">
        <v>0</v>
      </c>
      <c r="K2348" s="37">
        <f>L2348/F2348</f>
        <v>0</v>
      </c>
      <c r="L2348" s="38">
        <v>0</v>
      </c>
    </row>
    <row r="2349" spans="1:12" ht="15.45" customHeight="1" x14ac:dyDescent="0.25">
      <c r="A2349" s="31" t="s">
        <v>1406</v>
      </c>
      <c r="B2349" s="40" t="s">
        <v>1407</v>
      </c>
      <c r="C2349" s="41">
        <v>0</v>
      </c>
      <c r="D2349" s="42"/>
      <c r="E2349" s="42"/>
      <c r="F2349" s="42"/>
      <c r="G2349" s="43"/>
      <c r="H2349" s="44"/>
      <c r="I2349" s="43"/>
      <c r="J2349" s="44"/>
      <c r="K2349" s="43"/>
      <c r="L2349" s="44">
        <v>0</v>
      </c>
    </row>
    <row r="2350" spans="1:12" ht="28.95" customHeight="1" x14ac:dyDescent="0.25">
      <c r="A2350" s="33">
        <v>1</v>
      </c>
      <c r="B2350" s="34" t="s">
        <v>1408</v>
      </c>
      <c r="C2350" s="35" t="s">
        <v>30</v>
      </c>
      <c r="D2350" s="36">
        <v>0.57599999999999996</v>
      </c>
      <c r="E2350" s="36">
        <v>3110.549199999999</v>
      </c>
      <c r="F2350" s="36">
        <f t="shared" ref="F2350:F2370" si="591">+E2350*D2350</f>
        <v>1791.6763391999993</v>
      </c>
      <c r="G2350" s="37">
        <f t="shared" ref="G2350:G2370" si="592">I2350+K2350</f>
        <v>0</v>
      </c>
      <c r="H2350" s="38">
        <f t="shared" ref="H2350:H2370" si="593">J2350+L2350</f>
        <v>0</v>
      </c>
      <c r="I2350" s="37">
        <f t="shared" ref="I2350:I2370" si="594">J2350/F2350</f>
        <v>0</v>
      </c>
      <c r="J2350" s="38">
        <v>0</v>
      </c>
      <c r="K2350" s="37">
        <f t="shared" ref="K2350:K2370" si="595">L2350/F2350</f>
        <v>0</v>
      </c>
      <c r="L2350" s="38">
        <v>0</v>
      </c>
    </row>
    <row r="2351" spans="1:12" ht="15.45" customHeight="1" x14ac:dyDescent="0.25">
      <c r="A2351" s="33">
        <v>2</v>
      </c>
      <c r="B2351" s="34" t="s">
        <v>1409</v>
      </c>
      <c r="C2351" s="35" t="s">
        <v>66</v>
      </c>
      <c r="D2351" s="36">
        <v>0.8</v>
      </c>
      <c r="E2351" s="36">
        <v>178.77340000000001</v>
      </c>
      <c r="F2351" s="36">
        <f t="shared" si="591"/>
        <v>143.01872</v>
      </c>
      <c r="G2351" s="37">
        <f t="shared" si="592"/>
        <v>0</v>
      </c>
      <c r="H2351" s="38">
        <f t="shared" si="593"/>
        <v>0</v>
      </c>
      <c r="I2351" s="37">
        <f t="shared" si="594"/>
        <v>0</v>
      </c>
      <c r="J2351" s="38">
        <v>0</v>
      </c>
      <c r="K2351" s="37">
        <f t="shared" si="595"/>
        <v>0</v>
      </c>
      <c r="L2351" s="38">
        <v>0</v>
      </c>
    </row>
    <row r="2352" spans="1:12" ht="28.95" customHeight="1" x14ac:dyDescent="0.25">
      <c r="A2352" s="33">
        <v>3</v>
      </c>
      <c r="B2352" s="34" t="s">
        <v>1398</v>
      </c>
      <c r="C2352" s="35" t="s">
        <v>30</v>
      </c>
      <c r="D2352" s="36">
        <v>3.6999999999999998E-2</v>
      </c>
      <c r="E2352" s="36">
        <v>5545.6257999999998</v>
      </c>
      <c r="F2352" s="36">
        <f t="shared" si="591"/>
        <v>205.18815459999999</v>
      </c>
      <c r="G2352" s="37">
        <f t="shared" si="592"/>
        <v>0</v>
      </c>
      <c r="H2352" s="38">
        <f t="shared" si="593"/>
        <v>0</v>
      </c>
      <c r="I2352" s="37">
        <f t="shared" si="594"/>
        <v>0</v>
      </c>
      <c r="J2352" s="38">
        <v>0</v>
      </c>
      <c r="K2352" s="37">
        <f t="shared" si="595"/>
        <v>0</v>
      </c>
      <c r="L2352" s="38">
        <v>0</v>
      </c>
    </row>
    <row r="2353" spans="1:12" ht="15.45" customHeight="1" x14ac:dyDescent="0.25">
      <c r="A2353" s="33">
        <v>4</v>
      </c>
      <c r="B2353" s="34" t="s">
        <v>1410</v>
      </c>
      <c r="C2353" s="35" t="s">
        <v>55</v>
      </c>
      <c r="D2353" s="36">
        <v>8</v>
      </c>
      <c r="E2353" s="36">
        <v>54.953600000000002</v>
      </c>
      <c r="F2353" s="36">
        <f t="shared" si="591"/>
        <v>439.62880000000001</v>
      </c>
      <c r="G2353" s="37">
        <f t="shared" si="592"/>
        <v>0</v>
      </c>
      <c r="H2353" s="38">
        <f t="shared" si="593"/>
        <v>0</v>
      </c>
      <c r="I2353" s="37">
        <f t="shared" si="594"/>
        <v>0</v>
      </c>
      <c r="J2353" s="38">
        <v>0</v>
      </c>
      <c r="K2353" s="37">
        <f t="shared" si="595"/>
        <v>0</v>
      </c>
      <c r="L2353" s="38">
        <v>0</v>
      </c>
    </row>
    <row r="2354" spans="1:12" ht="15.45" customHeight="1" x14ac:dyDescent="0.25">
      <c r="A2354" s="33">
        <v>5</v>
      </c>
      <c r="B2354" s="34" t="s">
        <v>1411</v>
      </c>
      <c r="C2354" s="35" t="s">
        <v>55</v>
      </c>
      <c r="D2354" s="36">
        <v>8</v>
      </c>
      <c r="E2354" s="36">
        <v>34.627000000000002</v>
      </c>
      <c r="F2354" s="36">
        <f t="shared" si="591"/>
        <v>277.01600000000002</v>
      </c>
      <c r="G2354" s="37">
        <f t="shared" si="592"/>
        <v>0</v>
      </c>
      <c r="H2354" s="38">
        <f t="shared" si="593"/>
        <v>0</v>
      </c>
      <c r="I2354" s="37">
        <f t="shared" si="594"/>
        <v>0</v>
      </c>
      <c r="J2354" s="38">
        <v>0</v>
      </c>
      <c r="K2354" s="37">
        <f t="shared" si="595"/>
        <v>0</v>
      </c>
      <c r="L2354" s="38">
        <v>0</v>
      </c>
    </row>
    <row r="2355" spans="1:12" ht="15.45" customHeight="1" x14ac:dyDescent="0.25">
      <c r="A2355" s="33">
        <v>6</v>
      </c>
      <c r="B2355" s="34" t="s">
        <v>1412</v>
      </c>
      <c r="C2355" s="35" t="s">
        <v>55</v>
      </c>
      <c r="D2355" s="36">
        <v>8</v>
      </c>
      <c r="E2355" s="36">
        <v>5.8201999999999989</v>
      </c>
      <c r="F2355" s="36">
        <f t="shared" si="591"/>
        <v>46.561599999999991</v>
      </c>
      <c r="G2355" s="37">
        <f t="shared" si="592"/>
        <v>0</v>
      </c>
      <c r="H2355" s="38">
        <f t="shared" si="593"/>
        <v>0</v>
      </c>
      <c r="I2355" s="37">
        <f t="shared" si="594"/>
        <v>0</v>
      </c>
      <c r="J2355" s="38">
        <v>0</v>
      </c>
      <c r="K2355" s="37">
        <f t="shared" si="595"/>
        <v>0</v>
      </c>
      <c r="L2355" s="38">
        <v>0</v>
      </c>
    </row>
    <row r="2356" spans="1:12" ht="15.45" customHeight="1" x14ac:dyDescent="0.25">
      <c r="A2356" s="33">
        <v>7</v>
      </c>
      <c r="B2356" s="34" t="s">
        <v>1413</v>
      </c>
      <c r="C2356" s="35" t="s">
        <v>55</v>
      </c>
      <c r="D2356" s="36">
        <v>8</v>
      </c>
      <c r="E2356" s="36">
        <v>5.3611999999999993</v>
      </c>
      <c r="F2356" s="36">
        <f t="shared" si="591"/>
        <v>42.889599999999994</v>
      </c>
      <c r="G2356" s="37">
        <f t="shared" si="592"/>
        <v>0</v>
      </c>
      <c r="H2356" s="38">
        <f t="shared" si="593"/>
        <v>0</v>
      </c>
      <c r="I2356" s="37">
        <f t="shared" si="594"/>
        <v>0</v>
      </c>
      <c r="J2356" s="38">
        <v>0</v>
      </c>
      <c r="K2356" s="37">
        <f t="shared" si="595"/>
        <v>0</v>
      </c>
      <c r="L2356" s="38">
        <v>0</v>
      </c>
    </row>
    <row r="2357" spans="1:12" ht="15.45" customHeight="1" x14ac:dyDescent="0.25">
      <c r="A2357" s="33">
        <v>8</v>
      </c>
      <c r="B2357" s="34" t="s">
        <v>1414</v>
      </c>
      <c r="C2357" s="35" t="s">
        <v>55</v>
      </c>
      <c r="D2357" s="36">
        <v>24</v>
      </c>
      <c r="E2357" s="36">
        <v>1.1180000000000001</v>
      </c>
      <c r="F2357" s="36">
        <f t="shared" si="591"/>
        <v>26.832000000000001</v>
      </c>
      <c r="G2357" s="37">
        <f t="shared" si="592"/>
        <v>0</v>
      </c>
      <c r="H2357" s="38">
        <f t="shared" si="593"/>
        <v>0</v>
      </c>
      <c r="I2357" s="37">
        <f t="shared" si="594"/>
        <v>0</v>
      </c>
      <c r="J2357" s="38">
        <v>0</v>
      </c>
      <c r="K2357" s="37">
        <f t="shared" si="595"/>
        <v>0</v>
      </c>
      <c r="L2357" s="38">
        <v>0</v>
      </c>
    </row>
    <row r="2358" spans="1:12" ht="15.45" customHeight="1" x14ac:dyDescent="0.25">
      <c r="A2358" s="33">
        <v>9</v>
      </c>
      <c r="B2358" s="34" t="s">
        <v>1415</v>
      </c>
      <c r="C2358" s="35" t="s">
        <v>50</v>
      </c>
      <c r="D2358" s="36">
        <v>80</v>
      </c>
      <c r="E2358" s="36">
        <v>1.8116000000000001</v>
      </c>
      <c r="F2358" s="36">
        <f t="shared" si="591"/>
        <v>144.928</v>
      </c>
      <c r="G2358" s="37">
        <f t="shared" si="592"/>
        <v>0</v>
      </c>
      <c r="H2358" s="38">
        <f t="shared" si="593"/>
        <v>0</v>
      </c>
      <c r="I2358" s="37">
        <f t="shared" si="594"/>
        <v>0</v>
      </c>
      <c r="J2358" s="38">
        <v>0</v>
      </c>
      <c r="K2358" s="37">
        <f t="shared" si="595"/>
        <v>0</v>
      </c>
      <c r="L2358" s="38">
        <v>0</v>
      </c>
    </row>
    <row r="2359" spans="1:12" ht="28.95" customHeight="1" x14ac:dyDescent="0.25">
      <c r="A2359" s="33">
        <v>10</v>
      </c>
      <c r="B2359" s="34" t="s">
        <v>1416</v>
      </c>
      <c r="C2359" s="35" t="s">
        <v>50</v>
      </c>
      <c r="D2359" s="36">
        <v>80</v>
      </c>
      <c r="E2359" s="36">
        <v>1.0958000000000001</v>
      </c>
      <c r="F2359" s="36">
        <f t="shared" si="591"/>
        <v>87.664000000000016</v>
      </c>
      <c r="G2359" s="37">
        <f t="shared" si="592"/>
        <v>0</v>
      </c>
      <c r="H2359" s="38">
        <f t="shared" si="593"/>
        <v>0</v>
      </c>
      <c r="I2359" s="37">
        <f t="shared" si="594"/>
        <v>0</v>
      </c>
      <c r="J2359" s="38">
        <v>0</v>
      </c>
      <c r="K2359" s="37">
        <f t="shared" si="595"/>
        <v>0</v>
      </c>
      <c r="L2359" s="38">
        <v>0</v>
      </c>
    </row>
    <row r="2360" spans="1:12" ht="43.5" customHeight="1" x14ac:dyDescent="0.25">
      <c r="A2360" s="33">
        <v>11</v>
      </c>
      <c r="B2360" s="34" t="s">
        <v>1417</v>
      </c>
      <c r="C2360" s="35" t="s">
        <v>50</v>
      </c>
      <c r="D2360" s="36">
        <v>270</v>
      </c>
      <c r="E2360" s="36">
        <v>4.5553999999999988</v>
      </c>
      <c r="F2360" s="36">
        <f t="shared" si="591"/>
        <v>1229.9579999999996</v>
      </c>
      <c r="G2360" s="37">
        <f t="shared" si="592"/>
        <v>0</v>
      </c>
      <c r="H2360" s="38">
        <f t="shared" si="593"/>
        <v>0</v>
      </c>
      <c r="I2360" s="37">
        <f t="shared" si="594"/>
        <v>0</v>
      </c>
      <c r="J2360" s="38">
        <v>0</v>
      </c>
      <c r="K2360" s="37">
        <f t="shared" si="595"/>
        <v>0</v>
      </c>
      <c r="L2360" s="38">
        <v>0</v>
      </c>
    </row>
    <row r="2361" spans="1:12" ht="28.95" customHeight="1" x14ac:dyDescent="0.25">
      <c r="A2361" s="33">
        <v>12</v>
      </c>
      <c r="B2361" s="34" t="s">
        <v>892</v>
      </c>
      <c r="C2361" s="35" t="s">
        <v>50</v>
      </c>
      <c r="D2361" s="36">
        <v>270</v>
      </c>
      <c r="E2361" s="36">
        <v>1.1162000000000001</v>
      </c>
      <c r="F2361" s="36">
        <f t="shared" si="591"/>
        <v>301.37400000000002</v>
      </c>
      <c r="G2361" s="37">
        <f t="shared" si="592"/>
        <v>0</v>
      </c>
      <c r="H2361" s="38">
        <f t="shared" si="593"/>
        <v>0</v>
      </c>
      <c r="I2361" s="37">
        <f t="shared" si="594"/>
        <v>0</v>
      </c>
      <c r="J2361" s="38">
        <v>0</v>
      </c>
      <c r="K2361" s="37">
        <f t="shared" si="595"/>
        <v>0</v>
      </c>
      <c r="L2361" s="38">
        <v>0</v>
      </c>
    </row>
    <row r="2362" spans="1:12" ht="15.45" customHeight="1" x14ac:dyDescent="0.25">
      <c r="A2362" s="33">
        <v>13</v>
      </c>
      <c r="B2362" s="34" t="s">
        <v>1418</v>
      </c>
      <c r="C2362" s="35" t="s">
        <v>50</v>
      </c>
      <c r="D2362" s="36">
        <v>170</v>
      </c>
      <c r="E2362" s="36">
        <v>4.5499999999999989</v>
      </c>
      <c r="F2362" s="36">
        <f t="shared" si="591"/>
        <v>773.49999999999977</v>
      </c>
      <c r="G2362" s="37">
        <f t="shared" si="592"/>
        <v>0</v>
      </c>
      <c r="H2362" s="38">
        <f t="shared" si="593"/>
        <v>0</v>
      </c>
      <c r="I2362" s="37">
        <f t="shared" si="594"/>
        <v>0</v>
      </c>
      <c r="J2362" s="38">
        <v>0</v>
      </c>
      <c r="K2362" s="37">
        <f t="shared" si="595"/>
        <v>0</v>
      </c>
      <c r="L2362" s="38">
        <v>0</v>
      </c>
    </row>
    <row r="2363" spans="1:12" ht="15.45" customHeight="1" x14ac:dyDescent="0.25">
      <c r="A2363" s="33">
        <v>14</v>
      </c>
      <c r="B2363" s="34" t="s">
        <v>897</v>
      </c>
      <c r="C2363" s="35" t="s">
        <v>50</v>
      </c>
      <c r="D2363" s="36">
        <v>35</v>
      </c>
      <c r="E2363" s="36">
        <v>3.7</v>
      </c>
      <c r="F2363" s="36">
        <f t="shared" si="591"/>
        <v>129.5</v>
      </c>
      <c r="G2363" s="37">
        <f t="shared" si="592"/>
        <v>0</v>
      </c>
      <c r="H2363" s="38">
        <f t="shared" si="593"/>
        <v>0</v>
      </c>
      <c r="I2363" s="37">
        <f t="shared" si="594"/>
        <v>0</v>
      </c>
      <c r="J2363" s="38">
        <v>0</v>
      </c>
      <c r="K2363" s="37">
        <f t="shared" si="595"/>
        <v>0</v>
      </c>
      <c r="L2363" s="38">
        <v>0</v>
      </c>
    </row>
    <row r="2364" spans="1:12" ht="15.45" customHeight="1" x14ac:dyDescent="0.25">
      <c r="A2364" s="33">
        <v>15</v>
      </c>
      <c r="B2364" s="34" t="s">
        <v>899</v>
      </c>
      <c r="C2364" s="35" t="s">
        <v>50</v>
      </c>
      <c r="D2364" s="36">
        <v>65</v>
      </c>
      <c r="E2364" s="36">
        <v>3.1</v>
      </c>
      <c r="F2364" s="36">
        <f t="shared" si="591"/>
        <v>201.5</v>
      </c>
      <c r="G2364" s="37">
        <f t="shared" si="592"/>
        <v>0</v>
      </c>
      <c r="H2364" s="38">
        <f t="shared" si="593"/>
        <v>0</v>
      </c>
      <c r="I2364" s="37">
        <f t="shared" si="594"/>
        <v>0</v>
      </c>
      <c r="J2364" s="38">
        <v>0</v>
      </c>
      <c r="K2364" s="37">
        <f t="shared" si="595"/>
        <v>0</v>
      </c>
      <c r="L2364" s="38">
        <v>0</v>
      </c>
    </row>
    <row r="2365" spans="1:12" ht="28.95" customHeight="1" x14ac:dyDescent="0.25">
      <c r="A2365" s="33">
        <v>16</v>
      </c>
      <c r="B2365" s="34" t="s">
        <v>900</v>
      </c>
      <c r="C2365" s="35" t="s">
        <v>50</v>
      </c>
      <c r="D2365" s="36">
        <v>270</v>
      </c>
      <c r="E2365" s="36">
        <v>1.4528000000000001</v>
      </c>
      <c r="F2365" s="36">
        <f t="shared" si="591"/>
        <v>392.25600000000003</v>
      </c>
      <c r="G2365" s="37">
        <f t="shared" si="592"/>
        <v>0</v>
      </c>
      <c r="H2365" s="38">
        <f t="shared" si="593"/>
        <v>0</v>
      </c>
      <c r="I2365" s="37">
        <f t="shared" si="594"/>
        <v>0</v>
      </c>
      <c r="J2365" s="38">
        <v>0</v>
      </c>
      <c r="K2365" s="37">
        <f t="shared" si="595"/>
        <v>0</v>
      </c>
      <c r="L2365" s="38">
        <v>0</v>
      </c>
    </row>
    <row r="2366" spans="1:12" ht="43.5" customHeight="1" x14ac:dyDescent="0.25">
      <c r="A2366" s="33">
        <v>17</v>
      </c>
      <c r="B2366" s="34" t="s">
        <v>830</v>
      </c>
      <c r="C2366" s="35" t="s">
        <v>66</v>
      </c>
      <c r="D2366" s="36">
        <v>87</v>
      </c>
      <c r="E2366" s="36">
        <v>0.85100000000000009</v>
      </c>
      <c r="F2366" s="36">
        <f t="shared" si="591"/>
        <v>74.037000000000006</v>
      </c>
      <c r="G2366" s="37">
        <f t="shared" si="592"/>
        <v>0</v>
      </c>
      <c r="H2366" s="38">
        <f t="shared" si="593"/>
        <v>0</v>
      </c>
      <c r="I2366" s="37">
        <f t="shared" si="594"/>
        <v>0</v>
      </c>
      <c r="J2366" s="38">
        <v>0</v>
      </c>
      <c r="K2366" s="37">
        <f t="shared" si="595"/>
        <v>0</v>
      </c>
      <c r="L2366" s="38">
        <v>0</v>
      </c>
    </row>
    <row r="2367" spans="1:12" ht="28.95" customHeight="1" x14ac:dyDescent="0.25">
      <c r="A2367" s="33">
        <v>18</v>
      </c>
      <c r="B2367" s="34" t="s">
        <v>906</v>
      </c>
      <c r="C2367" s="35" t="s">
        <v>66</v>
      </c>
      <c r="D2367" s="36">
        <v>7</v>
      </c>
      <c r="E2367" s="36">
        <v>2.3031999999999999</v>
      </c>
      <c r="F2367" s="36">
        <f t="shared" si="591"/>
        <v>16.122399999999999</v>
      </c>
      <c r="G2367" s="37">
        <f t="shared" si="592"/>
        <v>0</v>
      </c>
      <c r="H2367" s="38">
        <f t="shared" si="593"/>
        <v>0</v>
      </c>
      <c r="I2367" s="37">
        <f t="shared" si="594"/>
        <v>0</v>
      </c>
      <c r="J2367" s="38">
        <v>0</v>
      </c>
      <c r="K2367" s="37">
        <f t="shared" si="595"/>
        <v>0</v>
      </c>
      <c r="L2367" s="38">
        <v>0</v>
      </c>
    </row>
    <row r="2368" spans="1:12" ht="28.95" customHeight="1" x14ac:dyDescent="0.25">
      <c r="A2368" s="33">
        <v>19</v>
      </c>
      <c r="B2368" s="34" t="s">
        <v>907</v>
      </c>
      <c r="C2368" s="35" t="s">
        <v>66</v>
      </c>
      <c r="D2368" s="36">
        <v>71</v>
      </c>
      <c r="E2368" s="36">
        <v>0.9</v>
      </c>
      <c r="F2368" s="36">
        <f t="shared" si="591"/>
        <v>63.9</v>
      </c>
      <c r="G2368" s="37">
        <f t="shared" si="592"/>
        <v>0</v>
      </c>
      <c r="H2368" s="38">
        <f t="shared" si="593"/>
        <v>0</v>
      </c>
      <c r="I2368" s="37">
        <f t="shared" si="594"/>
        <v>0</v>
      </c>
      <c r="J2368" s="38">
        <v>0</v>
      </c>
      <c r="K2368" s="37">
        <f t="shared" si="595"/>
        <v>0</v>
      </c>
      <c r="L2368" s="38">
        <v>0</v>
      </c>
    </row>
    <row r="2369" spans="1:12" ht="28.95" customHeight="1" x14ac:dyDescent="0.25">
      <c r="A2369" s="33">
        <v>20</v>
      </c>
      <c r="B2369" s="34" t="s">
        <v>316</v>
      </c>
      <c r="C2369" s="35" t="s">
        <v>66</v>
      </c>
      <c r="D2369" s="36">
        <v>23</v>
      </c>
      <c r="E2369" s="36">
        <v>8.16</v>
      </c>
      <c r="F2369" s="36">
        <f t="shared" si="591"/>
        <v>187.68</v>
      </c>
      <c r="G2369" s="37">
        <f t="shared" si="592"/>
        <v>0</v>
      </c>
      <c r="H2369" s="38">
        <f t="shared" si="593"/>
        <v>0</v>
      </c>
      <c r="I2369" s="37">
        <f t="shared" si="594"/>
        <v>0</v>
      </c>
      <c r="J2369" s="38">
        <v>0</v>
      </c>
      <c r="K2369" s="37">
        <f t="shared" si="595"/>
        <v>0</v>
      </c>
      <c r="L2369" s="38">
        <v>0</v>
      </c>
    </row>
    <row r="2370" spans="1:12" ht="28.95" customHeight="1" x14ac:dyDescent="0.25">
      <c r="A2370" s="33">
        <v>21</v>
      </c>
      <c r="B2370" s="34" t="s">
        <v>234</v>
      </c>
      <c r="C2370" s="35" t="s">
        <v>1419</v>
      </c>
      <c r="D2370" s="36">
        <v>71</v>
      </c>
      <c r="E2370" s="36">
        <v>2</v>
      </c>
      <c r="F2370" s="36">
        <f t="shared" si="591"/>
        <v>142</v>
      </c>
      <c r="G2370" s="37">
        <f t="shared" si="592"/>
        <v>0</v>
      </c>
      <c r="H2370" s="38">
        <f t="shared" si="593"/>
        <v>0</v>
      </c>
      <c r="I2370" s="37">
        <f t="shared" si="594"/>
        <v>0</v>
      </c>
      <c r="J2370" s="38">
        <v>0</v>
      </c>
      <c r="K2370" s="37">
        <f t="shared" si="595"/>
        <v>0</v>
      </c>
      <c r="L2370" s="38">
        <v>0</v>
      </c>
    </row>
    <row r="2371" spans="1:12" ht="18" customHeight="1" x14ac:dyDescent="0.25">
      <c r="A2371" s="47"/>
      <c r="B2371" s="50" t="s">
        <v>1420</v>
      </c>
      <c r="C2371" s="51"/>
      <c r="D2371" s="52"/>
      <c r="E2371" s="52"/>
      <c r="F2371" s="52">
        <f>SUM(F10:F2370)*1.8%</f>
        <v>55989.10606318833</v>
      </c>
      <c r="G2371" s="37"/>
      <c r="H2371" s="38"/>
      <c r="I2371" s="37"/>
      <c r="J2371" s="38"/>
      <c r="K2371" s="37"/>
      <c r="L2371" s="38"/>
    </row>
    <row r="2372" spans="1:12" ht="18" customHeight="1" x14ac:dyDescent="0.25">
      <c r="A2372" s="47"/>
      <c r="B2372" s="50" t="s">
        <v>1421</v>
      </c>
      <c r="C2372" s="51"/>
      <c r="D2372" s="52"/>
      <c r="E2372" s="52"/>
      <c r="F2372" s="52">
        <f>SUM(F10:F2371)*2%</f>
        <v>63329.899969250793</v>
      </c>
      <c r="G2372" s="37"/>
      <c r="H2372" s="38"/>
      <c r="I2372" s="37"/>
      <c r="J2372" s="38"/>
      <c r="K2372" s="37"/>
      <c r="L2372" s="38"/>
    </row>
    <row r="2373" spans="1:12" ht="18" customHeight="1" x14ac:dyDescent="0.25">
      <c r="A2373" s="47"/>
      <c r="B2373" s="53" t="s">
        <v>1422</v>
      </c>
      <c r="C2373" s="54"/>
      <c r="D2373" s="55"/>
      <c r="E2373" s="55"/>
      <c r="F2373" s="55">
        <f>SUM(F10:F2372)-0.02</f>
        <v>3229824.8784317905</v>
      </c>
      <c r="G2373" s="56"/>
      <c r="H2373" s="55"/>
      <c r="I2373" s="56"/>
      <c r="J2373" s="55"/>
      <c r="K2373" s="56"/>
      <c r="L2373" s="55"/>
    </row>
    <row r="2374" spans="1:12" ht="18" customHeight="1" x14ac:dyDescent="0.25">
      <c r="A2374" s="47"/>
      <c r="B2374" s="53" t="s">
        <v>1423</v>
      </c>
      <c r="C2374" s="54"/>
      <c r="D2374" s="55"/>
      <c r="E2374" s="55"/>
      <c r="F2374" s="55">
        <f>F2373*18%</f>
        <v>581368.47811772232</v>
      </c>
      <c r="G2374" s="56"/>
      <c r="H2374" s="55"/>
      <c r="I2374" s="56"/>
      <c r="J2374" s="55"/>
      <c r="K2374" s="56"/>
      <c r="L2374" s="55"/>
    </row>
    <row r="2375" spans="1:12" ht="18" customHeight="1" x14ac:dyDescent="0.25">
      <c r="A2375" s="47"/>
      <c r="B2375" s="53" t="s">
        <v>1424</v>
      </c>
      <c r="C2375" s="54"/>
      <c r="D2375" s="55"/>
      <c r="E2375" s="55"/>
      <c r="F2375" s="55">
        <f>F2373+F2374</f>
        <v>3811193.3565495126</v>
      </c>
      <c r="G2375" s="56"/>
      <c r="H2375" s="55"/>
      <c r="I2375" s="56"/>
      <c r="J2375" s="55"/>
      <c r="K2375" s="56"/>
      <c r="L2375" s="55"/>
    </row>
    <row r="2377" spans="1:12" x14ac:dyDescent="0.3">
      <c r="A2377" s="58"/>
      <c r="B2377" s="59" t="s">
        <v>1425</v>
      </c>
      <c r="C2377" s="59"/>
      <c r="D2377" s="59"/>
      <c r="E2377" s="60"/>
      <c r="F2377" s="63" t="s">
        <v>1426</v>
      </c>
    </row>
  </sheetData>
  <autoFilter ref="A7:L2340" xr:uid="{00000000-0009-0000-0000-000000000000}">
    <filterColumn colId="6" showButton="0"/>
    <filterColumn colId="7" showButton="0"/>
    <filterColumn colId="8" showButton="0"/>
    <filterColumn colId="9" showButton="0"/>
    <filterColumn colId="10" showButton="0"/>
  </autoFilter>
  <mergeCells count="14">
    <mergeCell ref="C1:K1"/>
    <mergeCell ref="C7:C9"/>
    <mergeCell ref="A7:A9"/>
    <mergeCell ref="I6:J6"/>
    <mergeCell ref="E7:E9"/>
    <mergeCell ref="K8:L8"/>
    <mergeCell ref="F7:F9"/>
    <mergeCell ref="D7:D9"/>
    <mergeCell ref="L2:L4"/>
    <mergeCell ref="B7:B9"/>
    <mergeCell ref="K5:L5"/>
    <mergeCell ref="I8:J8"/>
    <mergeCell ref="G8:H8"/>
    <mergeCell ref="G7:L7"/>
  </mergeCells>
  <printOptions horizontalCentered="1"/>
  <pageMargins left="0" right="0" top="0.59055118110236227" bottom="0.39370078740157483" header="0.51181102362204722" footer="0.51181102362204722"/>
  <pageSetup paperSize="8" scale="86" fitToHeight="0" orientation="landscape" r:id="rId1"/>
  <headerFooter alignWithMargins="0">
    <oddFooter>&amp;R&amp;P</oddFooter>
  </headerFooter>
  <rowBreaks count="1" manualBreakCount="1">
    <brk id="2309" max="11" man="1"/>
  </rowBreaks>
  <colBreaks count="1" manualBreakCount="1">
    <brk id="6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BOQ</vt:lpstr>
      <vt:lpstr>BOQ!Print_Area</vt:lpstr>
      <vt:lpstr>BOQ!Print_Titles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Nemet Shamoyev</dc:creator>
  <cp:lastModifiedBy>Mustafa Subhani</cp:lastModifiedBy>
  <dcterms:created xsi:type="dcterms:W3CDTF">2026-10-02T09:58:05Z</dcterms:created>
  <dcterms:modified xsi:type="dcterms:W3CDTF">2026-10-30T13:09:36Z</dcterms:modified>
</cp:coreProperties>
</file>