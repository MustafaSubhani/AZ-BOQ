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Z-BOQ\cache\exports\"/>
    </mc:Choice>
  </mc:AlternateContent>
  <xr:revisionPtr revIDLastSave="0" documentId="13_ncr:1_{B23A59F8-1C0E-4E8C-9369-AB6AD325A1DC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BOQ" sheetId="1" r:id="rId1"/>
    <sheet name="Evidence" sheetId="2" r:id="rId2"/>
  </sheets>
  <definedNames>
    <definedName name="_xlnm._FilterDatabase" localSheetId="0" hidden="1">BOQ!$A$7:$L$2340</definedName>
    <definedName name="Design">#REF!</definedName>
    <definedName name="Other">#REF!</definedName>
    <definedName name="_xlnm.Print_Area" localSheetId="0">BOQ!$A$1:$L$2339</definedName>
    <definedName name="_xlnm.Print_Titles" localSheetId="0">BOQ!$7:$9</definedName>
    <definedName name="Priority">#REF!</definedName>
    <definedName name="REASSESSMENT_DATE">#REF!</definedName>
    <definedName name="Status">#REF!</definedName>
    <definedName name="Type">#REF!</definedName>
    <definedName name="valHighlight">#REF!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YesNo">#REF!</definedName>
  </definedNames>
  <calcPr calcId="181029"/>
</workbook>
</file>

<file path=xl/calcChain.xml><?xml version="1.0" encoding="utf-8"?>
<calcChain xmlns="http://schemas.openxmlformats.org/spreadsheetml/2006/main">
  <c r="L2333" i="1" l="1"/>
  <c r="J2333" i="1"/>
  <c r="H2333" i="1"/>
  <c r="H2332" i="1"/>
  <c r="H2331" i="1"/>
  <c r="AZ2331" i="1" s="1"/>
  <c r="H2330" i="1"/>
  <c r="AZ2330" i="1" s="1"/>
  <c r="F2330" i="1"/>
  <c r="H2329" i="1"/>
  <c r="AZ2329" i="1" s="1"/>
  <c r="F2329" i="1"/>
  <c r="H2328" i="1"/>
  <c r="AZ2328" i="1" s="1"/>
  <c r="F2328" i="1"/>
  <c r="H2327" i="1"/>
  <c r="AZ2327" i="1" s="1"/>
  <c r="F2327" i="1"/>
  <c r="H2326" i="1"/>
  <c r="F2326" i="1"/>
  <c r="H2325" i="1"/>
  <c r="F2325" i="1"/>
  <c r="H2324" i="1"/>
  <c r="F2324" i="1"/>
  <c r="H2323" i="1"/>
  <c r="F2323" i="1"/>
  <c r="H2322" i="1"/>
  <c r="F2322" i="1"/>
  <c r="H2321" i="1"/>
  <c r="AZ2321" i="1" s="1"/>
  <c r="F2321" i="1"/>
  <c r="H2320" i="1"/>
  <c r="AZ2320" i="1" s="1"/>
  <c r="F2320" i="1"/>
  <c r="H2319" i="1"/>
  <c r="AZ2319" i="1" s="1"/>
  <c r="F2319" i="1"/>
  <c r="H2318" i="1"/>
  <c r="AZ2318" i="1" s="1"/>
  <c r="F2318" i="1"/>
  <c r="H2317" i="1"/>
  <c r="AZ2317" i="1" s="1"/>
  <c r="F2317" i="1"/>
  <c r="H2316" i="1"/>
  <c r="F2316" i="1"/>
  <c r="H2315" i="1"/>
  <c r="F2315" i="1"/>
  <c r="H2314" i="1"/>
  <c r="F2314" i="1"/>
  <c r="H2313" i="1"/>
  <c r="F2313" i="1"/>
  <c r="H2312" i="1"/>
  <c r="F2312" i="1"/>
  <c r="H2311" i="1"/>
  <c r="F2311" i="1"/>
  <c r="H2310" i="1"/>
  <c r="F2310" i="1"/>
  <c r="AZ2309" i="1"/>
  <c r="H2308" i="1"/>
  <c r="AZ2308" i="1" s="1"/>
  <c r="F2308" i="1"/>
  <c r="H2307" i="1"/>
  <c r="AZ2307" i="1" s="1"/>
  <c r="F2307" i="1"/>
  <c r="H2306" i="1"/>
  <c r="AZ2306" i="1" s="1"/>
  <c r="F2306" i="1"/>
  <c r="AZ2305" i="1"/>
  <c r="H2304" i="1"/>
  <c r="F2304" i="1"/>
  <c r="H2303" i="1"/>
  <c r="F2303" i="1"/>
  <c r="H2301" i="1"/>
  <c r="F2301" i="1"/>
  <c r="H2300" i="1"/>
  <c r="F2300" i="1"/>
  <c r="H2299" i="1"/>
  <c r="F2299" i="1"/>
  <c r="H2298" i="1"/>
  <c r="F2298" i="1"/>
  <c r="H2297" i="1"/>
  <c r="F2297" i="1"/>
  <c r="H2296" i="1"/>
  <c r="F2296" i="1"/>
  <c r="H2295" i="1"/>
  <c r="F2295" i="1"/>
  <c r="H2294" i="1"/>
  <c r="F2294" i="1"/>
  <c r="H2293" i="1"/>
  <c r="AZ2293" i="1" s="1"/>
  <c r="F2293" i="1"/>
  <c r="H2292" i="1"/>
  <c r="AZ2292" i="1" s="1"/>
  <c r="F2292" i="1"/>
  <c r="H2291" i="1"/>
  <c r="AZ2291" i="1" s="1"/>
  <c r="F2291" i="1"/>
  <c r="AZ2290" i="1"/>
  <c r="H2289" i="1"/>
  <c r="AZ2289" i="1" s="1"/>
  <c r="F2289" i="1"/>
  <c r="H2288" i="1"/>
  <c r="AZ2288" i="1" s="1"/>
  <c r="F2288" i="1"/>
  <c r="H2287" i="1"/>
  <c r="AZ2287" i="1" s="1"/>
  <c r="F2287" i="1"/>
  <c r="H2286" i="1"/>
  <c r="AZ2286" i="1" s="1"/>
  <c r="F2286" i="1"/>
  <c r="H2285" i="1"/>
  <c r="AZ2285" i="1" s="1"/>
  <c r="F2285" i="1"/>
  <c r="H2284" i="1"/>
  <c r="AZ2284" i="1" s="1"/>
  <c r="F2284" i="1"/>
  <c r="H2283" i="1"/>
  <c r="AZ2283" i="1" s="1"/>
  <c r="F2283" i="1"/>
  <c r="H2282" i="1"/>
  <c r="AZ2282" i="1" s="1"/>
  <c r="F2282" i="1"/>
  <c r="AZ2281" i="1"/>
  <c r="H2280" i="1"/>
  <c r="AZ2280" i="1" s="1"/>
  <c r="F2280" i="1"/>
  <c r="H2279" i="1"/>
  <c r="AZ2279" i="1" s="1"/>
  <c r="F2279" i="1"/>
  <c r="H2278" i="1"/>
  <c r="AZ2278" i="1" s="1"/>
  <c r="F2278" i="1"/>
  <c r="H2277" i="1"/>
  <c r="AZ2277" i="1" s="1"/>
  <c r="F2277" i="1"/>
  <c r="H2276" i="1"/>
  <c r="AZ2276" i="1" s="1"/>
  <c r="F2276" i="1"/>
  <c r="H2275" i="1"/>
  <c r="AZ2275" i="1" s="1"/>
  <c r="F2275" i="1"/>
  <c r="H2274" i="1"/>
  <c r="AZ2274" i="1" s="1"/>
  <c r="F2274" i="1"/>
  <c r="H2273" i="1"/>
  <c r="AZ2273" i="1" s="1"/>
  <c r="F2273" i="1"/>
  <c r="H2272" i="1"/>
  <c r="AZ2272" i="1" s="1"/>
  <c r="F2272" i="1"/>
  <c r="H2271" i="1"/>
  <c r="AZ2271" i="1" s="1"/>
  <c r="F2271" i="1"/>
  <c r="H2270" i="1"/>
  <c r="AZ2270" i="1" s="1"/>
  <c r="F2270" i="1"/>
  <c r="H2269" i="1"/>
  <c r="F2269" i="1"/>
  <c r="H2268" i="1"/>
  <c r="F2268" i="1"/>
  <c r="H2266" i="1"/>
  <c r="F2266" i="1"/>
  <c r="H2265" i="1"/>
  <c r="F2265" i="1"/>
  <c r="H2264" i="1"/>
  <c r="F2264" i="1"/>
  <c r="H2263" i="1"/>
  <c r="F2263" i="1"/>
  <c r="H2262" i="1"/>
  <c r="F2262" i="1"/>
  <c r="H2260" i="1"/>
  <c r="F2260" i="1"/>
  <c r="H2259" i="1"/>
  <c r="F2259" i="1"/>
  <c r="H2257" i="1"/>
  <c r="F2257" i="1"/>
  <c r="H2256" i="1"/>
  <c r="F2256" i="1"/>
  <c r="H2255" i="1"/>
  <c r="AZ2255" i="1" s="1"/>
  <c r="F2255" i="1"/>
  <c r="H2254" i="1"/>
  <c r="AZ2254" i="1" s="1"/>
  <c r="F2254" i="1"/>
  <c r="H2253" i="1"/>
  <c r="AZ2253" i="1" s="1"/>
  <c r="F2253" i="1"/>
  <c r="H2252" i="1"/>
  <c r="AZ2252" i="1" s="1"/>
  <c r="F2252" i="1"/>
  <c r="H2251" i="1"/>
  <c r="AZ2251" i="1" s="1"/>
  <c r="F2251" i="1"/>
  <c r="H2250" i="1"/>
  <c r="F2250" i="1"/>
  <c r="H2249" i="1"/>
  <c r="F2249" i="1"/>
  <c r="H2248" i="1"/>
  <c r="F2248" i="1"/>
  <c r="H2247" i="1"/>
  <c r="F2247" i="1"/>
  <c r="H2246" i="1"/>
  <c r="F2246" i="1"/>
  <c r="H2245" i="1"/>
  <c r="AZ2245" i="1" s="1"/>
  <c r="F2245" i="1"/>
  <c r="H2244" i="1"/>
  <c r="AZ2244" i="1" s="1"/>
  <c r="F2244" i="1"/>
  <c r="H2243" i="1"/>
  <c r="AZ2243" i="1" s="1"/>
  <c r="F2243" i="1"/>
  <c r="H2242" i="1"/>
  <c r="AZ2242" i="1" s="1"/>
  <c r="F2242" i="1"/>
  <c r="H2241" i="1"/>
  <c r="AZ2241" i="1" s="1"/>
  <c r="F2241" i="1"/>
  <c r="H2239" i="1"/>
  <c r="F2239" i="1"/>
  <c r="H2238" i="1"/>
  <c r="F2238" i="1"/>
  <c r="H2237" i="1"/>
  <c r="F2237" i="1"/>
  <c r="H2236" i="1"/>
  <c r="F2236" i="1"/>
  <c r="H2235" i="1"/>
  <c r="F2235" i="1"/>
  <c r="H2234" i="1"/>
  <c r="F2234" i="1"/>
  <c r="H2233" i="1"/>
  <c r="AZ2233" i="1" s="1"/>
  <c r="F2233" i="1"/>
  <c r="H2232" i="1"/>
  <c r="AZ2232" i="1" s="1"/>
  <c r="F2232" i="1"/>
  <c r="H2231" i="1"/>
  <c r="AZ2231" i="1" s="1"/>
  <c r="F2231" i="1"/>
  <c r="H2230" i="1"/>
  <c r="AZ2230" i="1" s="1"/>
  <c r="F2230" i="1"/>
  <c r="H2229" i="1"/>
  <c r="AZ2229" i="1" s="1"/>
  <c r="F2229" i="1"/>
  <c r="H2228" i="1"/>
  <c r="F2228" i="1"/>
  <c r="H2227" i="1"/>
  <c r="F2227" i="1"/>
  <c r="H2226" i="1"/>
  <c r="F2226" i="1"/>
  <c r="H2225" i="1"/>
  <c r="F2225" i="1"/>
  <c r="H2224" i="1"/>
  <c r="AZ2224" i="1" s="1"/>
  <c r="F2224" i="1"/>
  <c r="H2223" i="1"/>
  <c r="AZ2223" i="1" s="1"/>
  <c r="F2223" i="1"/>
  <c r="H2222" i="1"/>
  <c r="AZ2222" i="1" s="1"/>
  <c r="F2222" i="1"/>
  <c r="AZ2221" i="1"/>
  <c r="H2220" i="1"/>
  <c r="AZ2220" i="1" s="1"/>
  <c r="F2220" i="1"/>
  <c r="AZ2219" i="1"/>
  <c r="H2219" i="1"/>
  <c r="F2219" i="1"/>
  <c r="H2218" i="1"/>
  <c r="AZ2218" i="1" s="1"/>
  <c r="F2218" i="1"/>
  <c r="H2217" i="1"/>
  <c r="AZ2217" i="1" s="1"/>
  <c r="F2217" i="1"/>
  <c r="H2216" i="1"/>
  <c r="AZ2216" i="1" s="1"/>
  <c r="F2216" i="1"/>
  <c r="H2215" i="1"/>
  <c r="AZ2215" i="1" s="1"/>
  <c r="F2215" i="1"/>
  <c r="H2214" i="1"/>
  <c r="AZ2214" i="1" s="1"/>
  <c r="F2214" i="1"/>
  <c r="H2213" i="1"/>
  <c r="AZ2213" i="1" s="1"/>
  <c r="F2213" i="1"/>
  <c r="H2212" i="1"/>
  <c r="AZ2212" i="1" s="1"/>
  <c r="F2212" i="1"/>
  <c r="H2211" i="1"/>
  <c r="AZ2211" i="1" s="1"/>
  <c r="F2211" i="1"/>
  <c r="H2210" i="1"/>
  <c r="AZ2210" i="1" s="1"/>
  <c r="F2210" i="1"/>
  <c r="H2209" i="1"/>
  <c r="AZ2209" i="1" s="1"/>
  <c r="F2209" i="1"/>
  <c r="H2208" i="1"/>
  <c r="AZ2208" i="1" s="1"/>
  <c r="F2208" i="1"/>
  <c r="H2207" i="1"/>
  <c r="AZ2207" i="1" s="1"/>
  <c r="F2207" i="1"/>
  <c r="H2206" i="1"/>
  <c r="AZ2206" i="1" s="1"/>
  <c r="F2206" i="1"/>
  <c r="H2205" i="1"/>
  <c r="AZ2205" i="1" s="1"/>
  <c r="F2205" i="1"/>
  <c r="H2204" i="1"/>
  <c r="AZ2204" i="1" s="1"/>
  <c r="F2204" i="1"/>
  <c r="AZ2203" i="1"/>
  <c r="H2202" i="1"/>
  <c r="AZ2202" i="1" s="1"/>
  <c r="F2202" i="1"/>
  <c r="H2201" i="1"/>
  <c r="AZ2201" i="1" s="1"/>
  <c r="F2201" i="1"/>
  <c r="H2200" i="1"/>
  <c r="AZ2200" i="1" s="1"/>
  <c r="F2200" i="1"/>
  <c r="H2199" i="1"/>
  <c r="AZ2199" i="1" s="1"/>
  <c r="F2199" i="1"/>
  <c r="H2198" i="1"/>
  <c r="AZ2198" i="1" s="1"/>
  <c r="F2198" i="1"/>
  <c r="H2197" i="1"/>
  <c r="AZ2197" i="1" s="1"/>
  <c r="F2197" i="1"/>
  <c r="H2196" i="1"/>
  <c r="AZ2196" i="1" s="1"/>
  <c r="F2196" i="1"/>
  <c r="AZ2195" i="1"/>
  <c r="H2194" i="1"/>
  <c r="AZ2194" i="1" s="1"/>
  <c r="F2194" i="1"/>
  <c r="H2193" i="1"/>
  <c r="AZ2193" i="1" s="1"/>
  <c r="F2193" i="1"/>
  <c r="H2192" i="1"/>
  <c r="AZ2192" i="1" s="1"/>
  <c r="F2192" i="1"/>
  <c r="H2191" i="1"/>
  <c r="AZ2191" i="1" s="1"/>
  <c r="F2191" i="1"/>
  <c r="H2190" i="1"/>
  <c r="AZ2190" i="1" s="1"/>
  <c r="F2190" i="1"/>
  <c r="H2189" i="1"/>
  <c r="AZ2189" i="1" s="1"/>
  <c r="F2189" i="1"/>
  <c r="H2188" i="1"/>
  <c r="AZ2188" i="1" s="1"/>
  <c r="F2188" i="1"/>
  <c r="AZ2187" i="1"/>
  <c r="H2186" i="1"/>
  <c r="AZ2186" i="1" s="1"/>
  <c r="F2186" i="1"/>
  <c r="H2185" i="1"/>
  <c r="AZ2185" i="1" s="1"/>
  <c r="F2185" i="1"/>
  <c r="H2184" i="1"/>
  <c r="AZ2184" i="1" s="1"/>
  <c r="F2184" i="1"/>
  <c r="H2183" i="1"/>
  <c r="AZ2183" i="1" s="1"/>
  <c r="F2183" i="1"/>
  <c r="H2182" i="1"/>
  <c r="F2182" i="1"/>
  <c r="H2181" i="1"/>
  <c r="F2181" i="1"/>
  <c r="H2180" i="1"/>
  <c r="F2180" i="1"/>
  <c r="H2178" i="1"/>
  <c r="F2178" i="1"/>
  <c r="H2177" i="1"/>
  <c r="F2177" i="1"/>
  <c r="H2176" i="1"/>
  <c r="F2176" i="1"/>
  <c r="H2175" i="1"/>
  <c r="F2175" i="1"/>
  <c r="H2174" i="1"/>
  <c r="F2174" i="1"/>
  <c r="H2173" i="1"/>
  <c r="AZ2173" i="1" s="1"/>
  <c r="F2173" i="1"/>
  <c r="H2172" i="1"/>
  <c r="AZ2172" i="1" s="1"/>
  <c r="F2172" i="1"/>
  <c r="AZ2171" i="1"/>
  <c r="H2170" i="1"/>
  <c r="AZ2170" i="1" s="1"/>
  <c r="F2170" i="1"/>
  <c r="H2169" i="1"/>
  <c r="AZ2169" i="1" s="1"/>
  <c r="F2169" i="1"/>
  <c r="H2168" i="1"/>
  <c r="F2168" i="1"/>
  <c r="H2167" i="1"/>
  <c r="F2167" i="1"/>
  <c r="H2166" i="1"/>
  <c r="F2166" i="1"/>
  <c r="H2165" i="1"/>
  <c r="F2165" i="1"/>
  <c r="H2164" i="1"/>
  <c r="F2164" i="1"/>
  <c r="AZ2163" i="1"/>
  <c r="H2162" i="1"/>
  <c r="AZ2162" i="1" s="1"/>
  <c r="F2162" i="1"/>
  <c r="H2161" i="1"/>
  <c r="AZ2161" i="1" s="1"/>
  <c r="F2161" i="1"/>
  <c r="H2160" i="1"/>
  <c r="AZ2160" i="1" s="1"/>
  <c r="F2160" i="1"/>
  <c r="H2159" i="1"/>
  <c r="AZ2159" i="1" s="1"/>
  <c r="F2159" i="1"/>
  <c r="H2158" i="1"/>
  <c r="F2158" i="1"/>
  <c r="H2157" i="1"/>
  <c r="F2157" i="1"/>
  <c r="H2156" i="1"/>
  <c r="F2156" i="1"/>
  <c r="H2154" i="1"/>
  <c r="F2154" i="1"/>
  <c r="H2153" i="1"/>
  <c r="F2153" i="1"/>
  <c r="H2152" i="1"/>
  <c r="F2152" i="1"/>
  <c r="H2151" i="1"/>
  <c r="AZ2151" i="1" s="1"/>
  <c r="F2151" i="1"/>
  <c r="H2150" i="1"/>
  <c r="AZ2150" i="1" s="1"/>
  <c r="F2150" i="1"/>
  <c r="H2149" i="1"/>
  <c r="AZ2149" i="1" s="1"/>
  <c r="F2149" i="1"/>
  <c r="H2148" i="1"/>
  <c r="AZ2148" i="1" s="1"/>
  <c r="F2148" i="1"/>
  <c r="AZ2147" i="1"/>
  <c r="H2146" i="1"/>
  <c r="F2146" i="1"/>
  <c r="H2145" i="1"/>
  <c r="F2145" i="1"/>
  <c r="H2144" i="1"/>
  <c r="F2144" i="1"/>
  <c r="H2143" i="1"/>
  <c r="F2143" i="1"/>
  <c r="H2142" i="1"/>
  <c r="F2142" i="1"/>
  <c r="H2141" i="1"/>
  <c r="F2141" i="1"/>
  <c r="H2140" i="1"/>
  <c r="F2140" i="1"/>
  <c r="H2138" i="1"/>
  <c r="F2138" i="1"/>
  <c r="H2137" i="1"/>
  <c r="F2137" i="1"/>
  <c r="H2136" i="1"/>
  <c r="F2136" i="1"/>
  <c r="H2135" i="1"/>
  <c r="AZ2135" i="1" s="1"/>
  <c r="F2135" i="1"/>
  <c r="H2134" i="1"/>
  <c r="AZ2134" i="1" s="1"/>
  <c r="F2134" i="1"/>
  <c r="H2133" i="1"/>
  <c r="AZ2133" i="1" s="1"/>
  <c r="F2133" i="1"/>
  <c r="H2132" i="1"/>
  <c r="AZ2132" i="1" s="1"/>
  <c r="F2132" i="1"/>
  <c r="AZ2131" i="1"/>
  <c r="H2130" i="1"/>
  <c r="AZ2130" i="1" s="1"/>
  <c r="F2130" i="1"/>
  <c r="H2129" i="1"/>
  <c r="AZ2129" i="1" s="1"/>
  <c r="F2129" i="1"/>
  <c r="H2128" i="1"/>
  <c r="AZ2128" i="1" s="1"/>
  <c r="F2128" i="1"/>
  <c r="H2127" i="1"/>
  <c r="AZ2127" i="1" s="1"/>
  <c r="F2127" i="1"/>
  <c r="H2126" i="1"/>
  <c r="AZ2126" i="1" s="1"/>
  <c r="F2126" i="1"/>
  <c r="H2125" i="1"/>
  <c r="AZ2125" i="1" s="1"/>
  <c r="F2125" i="1"/>
  <c r="H2124" i="1"/>
  <c r="AZ2124" i="1" s="1"/>
  <c r="F2124" i="1"/>
  <c r="AZ2123" i="1"/>
  <c r="H2122" i="1"/>
  <c r="AZ2122" i="1" s="1"/>
  <c r="F2122" i="1"/>
  <c r="H2121" i="1"/>
  <c r="AZ2121" i="1" s="1"/>
  <c r="F2121" i="1"/>
  <c r="H2120" i="1"/>
  <c r="AZ2120" i="1" s="1"/>
  <c r="F2120" i="1"/>
  <c r="H2119" i="1"/>
  <c r="AZ2119" i="1" s="1"/>
  <c r="F2119" i="1"/>
  <c r="H2118" i="1"/>
  <c r="AZ2118" i="1" s="1"/>
  <c r="F2118" i="1"/>
  <c r="H2117" i="1"/>
  <c r="AZ2117" i="1" s="1"/>
  <c r="F2117" i="1"/>
  <c r="H2116" i="1"/>
  <c r="AZ2116" i="1" s="1"/>
  <c r="F2116" i="1"/>
  <c r="AZ2115" i="1"/>
  <c r="H2114" i="1"/>
  <c r="AZ2114" i="1" s="1"/>
  <c r="F2114" i="1"/>
  <c r="H2113" i="1"/>
  <c r="AZ2113" i="1" s="1"/>
  <c r="F2113" i="1"/>
  <c r="H2112" i="1"/>
  <c r="AZ2112" i="1" s="1"/>
  <c r="F2112" i="1"/>
  <c r="H2111" i="1"/>
  <c r="F2111" i="1"/>
  <c r="H2110" i="1"/>
  <c r="F2110" i="1"/>
  <c r="H2109" i="1"/>
  <c r="F2109" i="1"/>
  <c r="H2108" i="1"/>
  <c r="F2108" i="1"/>
  <c r="H2106" i="1"/>
  <c r="F2106" i="1"/>
  <c r="H2105" i="1"/>
  <c r="F2105" i="1"/>
  <c r="H2104" i="1"/>
  <c r="F2104" i="1"/>
  <c r="H2103" i="1"/>
  <c r="F2103" i="1"/>
  <c r="H2102" i="1"/>
  <c r="F2102" i="1"/>
  <c r="H2101" i="1"/>
  <c r="AZ2101" i="1" s="1"/>
  <c r="F2101" i="1"/>
  <c r="H2100" i="1"/>
  <c r="AZ2100" i="1" s="1"/>
  <c r="F2100" i="1"/>
  <c r="AZ2099" i="1"/>
  <c r="H2098" i="1"/>
  <c r="F2098" i="1"/>
  <c r="H2097" i="1"/>
  <c r="F2097" i="1"/>
  <c r="H2096" i="1"/>
  <c r="F2096" i="1"/>
  <c r="H2095" i="1"/>
  <c r="F2095" i="1"/>
  <c r="H2094" i="1"/>
  <c r="F2094" i="1"/>
  <c r="AZ2093" i="1"/>
  <c r="H2092" i="1"/>
  <c r="AZ2092" i="1" s="1"/>
  <c r="F2092" i="1"/>
  <c r="H2091" i="1"/>
  <c r="AZ2091" i="1" s="1"/>
  <c r="F2091" i="1"/>
  <c r="H2090" i="1"/>
  <c r="AZ2090" i="1" s="1"/>
  <c r="F2090" i="1"/>
  <c r="H2089" i="1"/>
  <c r="AZ2089" i="1" s="1"/>
  <c r="F2089" i="1"/>
  <c r="H2088" i="1"/>
  <c r="F2088" i="1"/>
  <c r="H2087" i="1"/>
  <c r="F2087" i="1"/>
  <c r="H2086" i="1"/>
  <c r="F2086" i="1"/>
  <c r="H2085" i="1"/>
  <c r="F2085" i="1"/>
  <c r="H2084" i="1"/>
  <c r="F2084" i="1"/>
  <c r="H2083" i="1"/>
  <c r="F2083" i="1"/>
  <c r="H2081" i="1"/>
  <c r="F2081" i="1"/>
  <c r="H2080" i="1"/>
  <c r="AZ2080" i="1" s="1"/>
  <c r="F2080" i="1"/>
  <c r="H2079" i="1"/>
  <c r="AZ2079" i="1" s="1"/>
  <c r="F2079" i="1"/>
  <c r="H2078" i="1"/>
  <c r="AZ2078" i="1" s="1"/>
  <c r="F2078" i="1"/>
  <c r="H2077" i="1"/>
  <c r="AZ2077" i="1" s="1"/>
  <c r="F2077" i="1"/>
  <c r="H2076" i="1"/>
  <c r="AZ2076" i="1" s="1"/>
  <c r="F2076" i="1"/>
  <c r="H2075" i="1"/>
  <c r="F2075" i="1"/>
  <c r="H2074" i="1"/>
  <c r="F2074" i="1"/>
  <c r="H2072" i="1"/>
  <c r="F2072" i="1"/>
  <c r="H2071" i="1"/>
  <c r="F2071" i="1"/>
  <c r="H2070" i="1"/>
  <c r="F2070" i="1"/>
  <c r="H2069" i="1"/>
  <c r="F2069" i="1"/>
  <c r="H2068" i="1"/>
  <c r="F2068" i="1"/>
  <c r="H2066" i="1"/>
  <c r="F2066" i="1"/>
  <c r="H2065" i="1"/>
  <c r="F2065" i="1"/>
  <c r="H2064" i="1"/>
  <c r="F2064" i="1"/>
  <c r="H2063" i="1"/>
  <c r="AZ2063" i="1" s="1"/>
  <c r="F2063" i="1"/>
  <c r="H2062" i="1"/>
  <c r="AZ2062" i="1" s="1"/>
  <c r="F2062" i="1"/>
  <c r="H2061" i="1"/>
  <c r="F2061" i="1"/>
  <c r="H2060" i="1"/>
  <c r="F2060" i="1"/>
  <c r="H2059" i="1"/>
  <c r="F2059" i="1"/>
  <c r="H2058" i="1"/>
  <c r="F2058" i="1"/>
  <c r="H2057" i="1"/>
  <c r="F2057" i="1"/>
  <c r="H2056" i="1"/>
  <c r="F2056" i="1"/>
  <c r="H2054" i="1"/>
  <c r="AZ2054" i="1" s="1"/>
  <c r="F2054" i="1"/>
  <c r="H2053" i="1"/>
  <c r="AZ2053" i="1" s="1"/>
  <c r="F2053" i="1"/>
  <c r="H2052" i="1"/>
  <c r="AZ2052" i="1" s="1"/>
  <c r="F2052" i="1"/>
  <c r="H2051" i="1"/>
  <c r="AZ2051" i="1" s="1"/>
  <c r="F2051" i="1"/>
  <c r="H2050" i="1"/>
  <c r="AZ2050" i="1" s="1"/>
  <c r="F2050" i="1"/>
  <c r="H2049" i="1"/>
  <c r="F2049" i="1"/>
  <c r="H2048" i="1"/>
  <c r="F2048" i="1"/>
  <c r="H2047" i="1"/>
  <c r="F2047" i="1"/>
  <c r="H2046" i="1"/>
  <c r="F2046" i="1"/>
  <c r="H2044" i="1"/>
  <c r="AZ2044" i="1" s="1"/>
  <c r="F2044" i="1"/>
  <c r="H2043" i="1"/>
  <c r="AZ2043" i="1" s="1"/>
  <c r="F2043" i="1"/>
  <c r="H2042" i="1"/>
  <c r="AZ2042" i="1" s="1"/>
  <c r="F2042" i="1"/>
  <c r="H2041" i="1"/>
  <c r="AZ2041" i="1" s="1"/>
  <c r="F2041" i="1"/>
  <c r="H2040" i="1"/>
  <c r="AZ2040" i="1" s="1"/>
  <c r="F2040" i="1"/>
  <c r="H2039" i="1"/>
  <c r="F2039" i="1"/>
  <c r="H2038" i="1"/>
  <c r="F2038" i="1"/>
  <c r="H2037" i="1"/>
  <c r="F2037" i="1"/>
  <c r="H2036" i="1"/>
  <c r="F2036" i="1"/>
  <c r="H2034" i="1"/>
  <c r="F2034" i="1"/>
  <c r="H2033" i="1"/>
  <c r="F2033" i="1"/>
  <c r="H2032" i="1"/>
  <c r="AZ2032" i="1" s="1"/>
  <c r="F2032" i="1"/>
  <c r="H2031" i="1"/>
  <c r="AZ2031" i="1" s="1"/>
  <c r="F2031" i="1"/>
  <c r="H2030" i="1"/>
  <c r="AZ2030" i="1" s="1"/>
  <c r="F2030" i="1"/>
  <c r="H2029" i="1"/>
  <c r="AZ2029" i="1" s="1"/>
  <c r="F2029" i="1"/>
  <c r="H2028" i="1"/>
  <c r="AZ2028" i="1" s="1"/>
  <c r="F2028" i="1"/>
  <c r="H2027" i="1"/>
  <c r="F2027" i="1"/>
  <c r="H2026" i="1"/>
  <c r="F2026" i="1"/>
  <c r="H2025" i="1"/>
  <c r="F2025" i="1"/>
  <c r="H2023" i="1"/>
  <c r="AZ2023" i="1" s="1"/>
  <c r="F2023" i="1"/>
  <c r="H2022" i="1"/>
  <c r="AZ2022" i="1" s="1"/>
  <c r="F2022" i="1"/>
  <c r="H2021" i="1"/>
  <c r="AZ2021" i="1" s="1"/>
  <c r="F2021" i="1"/>
  <c r="H2020" i="1"/>
  <c r="AZ2020" i="1" s="1"/>
  <c r="F2020" i="1"/>
  <c r="H2019" i="1"/>
  <c r="AZ2019" i="1" s="1"/>
  <c r="F2019" i="1"/>
  <c r="H2018" i="1"/>
  <c r="AZ2018" i="1" s="1"/>
  <c r="F2018" i="1"/>
  <c r="H2017" i="1"/>
  <c r="AZ2017" i="1" s="1"/>
  <c r="F2017" i="1"/>
  <c r="H2016" i="1"/>
  <c r="AZ2016" i="1" s="1"/>
  <c r="F2016" i="1"/>
  <c r="H2015" i="1"/>
  <c r="AZ2015" i="1" s="1"/>
  <c r="F2015" i="1"/>
  <c r="H2014" i="1"/>
  <c r="AZ2014" i="1" s="1"/>
  <c r="F2014" i="1"/>
  <c r="H2013" i="1"/>
  <c r="AZ2013" i="1" s="1"/>
  <c r="F2013" i="1"/>
  <c r="H2012" i="1"/>
  <c r="AZ2012" i="1" s="1"/>
  <c r="F2012" i="1"/>
  <c r="H2011" i="1"/>
  <c r="AZ2011" i="1" s="1"/>
  <c r="F2011" i="1"/>
  <c r="H2010" i="1"/>
  <c r="AZ2010" i="1" s="1"/>
  <c r="F2010" i="1"/>
  <c r="AZ2009" i="1"/>
  <c r="H2008" i="1"/>
  <c r="AZ2008" i="1" s="1"/>
  <c r="F2008" i="1"/>
  <c r="H2007" i="1"/>
  <c r="AZ2007" i="1" s="1"/>
  <c r="F2007" i="1"/>
  <c r="H2006" i="1"/>
  <c r="AZ2006" i="1" s="1"/>
  <c r="F2006" i="1"/>
  <c r="H2005" i="1"/>
  <c r="AZ2005" i="1" s="1"/>
  <c r="F2005" i="1"/>
  <c r="H2004" i="1"/>
  <c r="AZ2004" i="1" s="1"/>
  <c r="F2004" i="1"/>
  <c r="H2003" i="1"/>
  <c r="AZ2003" i="1" s="1"/>
  <c r="F2003" i="1"/>
  <c r="H2002" i="1"/>
  <c r="AZ2002" i="1" s="1"/>
  <c r="F2002" i="1"/>
  <c r="H2001" i="1"/>
  <c r="AZ2001" i="1" s="1"/>
  <c r="F2001" i="1"/>
  <c r="H2000" i="1"/>
  <c r="AZ2000" i="1" s="1"/>
  <c r="F2000" i="1"/>
  <c r="H1999" i="1"/>
  <c r="AZ1999" i="1" s="1"/>
  <c r="F1999" i="1"/>
  <c r="H1998" i="1"/>
  <c r="AZ1998" i="1" s="1"/>
  <c r="F1998" i="1"/>
  <c r="H1997" i="1"/>
  <c r="AZ1997" i="1" s="1"/>
  <c r="F1997" i="1"/>
  <c r="H1996" i="1"/>
  <c r="AZ1996" i="1" s="1"/>
  <c r="F1996" i="1"/>
  <c r="H1995" i="1"/>
  <c r="AZ1995" i="1" s="1"/>
  <c r="F1995" i="1"/>
  <c r="H1994" i="1"/>
  <c r="AZ1994" i="1" s="1"/>
  <c r="F1994" i="1"/>
  <c r="H1993" i="1"/>
  <c r="AZ1993" i="1" s="1"/>
  <c r="F1993" i="1"/>
  <c r="H1992" i="1"/>
  <c r="AZ1992" i="1" s="1"/>
  <c r="F1992" i="1"/>
  <c r="H1991" i="1"/>
  <c r="AZ1991" i="1" s="1"/>
  <c r="F1991" i="1"/>
  <c r="H1990" i="1"/>
  <c r="AZ1990" i="1" s="1"/>
  <c r="F1990" i="1"/>
  <c r="H1989" i="1"/>
  <c r="AZ1989" i="1" s="1"/>
  <c r="F1989" i="1"/>
  <c r="H1988" i="1"/>
  <c r="AZ1988" i="1" s="1"/>
  <c r="F1988" i="1"/>
  <c r="H1987" i="1"/>
  <c r="AZ1987" i="1" s="1"/>
  <c r="F1987" i="1"/>
  <c r="H1986" i="1"/>
  <c r="AZ1986" i="1" s="1"/>
  <c r="F1986" i="1"/>
  <c r="H1985" i="1"/>
  <c r="AZ1985" i="1" s="1"/>
  <c r="F1985" i="1"/>
  <c r="H1984" i="1"/>
  <c r="AZ1984" i="1" s="1"/>
  <c r="F1984" i="1"/>
  <c r="H1983" i="1"/>
  <c r="AZ1983" i="1" s="1"/>
  <c r="F1983" i="1"/>
  <c r="H1982" i="1"/>
  <c r="AZ1982" i="1" s="1"/>
  <c r="F1982" i="1"/>
  <c r="H1981" i="1"/>
  <c r="F1981" i="1"/>
  <c r="H1980" i="1"/>
  <c r="F1980" i="1"/>
  <c r="H1978" i="1"/>
  <c r="F1978" i="1"/>
  <c r="H1977" i="1"/>
  <c r="F1977" i="1"/>
  <c r="H1976" i="1"/>
  <c r="F1976" i="1"/>
  <c r="H1975" i="1"/>
  <c r="F1975" i="1"/>
  <c r="H1974" i="1"/>
  <c r="F1974" i="1"/>
  <c r="H1973" i="1"/>
  <c r="F1973" i="1"/>
  <c r="H1972" i="1"/>
  <c r="AZ1972" i="1" s="1"/>
  <c r="F1972" i="1"/>
  <c r="H1971" i="1"/>
  <c r="AZ1971" i="1" s="1"/>
  <c r="F1971" i="1"/>
  <c r="H1970" i="1"/>
  <c r="AZ1970" i="1" s="1"/>
  <c r="F1970" i="1"/>
  <c r="H1969" i="1"/>
  <c r="AZ1969" i="1" s="1"/>
  <c r="F1969" i="1"/>
  <c r="AZ1968" i="1"/>
  <c r="H1967" i="1"/>
  <c r="F1967" i="1"/>
  <c r="H1966" i="1"/>
  <c r="F1966" i="1"/>
  <c r="H1964" i="1"/>
  <c r="F1964" i="1"/>
  <c r="H1963" i="1"/>
  <c r="F1963" i="1"/>
  <c r="H1962" i="1"/>
  <c r="AZ1962" i="1" s="1"/>
  <c r="F1962" i="1"/>
  <c r="H1961" i="1"/>
  <c r="AZ1961" i="1" s="1"/>
  <c r="F1961" i="1"/>
  <c r="H1960" i="1"/>
  <c r="AZ1960" i="1" s="1"/>
  <c r="F1960" i="1"/>
  <c r="H1959" i="1"/>
  <c r="AZ1959" i="1" s="1"/>
  <c r="F1959" i="1"/>
  <c r="H1958" i="1"/>
  <c r="AZ1958" i="1" s="1"/>
  <c r="F1958" i="1"/>
  <c r="H1957" i="1"/>
  <c r="F1957" i="1"/>
  <c r="H1956" i="1"/>
  <c r="F1956" i="1"/>
  <c r="H1955" i="1"/>
  <c r="F1955" i="1"/>
  <c r="H1954" i="1"/>
  <c r="F1954" i="1"/>
  <c r="H1952" i="1"/>
  <c r="F1952" i="1"/>
  <c r="H1951" i="1"/>
  <c r="F1951" i="1"/>
  <c r="H1950" i="1"/>
  <c r="AZ1950" i="1" s="1"/>
  <c r="F1950" i="1"/>
  <c r="H1949" i="1"/>
  <c r="AZ1949" i="1" s="1"/>
  <c r="F1949" i="1"/>
  <c r="H1948" i="1"/>
  <c r="AZ1948" i="1" s="1"/>
  <c r="F1948" i="1"/>
  <c r="AZ1947" i="1"/>
  <c r="H1946" i="1"/>
  <c r="AZ1946" i="1" s="1"/>
  <c r="F1946" i="1"/>
  <c r="H1945" i="1"/>
  <c r="F1945" i="1"/>
  <c r="H1944" i="1"/>
  <c r="F1944" i="1"/>
  <c r="H1943" i="1"/>
  <c r="F1943" i="1"/>
  <c r="H1942" i="1"/>
  <c r="F1942" i="1"/>
  <c r="H1941" i="1"/>
  <c r="F1941" i="1"/>
  <c r="H1940" i="1"/>
  <c r="F1940" i="1"/>
  <c r="H1939" i="1"/>
  <c r="F1939" i="1"/>
  <c r="H1938" i="1"/>
  <c r="F1938" i="1"/>
  <c r="H1937" i="1"/>
  <c r="F1937" i="1"/>
  <c r="H1936" i="1"/>
  <c r="F1936" i="1"/>
  <c r="H1935" i="1"/>
  <c r="F1935" i="1"/>
  <c r="H1934" i="1"/>
  <c r="AZ1934" i="1" s="1"/>
  <c r="F1934" i="1"/>
  <c r="H1933" i="1"/>
  <c r="AZ1933" i="1" s="1"/>
  <c r="F1933" i="1"/>
  <c r="H1932" i="1"/>
  <c r="AZ1932" i="1" s="1"/>
  <c r="F1932" i="1"/>
  <c r="H1931" i="1"/>
  <c r="AZ1931" i="1" s="1"/>
  <c r="F1931" i="1"/>
  <c r="H1930" i="1"/>
  <c r="AZ1930" i="1" s="1"/>
  <c r="F1930" i="1"/>
  <c r="H1929" i="1"/>
  <c r="AZ1929" i="1" s="1"/>
  <c r="F1929" i="1"/>
  <c r="H1928" i="1"/>
  <c r="AZ1928" i="1" s="1"/>
  <c r="F1928" i="1"/>
  <c r="H1927" i="1"/>
  <c r="AZ1927" i="1" s="1"/>
  <c r="F1927" i="1"/>
  <c r="H1926" i="1"/>
  <c r="AZ1926" i="1" s="1"/>
  <c r="F1926" i="1"/>
  <c r="H1925" i="1"/>
  <c r="AZ1925" i="1" s="1"/>
  <c r="F1925" i="1"/>
  <c r="H1924" i="1"/>
  <c r="AZ1924" i="1" s="1"/>
  <c r="F1924" i="1"/>
  <c r="H1923" i="1"/>
  <c r="AZ1923" i="1" s="1"/>
  <c r="F1923" i="1"/>
  <c r="H1922" i="1"/>
  <c r="AZ1922" i="1" s="1"/>
  <c r="F1922" i="1"/>
  <c r="H1921" i="1"/>
  <c r="AZ1921" i="1" s="1"/>
  <c r="F1921" i="1"/>
  <c r="H1920" i="1"/>
  <c r="AZ1920" i="1" s="1"/>
  <c r="F1920" i="1"/>
  <c r="H1919" i="1"/>
  <c r="AZ1919" i="1" s="1"/>
  <c r="F1919" i="1"/>
  <c r="H1918" i="1"/>
  <c r="AZ1918" i="1" s="1"/>
  <c r="F1918" i="1"/>
  <c r="H1917" i="1"/>
  <c r="AZ1917" i="1" s="1"/>
  <c r="F1917" i="1"/>
  <c r="H1916" i="1"/>
  <c r="AZ1916" i="1" s="1"/>
  <c r="F1916" i="1"/>
  <c r="H1915" i="1"/>
  <c r="AZ1915" i="1" s="1"/>
  <c r="F1915" i="1"/>
  <c r="H1914" i="1"/>
  <c r="AZ1914" i="1" s="1"/>
  <c r="F1914" i="1"/>
  <c r="AZ1913" i="1"/>
  <c r="H1912" i="1"/>
  <c r="AZ1912" i="1" s="1"/>
  <c r="F1912" i="1"/>
  <c r="AZ1911" i="1"/>
  <c r="H1910" i="1"/>
  <c r="F1910" i="1"/>
  <c r="H1909" i="1"/>
  <c r="F1909" i="1"/>
  <c r="H1908" i="1"/>
  <c r="F1908" i="1"/>
  <c r="H1907" i="1"/>
  <c r="F1907" i="1"/>
  <c r="H1906" i="1"/>
  <c r="F1906" i="1"/>
  <c r="H1904" i="1"/>
  <c r="F1904" i="1"/>
  <c r="H1903" i="1"/>
  <c r="F1903" i="1"/>
  <c r="H1902" i="1"/>
  <c r="F1902" i="1"/>
  <c r="H1900" i="1"/>
  <c r="AZ1900" i="1" s="1"/>
  <c r="F1900" i="1"/>
  <c r="H1899" i="1"/>
  <c r="AZ1899" i="1" s="1"/>
  <c r="F1899" i="1"/>
  <c r="H1898" i="1"/>
  <c r="AZ1898" i="1" s="1"/>
  <c r="F1898" i="1"/>
  <c r="H1897" i="1"/>
  <c r="F1897" i="1"/>
  <c r="H1896" i="1"/>
  <c r="F1896" i="1"/>
  <c r="H1895" i="1"/>
  <c r="F1895" i="1"/>
  <c r="H1894" i="1"/>
  <c r="F1894" i="1"/>
  <c r="H1893" i="1"/>
  <c r="F1893" i="1"/>
  <c r="H1892" i="1"/>
  <c r="AZ1892" i="1" s="1"/>
  <c r="F1892" i="1"/>
  <c r="AZ1891" i="1"/>
  <c r="H1890" i="1"/>
  <c r="AZ1890" i="1" s="1"/>
  <c r="F1890" i="1"/>
  <c r="H1889" i="1"/>
  <c r="AZ1889" i="1" s="1"/>
  <c r="F1889" i="1"/>
  <c r="H1888" i="1"/>
  <c r="AZ1888" i="1" s="1"/>
  <c r="F1888" i="1"/>
  <c r="H1887" i="1"/>
  <c r="F1887" i="1"/>
  <c r="H1886" i="1"/>
  <c r="F1886" i="1"/>
  <c r="H1885" i="1"/>
  <c r="F1885" i="1"/>
  <c r="H1884" i="1"/>
  <c r="F1884" i="1"/>
  <c r="H1883" i="1"/>
  <c r="F1883" i="1"/>
  <c r="H1881" i="1"/>
  <c r="F1881" i="1"/>
  <c r="H1880" i="1"/>
  <c r="F1880" i="1"/>
  <c r="H1879" i="1"/>
  <c r="AZ1879" i="1" s="1"/>
  <c r="F1879" i="1"/>
  <c r="H1878" i="1"/>
  <c r="AZ1878" i="1" s="1"/>
  <c r="F1878" i="1"/>
  <c r="H1877" i="1"/>
  <c r="AZ1877" i="1" s="1"/>
  <c r="F1877" i="1"/>
  <c r="H1876" i="1"/>
  <c r="AZ1876" i="1" s="1"/>
  <c r="F1876" i="1"/>
  <c r="H1875" i="1"/>
  <c r="AZ1875" i="1" s="1"/>
  <c r="F1875" i="1"/>
  <c r="H1874" i="1"/>
  <c r="F1874" i="1"/>
  <c r="H1873" i="1"/>
  <c r="F1873" i="1"/>
  <c r="H1872" i="1"/>
  <c r="F1872" i="1"/>
  <c r="H1871" i="1"/>
  <c r="F1871" i="1"/>
  <c r="H1870" i="1"/>
  <c r="F1870" i="1"/>
  <c r="H1869" i="1"/>
  <c r="F1869" i="1"/>
  <c r="H1868" i="1"/>
  <c r="F1868" i="1"/>
  <c r="H1867" i="1"/>
  <c r="F1867" i="1"/>
  <c r="H1866" i="1"/>
  <c r="F1866" i="1"/>
  <c r="H1865" i="1"/>
  <c r="F1865" i="1"/>
  <c r="H1864" i="1"/>
  <c r="F1864" i="1"/>
  <c r="H1863" i="1"/>
  <c r="F1863" i="1"/>
  <c r="H1862" i="1"/>
  <c r="AZ1862" i="1" s="1"/>
  <c r="F1862" i="1"/>
  <c r="H1861" i="1"/>
  <c r="AZ1861" i="1" s="1"/>
  <c r="F1861" i="1"/>
  <c r="H1860" i="1"/>
  <c r="AZ1860" i="1" s="1"/>
  <c r="F1860" i="1"/>
  <c r="H1859" i="1"/>
  <c r="AZ1859" i="1" s="1"/>
  <c r="F1859" i="1"/>
  <c r="H1858" i="1"/>
  <c r="AZ1858" i="1" s="1"/>
  <c r="F1858" i="1"/>
  <c r="H1856" i="1"/>
  <c r="F1856" i="1"/>
  <c r="H1855" i="1"/>
  <c r="F1855" i="1"/>
  <c r="H1854" i="1"/>
  <c r="F1854" i="1"/>
  <c r="H1853" i="1"/>
  <c r="F1853" i="1"/>
  <c r="H1852" i="1"/>
  <c r="F1852" i="1"/>
  <c r="H1851" i="1"/>
  <c r="F1851" i="1"/>
  <c r="H1850" i="1"/>
  <c r="AZ1850" i="1" s="1"/>
  <c r="F1850" i="1"/>
  <c r="H1849" i="1"/>
  <c r="AZ1849" i="1" s="1"/>
  <c r="F1849" i="1"/>
  <c r="H1848" i="1"/>
  <c r="AZ1848" i="1" s="1"/>
  <c r="F1848" i="1"/>
  <c r="H1847" i="1"/>
  <c r="AZ1847" i="1" s="1"/>
  <c r="F1847" i="1"/>
  <c r="H1846" i="1"/>
  <c r="AZ1846" i="1" s="1"/>
  <c r="F1846" i="1"/>
  <c r="H1845" i="1"/>
  <c r="F1845" i="1"/>
  <c r="H1844" i="1"/>
  <c r="F1844" i="1"/>
  <c r="H1843" i="1"/>
  <c r="F1843" i="1"/>
  <c r="H1842" i="1"/>
  <c r="F1842" i="1"/>
  <c r="H1841" i="1"/>
  <c r="F1841" i="1"/>
  <c r="H1840" i="1"/>
  <c r="AZ1840" i="1" s="1"/>
  <c r="F1840" i="1"/>
  <c r="H1839" i="1"/>
  <c r="AZ1839" i="1" s="1"/>
  <c r="F1839" i="1"/>
  <c r="H1838" i="1"/>
  <c r="AZ1838" i="1" s="1"/>
  <c r="F1838" i="1"/>
  <c r="H1837" i="1"/>
  <c r="AZ1837" i="1" s="1"/>
  <c r="F1837" i="1"/>
  <c r="H1836" i="1"/>
  <c r="AZ1836" i="1" s="1"/>
  <c r="F1836" i="1"/>
  <c r="H1834" i="1"/>
  <c r="F1834" i="1"/>
  <c r="H1833" i="1"/>
  <c r="F1833" i="1"/>
  <c r="H1832" i="1"/>
  <c r="F1832" i="1"/>
  <c r="H1831" i="1"/>
  <c r="F1831" i="1"/>
  <c r="H1830" i="1"/>
  <c r="F1830" i="1"/>
  <c r="H1829" i="1"/>
  <c r="F1829" i="1"/>
  <c r="H1828" i="1"/>
  <c r="AZ1828" i="1" s="1"/>
  <c r="F1828" i="1"/>
  <c r="H1827" i="1"/>
  <c r="AZ1827" i="1" s="1"/>
  <c r="F1827" i="1"/>
  <c r="H1826" i="1"/>
  <c r="AZ1826" i="1" s="1"/>
  <c r="F1826" i="1"/>
  <c r="H1825" i="1"/>
  <c r="AZ1825" i="1" s="1"/>
  <c r="F1825" i="1"/>
  <c r="H1824" i="1"/>
  <c r="AZ1824" i="1" s="1"/>
  <c r="F1824" i="1"/>
  <c r="H1823" i="1"/>
  <c r="F1823" i="1"/>
  <c r="H1822" i="1"/>
  <c r="F1822" i="1"/>
  <c r="H1821" i="1"/>
  <c r="F1821" i="1"/>
  <c r="H1820" i="1"/>
  <c r="F1820" i="1"/>
  <c r="H1819" i="1"/>
  <c r="AZ1819" i="1" s="1"/>
  <c r="F1819" i="1"/>
  <c r="H1818" i="1"/>
  <c r="AZ1818" i="1" s="1"/>
  <c r="F1818" i="1"/>
  <c r="H1817" i="1"/>
  <c r="AZ1817" i="1" s="1"/>
  <c r="F1817" i="1"/>
  <c r="H1816" i="1"/>
  <c r="AZ1816" i="1" s="1"/>
  <c r="F1816" i="1"/>
  <c r="H1815" i="1"/>
  <c r="AZ1815" i="1" s="1"/>
  <c r="F1815" i="1"/>
  <c r="H1814" i="1"/>
  <c r="AZ1814" i="1" s="1"/>
  <c r="F1814" i="1"/>
  <c r="H1813" i="1"/>
  <c r="AZ1813" i="1" s="1"/>
  <c r="F1813" i="1"/>
  <c r="H1812" i="1"/>
  <c r="AZ1812" i="1" s="1"/>
  <c r="F1812" i="1"/>
  <c r="H1811" i="1"/>
  <c r="AZ1811" i="1" s="1"/>
  <c r="F1811" i="1"/>
  <c r="H1810" i="1"/>
  <c r="AZ1810" i="1" s="1"/>
  <c r="F1810" i="1"/>
  <c r="H1809" i="1"/>
  <c r="AZ1809" i="1" s="1"/>
  <c r="F1809" i="1"/>
  <c r="H1808" i="1"/>
  <c r="AZ1808" i="1" s="1"/>
  <c r="F1808" i="1"/>
  <c r="H1807" i="1"/>
  <c r="AZ1807" i="1" s="1"/>
  <c r="F1807" i="1"/>
  <c r="AZ1806" i="1"/>
  <c r="H1805" i="1"/>
  <c r="AZ1805" i="1" s="1"/>
  <c r="F1805" i="1"/>
  <c r="H1804" i="1"/>
  <c r="AZ1804" i="1" s="1"/>
  <c r="F1804" i="1"/>
  <c r="H1803" i="1"/>
  <c r="AZ1803" i="1" s="1"/>
  <c r="F1803" i="1"/>
  <c r="H1802" i="1"/>
  <c r="AZ1802" i="1" s="1"/>
  <c r="F1802" i="1"/>
  <c r="H1801" i="1"/>
  <c r="AZ1801" i="1" s="1"/>
  <c r="F1801" i="1"/>
  <c r="AZ1800" i="1"/>
  <c r="H1799" i="1"/>
  <c r="AZ1799" i="1" s="1"/>
  <c r="F1799" i="1"/>
  <c r="H1798" i="1"/>
  <c r="AZ1798" i="1" s="1"/>
  <c r="F1798" i="1"/>
  <c r="H1797" i="1"/>
  <c r="AZ1797" i="1" s="1"/>
  <c r="F1797" i="1"/>
  <c r="H1796" i="1"/>
  <c r="AZ1796" i="1" s="1"/>
  <c r="F1796" i="1"/>
  <c r="H1795" i="1"/>
  <c r="AZ1795" i="1" s="1"/>
  <c r="F1795" i="1"/>
  <c r="H1794" i="1"/>
  <c r="AZ1794" i="1" s="1"/>
  <c r="F1794" i="1"/>
  <c r="H1793" i="1"/>
  <c r="AZ1793" i="1" s="1"/>
  <c r="F1793" i="1"/>
  <c r="AZ1792" i="1"/>
  <c r="H1791" i="1"/>
  <c r="AZ1791" i="1" s="1"/>
  <c r="F1791" i="1"/>
  <c r="H1790" i="1"/>
  <c r="AZ1790" i="1" s="1"/>
  <c r="F1790" i="1"/>
  <c r="H1789" i="1"/>
  <c r="AZ1789" i="1" s="1"/>
  <c r="F1789" i="1"/>
  <c r="AZ1788" i="1"/>
  <c r="H1787" i="1"/>
  <c r="AZ1787" i="1" s="1"/>
  <c r="F1787" i="1"/>
  <c r="H1786" i="1"/>
  <c r="AZ1786" i="1" s="1"/>
  <c r="F1786" i="1"/>
  <c r="H1785" i="1"/>
  <c r="AZ1785" i="1" s="1"/>
  <c r="F1785" i="1"/>
  <c r="H1784" i="1"/>
  <c r="AZ1784" i="1" s="1"/>
  <c r="F1784" i="1"/>
  <c r="AZ1783" i="1"/>
  <c r="H1782" i="1"/>
  <c r="AZ1782" i="1" s="1"/>
  <c r="F1782" i="1"/>
  <c r="H1781" i="1"/>
  <c r="AZ1781" i="1" s="1"/>
  <c r="F1781" i="1"/>
  <c r="H1780" i="1"/>
  <c r="AZ1780" i="1" s="1"/>
  <c r="F1780" i="1"/>
  <c r="H1779" i="1"/>
  <c r="AZ1779" i="1" s="1"/>
  <c r="F1779" i="1"/>
  <c r="H1778" i="1"/>
  <c r="AZ1778" i="1" s="1"/>
  <c r="F1778" i="1"/>
  <c r="H1777" i="1"/>
  <c r="F1777" i="1"/>
  <c r="H1776" i="1"/>
  <c r="F1776" i="1"/>
  <c r="H1775" i="1"/>
  <c r="F1775" i="1"/>
  <c r="H1774" i="1"/>
  <c r="F1774" i="1"/>
  <c r="H1772" i="1"/>
  <c r="F1772" i="1"/>
  <c r="H1771" i="1"/>
  <c r="F1771" i="1"/>
  <c r="H1770" i="1"/>
  <c r="F1770" i="1"/>
  <c r="H1769" i="1"/>
  <c r="F1769" i="1"/>
  <c r="AZ1768" i="1"/>
  <c r="H1767" i="1"/>
  <c r="AZ1767" i="1" s="1"/>
  <c r="F1767" i="1"/>
  <c r="H1766" i="1"/>
  <c r="AZ1766" i="1" s="1"/>
  <c r="F1766" i="1"/>
  <c r="H1765" i="1"/>
  <c r="AZ1765" i="1" s="1"/>
  <c r="F1765" i="1"/>
  <c r="H1764" i="1"/>
  <c r="AZ1764" i="1" s="1"/>
  <c r="F1764" i="1"/>
  <c r="H1763" i="1"/>
  <c r="F1763" i="1"/>
  <c r="H1762" i="1"/>
  <c r="F1762" i="1"/>
  <c r="H1760" i="1"/>
  <c r="F1760" i="1"/>
  <c r="H1759" i="1"/>
  <c r="F1759" i="1"/>
  <c r="H1758" i="1"/>
  <c r="AZ1758" i="1" s="1"/>
  <c r="F1758" i="1"/>
  <c r="H1757" i="1"/>
  <c r="AZ1757" i="1" s="1"/>
  <c r="F1757" i="1"/>
  <c r="H1756" i="1"/>
  <c r="AZ1756" i="1" s="1"/>
  <c r="F1756" i="1"/>
  <c r="H1755" i="1"/>
  <c r="AZ1755" i="1" s="1"/>
  <c r="F1755" i="1"/>
  <c r="H1754" i="1"/>
  <c r="AZ1754" i="1" s="1"/>
  <c r="F1754" i="1"/>
  <c r="H1753" i="1"/>
  <c r="F1753" i="1"/>
  <c r="H1752" i="1"/>
  <c r="F1752" i="1"/>
  <c r="H1751" i="1"/>
  <c r="F1751" i="1"/>
  <c r="H1750" i="1"/>
  <c r="F1750" i="1"/>
  <c r="H1749" i="1"/>
  <c r="F1749" i="1"/>
  <c r="H1747" i="1"/>
  <c r="F1747" i="1"/>
  <c r="H1746" i="1"/>
  <c r="AZ1746" i="1" s="1"/>
  <c r="F1746" i="1"/>
  <c r="H1745" i="1"/>
  <c r="AZ1745" i="1" s="1"/>
  <c r="F1745" i="1"/>
  <c r="H1744" i="1"/>
  <c r="AZ1744" i="1" s="1"/>
  <c r="F1744" i="1"/>
  <c r="H1743" i="1"/>
  <c r="AZ1743" i="1" s="1"/>
  <c r="F1743" i="1"/>
  <c r="AZ1742" i="1"/>
  <c r="H1741" i="1"/>
  <c r="F1741" i="1"/>
  <c r="H1740" i="1"/>
  <c r="F1740" i="1"/>
  <c r="H1739" i="1"/>
  <c r="F1739" i="1"/>
  <c r="H1738" i="1"/>
  <c r="F1738" i="1"/>
  <c r="H1737" i="1"/>
  <c r="F1737" i="1"/>
  <c r="H1736" i="1"/>
  <c r="F1736" i="1"/>
  <c r="H1735" i="1"/>
  <c r="F1735" i="1"/>
  <c r="H1734" i="1"/>
  <c r="F1734" i="1"/>
  <c r="H1733" i="1"/>
  <c r="F1733" i="1"/>
  <c r="H1732" i="1"/>
  <c r="F1732" i="1"/>
  <c r="H1731" i="1"/>
  <c r="F1731" i="1"/>
  <c r="H1730" i="1"/>
  <c r="AZ1730" i="1" s="1"/>
  <c r="F1730" i="1"/>
  <c r="H1729" i="1"/>
  <c r="AZ1729" i="1" s="1"/>
  <c r="F1729" i="1"/>
  <c r="H1728" i="1"/>
  <c r="AZ1728" i="1" s="1"/>
  <c r="F1728" i="1"/>
  <c r="H1727" i="1"/>
  <c r="AZ1727" i="1" s="1"/>
  <c r="F1727" i="1"/>
  <c r="H1726" i="1"/>
  <c r="AZ1726" i="1" s="1"/>
  <c r="F1726" i="1"/>
  <c r="H1725" i="1"/>
  <c r="AZ1725" i="1" s="1"/>
  <c r="F1725" i="1"/>
  <c r="H1724" i="1"/>
  <c r="AZ1724" i="1" s="1"/>
  <c r="F1724" i="1"/>
  <c r="H1723" i="1"/>
  <c r="AZ1723" i="1" s="1"/>
  <c r="F1723" i="1"/>
  <c r="H1722" i="1"/>
  <c r="AZ1722" i="1" s="1"/>
  <c r="F1722" i="1"/>
  <c r="H1721" i="1"/>
  <c r="AZ1721" i="1" s="1"/>
  <c r="F1721" i="1"/>
  <c r="AZ1720" i="1"/>
  <c r="H1719" i="1"/>
  <c r="AZ1719" i="1" s="1"/>
  <c r="F1719" i="1"/>
  <c r="H1718" i="1"/>
  <c r="AZ1718" i="1" s="1"/>
  <c r="F1718" i="1"/>
  <c r="H1717" i="1"/>
  <c r="AZ1717" i="1" s="1"/>
  <c r="F1717" i="1"/>
  <c r="H1716" i="1"/>
  <c r="AZ1716" i="1" s="1"/>
  <c r="F1716" i="1"/>
  <c r="H1715" i="1"/>
  <c r="AZ1715" i="1" s="1"/>
  <c r="F1715" i="1"/>
  <c r="H1714" i="1"/>
  <c r="AZ1714" i="1" s="1"/>
  <c r="F1714" i="1"/>
  <c r="H1713" i="1"/>
  <c r="AZ1713" i="1" s="1"/>
  <c r="F1713" i="1"/>
  <c r="H1712" i="1"/>
  <c r="AZ1712" i="1" s="1"/>
  <c r="F1712" i="1"/>
  <c r="H1711" i="1"/>
  <c r="AZ1711" i="1" s="1"/>
  <c r="F1711" i="1"/>
  <c r="H1710" i="1"/>
  <c r="AZ1710" i="1" s="1"/>
  <c r="F1710" i="1"/>
  <c r="H1709" i="1"/>
  <c r="AZ1709" i="1" s="1"/>
  <c r="F1709" i="1"/>
  <c r="H1708" i="1"/>
  <c r="AZ1708" i="1" s="1"/>
  <c r="F1708" i="1"/>
  <c r="H1707" i="1"/>
  <c r="AZ1707" i="1" s="1"/>
  <c r="F1707" i="1"/>
  <c r="H1706" i="1"/>
  <c r="F1706" i="1"/>
  <c r="H1705" i="1"/>
  <c r="F1705" i="1"/>
  <c r="H1704" i="1"/>
  <c r="F1704" i="1"/>
  <c r="H1703" i="1"/>
  <c r="F1703" i="1"/>
  <c r="H1702" i="1"/>
  <c r="F1702" i="1"/>
  <c r="H1701" i="1"/>
  <c r="F1701" i="1"/>
  <c r="H1700" i="1"/>
  <c r="F1700" i="1"/>
  <c r="H1699" i="1"/>
  <c r="F1699" i="1"/>
  <c r="H1698" i="1"/>
  <c r="F1698" i="1"/>
  <c r="H1697" i="1"/>
  <c r="F1697" i="1"/>
  <c r="H1696" i="1"/>
  <c r="AZ1696" i="1" s="1"/>
  <c r="F1696" i="1"/>
  <c r="H1695" i="1"/>
  <c r="AZ1695" i="1" s="1"/>
  <c r="F1695" i="1"/>
  <c r="H1694" i="1"/>
  <c r="AZ1694" i="1" s="1"/>
  <c r="F1694" i="1"/>
  <c r="H1693" i="1"/>
  <c r="F1693" i="1"/>
  <c r="H1692" i="1"/>
  <c r="F1692" i="1"/>
  <c r="H1691" i="1"/>
  <c r="F1691" i="1"/>
  <c r="H1690" i="1"/>
  <c r="F1690" i="1"/>
  <c r="H1689" i="1"/>
  <c r="F1689" i="1"/>
  <c r="H1688" i="1"/>
  <c r="AZ1688" i="1" s="1"/>
  <c r="F1688" i="1"/>
  <c r="H1687" i="1"/>
  <c r="AZ1687" i="1" s="1"/>
  <c r="F1687" i="1"/>
  <c r="H1686" i="1"/>
  <c r="AZ1686" i="1" s="1"/>
  <c r="F1686" i="1"/>
  <c r="H1685" i="1"/>
  <c r="AZ1685" i="1" s="1"/>
  <c r="F1685" i="1"/>
  <c r="H1684" i="1"/>
  <c r="AZ1684" i="1" s="1"/>
  <c r="F1684" i="1"/>
  <c r="H1682" i="1"/>
  <c r="F1682" i="1"/>
  <c r="H1681" i="1"/>
  <c r="F1681" i="1"/>
  <c r="H1680" i="1"/>
  <c r="F1680" i="1"/>
  <c r="H1679" i="1"/>
  <c r="F1679" i="1"/>
  <c r="H1678" i="1"/>
  <c r="F1678" i="1"/>
  <c r="H1677" i="1"/>
  <c r="F1677" i="1"/>
  <c r="H1676" i="1"/>
  <c r="F1676" i="1"/>
  <c r="H1675" i="1"/>
  <c r="AZ1675" i="1" s="1"/>
  <c r="F1675" i="1"/>
  <c r="H1674" i="1"/>
  <c r="AZ1674" i="1" s="1"/>
  <c r="F1674" i="1"/>
  <c r="H1673" i="1"/>
  <c r="AZ1673" i="1" s="1"/>
  <c r="F1673" i="1"/>
  <c r="H1672" i="1"/>
  <c r="AZ1672" i="1" s="1"/>
  <c r="F1672" i="1"/>
  <c r="H1671" i="1"/>
  <c r="AZ1671" i="1" s="1"/>
  <c r="F1671" i="1"/>
  <c r="H1670" i="1"/>
  <c r="F1670" i="1"/>
  <c r="H1669" i="1"/>
  <c r="F1669" i="1"/>
  <c r="H1668" i="1"/>
  <c r="F1668" i="1"/>
  <c r="H1667" i="1"/>
  <c r="F1667" i="1"/>
  <c r="H1666" i="1"/>
  <c r="F1666" i="1"/>
  <c r="H1665" i="1"/>
  <c r="F1665" i="1"/>
  <c r="H1664" i="1"/>
  <c r="F1664" i="1"/>
  <c r="H1663" i="1"/>
  <c r="F1663" i="1"/>
  <c r="H1662" i="1"/>
  <c r="F1662" i="1"/>
  <c r="H1660" i="1"/>
  <c r="F1660" i="1"/>
  <c r="H1659" i="1"/>
  <c r="F1659" i="1"/>
  <c r="H1658" i="1"/>
  <c r="AZ1658" i="1" s="1"/>
  <c r="F1658" i="1"/>
  <c r="H1657" i="1"/>
  <c r="AZ1657" i="1" s="1"/>
  <c r="F1657" i="1"/>
  <c r="H1656" i="1"/>
  <c r="F1656" i="1"/>
  <c r="H1655" i="1"/>
  <c r="F1655" i="1"/>
  <c r="H1654" i="1"/>
  <c r="F1654" i="1"/>
  <c r="H1653" i="1"/>
  <c r="F1653" i="1"/>
  <c r="H1652" i="1"/>
  <c r="F1652" i="1"/>
  <c r="H1651" i="1"/>
  <c r="F1651" i="1"/>
  <c r="H1650" i="1"/>
  <c r="F1650" i="1"/>
  <c r="H1649" i="1"/>
  <c r="AZ1649" i="1" s="1"/>
  <c r="F1649" i="1"/>
  <c r="H1648" i="1"/>
  <c r="AZ1648" i="1" s="1"/>
  <c r="F1648" i="1"/>
  <c r="H1647" i="1"/>
  <c r="AZ1647" i="1" s="1"/>
  <c r="F1647" i="1"/>
  <c r="H1646" i="1"/>
  <c r="AZ1646" i="1" s="1"/>
  <c r="F1646" i="1"/>
  <c r="H1645" i="1"/>
  <c r="AZ1645" i="1" s="1"/>
  <c r="F1645" i="1"/>
  <c r="H1644" i="1"/>
  <c r="F1644" i="1"/>
  <c r="H1643" i="1"/>
  <c r="F1643" i="1"/>
  <c r="H1642" i="1"/>
  <c r="F1642" i="1"/>
  <c r="H1641" i="1"/>
  <c r="F1641" i="1"/>
  <c r="H1640" i="1"/>
  <c r="F1640" i="1"/>
  <c r="H1639" i="1"/>
  <c r="AZ1639" i="1" s="1"/>
  <c r="F1639" i="1"/>
  <c r="H1638" i="1"/>
  <c r="AZ1638" i="1" s="1"/>
  <c r="F1638" i="1"/>
  <c r="H1637" i="1"/>
  <c r="AZ1637" i="1" s="1"/>
  <c r="F1637" i="1"/>
  <c r="H1636" i="1"/>
  <c r="AZ1636" i="1" s="1"/>
  <c r="F1636" i="1"/>
  <c r="H1635" i="1"/>
  <c r="AZ1635" i="1" s="1"/>
  <c r="F1635" i="1"/>
  <c r="H1634" i="1"/>
  <c r="F1634" i="1"/>
  <c r="H1633" i="1"/>
  <c r="F1633" i="1"/>
  <c r="H1632" i="1"/>
  <c r="F1632" i="1"/>
  <c r="H1631" i="1"/>
  <c r="F1631" i="1"/>
  <c r="H1630" i="1"/>
  <c r="F1630" i="1"/>
  <c r="H1629" i="1"/>
  <c r="F1629" i="1"/>
  <c r="H1628" i="1"/>
  <c r="F1628" i="1"/>
  <c r="H1627" i="1"/>
  <c r="AZ1627" i="1" s="1"/>
  <c r="F1627" i="1"/>
  <c r="H1626" i="1"/>
  <c r="AZ1626" i="1" s="1"/>
  <c r="F1626" i="1"/>
  <c r="H1625" i="1"/>
  <c r="AZ1625" i="1" s="1"/>
  <c r="F1625" i="1"/>
  <c r="AZ1624" i="1"/>
  <c r="H1623" i="1"/>
  <c r="AZ1623" i="1" s="1"/>
  <c r="F1623" i="1"/>
  <c r="H1622" i="1"/>
  <c r="F1622" i="1"/>
  <c r="H1621" i="1"/>
  <c r="F1621" i="1"/>
  <c r="H1620" i="1"/>
  <c r="F1620" i="1"/>
  <c r="H1619" i="1"/>
  <c r="F1619" i="1"/>
  <c r="H1618" i="1"/>
  <c r="AZ1618" i="1" s="1"/>
  <c r="F1618" i="1"/>
  <c r="AZ1617" i="1"/>
  <c r="H1616" i="1"/>
  <c r="AZ1616" i="1" s="1"/>
  <c r="F1616" i="1"/>
  <c r="H1615" i="1"/>
  <c r="AZ1615" i="1" s="1"/>
  <c r="F1615" i="1"/>
  <c r="H1614" i="1"/>
  <c r="AZ1614" i="1" s="1"/>
  <c r="F1614" i="1"/>
  <c r="H1613" i="1"/>
  <c r="AZ1613" i="1" s="1"/>
  <c r="F1613" i="1"/>
  <c r="H1612" i="1"/>
  <c r="AZ1612" i="1" s="1"/>
  <c r="F1612" i="1"/>
  <c r="H1611" i="1"/>
  <c r="AZ1611" i="1" s="1"/>
  <c r="F1611" i="1"/>
  <c r="H1610" i="1"/>
  <c r="AZ1610" i="1" s="1"/>
  <c r="F1610" i="1"/>
  <c r="H1609" i="1"/>
  <c r="AZ1609" i="1" s="1"/>
  <c r="F1609" i="1"/>
  <c r="H1608" i="1"/>
  <c r="AZ1608" i="1" s="1"/>
  <c r="F1608" i="1"/>
  <c r="H1607" i="1"/>
  <c r="AZ1607" i="1" s="1"/>
  <c r="F1607" i="1"/>
  <c r="H1606" i="1"/>
  <c r="AZ1606" i="1" s="1"/>
  <c r="F1606" i="1"/>
  <c r="H1605" i="1"/>
  <c r="AZ1605" i="1" s="1"/>
  <c r="F1605" i="1"/>
  <c r="H1604" i="1"/>
  <c r="AZ1604" i="1" s="1"/>
  <c r="F1604" i="1"/>
  <c r="H1603" i="1"/>
  <c r="AZ1603" i="1" s="1"/>
  <c r="F1603" i="1"/>
  <c r="H1602" i="1"/>
  <c r="AZ1602" i="1" s="1"/>
  <c r="F1602" i="1"/>
  <c r="H1601" i="1"/>
  <c r="AZ1601" i="1" s="1"/>
  <c r="F1601" i="1"/>
  <c r="H1600" i="1"/>
  <c r="AZ1600" i="1" s="1"/>
  <c r="F1600" i="1"/>
  <c r="H1599" i="1"/>
  <c r="AZ1599" i="1" s="1"/>
  <c r="F1599" i="1"/>
  <c r="H1598" i="1"/>
  <c r="AZ1598" i="1" s="1"/>
  <c r="F1598" i="1"/>
  <c r="H1597" i="1"/>
  <c r="AZ1597" i="1" s="1"/>
  <c r="F1597" i="1"/>
  <c r="H1596" i="1"/>
  <c r="AZ1596" i="1" s="1"/>
  <c r="F1596" i="1"/>
  <c r="H1595" i="1"/>
  <c r="AZ1595" i="1" s="1"/>
  <c r="F1595" i="1"/>
  <c r="H1594" i="1"/>
  <c r="AZ1594" i="1" s="1"/>
  <c r="F1594" i="1"/>
  <c r="H1593" i="1"/>
  <c r="AZ1593" i="1" s="1"/>
  <c r="F1593" i="1"/>
  <c r="H1592" i="1"/>
  <c r="AZ1592" i="1" s="1"/>
  <c r="F1592" i="1"/>
  <c r="H1591" i="1"/>
  <c r="AZ1591" i="1" s="1"/>
  <c r="F1591" i="1"/>
  <c r="H1590" i="1"/>
  <c r="AZ1590" i="1" s="1"/>
  <c r="F1590" i="1"/>
  <c r="H1589" i="1"/>
  <c r="AZ1589" i="1" s="1"/>
  <c r="F1589" i="1"/>
  <c r="H1588" i="1"/>
  <c r="AZ1588" i="1" s="1"/>
  <c r="F1588" i="1"/>
  <c r="H1587" i="1"/>
  <c r="AZ1587" i="1" s="1"/>
  <c r="F1587" i="1"/>
  <c r="H1586" i="1"/>
  <c r="AZ1586" i="1" s="1"/>
  <c r="F1586" i="1"/>
  <c r="H1585" i="1"/>
  <c r="AZ1585" i="1" s="1"/>
  <c r="F1585" i="1"/>
  <c r="H1584" i="1"/>
  <c r="AZ1584" i="1" s="1"/>
  <c r="F1584" i="1"/>
  <c r="H1583" i="1"/>
  <c r="AZ1583" i="1" s="1"/>
  <c r="F1583" i="1"/>
  <c r="H1582" i="1"/>
  <c r="AZ1582" i="1" s="1"/>
  <c r="F1582" i="1"/>
  <c r="H1581" i="1"/>
  <c r="AZ1581" i="1" s="1"/>
  <c r="F1581" i="1"/>
  <c r="H1580" i="1"/>
  <c r="AZ1580" i="1" s="1"/>
  <c r="F1580" i="1"/>
  <c r="AZ1579" i="1"/>
  <c r="H1578" i="1"/>
  <c r="AZ1578" i="1" s="1"/>
  <c r="F1578" i="1"/>
  <c r="H1577" i="1"/>
  <c r="AZ1577" i="1" s="1"/>
  <c r="F1577" i="1"/>
  <c r="H1576" i="1"/>
  <c r="F1576" i="1"/>
  <c r="H1575" i="1"/>
  <c r="F1575" i="1"/>
  <c r="H1574" i="1"/>
  <c r="F1574" i="1"/>
  <c r="H1573" i="1"/>
  <c r="F1573" i="1"/>
  <c r="H1571" i="1"/>
  <c r="F1571" i="1"/>
  <c r="H1570" i="1"/>
  <c r="F1570" i="1"/>
  <c r="H1569" i="1"/>
  <c r="F1569" i="1"/>
  <c r="H1568" i="1"/>
  <c r="F1568" i="1"/>
  <c r="H1567" i="1"/>
  <c r="AZ1567" i="1" s="1"/>
  <c r="F1567" i="1"/>
  <c r="H1566" i="1"/>
  <c r="AZ1566" i="1" s="1"/>
  <c r="F1566" i="1"/>
  <c r="H1565" i="1"/>
  <c r="AZ1565" i="1" s="1"/>
  <c r="F1565" i="1"/>
  <c r="H1564" i="1"/>
  <c r="AZ1564" i="1" s="1"/>
  <c r="F1564" i="1"/>
  <c r="H1563" i="1"/>
  <c r="AZ1563" i="1" s="1"/>
  <c r="F1563" i="1"/>
  <c r="H1562" i="1"/>
  <c r="F1562" i="1"/>
  <c r="H1561" i="1"/>
  <c r="F1561" i="1"/>
  <c r="H1560" i="1"/>
  <c r="F1560" i="1"/>
  <c r="H1559" i="1"/>
  <c r="F1559" i="1"/>
  <c r="H1558" i="1"/>
  <c r="F1558" i="1"/>
  <c r="H1557" i="1"/>
  <c r="AZ1557" i="1" s="1"/>
  <c r="F1557" i="1"/>
  <c r="H1556" i="1"/>
  <c r="AZ1556" i="1" s="1"/>
  <c r="F1556" i="1"/>
  <c r="H1555" i="1"/>
  <c r="AZ1555" i="1" s="1"/>
  <c r="F1555" i="1"/>
  <c r="H1554" i="1"/>
  <c r="AZ1554" i="1" s="1"/>
  <c r="F1554" i="1"/>
  <c r="H1553" i="1"/>
  <c r="AZ1553" i="1" s="1"/>
  <c r="F1553" i="1"/>
  <c r="H1552" i="1"/>
  <c r="F1552" i="1"/>
  <c r="H1551" i="1"/>
  <c r="F1551" i="1"/>
  <c r="H1550" i="1"/>
  <c r="F1550" i="1"/>
  <c r="H1549" i="1"/>
  <c r="F1549" i="1"/>
  <c r="H1548" i="1"/>
  <c r="F1548" i="1"/>
  <c r="H1547" i="1"/>
  <c r="F1547" i="1"/>
  <c r="H1546" i="1"/>
  <c r="F1546" i="1"/>
  <c r="H1545" i="1"/>
  <c r="AZ1545" i="1" s="1"/>
  <c r="F1545" i="1"/>
  <c r="H1544" i="1"/>
  <c r="AZ1544" i="1" s="1"/>
  <c r="F1544" i="1"/>
  <c r="H1543" i="1"/>
  <c r="AZ1543" i="1" s="1"/>
  <c r="F1543" i="1"/>
  <c r="H1542" i="1"/>
  <c r="AZ1542" i="1" s="1"/>
  <c r="F1542" i="1"/>
  <c r="H1541" i="1"/>
  <c r="AZ1541" i="1" s="1"/>
  <c r="F1541" i="1"/>
  <c r="H1540" i="1"/>
  <c r="F1540" i="1"/>
  <c r="H1539" i="1"/>
  <c r="F1539" i="1"/>
  <c r="H1538" i="1"/>
  <c r="F1538" i="1"/>
  <c r="H1537" i="1"/>
  <c r="F1537" i="1"/>
  <c r="H1536" i="1"/>
  <c r="F1536" i="1"/>
  <c r="H1535" i="1"/>
  <c r="F1535" i="1"/>
  <c r="H1533" i="1"/>
  <c r="F1533" i="1"/>
  <c r="H1532" i="1"/>
  <c r="F1532" i="1"/>
  <c r="H1531" i="1"/>
  <c r="F1531" i="1"/>
  <c r="H1530" i="1"/>
  <c r="F1530" i="1"/>
  <c r="H1529" i="1"/>
  <c r="AZ1529" i="1" s="1"/>
  <c r="F1529" i="1"/>
  <c r="H1528" i="1"/>
  <c r="AZ1528" i="1" s="1"/>
  <c r="F1528" i="1"/>
  <c r="H1527" i="1"/>
  <c r="AZ1527" i="1" s="1"/>
  <c r="F1527" i="1"/>
  <c r="H1526" i="1"/>
  <c r="AZ1526" i="1" s="1"/>
  <c r="F1526" i="1"/>
  <c r="H1525" i="1"/>
  <c r="AZ1525" i="1" s="1"/>
  <c r="F1525" i="1"/>
  <c r="H1524" i="1"/>
  <c r="AZ1524" i="1" s="1"/>
  <c r="F1524" i="1"/>
  <c r="H1523" i="1"/>
  <c r="AZ1523" i="1" s="1"/>
  <c r="F1523" i="1"/>
  <c r="H1522" i="1"/>
  <c r="AZ1522" i="1" s="1"/>
  <c r="F1522" i="1"/>
  <c r="H1521" i="1"/>
  <c r="AZ1521" i="1" s="1"/>
  <c r="F1521" i="1"/>
  <c r="H1520" i="1"/>
  <c r="AZ1520" i="1" s="1"/>
  <c r="F1520" i="1"/>
  <c r="H1519" i="1"/>
  <c r="AZ1519" i="1" s="1"/>
  <c r="F1519" i="1"/>
  <c r="H1518" i="1"/>
  <c r="AZ1518" i="1" s="1"/>
  <c r="F1518" i="1"/>
  <c r="H1517" i="1"/>
  <c r="AZ1517" i="1" s="1"/>
  <c r="F1517" i="1"/>
  <c r="H1516" i="1"/>
  <c r="AZ1516" i="1" s="1"/>
  <c r="F1516" i="1"/>
  <c r="H1515" i="1"/>
  <c r="AZ1515" i="1" s="1"/>
  <c r="F1515" i="1"/>
  <c r="AZ1514" i="1"/>
  <c r="H1513" i="1"/>
  <c r="AZ1513" i="1" s="1"/>
  <c r="F1513" i="1"/>
  <c r="H1512" i="1"/>
  <c r="AZ1512" i="1" s="1"/>
  <c r="F1512" i="1"/>
  <c r="H1511" i="1"/>
  <c r="AZ1511" i="1" s="1"/>
  <c r="F1511" i="1"/>
  <c r="H1510" i="1"/>
  <c r="AZ1510" i="1" s="1"/>
  <c r="F1510" i="1"/>
  <c r="H1509" i="1"/>
  <c r="AZ1509" i="1" s="1"/>
  <c r="F1509" i="1"/>
  <c r="H1508" i="1"/>
  <c r="AZ1508" i="1" s="1"/>
  <c r="F1508" i="1"/>
  <c r="H1507" i="1"/>
  <c r="AZ1507" i="1" s="1"/>
  <c r="F1507" i="1"/>
  <c r="H1506" i="1"/>
  <c r="AZ1506" i="1" s="1"/>
  <c r="F1506" i="1"/>
  <c r="H1504" i="1"/>
  <c r="F1504" i="1"/>
  <c r="H1503" i="1"/>
  <c r="F1503" i="1"/>
  <c r="H1502" i="1"/>
  <c r="F1502" i="1"/>
  <c r="H1501" i="1"/>
  <c r="F1501" i="1"/>
  <c r="H1500" i="1"/>
  <c r="F1500" i="1"/>
  <c r="H1499" i="1"/>
  <c r="F1499" i="1"/>
  <c r="H1498" i="1"/>
  <c r="F1498" i="1"/>
  <c r="H1497" i="1"/>
  <c r="F1497" i="1"/>
  <c r="H1496" i="1"/>
  <c r="F1496" i="1"/>
  <c r="AZ1495" i="1"/>
  <c r="H1494" i="1"/>
  <c r="AZ1494" i="1" s="1"/>
  <c r="F1494" i="1"/>
  <c r="H1493" i="1"/>
  <c r="AZ1493" i="1" s="1"/>
  <c r="F1493" i="1"/>
  <c r="H1492" i="1"/>
  <c r="F1492" i="1"/>
  <c r="H1491" i="1"/>
  <c r="F1491" i="1"/>
  <c r="H1490" i="1"/>
  <c r="F1490" i="1"/>
  <c r="H1489" i="1"/>
  <c r="F1489" i="1"/>
  <c r="H1488" i="1"/>
  <c r="F1488" i="1"/>
  <c r="H1487" i="1"/>
  <c r="AZ1487" i="1" s="1"/>
  <c r="F1487" i="1"/>
  <c r="H1486" i="1"/>
  <c r="AZ1486" i="1" s="1"/>
  <c r="F1486" i="1"/>
  <c r="H1485" i="1"/>
  <c r="AZ1485" i="1" s="1"/>
  <c r="F1485" i="1"/>
  <c r="H1484" i="1"/>
  <c r="AZ1484" i="1" s="1"/>
  <c r="F1484" i="1"/>
  <c r="H1483" i="1"/>
  <c r="AZ1483" i="1" s="1"/>
  <c r="F1483" i="1"/>
  <c r="H1482" i="1"/>
  <c r="F1482" i="1"/>
  <c r="H1481" i="1"/>
  <c r="F1481" i="1"/>
  <c r="H1480" i="1"/>
  <c r="F1480" i="1"/>
  <c r="H1479" i="1"/>
  <c r="F1479" i="1"/>
  <c r="H1478" i="1"/>
  <c r="F1478" i="1"/>
  <c r="H1477" i="1"/>
  <c r="F1477" i="1"/>
  <c r="H1476" i="1"/>
  <c r="F1476" i="1"/>
  <c r="H1475" i="1"/>
  <c r="F1475" i="1"/>
  <c r="H1474" i="1"/>
  <c r="AZ1474" i="1" s="1"/>
  <c r="F1474" i="1"/>
  <c r="H1473" i="1"/>
  <c r="AZ1473" i="1" s="1"/>
  <c r="F1473" i="1"/>
  <c r="H1472" i="1"/>
  <c r="AZ1472" i="1" s="1"/>
  <c r="F1472" i="1"/>
  <c r="H1471" i="1"/>
  <c r="AZ1471" i="1" s="1"/>
  <c r="F1471" i="1"/>
  <c r="H1470" i="1"/>
  <c r="AZ1470" i="1" s="1"/>
  <c r="F1470" i="1"/>
  <c r="H1468" i="1"/>
  <c r="F1468" i="1"/>
  <c r="H1467" i="1"/>
  <c r="F1467" i="1"/>
  <c r="H1466" i="1"/>
  <c r="F1466" i="1"/>
  <c r="H1465" i="1"/>
  <c r="F1465" i="1"/>
  <c r="H1464" i="1"/>
  <c r="F1464" i="1"/>
  <c r="H1463" i="1"/>
  <c r="F1463" i="1"/>
  <c r="H1462" i="1"/>
  <c r="F1462" i="1"/>
  <c r="H1461" i="1"/>
  <c r="F1461" i="1"/>
  <c r="H1460" i="1"/>
  <c r="F1460" i="1"/>
  <c r="H1459" i="1"/>
  <c r="F1459" i="1"/>
  <c r="H1458" i="1"/>
  <c r="F1458" i="1"/>
  <c r="H1457" i="1"/>
  <c r="AZ1457" i="1" s="1"/>
  <c r="F1457" i="1"/>
  <c r="H1456" i="1"/>
  <c r="AZ1456" i="1" s="1"/>
  <c r="F1456" i="1"/>
  <c r="H1455" i="1"/>
  <c r="AZ1455" i="1" s="1"/>
  <c r="F1455" i="1"/>
  <c r="H1454" i="1"/>
  <c r="AZ1454" i="1" s="1"/>
  <c r="F1454" i="1"/>
  <c r="H1453" i="1"/>
  <c r="AZ1453" i="1" s="1"/>
  <c r="F1453" i="1"/>
  <c r="H1452" i="1"/>
  <c r="AZ1452" i="1" s="1"/>
  <c r="F1452" i="1"/>
  <c r="H1451" i="1"/>
  <c r="AZ1451" i="1" s="1"/>
  <c r="F1451" i="1"/>
  <c r="AZ1450" i="1"/>
  <c r="H1449" i="1"/>
  <c r="AZ1449" i="1" s="1"/>
  <c r="F1449" i="1"/>
  <c r="H1448" i="1"/>
  <c r="AZ1448" i="1" s="1"/>
  <c r="F1448" i="1"/>
  <c r="H1447" i="1"/>
  <c r="AZ1447" i="1" s="1"/>
  <c r="F1447" i="1"/>
  <c r="H1446" i="1"/>
  <c r="AZ1446" i="1" s="1"/>
  <c r="F1446" i="1"/>
  <c r="H1445" i="1"/>
  <c r="AZ1445" i="1" s="1"/>
  <c r="F1445" i="1"/>
  <c r="H1444" i="1"/>
  <c r="AZ1444" i="1" s="1"/>
  <c r="F1444" i="1"/>
  <c r="H1443" i="1"/>
  <c r="AZ1443" i="1" s="1"/>
  <c r="F1443" i="1"/>
  <c r="H1442" i="1"/>
  <c r="AZ1442" i="1" s="1"/>
  <c r="F1442" i="1"/>
  <c r="H1441" i="1"/>
  <c r="AZ1441" i="1" s="1"/>
  <c r="F1441" i="1"/>
  <c r="H1440" i="1"/>
  <c r="AZ1440" i="1" s="1"/>
  <c r="F1440" i="1"/>
  <c r="H1439" i="1"/>
  <c r="AZ1439" i="1" s="1"/>
  <c r="F1439" i="1"/>
  <c r="H1438" i="1"/>
  <c r="AZ1438" i="1" s="1"/>
  <c r="F1438" i="1"/>
  <c r="H1437" i="1"/>
  <c r="AZ1437" i="1" s="1"/>
  <c r="F1437" i="1"/>
  <c r="H1436" i="1"/>
  <c r="AZ1436" i="1" s="1"/>
  <c r="F1436" i="1"/>
  <c r="H1435" i="1"/>
  <c r="AZ1435" i="1" s="1"/>
  <c r="F1435" i="1"/>
  <c r="H1434" i="1"/>
  <c r="AZ1434" i="1" s="1"/>
  <c r="F1434" i="1"/>
  <c r="H1433" i="1"/>
  <c r="AZ1433" i="1" s="1"/>
  <c r="F1433" i="1"/>
  <c r="H1432" i="1"/>
  <c r="AZ1432" i="1" s="1"/>
  <c r="F1432" i="1"/>
  <c r="H1431" i="1"/>
  <c r="AZ1431" i="1" s="1"/>
  <c r="F1431" i="1"/>
  <c r="H1430" i="1"/>
  <c r="AZ1430" i="1" s="1"/>
  <c r="F1430" i="1"/>
  <c r="H1429" i="1"/>
  <c r="AZ1429" i="1" s="1"/>
  <c r="F1429" i="1"/>
  <c r="H1428" i="1"/>
  <c r="AZ1428" i="1" s="1"/>
  <c r="F1428" i="1"/>
  <c r="H1427" i="1"/>
  <c r="AZ1427" i="1" s="1"/>
  <c r="F1427" i="1"/>
  <c r="H1426" i="1"/>
  <c r="AZ1426" i="1" s="1"/>
  <c r="F1426" i="1"/>
  <c r="H1425" i="1"/>
  <c r="AZ1425" i="1" s="1"/>
  <c r="F1425" i="1"/>
  <c r="H1424" i="1"/>
  <c r="AZ1424" i="1" s="1"/>
  <c r="F1424" i="1"/>
  <c r="H1423" i="1"/>
  <c r="AZ1423" i="1" s="1"/>
  <c r="F1423" i="1"/>
  <c r="H1422" i="1"/>
  <c r="AZ1422" i="1" s="1"/>
  <c r="F1422" i="1"/>
  <c r="H1421" i="1"/>
  <c r="AZ1421" i="1" s="1"/>
  <c r="F1421" i="1"/>
  <c r="H1420" i="1"/>
  <c r="AZ1420" i="1" s="1"/>
  <c r="F1420" i="1"/>
  <c r="H1419" i="1"/>
  <c r="AZ1419" i="1" s="1"/>
  <c r="F1419" i="1"/>
  <c r="H1418" i="1"/>
  <c r="AZ1418" i="1" s="1"/>
  <c r="F1418" i="1"/>
  <c r="H1417" i="1"/>
  <c r="AZ1417" i="1" s="1"/>
  <c r="F1417" i="1"/>
  <c r="H1416" i="1"/>
  <c r="AZ1416" i="1" s="1"/>
  <c r="F1416" i="1"/>
  <c r="H1415" i="1"/>
  <c r="AZ1415" i="1" s="1"/>
  <c r="F1415" i="1"/>
  <c r="H1414" i="1"/>
  <c r="AZ1414" i="1" s="1"/>
  <c r="F1414" i="1"/>
  <c r="H1413" i="1"/>
  <c r="AZ1413" i="1" s="1"/>
  <c r="F1413" i="1"/>
  <c r="H1412" i="1"/>
  <c r="AZ1412" i="1" s="1"/>
  <c r="F1412" i="1"/>
  <c r="H1411" i="1"/>
  <c r="AZ1411" i="1" s="1"/>
  <c r="F1411" i="1"/>
  <c r="H1410" i="1"/>
  <c r="AZ1410" i="1" s="1"/>
  <c r="F1410" i="1"/>
  <c r="H1409" i="1"/>
  <c r="AZ1409" i="1" s="1"/>
  <c r="F1409" i="1"/>
  <c r="H1408" i="1"/>
  <c r="AZ1408" i="1" s="1"/>
  <c r="F1408" i="1"/>
  <c r="H1407" i="1"/>
  <c r="AZ1407" i="1" s="1"/>
  <c r="F1407" i="1"/>
  <c r="H1406" i="1"/>
  <c r="AZ1406" i="1" s="1"/>
  <c r="F1406" i="1"/>
  <c r="H1405" i="1"/>
  <c r="AZ1405" i="1" s="1"/>
  <c r="F1405" i="1"/>
  <c r="H1404" i="1"/>
  <c r="AZ1404" i="1" s="1"/>
  <c r="F1404" i="1"/>
  <c r="H1403" i="1"/>
  <c r="AZ1403" i="1" s="1"/>
  <c r="F1403" i="1"/>
  <c r="H1402" i="1"/>
  <c r="AZ1402" i="1" s="1"/>
  <c r="F1402" i="1"/>
  <c r="H1401" i="1"/>
  <c r="AZ1401" i="1" s="1"/>
  <c r="F1401" i="1"/>
  <c r="H1400" i="1"/>
  <c r="AZ1400" i="1" s="1"/>
  <c r="F1400" i="1"/>
  <c r="AZ1399" i="1"/>
  <c r="H1398" i="1"/>
  <c r="AZ1398" i="1" s="1"/>
  <c r="F1398" i="1"/>
  <c r="H1397" i="1"/>
  <c r="AZ1397" i="1" s="1"/>
  <c r="F1397" i="1"/>
  <c r="H1396" i="1"/>
  <c r="AZ1396" i="1" s="1"/>
  <c r="F1396" i="1"/>
  <c r="H1395" i="1"/>
  <c r="AZ1395" i="1" s="1"/>
  <c r="F1395" i="1"/>
  <c r="H1394" i="1"/>
  <c r="AZ1394" i="1" s="1"/>
  <c r="F1394" i="1"/>
  <c r="H1393" i="1"/>
  <c r="AZ1393" i="1" s="1"/>
  <c r="F1393" i="1"/>
  <c r="H1392" i="1"/>
  <c r="AZ1392" i="1" s="1"/>
  <c r="F1392" i="1"/>
  <c r="H1391" i="1"/>
  <c r="AZ1391" i="1" s="1"/>
  <c r="F1391" i="1"/>
  <c r="H1390" i="1"/>
  <c r="AZ1390" i="1" s="1"/>
  <c r="F1390" i="1"/>
  <c r="H1389" i="1"/>
  <c r="AZ1389" i="1" s="1"/>
  <c r="F1389" i="1"/>
  <c r="H1388" i="1"/>
  <c r="AZ1388" i="1" s="1"/>
  <c r="F1388" i="1"/>
  <c r="H1387" i="1"/>
  <c r="AZ1387" i="1" s="1"/>
  <c r="F1387" i="1"/>
  <c r="H1386" i="1"/>
  <c r="AZ1386" i="1" s="1"/>
  <c r="F1386" i="1"/>
  <c r="H1385" i="1"/>
  <c r="AZ1385" i="1" s="1"/>
  <c r="F1385" i="1"/>
  <c r="H1384" i="1"/>
  <c r="AZ1384" i="1" s="1"/>
  <c r="F1384" i="1"/>
  <c r="H1383" i="1"/>
  <c r="AZ1383" i="1" s="1"/>
  <c r="F1383" i="1"/>
  <c r="H1382" i="1"/>
  <c r="AZ1382" i="1" s="1"/>
  <c r="F1382" i="1"/>
  <c r="H1381" i="1"/>
  <c r="AZ1381" i="1" s="1"/>
  <c r="F1381" i="1"/>
  <c r="H1380" i="1"/>
  <c r="AZ1380" i="1" s="1"/>
  <c r="F1380" i="1"/>
  <c r="H1379" i="1"/>
  <c r="AZ1379" i="1" s="1"/>
  <c r="F1379" i="1"/>
  <c r="H1378" i="1"/>
  <c r="AZ1378" i="1" s="1"/>
  <c r="F1378" i="1"/>
  <c r="H1377" i="1"/>
  <c r="AZ1377" i="1" s="1"/>
  <c r="F1377" i="1"/>
  <c r="H1376" i="1"/>
  <c r="AZ1376" i="1" s="1"/>
  <c r="F1376" i="1"/>
  <c r="H1375" i="1"/>
  <c r="AZ1375" i="1" s="1"/>
  <c r="F1375" i="1"/>
  <c r="H1374" i="1"/>
  <c r="AZ1374" i="1" s="1"/>
  <c r="F1374" i="1"/>
  <c r="H1373" i="1"/>
  <c r="AZ1373" i="1" s="1"/>
  <c r="F1373" i="1"/>
  <c r="H1372" i="1"/>
  <c r="AZ1372" i="1" s="1"/>
  <c r="F1372" i="1"/>
  <c r="H1371" i="1"/>
  <c r="AZ1371" i="1" s="1"/>
  <c r="F1371" i="1"/>
  <c r="H1370" i="1"/>
  <c r="AZ1370" i="1" s="1"/>
  <c r="F1370" i="1"/>
  <c r="H1369" i="1"/>
  <c r="AZ1369" i="1" s="1"/>
  <c r="F1369" i="1"/>
  <c r="AZ1368" i="1"/>
  <c r="H1367" i="1"/>
  <c r="AZ1367" i="1" s="1"/>
  <c r="F1367" i="1"/>
  <c r="H1366" i="1"/>
  <c r="AZ1366" i="1" s="1"/>
  <c r="F1366" i="1"/>
  <c r="H1365" i="1"/>
  <c r="AZ1365" i="1" s="1"/>
  <c r="F1365" i="1"/>
  <c r="H1364" i="1"/>
  <c r="AZ1364" i="1" s="1"/>
  <c r="F1364" i="1"/>
  <c r="H1363" i="1"/>
  <c r="AZ1363" i="1" s="1"/>
  <c r="F1363" i="1"/>
  <c r="H1362" i="1"/>
  <c r="AZ1362" i="1" s="1"/>
  <c r="F1362" i="1"/>
  <c r="H1361" i="1"/>
  <c r="AZ1361" i="1" s="1"/>
  <c r="F1361" i="1"/>
  <c r="H1360" i="1"/>
  <c r="AZ1360" i="1" s="1"/>
  <c r="F1360" i="1"/>
  <c r="H1359" i="1"/>
  <c r="AZ1359" i="1" s="1"/>
  <c r="F1359" i="1"/>
  <c r="H1358" i="1"/>
  <c r="AZ1358" i="1" s="1"/>
  <c r="F1358" i="1"/>
  <c r="H1357" i="1"/>
  <c r="AZ1357" i="1" s="1"/>
  <c r="F1357" i="1"/>
  <c r="H1356" i="1"/>
  <c r="AZ1356" i="1" s="1"/>
  <c r="F1356" i="1"/>
  <c r="H1355" i="1"/>
  <c r="AZ1355" i="1" s="1"/>
  <c r="F1355" i="1"/>
  <c r="H1354" i="1"/>
  <c r="AZ1354" i="1" s="1"/>
  <c r="F1354" i="1"/>
  <c r="H1353" i="1"/>
  <c r="AZ1353" i="1" s="1"/>
  <c r="F1353" i="1"/>
  <c r="H1352" i="1"/>
  <c r="AZ1352" i="1" s="1"/>
  <c r="F1352" i="1"/>
  <c r="H1351" i="1"/>
  <c r="AZ1351" i="1" s="1"/>
  <c r="F1351" i="1"/>
  <c r="H1350" i="1"/>
  <c r="AZ1350" i="1" s="1"/>
  <c r="F1350" i="1"/>
  <c r="H1349" i="1"/>
  <c r="AZ1349" i="1" s="1"/>
  <c r="F1349" i="1"/>
  <c r="H1348" i="1"/>
  <c r="AZ1348" i="1" s="1"/>
  <c r="F1348" i="1"/>
  <c r="H1347" i="1"/>
  <c r="AZ1347" i="1" s="1"/>
  <c r="F1347" i="1"/>
  <c r="H1346" i="1"/>
  <c r="AZ1346" i="1" s="1"/>
  <c r="F1346" i="1"/>
  <c r="H1345" i="1"/>
  <c r="AZ1345" i="1" s="1"/>
  <c r="F1345" i="1"/>
  <c r="H1344" i="1"/>
  <c r="AZ1344" i="1" s="1"/>
  <c r="F1344" i="1"/>
  <c r="H1343" i="1"/>
  <c r="AZ1343" i="1" s="1"/>
  <c r="F1343" i="1"/>
  <c r="H1342" i="1"/>
  <c r="AZ1342" i="1" s="1"/>
  <c r="F1342" i="1"/>
  <c r="H1341" i="1"/>
  <c r="AZ1341" i="1" s="1"/>
  <c r="F1341" i="1"/>
  <c r="H1340" i="1"/>
  <c r="AZ1340" i="1" s="1"/>
  <c r="F1340" i="1"/>
  <c r="H1339" i="1"/>
  <c r="AZ1339" i="1" s="1"/>
  <c r="F1339" i="1"/>
  <c r="H1338" i="1"/>
  <c r="AZ1338" i="1" s="1"/>
  <c r="F1338" i="1"/>
  <c r="H1337" i="1"/>
  <c r="AZ1337" i="1" s="1"/>
  <c r="F1337" i="1"/>
  <c r="H1336" i="1"/>
  <c r="AZ1336" i="1" s="1"/>
  <c r="F1336" i="1"/>
  <c r="H1335" i="1"/>
  <c r="AZ1335" i="1" s="1"/>
  <c r="F1335" i="1"/>
  <c r="H1334" i="1"/>
  <c r="AZ1334" i="1" s="1"/>
  <c r="F1334" i="1"/>
  <c r="H1333" i="1"/>
  <c r="AZ1333" i="1" s="1"/>
  <c r="F1333" i="1"/>
  <c r="H1332" i="1"/>
  <c r="AZ1332" i="1" s="1"/>
  <c r="F1332" i="1"/>
  <c r="H1331" i="1"/>
  <c r="AZ1331" i="1" s="1"/>
  <c r="F1331" i="1"/>
  <c r="H1330" i="1"/>
  <c r="AZ1330" i="1" s="1"/>
  <c r="F1330" i="1"/>
  <c r="H1329" i="1"/>
  <c r="AZ1329" i="1" s="1"/>
  <c r="F1329" i="1"/>
  <c r="H1328" i="1"/>
  <c r="AZ1328" i="1" s="1"/>
  <c r="F1328" i="1"/>
  <c r="H1327" i="1"/>
  <c r="AZ1327" i="1" s="1"/>
  <c r="F1327" i="1"/>
  <c r="H1326" i="1"/>
  <c r="AZ1326" i="1" s="1"/>
  <c r="F1326" i="1"/>
  <c r="H1325" i="1"/>
  <c r="AZ1325" i="1" s="1"/>
  <c r="F1325" i="1"/>
  <c r="H1324" i="1"/>
  <c r="AZ1324" i="1" s="1"/>
  <c r="F1324" i="1"/>
  <c r="AZ1323" i="1"/>
  <c r="H1322" i="1"/>
  <c r="AZ1322" i="1" s="1"/>
  <c r="F1322" i="1"/>
  <c r="H1321" i="1"/>
  <c r="AZ1321" i="1" s="1"/>
  <c r="F1321" i="1"/>
  <c r="H1320" i="1"/>
  <c r="AZ1320" i="1" s="1"/>
  <c r="F1320" i="1"/>
  <c r="H1319" i="1"/>
  <c r="AZ1319" i="1" s="1"/>
  <c r="F1319" i="1"/>
  <c r="H1318" i="1"/>
  <c r="AZ1318" i="1" s="1"/>
  <c r="F1318" i="1"/>
  <c r="H1317" i="1"/>
  <c r="AZ1317" i="1" s="1"/>
  <c r="F1317" i="1"/>
  <c r="H1316" i="1"/>
  <c r="AZ1316" i="1" s="1"/>
  <c r="F1316" i="1"/>
  <c r="H1315" i="1"/>
  <c r="AZ1315" i="1" s="1"/>
  <c r="F1315" i="1"/>
  <c r="AZ1314" i="1"/>
  <c r="H1313" i="1"/>
  <c r="AZ1313" i="1" s="1"/>
  <c r="F1313" i="1"/>
  <c r="H1312" i="1"/>
  <c r="AZ1312" i="1" s="1"/>
  <c r="F1312" i="1"/>
  <c r="H1311" i="1"/>
  <c r="AZ1311" i="1" s="1"/>
  <c r="F1311" i="1"/>
  <c r="H1310" i="1"/>
  <c r="AZ1310" i="1" s="1"/>
  <c r="F1310" i="1"/>
  <c r="H1309" i="1"/>
  <c r="AZ1309" i="1" s="1"/>
  <c r="F1309" i="1"/>
  <c r="H1308" i="1"/>
  <c r="AZ1308" i="1" s="1"/>
  <c r="F1308" i="1"/>
  <c r="AZ1307" i="1"/>
  <c r="H1306" i="1"/>
  <c r="AZ1306" i="1" s="1"/>
  <c r="F1306" i="1"/>
  <c r="H1305" i="1"/>
  <c r="AZ1305" i="1" s="1"/>
  <c r="F1305" i="1"/>
  <c r="H1304" i="1"/>
  <c r="AZ1304" i="1" s="1"/>
  <c r="F1304" i="1"/>
  <c r="H1303" i="1"/>
  <c r="AZ1303" i="1" s="1"/>
  <c r="F1303" i="1"/>
  <c r="H1302" i="1"/>
  <c r="AZ1302" i="1" s="1"/>
  <c r="F1302" i="1"/>
  <c r="H1301" i="1"/>
  <c r="AZ1301" i="1" s="1"/>
  <c r="F1301" i="1"/>
  <c r="H1300" i="1"/>
  <c r="AZ1300" i="1" s="1"/>
  <c r="F1300" i="1"/>
  <c r="H1299" i="1"/>
  <c r="AZ1299" i="1" s="1"/>
  <c r="F1299" i="1"/>
  <c r="H1298" i="1"/>
  <c r="AZ1298" i="1" s="1"/>
  <c r="F1298" i="1"/>
  <c r="AZ1297" i="1"/>
  <c r="H1296" i="1"/>
  <c r="AZ1296" i="1" s="1"/>
  <c r="F1296" i="1"/>
  <c r="H1295" i="1"/>
  <c r="AZ1295" i="1" s="1"/>
  <c r="F1295" i="1"/>
  <c r="H1294" i="1"/>
  <c r="AZ1294" i="1" s="1"/>
  <c r="F1294" i="1"/>
  <c r="H1293" i="1"/>
  <c r="AZ1293" i="1" s="1"/>
  <c r="F1293" i="1"/>
  <c r="H1292" i="1"/>
  <c r="AZ1292" i="1" s="1"/>
  <c r="F1292" i="1"/>
  <c r="H1291" i="1"/>
  <c r="AZ1291" i="1" s="1"/>
  <c r="F1291" i="1"/>
  <c r="AZ1290" i="1"/>
  <c r="H1289" i="1"/>
  <c r="AZ1289" i="1" s="1"/>
  <c r="F1289" i="1"/>
  <c r="H1288" i="1"/>
  <c r="AZ1288" i="1" s="1"/>
  <c r="F1288" i="1"/>
  <c r="H1287" i="1"/>
  <c r="AZ1287" i="1" s="1"/>
  <c r="F1287" i="1"/>
  <c r="H1286" i="1"/>
  <c r="AZ1286" i="1" s="1"/>
  <c r="F1286" i="1"/>
  <c r="H1285" i="1"/>
  <c r="AZ1285" i="1" s="1"/>
  <c r="F1285" i="1"/>
  <c r="H1284" i="1"/>
  <c r="AZ1284" i="1" s="1"/>
  <c r="F1284" i="1"/>
  <c r="AZ1283" i="1"/>
  <c r="H1282" i="1"/>
  <c r="AZ1282" i="1" s="1"/>
  <c r="F1282" i="1"/>
  <c r="H1281" i="1"/>
  <c r="AZ1281" i="1" s="1"/>
  <c r="F1281" i="1"/>
  <c r="H1280" i="1"/>
  <c r="AZ1280" i="1" s="1"/>
  <c r="F1280" i="1"/>
  <c r="AZ1279" i="1"/>
  <c r="H1278" i="1"/>
  <c r="AZ1278" i="1" s="1"/>
  <c r="F1278" i="1"/>
  <c r="H1277" i="1"/>
  <c r="AZ1277" i="1" s="1"/>
  <c r="F1277" i="1"/>
  <c r="H1276" i="1"/>
  <c r="AZ1276" i="1" s="1"/>
  <c r="F1276" i="1"/>
  <c r="H1275" i="1"/>
  <c r="AZ1275" i="1" s="1"/>
  <c r="F1275" i="1"/>
  <c r="H1274" i="1"/>
  <c r="AZ1274" i="1" s="1"/>
  <c r="F1274" i="1"/>
  <c r="H1273" i="1"/>
  <c r="AZ1273" i="1" s="1"/>
  <c r="F1273" i="1"/>
  <c r="H1272" i="1"/>
  <c r="AZ1272" i="1" s="1"/>
  <c r="F1272" i="1"/>
  <c r="AZ1271" i="1"/>
  <c r="H1270" i="1"/>
  <c r="AZ1270" i="1" s="1"/>
  <c r="F1270" i="1"/>
  <c r="H1269" i="1"/>
  <c r="AZ1269" i="1" s="1"/>
  <c r="F1269" i="1"/>
  <c r="H1268" i="1"/>
  <c r="AZ1268" i="1" s="1"/>
  <c r="F1268" i="1"/>
  <c r="H1267" i="1"/>
  <c r="AZ1267" i="1" s="1"/>
  <c r="F1267" i="1"/>
  <c r="H1266" i="1"/>
  <c r="AZ1266" i="1" s="1"/>
  <c r="F1266" i="1"/>
  <c r="AZ1265" i="1"/>
  <c r="H1264" i="1"/>
  <c r="AZ1264" i="1" s="1"/>
  <c r="F1264" i="1"/>
  <c r="H1263" i="1"/>
  <c r="AZ1263" i="1" s="1"/>
  <c r="F1263" i="1"/>
  <c r="H1262" i="1"/>
  <c r="AZ1262" i="1" s="1"/>
  <c r="F1262" i="1"/>
  <c r="H1261" i="1"/>
  <c r="AZ1261" i="1" s="1"/>
  <c r="F1261" i="1"/>
  <c r="H1260" i="1"/>
  <c r="AZ1260" i="1" s="1"/>
  <c r="F1260" i="1"/>
  <c r="H1259" i="1"/>
  <c r="AZ1259" i="1" s="1"/>
  <c r="F1259" i="1"/>
  <c r="H1258" i="1"/>
  <c r="AZ1258" i="1" s="1"/>
  <c r="F1258" i="1"/>
  <c r="H1257" i="1"/>
  <c r="AZ1257" i="1" s="1"/>
  <c r="F1257" i="1"/>
  <c r="H1256" i="1"/>
  <c r="AZ1256" i="1" s="1"/>
  <c r="F1256" i="1"/>
  <c r="AZ1255" i="1"/>
  <c r="H1254" i="1"/>
  <c r="AZ1254" i="1" s="1"/>
  <c r="F1254" i="1"/>
  <c r="H1253" i="1"/>
  <c r="AZ1253" i="1" s="1"/>
  <c r="F1253" i="1"/>
  <c r="H1252" i="1"/>
  <c r="AZ1252" i="1" s="1"/>
  <c r="F1252" i="1"/>
  <c r="H1251" i="1"/>
  <c r="AZ1251" i="1" s="1"/>
  <c r="F1251" i="1"/>
  <c r="H1250" i="1"/>
  <c r="AZ1250" i="1" s="1"/>
  <c r="F1250" i="1"/>
  <c r="H1249" i="1"/>
  <c r="AZ1249" i="1" s="1"/>
  <c r="F1249" i="1"/>
  <c r="H1248" i="1"/>
  <c r="AZ1248" i="1" s="1"/>
  <c r="F1248" i="1"/>
  <c r="H1247" i="1"/>
  <c r="AZ1247" i="1" s="1"/>
  <c r="F1247" i="1"/>
  <c r="H1246" i="1"/>
  <c r="AZ1246" i="1" s="1"/>
  <c r="F1246" i="1"/>
  <c r="H1245" i="1"/>
  <c r="AZ1245" i="1" s="1"/>
  <c r="F1245" i="1"/>
  <c r="H1244" i="1"/>
  <c r="AZ1244" i="1" s="1"/>
  <c r="F1244" i="1"/>
  <c r="H1243" i="1"/>
  <c r="AZ1243" i="1" s="1"/>
  <c r="F1243" i="1"/>
  <c r="AZ1242" i="1"/>
  <c r="H1241" i="1"/>
  <c r="AZ1241" i="1" s="1"/>
  <c r="F1241" i="1"/>
  <c r="H1240" i="1"/>
  <c r="AZ1240" i="1" s="1"/>
  <c r="F1240" i="1"/>
  <c r="H1239" i="1"/>
  <c r="AZ1239" i="1" s="1"/>
  <c r="F1239" i="1"/>
  <c r="H1238" i="1"/>
  <c r="AZ1238" i="1" s="1"/>
  <c r="F1238" i="1"/>
  <c r="H1237" i="1"/>
  <c r="AZ1237" i="1" s="1"/>
  <c r="F1237" i="1"/>
  <c r="H1236" i="1"/>
  <c r="AZ1236" i="1" s="1"/>
  <c r="F1236" i="1"/>
  <c r="H1235" i="1"/>
  <c r="AZ1235" i="1" s="1"/>
  <c r="F1235" i="1"/>
  <c r="H1234" i="1"/>
  <c r="AZ1234" i="1" s="1"/>
  <c r="F1234" i="1"/>
  <c r="AZ1233" i="1"/>
  <c r="H1232" i="1"/>
  <c r="AZ1232" i="1" s="1"/>
  <c r="F1232" i="1"/>
  <c r="H1231" i="1"/>
  <c r="AZ1231" i="1" s="1"/>
  <c r="F1231" i="1"/>
  <c r="H1230" i="1"/>
  <c r="AZ1230" i="1" s="1"/>
  <c r="F1230" i="1"/>
  <c r="H1229" i="1"/>
  <c r="AZ1229" i="1" s="1"/>
  <c r="F1229" i="1"/>
  <c r="H1228" i="1"/>
  <c r="AZ1228" i="1" s="1"/>
  <c r="F1228" i="1"/>
  <c r="H1227" i="1"/>
  <c r="AZ1227" i="1" s="1"/>
  <c r="F1227" i="1"/>
  <c r="H1226" i="1"/>
  <c r="AZ1226" i="1" s="1"/>
  <c r="F1226" i="1"/>
  <c r="H1225" i="1"/>
  <c r="AZ1225" i="1" s="1"/>
  <c r="F1225" i="1"/>
  <c r="H1224" i="1"/>
  <c r="AZ1224" i="1" s="1"/>
  <c r="F1224" i="1"/>
  <c r="H1223" i="1"/>
  <c r="AZ1223" i="1" s="1"/>
  <c r="F1223" i="1"/>
  <c r="H1222" i="1"/>
  <c r="AZ1222" i="1" s="1"/>
  <c r="F1222" i="1"/>
  <c r="H1221" i="1"/>
  <c r="AZ1221" i="1" s="1"/>
  <c r="F1221" i="1"/>
  <c r="H1220" i="1"/>
  <c r="AZ1220" i="1" s="1"/>
  <c r="F1220" i="1"/>
  <c r="H1219" i="1"/>
  <c r="AZ1219" i="1" s="1"/>
  <c r="F1219" i="1"/>
  <c r="H1218" i="1"/>
  <c r="AZ1218" i="1" s="1"/>
  <c r="F1218" i="1"/>
  <c r="H1217" i="1"/>
  <c r="AZ1217" i="1" s="1"/>
  <c r="F1217" i="1"/>
  <c r="H1216" i="1"/>
  <c r="AZ1216" i="1" s="1"/>
  <c r="F1216" i="1"/>
  <c r="H1215" i="1"/>
  <c r="AZ1215" i="1" s="1"/>
  <c r="F1215" i="1"/>
  <c r="H1214" i="1"/>
  <c r="AZ1214" i="1" s="1"/>
  <c r="F1214" i="1"/>
  <c r="H1213" i="1"/>
  <c r="AZ1213" i="1" s="1"/>
  <c r="F1213" i="1"/>
  <c r="H1212" i="1"/>
  <c r="AZ1212" i="1" s="1"/>
  <c r="F1212" i="1"/>
  <c r="H1211" i="1"/>
  <c r="AZ1211" i="1" s="1"/>
  <c r="F1211" i="1"/>
  <c r="H1210" i="1"/>
  <c r="AZ1210" i="1" s="1"/>
  <c r="F1210" i="1"/>
  <c r="H1209" i="1"/>
  <c r="AZ1209" i="1" s="1"/>
  <c r="F1209" i="1"/>
  <c r="H1208" i="1"/>
  <c r="AZ1208" i="1" s="1"/>
  <c r="F1208" i="1"/>
  <c r="H1207" i="1"/>
  <c r="AZ1207" i="1" s="1"/>
  <c r="F1207" i="1"/>
  <c r="H1206" i="1"/>
  <c r="AZ1206" i="1" s="1"/>
  <c r="F1206" i="1"/>
  <c r="H1205" i="1"/>
  <c r="AZ1205" i="1" s="1"/>
  <c r="F1205" i="1"/>
  <c r="H1204" i="1"/>
  <c r="AZ1204" i="1" s="1"/>
  <c r="F1204" i="1"/>
  <c r="H1203" i="1"/>
  <c r="AZ1203" i="1" s="1"/>
  <c r="F1203" i="1"/>
  <c r="AZ1202" i="1"/>
  <c r="H1201" i="1"/>
  <c r="AZ1201" i="1" s="1"/>
  <c r="F1201" i="1"/>
  <c r="H1200" i="1"/>
  <c r="AZ1200" i="1" s="1"/>
  <c r="F1200" i="1"/>
  <c r="H1199" i="1"/>
  <c r="AZ1199" i="1" s="1"/>
  <c r="F1199" i="1"/>
  <c r="H1198" i="1"/>
  <c r="AZ1198" i="1" s="1"/>
  <c r="F1198" i="1"/>
  <c r="H1197" i="1"/>
  <c r="AZ1197" i="1" s="1"/>
  <c r="F1197" i="1"/>
  <c r="H1196" i="1"/>
  <c r="AZ1196" i="1" s="1"/>
  <c r="F1196" i="1"/>
  <c r="H1195" i="1"/>
  <c r="AZ1195" i="1" s="1"/>
  <c r="F1195" i="1"/>
  <c r="H1194" i="1"/>
  <c r="AZ1194" i="1" s="1"/>
  <c r="F1194" i="1"/>
  <c r="H1193" i="1"/>
  <c r="AZ1193" i="1" s="1"/>
  <c r="F1193" i="1"/>
  <c r="H1192" i="1"/>
  <c r="AZ1192" i="1" s="1"/>
  <c r="F1192" i="1"/>
  <c r="H1191" i="1"/>
  <c r="AZ1191" i="1" s="1"/>
  <c r="F1191" i="1"/>
  <c r="H1190" i="1"/>
  <c r="AZ1190" i="1" s="1"/>
  <c r="F1190" i="1"/>
  <c r="H1189" i="1"/>
  <c r="AZ1189" i="1" s="1"/>
  <c r="F1189" i="1"/>
  <c r="H1188" i="1"/>
  <c r="AZ1188" i="1" s="1"/>
  <c r="F1188" i="1"/>
  <c r="H1187" i="1"/>
  <c r="AZ1187" i="1" s="1"/>
  <c r="F1187" i="1"/>
  <c r="H1186" i="1"/>
  <c r="AZ1186" i="1" s="1"/>
  <c r="F1186" i="1"/>
  <c r="AZ1185" i="1"/>
  <c r="H1184" i="1"/>
  <c r="AZ1184" i="1" s="1"/>
  <c r="F1184" i="1"/>
  <c r="H1183" i="1"/>
  <c r="AZ1183" i="1" s="1"/>
  <c r="F1183" i="1"/>
  <c r="H1182" i="1"/>
  <c r="AZ1182" i="1" s="1"/>
  <c r="F1182" i="1"/>
  <c r="H1181" i="1"/>
  <c r="AZ1181" i="1" s="1"/>
  <c r="F1181" i="1"/>
  <c r="H1180" i="1"/>
  <c r="AZ1180" i="1" s="1"/>
  <c r="F1180" i="1"/>
  <c r="H1179" i="1"/>
  <c r="AZ1179" i="1" s="1"/>
  <c r="F1179" i="1"/>
  <c r="H1178" i="1"/>
  <c r="AZ1178" i="1" s="1"/>
  <c r="F1178" i="1"/>
  <c r="H1177" i="1"/>
  <c r="AZ1177" i="1" s="1"/>
  <c r="F1177" i="1"/>
  <c r="H1176" i="1"/>
  <c r="AZ1176" i="1" s="1"/>
  <c r="F1176" i="1"/>
  <c r="H1175" i="1"/>
  <c r="AZ1175" i="1" s="1"/>
  <c r="F1175" i="1"/>
  <c r="H1174" i="1"/>
  <c r="AZ1174" i="1" s="1"/>
  <c r="F1174" i="1"/>
  <c r="AZ1173" i="1"/>
  <c r="H1172" i="1"/>
  <c r="AZ1172" i="1" s="1"/>
  <c r="F1172" i="1"/>
  <c r="H1171" i="1"/>
  <c r="AZ1171" i="1" s="1"/>
  <c r="F1171" i="1"/>
  <c r="H1170" i="1"/>
  <c r="AZ1170" i="1" s="1"/>
  <c r="F1170" i="1"/>
  <c r="H1169" i="1"/>
  <c r="AZ1169" i="1" s="1"/>
  <c r="F1169" i="1"/>
  <c r="H1168" i="1"/>
  <c r="AZ1168" i="1" s="1"/>
  <c r="F1168" i="1"/>
  <c r="H1167" i="1"/>
  <c r="AZ1167" i="1" s="1"/>
  <c r="F1167" i="1"/>
  <c r="H1166" i="1"/>
  <c r="AZ1166" i="1" s="1"/>
  <c r="F1166" i="1"/>
  <c r="H1165" i="1"/>
  <c r="AZ1165" i="1" s="1"/>
  <c r="F1165" i="1"/>
  <c r="H1164" i="1"/>
  <c r="AZ1164" i="1" s="1"/>
  <c r="F1164" i="1"/>
  <c r="H1163" i="1"/>
  <c r="AZ1163" i="1" s="1"/>
  <c r="F1163" i="1"/>
  <c r="H1162" i="1"/>
  <c r="AZ1162" i="1" s="1"/>
  <c r="F1162" i="1"/>
  <c r="H1161" i="1"/>
  <c r="AZ1161" i="1" s="1"/>
  <c r="F1161" i="1"/>
  <c r="H1160" i="1"/>
  <c r="AZ1160" i="1" s="1"/>
  <c r="F1160" i="1"/>
  <c r="H1159" i="1"/>
  <c r="AZ1159" i="1" s="1"/>
  <c r="F1159" i="1"/>
  <c r="H1158" i="1"/>
  <c r="AZ1158" i="1" s="1"/>
  <c r="F1158" i="1"/>
  <c r="H1157" i="1"/>
  <c r="AZ1157" i="1" s="1"/>
  <c r="F1157" i="1"/>
  <c r="H1156" i="1"/>
  <c r="AZ1156" i="1" s="1"/>
  <c r="F1156" i="1"/>
  <c r="H1155" i="1"/>
  <c r="AZ1155" i="1" s="1"/>
  <c r="F1155" i="1"/>
  <c r="H1154" i="1"/>
  <c r="AZ1154" i="1" s="1"/>
  <c r="F1154" i="1"/>
  <c r="H1153" i="1"/>
  <c r="AZ1153" i="1" s="1"/>
  <c r="F1153" i="1"/>
  <c r="H1152" i="1"/>
  <c r="AZ1152" i="1" s="1"/>
  <c r="F1152" i="1"/>
  <c r="H1151" i="1"/>
  <c r="AZ1151" i="1" s="1"/>
  <c r="F1151" i="1"/>
  <c r="AZ1150" i="1"/>
  <c r="AZ1149" i="1"/>
  <c r="H1148" i="1"/>
  <c r="AZ1148" i="1" s="1"/>
  <c r="F1148" i="1"/>
  <c r="AZ1147" i="1"/>
  <c r="H1146" i="1"/>
  <c r="AZ1146" i="1" s="1"/>
  <c r="F1146" i="1"/>
  <c r="H1145" i="1"/>
  <c r="AZ1145" i="1" s="1"/>
  <c r="F1145" i="1"/>
  <c r="H1144" i="1"/>
  <c r="AZ1144" i="1" s="1"/>
  <c r="F1144" i="1"/>
  <c r="H1143" i="1"/>
  <c r="AZ1143" i="1" s="1"/>
  <c r="F1143" i="1"/>
  <c r="H1142" i="1"/>
  <c r="AZ1142" i="1" s="1"/>
  <c r="F1142" i="1"/>
  <c r="H1141" i="1"/>
  <c r="AZ1141" i="1" s="1"/>
  <c r="F1141" i="1"/>
  <c r="H1140" i="1"/>
  <c r="AZ1140" i="1" s="1"/>
  <c r="F1140" i="1"/>
  <c r="H1139" i="1"/>
  <c r="AZ1139" i="1" s="1"/>
  <c r="F1139" i="1"/>
  <c r="H1138" i="1"/>
  <c r="AZ1138" i="1" s="1"/>
  <c r="F1138" i="1"/>
  <c r="H1137" i="1"/>
  <c r="AZ1137" i="1" s="1"/>
  <c r="F1137" i="1"/>
  <c r="H1136" i="1"/>
  <c r="AZ1136" i="1" s="1"/>
  <c r="F1136" i="1"/>
  <c r="H1135" i="1"/>
  <c r="AZ1135" i="1" s="1"/>
  <c r="F1135" i="1"/>
  <c r="H1134" i="1"/>
  <c r="AZ1134" i="1" s="1"/>
  <c r="F1134" i="1"/>
  <c r="H1133" i="1"/>
  <c r="AZ1133" i="1" s="1"/>
  <c r="F1133" i="1"/>
  <c r="H1132" i="1"/>
  <c r="AZ1132" i="1" s="1"/>
  <c r="F1132" i="1"/>
  <c r="H1131" i="1"/>
  <c r="AZ1131" i="1" s="1"/>
  <c r="F1131" i="1"/>
  <c r="H1130" i="1"/>
  <c r="AZ1130" i="1" s="1"/>
  <c r="F1130" i="1"/>
  <c r="AZ1129" i="1"/>
  <c r="H1128" i="1"/>
  <c r="AZ1128" i="1" s="1"/>
  <c r="F1128" i="1"/>
  <c r="H1127" i="1"/>
  <c r="AZ1127" i="1" s="1"/>
  <c r="F1127" i="1"/>
  <c r="H1126" i="1"/>
  <c r="AZ1126" i="1" s="1"/>
  <c r="F1126" i="1"/>
  <c r="H1125" i="1"/>
  <c r="AZ1125" i="1" s="1"/>
  <c r="F1125" i="1"/>
  <c r="H1124" i="1"/>
  <c r="AZ1124" i="1" s="1"/>
  <c r="F1124" i="1"/>
  <c r="H1123" i="1"/>
  <c r="AZ1123" i="1" s="1"/>
  <c r="F1123" i="1"/>
  <c r="H1122" i="1"/>
  <c r="AZ1122" i="1" s="1"/>
  <c r="F1122" i="1"/>
  <c r="H1121" i="1"/>
  <c r="AZ1121" i="1" s="1"/>
  <c r="F1121" i="1"/>
  <c r="H1120" i="1"/>
  <c r="AZ1120" i="1" s="1"/>
  <c r="F1120" i="1"/>
  <c r="H1119" i="1"/>
  <c r="AZ1119" i="1" s="1"/>
  <c r="F1119" i="1"/>
  <c r="H1118" i="1"/>
  <c r="AZ1118" i="1" s="1"/>
  <c r="F1118" i="1"/>
  <c r="H1117" i="1"/>
  <c r="AZ1117" i="1" s="1"/>
  <c r="F1117" i="1"/>
  <c r="H1116" i="1"/>
  <c r="AZ1116" i="1" s="1"/>
  <c r="F1116" i="1"/>
  <c r="H1115" i="1"/>
  <c r="AZ1115" i="1" s="1"/>
  <c r="F1115" i="1"/>
  <c r="H1114" i="1"/>
  <c r="AZ1114" i="1" s="1"/>
  <c r="F1114" i="1"/>
  <c r="H1113" i="1"/>
  <c r="AZ1113" i="1" s="1"/>
  <c r="F1113" i="1"/>
  <c r="H1112" i="1"/>
  <c r="AZ1112" i="1" s="1"/>
  <c r="F1112" i="1"/>
  <c r="H1111" i="1"/>
  <c r="AZ1111" i="1" s="1"/>
  <c r="F1111" i="1"/>
  <c r="H1110" i="1"/>
  <c r="AZ1110" i="1" s="1"/>
  <c r="F1110" i="1"/>
  <c r="H1109" i="1"/>
  <c r="AZ1109" i="1" s="1"/>
  <c r="F1109" i="1"/>
  <c r="H1108" i="1"/>
  <c r="AZ1108" i="1" s="1"/>
  <c r="F1108" i="1"/>
  <c r="H1107" i="1"/>
  <c r="AZ1107" i="1" s="1"/>
  <c r="F1107" i="1"/>
  <c r="H1106" i="1"/>
  <c r="AZ1106" i="1" s="1"/>
  <c r="F1106" i="1"/>
  <c r="AZ1105" i="1"/>
  <c r="H1104" i="1"/>
  <c r="AZ1104" i="1" s="1"/>
  <c r="F1104" i="1"/>
  <c r="H1103" i="1"/>
  <c r="AZ1103" i="1" s="1"/>
  <c r="F1103" i="1"/>
  <c r="H1102" i="1"/>
  <c r="AZ1102" i="1" s="1"/>
  <c r="F1102" i="1"/>
  <c r="AZ1101" i="1"/>
  <c r="H1100" i="1"/>
  <c r="AZ1100" i="1" s="1"/>
  <c r="F1100" i="1"/>
  <c r="H1099" i="1"/>
  <c r="AZ1099" i="1" s="1"/>
  <c r="F1099" i="1"/>
  <c r="AZ1098" i="1"/>
  <c r="H1097" i="1"/>
  <c r="AZ1097" i="1" s="1"/>
  <c r="F1097" i="1"/>
  <c r="H1096" i="1"/>
  <c r="AZ1096" i="1" s="1"/>
  <c r="F1096" i="1"/>
  <c r="H1095" i="1"/>
  <c r="AZ1095" i="1" s="1"/>
  <c r="F1095" i="1"/>
  <c r="H1094" i="1"/>
  <c r="AZ1094" i="1" s="1"/>
  <c r="F1094" i="1"/>
  <c r="H1093" i="1"/>
  <c r="AZ1093" i="1" s="1"/>
  <c r="F1093" i="1"/>
  <c r="H1092" i="1"/>
  <c r="AZ1092" i="1" s="1"/>
  <c r="F1092" i="1"/>
  <c r="H1091" i="1"/>
  <c r="AZ1091" i="1" s="1"/>
  <c r="F1091" i="1"/>
  <c r="H1090" i="1"/>
  <c r="AZ1090" i="1" s="1"/>
  <c r="F1090" i="1"/>
  <c r="H1089" i="1"/>
  <c r="AZ1089" i="1" s="1"/>
  <c r="F1089" i="1"/>
  <c r="AZ1088" i="1"/>
  <c r="H1087" i="1"/>
  <c r="AZ1087" i="1" s="1"/>
  <c r="F1087" i="1"/>
  <c r="H1086" i="1"/>
  <c r="AZ1086" i="1" s="1"/>
  <c r="F1086" i="1"/>
  <c r="H1085" i="1"/>
  <c r="AZ1085" i="1" s="1"/>
  <c r="F1085" i="1"/>
  <c r="H1084" i="1"/>
  <c r="AZ1084" i="1" s="1"/>
  <c r="F1084" i="1"/>
  <c r="H1083" i="1"/>
  <c r="AZ1083" i="1" s="1"/>
  <c r="F1083" i="1"/>
  <c r="H1082" i="1"/>
  <c r="AZ1082" i="1" s="1"/>
  <c r="F1082" i="1"/>
  <c r="AZ1081" i="1"/>
  <c r="H1080" i="1"/>
  <c r="AZ1080" i="1" s="1"/>
  <c r="F1080" i="1"/>
  <c r="H1079" i="1"/>
  <c r="AZ1079" i="1" s="1"/>
  <c r="F1079" i="1"/>
  <c r="H1078" i="1"/>
  <c r="AZ1078" i="1" s="1"/>
  <c r="F1078" i="1"/>
  <c r="H1077" i="1"/>
  <c r="AZ1077" i="1" s="1"/>
  <c r="F1077" i="1"/>
  <c r="AZ1076" i="1"/>
  <c r="H1075" i="1"/>
  <c r="AZ1075" i="1" s="1"/>
  <c r="F1075" i="1"/>
  <c r="H1074" i="1"/>
  <c r="AZ1074" i="1" s="1"/>
  <c r="F1074" i="1"/>
  <c r="H1073" i="1"/>
  <c r="AZ1073" i="1" s="1"/>
  <c r="F1073" i="1"/>
  <c r="H1072" i="1"/>
  <c r="AZ1072" i="1" s="1"/>
  <c r="F1072" i="1"/>
  <c r="H1071" i="1"/>
  <c r="AZ1071" i="1" s="1"/>
  <c r="F1071" i="1"/>
  <c r="H1070" i="1"/>
  <c r="AZ1070" i="1" s="1"/>
  <c r="F1070" i="1"/>
  <c r="H1069" i="1"/>
  <c r="AZ1069" i="1" s="1"/>
  <c r="F1069" i="1"/>
  <c r="H1068" i="1"/>
  <c r="AZ1068" i="1" s="1"/>
  <c r="F1068" i="1"/>
  <c r="H1067" i="1"/>
  <c r="AZ1067" i="1" s="1"/>
  <c r="F1067" i="1"/>
  <c r="H1066" i="1"/>
  <c r="AZ1066" i="1" s="1"/>
  <c r="F1066" i="1"/>
  <c r="H1065" i="1"/>
  <c r="AZ1065" i="1" s="1"/>
  <c r="F1065" i="1"/>
  <c r="H1064" i="1"/>
  <c r="AZ1064" i="1" s="1"/>
  <c r="F1064" i="1"/>
  <c r="H1063" i="1"/>
  <c r="AZ1063" i="1" s="1"/>
  <c r="F1063" i="1"/>
  <c r="H1062" i="1"/>
  <c r="AZ1062" i="1" s="1"/>
  <c r="F1062" i="1"/>
  <c r="H1061" i="1"/>
  <c r="AZ1061" i="1" s="1"/>
  <c r="F1061" i="1"/>
  <c r="H1060" i="1"/>
  <c r="AZ1060" i="1" s="1"/>
  <c r="F1060" i="1"/>
  <c r="H1059" i="1"/>
  <c r="AZ1059" i="1" s="1"/>
  <c r="F1059" i="1"/>
  <c r="H1058" i="1"/>
  <c r="AZ1058" i="1" s="1"/>
  <c r="F1058" i="1"/>
  <c r="H1057" i="1"/>
  <c r="AZ1057" i="1" s="1"/>
  <c r="F1057" i="1"/>
  <c r="H1056" i="1"/>
  <c r="AZ1056" i="1" s="1"/>
  <c r="F1056" i="1"/>
  <c r="H1055" i="1"/>
  <c r="AZ1055" i="1" s="1"/>
  <c r="F1055" i="1"/>
  <c r="H1054" i="1"/>
  <c r="AZ1054" i="1" s="1"/>
  <c r="F1054" i="1"/>
  <c r="AZ1053" i="1"/>
  <c r="H1052" i="1"/>
  <c r="AZ1052" i="1" s="1"/>
  <c r="F1052" i="1"/>
  <c r="H1051" i="1"/>
  <c r="AZ1051" i="1" s="1"/>
  <c r="F1051" i="1"/>
  <c r="H1050" i="1"/>
  <c r="AZ1050" i="1" s="1"/>
  <c r="F1050" i="1"/>
  <c r="H1049" i="1"/>
  <c r="AZ1049" i="1" s="1"/>
  <c r="F1049" i="1"/>
  <c r="H1048" i="1"/>
  <c r="AZ1048" i="1" s="1"/>
  <c r="F1048" i="1"/>
  <c r="AZ1047" i="1"/>
  <c r="H1046" i="1"/>
  <c r="AZ1046" i="1" s="1"/>
  <c r="F1046" i="1"/>
  <c r="H1045" i="1"/>
  <c r="AZ1045" i="1" s="1"/>
  <c r="F1045" i="1"/>
  <c r="H1044" i="1"/>
  <c r="AZ1044" i="1" s="1"/>
  <c r="F1044" i="1"/>
  <c r="H1043" i="1"/>
  <c r="AZ1043" i="1" s="1"/>
  <c r="F1043" i="1"/>
  <c r="H1042" i="1"/>
  <c r="AZ1042" i="1" s="1"/>
  <c r="F1042" i="1"/>
  <c r="H1041" i="1"/>
  <c r="AZ1041" i="1" s="1"/>
  <c r="F1041" i="1"/>
  <c r="H1040" i="1"/>
  <c r="AZ1040" i="1" s="1"/>
  <c r="F1040" i="1"/>
  <c r="H1039" i="1"/>
  <c r="AZ1039" i="1" s="1"/>
  <c r="F1039" i="1"/>
  <c r="H1038" i="1"/>
  <c r="AZ1038" i="1" s="1"/>
  <c r="F1038" i="1"/>
  <c r="H1037" i="1"/>
  <c r="AZ1037" i="1" s="1"/>
  <c r="F1037" i="1"/>
  <c r="H1036" i="1"/>
  <c r="AZ1036" i="1" s="1"/>
  <c r="F1036" i="1"/>
  <c r="H1035" i="1"/>
  <c r="AZ1035" i="1" s="1"/>
  <c r="F1035" i="1"/>
  <c r="H1034" i="1"/>
  <c r="AZ1034" i="1" s="1"/>
  <c r="F1034" i="1"/>
  <c r="H1033" i="1"/>
  <c r="AZ1033" i="1" s="1"/>
  <c r="F1033" i="1"/>
  <c r="H1032" i="1"/>
  <c r="AZ1032" i="1" s="1"/>
  <c r="F1032" i="1"/>
  <c r="H1031" i="1"/>
  <c r="AZ1031" i="1" s="1"/>
  <c r="F1031" i="1"/>
  <c r="H1030" i="1"/>
  <c r="AZ1030" i="1" s="1"/>
  <c r="F1030" i="1"/>
  <c r="H1029" i="1"/>
  <c r="AZ1029" i="1" s="1"/>
  <c r="F1029" i="1"/>
  <c r="H1028" i="1"/>
  <c r="AZ1028" i="1" s="1"/>
  <c r="F1028" i="1"/>
  <c r="H1027" i="1"/>
  <c r="AZ1027" i="1" s="1"/>
  <c r="F1027" i="1"/>
  <c r="H1026" i="1"/>
  <c r="AZ1026" i="1" s="1"/>
  <c r="F1026" i="1"/>
  <c r="H1025" i="1"/>
  <c r="AZ1025" i="1" s="1"/>
  <c r="F1025" i="1"/>
  <c r="H1024" i="1"/>
  <c r="AZ1024" i="1" s="1"/>
  <c r="F1024" i="1"/>
  <c r="H1023" i="1"/>
  <c r="AZ1023" i="1" s="1"/>
  <c r="F1023" i="1"/>
  <c r="H1022" i="1"/>
  <c r="AZ1022" i="1" s="1"/>
  <c r="F1022" i="1"/>
  <c r="H1021" i="1"/>
  <c r="AZ1021" i="1" s="1"/>
  <c r="F1021" i="1"/>
  <c r="H1020" i="1"/>
  <c r="AZ1020" i="1" s="1"/>
  <c r="F1020" i="1"/>
  <c r="H1019" i="1"/>
  <c r="AZ1019" i="1" s="1"/>
  <c r="F1019" i="1"/>
  <c r="H1018" i="1"/>
  <c r="AZ1018" i="1" s="1"/>
  <c r="F1018" i="1"/>
  <c r="H1017" i="1"/>
  <c r="AZ1017" i="1" s="1"/>
  <c r="F1017" i="1"/>
  <c r="H1016" i="1"/>
  <c r="AZ1016" i="1" s="1"/>
  <c r="F1016" i="1"/>
  <c r="H1015" i="1"/>
  <c r="AZ1015" i="1" s="1"/>
  <c r="F1015" i="1"/>
  <c r="H1014" i="1"/>
  <c r="AZ1014" i="1" s="1"/>
  <c r="F1014" i="1"/>
  <c r="H1013" i="1"/>
  <c r="AZ1013" i="1" s="1"/>
  <c r="F1013" i="1"/>
  <c r="H1012" i="1"/>
  <c r="AZ1012" i="1" s="1"/>
  <c r="F1012" i="1"/>
  <c r="H1011" i="1"/>
  <c r="AZ1011" i="1" s="1"/>
  <c r="F1011" i="1"/>
  <c r="H1010" i="1"/>
  <c r="AZ1010" i="1" s="1"/>
  <c r="F1010" i="1"/>
  <c r="H1009" i="1"/>
  <c r="AZ1009" i="1" s="1"/>
  <c r="F1009" i="1"/>
  <c r="AZ1008" i="1"/>
  <c r="H1007" i="1"/>
  <c r="AZ1007" i="1" s="1"/>
  <c r="F1007" i="1"/>
  <c r="H1006" i="1"/>
  <c r="AZ1006" i="1" s="1"/>
  <c r="F1006" i="1"/>
  <c r="H1005" i="1"/>
  <c r="AZ1005" i="1" s="1"/>
  <c r="F1005" i="1"/>
  <c r="H1004" i="1"/>
  <c r="AZ1004" i="1" s="1"/>
  <c r="F1004" i="1"/>
  <c r="H1003" i="1"/>
  <c r="AZ1003" i="1" s="1"/>
  <c r="F1003" i="1"/>
  <c r="H1002" i="1"/>
  <c r="AZ1002" i="1" s="1"/>
  <c r="F1002" i="1"/>
  <c r="H1001" i="1"/>
  <c r="AZ1001" i="1" s="1"/>
  <c r="F1001" i="1"/>
  <c r="H1000" i="1"/>
  <c r="AZ1000" i="1" s="1"/>
  <c r="F1000" i="1"/>
  <c r="AZ999" i="1"/>
  <c r="H998" i="1"/>
  <c r="AZ998" i="1" s="1"/>
  <c r="F998" i="1"/>
  <c r="H997" i="1"/>
  <c r="AZ997" i="1" s="1"/>
  <c r="F997" i="1"/>
  <c r="H996" i="1"/>
  <c r="AZ996" i="1" s="1"/>
  <c r="F996" i="1"/>
  <c r="H995" i="1"/>
  <c r="AZ995" i="1" s="1"/>
  <c r="F995" i="1"/>
  <c r="H994" i="1"/>
  <c r="AZ994" i="1" s="1"/>
  <c r="F994" i="1"/>
  <c r="H993" i="1"/>
  <c r="AZ993" i="1" s="1"/>
  <c r="F993" i="1"/>
  <c r="AZ992" i="1"/>
  <c r="H991" i="1"/>
  <c r="AZ991" i="1" s="1"/>
  <c r="F991" i="1"/>
  <c r="H990" i="1"/>
  <c r="AZ990" i="1" s="1"/>
  <c r="F990" i="1"/>
  <c r="H989" i="1"/>
  <c r="AZ989" i="1" s="1"/>
  <c r="F989" i="1"/>
  <c r="H988" i="1"/>
  <c r="AZ988" i="1" s="1"/>
  <c r="F988" i="1"/>
  <c r="H987" i="1"/>
  <c r="AZ987" i="1" s="1"/>
  <c r="F987" i="1"/>
  <c r="H986" i="1"/>
  <c r="AZ986" i="1" s="1"/>
  <c r="F986" i="1"/>
  <c r="H985" i="1"/>
  <c r="AZ985" i="1" s="1"/>
  <c r="F985" i="1"/>
  <c r="H984" i="1"/>
  <c r="AZ984" i="1" s="1"/>
  <c r="F984" i="1"/>
  <c r="H983" i="1"/>
  <c r="AZ983" i="1" s="1"/>
  <c r="F983" i="1"/>
  <c r="AZ982" i="1"/>
  <c r="H981" i="1"/>
  <c r="AZ981" i="1" s="1"/>
  <c r="F981" i="1"/>
  <c r="H980" i="1"/>
  <c r="AZ980" i="1" s="1"/>
  <c r="F980" i="1"/>
  <c r="H979" i="1"/>
  <c r="AZ979" i="1" s="1"/>
  <c r="F979" i="1"/>
  <c r="H978" i="1"/>
  <c r="AZ978" i="1" s="1"/>
  <c r="F978" i="1"/>
  <c r="H977" i="1"/>
  <c r="AZ977" i="1" s="1"/>
  <c r="F977" i="1"/>
  <c r="H976" i="1"/>
  <c r="AZ976" i="1" s="1"/>
  <c r="F976" i="1"/>
  <c r="H975" i="1"/>
  <c r="AZ975" i="1" s="1"/>
  <c r="F975" i="1"/>
  <c r="H974" i="1"/>
  <c r="AZ974" i="1" s="1"/>
  <c r="F974" i="1"/>
  <c r="H973" i="1"/>
  <c r="AZ973" i="1" s="1"/>
  <c r="F973" i="1"/>
  <c r="H972" i="1"/>
  <c r="AZ972" i="1" s="1"/>
  <c r="F972" i="1"/>
  <c r="H971" i="1"/>
  <c r="AZ971" i="1" s="1"/>
  <c r="F971" i="1"/>
  <c r="AZ970" i="1"/>
  <c r="H969" i="1"/>
  <c r="AZ969" i="1" s="1"/>
  <c r="F969" i="1"/>
  <c r="H968" i="1"/>
  <c r="AZ968" i="1" s="1"/>
  <c r="F968" i="1"/>
  <c r="H967" i="1"/>
  <c r="AZ967" i="1" s="1"/>
  <c r="F967" i="1"/>
  <c r="H966" i="1"/>
  <c r="AZ966" i="1" s="1"/>
  <c r="F966" i="1"/>
  <c r="H965" i="1"/>
  <c r="AZ965" i="1" s="1"/>
  <c r="F965" i="1"/>
  <c r="H964" i="1"/>
  <c r="AZ964" i="1" s="1"/>
  <c r="F964" i="1"/>
  <c r="H963" i="1"/>
  <c r="AZ963" i="1" s="1"/>
  <c r="F963" i="1"/>
  <c r="H962" i="1"/>
  <c r="AZ962" i="1" s="1"/>
  <c r="F962" i="1"/>
  <c r="H961" i="1"/>
  <c r="AZ961" i="1" s="1"/>
  <c r="F961" i="1"/>
  <c r="H960" i="1"/>
  <c r="AZ960" i="1" s="1"/>
  <c r="F960" i="1"/>
  <c r="H959" i="1"/>
  <c r="AZ959" i="1" s="1"/>
  <c r="F959" i="1"/>
  <c r="H958" i="1"/>
  <c r="AZ958" i="1" s="1"/>
  <c r="F958" i="1"/>
  <c r="H957" i="1"/>
  <c r="AZ957" i="1" s="1"/>
  <c r="F957" i="1"/>
  <c r="H956" i="1"/>
  <c r="AZ956" i="1" s="1"/>
  <c r="F956" i="1"/>
  <c r="H955" i="1"/>
  <c r="AZ955" i="1" s="1"/>
  <c r="F955" i="1"/>
  <c r="H954" i="1"/>
  <c r="AZ954" i="1" s="1"/>
  <c r="F954" i="1"/>
  <c r="H953" i="1"/>
  <c r="AZ953" i="1" s="1"/>
  <c r="F953" i="1"/>
  <c r="H952" i="1"/>
  <c r="AZ952" i="1" s="1"/>
  <c r="F952" i="1"/>
  <c r="H951" i="1"/>
  <c r="AZ951" i="1" s="1"/>
  <c r="F951" i="1"/>
  <c r="H950" i="1"/>
  <c r="AZ950" i="1" s="1"/>
  <c r="F950" i="1"/>
  <c r="H949" i="1"/>
  <c r="AZ949" i="1" s="1"/>
  <c r="F949" i="1"/>
  <c r="H948" i="1"/>
  <c r="AZ948" i="1" s="1"/>
  <c r="F948" i="1"/>
  <c r="H947" i="1"/>
  <c r="AZ947" i="1" s="1"/>
  <c r="F947" i="1"/>
  <c r="H946" i="1"/>
  <c r="AZ946" i="1" s="1"/>
  <c r="F946" i="1"/>
  <c r="H945" i="1"/>
  <c r="AZ945" i="1" s="1"/>
  <c r="F945" i="1"/>
  <c r="H944" i="1"/>
  <c r="AZ944" i="1" s="1"/>
  <c r="F944" i="1"/>
  <c r="H943" i="1"/>
  <c r="AZ943" i="1" s="1"/>
  <c r="F943" i="1"/>
  <c r="H942" i="1"/>
  <c r="AZ942" i="1" s="1"/>
  <c r="F942" i="1"/>
  <c r="H941" i="1"/>
  <c r="AZ941" i="1" s="1"/>
  <c r="F941" i="1"/>
  <c r="H940" i="1"/>
  <c r="AZ940" i="1" s="1"/>
  <c r="F940" i="1"/>
  <c r="H939" i="1"/>
  <c r="AZ939" i="1" s="1"/>
  <c r="F939" i="1"/>
  <c r="AZ938" i="1"/>
  <c r="H937" i="1"/>
  <c r="AZ937" i="1" s="1"/>
  <c r="F937" i="1"/>
  <c r="H936" i="1"/>
  <c r="AZ936" i="1" s="1"/>
  <c r="F936" i="1"/>
  <c r="AZ935" i="1"/>
  <c r="H934" i="1"/>
  <c r="AZ934" i="1" s="1"/>
  <c r="F934" i="1"/>
  <c r="H933" i="1"/>
  <c r="AZ933" i="1" s="1"/>
  <c r="F933" i="1"/>
  <c r="H932" i="1"/>
  <c r="AZ932" i="1" s="1"/>
  <c r="F932" i="1"/>
  <c r="H931" i="1"/>
  <c r="AZ931" i="1" s="1"/>
  <c r="F931" i="1"/>
  <c r="AZ930" i="1"/>
  <c r="H929" i="1"/>
  <c r="AZ929" i="1" s="1"/>
  <c r="F929" i="1"/>
  <c r="H928" i="1"/>
  <c r="AZ928" i="1" s="1"/>
  <c r="F928" i="1"/>
  <c r="AZ927" i="1"/>
  <c r="H926" i="1"/>
  <c r="AZ926" i="1" s="1"/>
  <c r="F926" i="1"/>
  <c r="H925" i="1"/>
  <c r="AZ925" i="1" s="1"/>
  <c r="F925" i="1"/>
  <c r="H924" i="1"/>
  <c r="AZ924" i="1" s="1"/>
  <c r="F924" i="1"/>
  <c r="AZ923" i="1"/>
  <c r="H922" i="1"/>
  <c r="AZ922" i="1" s="1"/>
  <c r="F922" i="1"/>
  <c r="H921" i="1"/>
  <c r="F921" i="1"/>
  <c r="H920" i="1"/>
  <c r="F920" i="1"/>
  <c r="H919" i="1"/>
  <c r="F919" i="1"/>
  <c r="H917" i="1"/>
  <c r="F917" i="1"/>
  <c r="H916" i="1"/>
  <c r="F916" i="1"/>
  <c r="H915" i="1"/>
  <c r="F915" i="1"/>
  <c r="H914" i="1"/>
  <c r="F914" i="1"/>
  <c r="H913" i="1"/>
  <c r="F913" i="1"/>
  <c r="H912" i="1"/>
  <c r="F912" i="1"/>
  <c r="H911" i="1"/>
  <c r="F911" i="1"/>
  <c r="H910" i="1"/>
  <c r="F910" i="1"/>
  <c r="H909" i="1"/>
  <c r="F909" i="1"/>
  <c r="H907" i="1"/>
  <c r="F907" i="1"/>
  <c r="H906" i="1"/>
  <c r="F906" i="1"/>
  <c r="H904" i="1"/>
  <c r="F904" i="1"/>
  <c r="H903" i="1"/>
  <c r="F903" i="1"/>
  <c r="H902" i="1"/>
  <c r="F902" i="1"/>
  <c r="H901" i="1"/>
  <c r="F901" i="1"/>
  <c r="H900" i="1"/>
  <c r="F900" i="1"/>
  <c r="H899" i="1"/>
  <c r="F899" i="1"/>
  <c r="H898" i="1"/>
  <c r="F898" i="1"/>
  <c r="H897" i="1"/>
  <c r="F897" i="1"/>
  <c r="H896" i="1"/>
  <c r="F896" i="1"/>
  <c r="H895" i="1"/>
  <c r="F895" i="1"/>
  <c r="H894" i="1"/>
  <c r="F894" i="1"/>
  <c r="H893" i="1"/>
  <c r="F893" i="1"/>
  <c r="H892" i="1"/>
  <c r="F892" i="1"/>
  <c r="H891" i="1"/>
  <c r="F891" i="1"/>
  <c r="H890" i="1"/>
  <c r="F890" i="1"/>
  <c r="H888" i="1"/>
  <c r="F888" i="1"/>
  <c r="H887" i="1"/>
  <c r="F887" i="1"/>
  <c r="H886" i="1"/>
  <c r="F886" i="1"/>
  <c r="H885" i="1"/>
  <c r="F885" i="1"/>
  <c r="H884" i="1"/>
  <c r="F884" i="1"/>
  <c r="H883" i="1"/>
  <c r="F883" i="1"/>
  <c r="H882" i="1"/>
  <c r="F882" i="1"/>
  <c r="H881" i="1"/>
  <c r="F881" i="1"/>
  <c r="H880" i="1"/>
  <c r="F880" i="1"/>
  <c r="H879" i="1"/>
  <c r="F879" i="1"/>
  <c r="H877" i="1"/>
  <c r="F877" i="1"/>
  <c r="H876" i="1"/>
  <c r="F876" i="1"/>
  <c r="H875" i="1"/>
  <c r="F875" i="1"/>
  <c r="H874" i="1"/>
  <c r="F874" i="1"/>
  <c r="H873" i="1"/>
  <c r="F873" i="1"/>
  <c r="H871" i="1"/>
  <c r="F871" i="1"/>
  <c r="H870" i="1"/>
  <c r="F870" i="1"/>
  <c r="H869" i="1"/>
  <c r="F869" i="1"/>
  <c r="H868" i="1"/>
  <c r="F868" i="1"/>
  <c r="H867" i="1"/>
  <c r="F867" i="1"/>
  <c r="H866" i="1"/>
  <c r="F866" i="1"/>
  <c r="H865" i="1"/>
  <c r="F865" i="1"/>
  <c r="H864" i="1"/>
  <c r="F864" i="1"/>
  <c r="H863" i="1"/>
  <c r="F863" i="1"/>
  <c r="H862" i="1"/>
  <c r="F862" i="1"/>
  <c r="H861" i="1"/>
  <c r="F861" i="1"/>
  <c r="H860" i="1"/>
  <c r="F860" i="1"/>
  <c r="H859" i="1"/>
  <c r="F859" i="1"/>
  <c r="H858" i="1"/>
  <c r="F858" i="1"/>
  <c r="H857" i="1"/>
  <c r="F857" i="1"/>
  <c r="H856" i="1"/>
  <c r="F856" i="1"/>
  <c r="H855" i="1"/>
  <c r="F855" i="1"/>
  <c r="H854" i="1"/>
  <c r="F854" i="1"/>
  <c r="H853" i="1"/>
  <c r="F853" i="1"/>
  <c r="H852" i="1"/>
  <c r="F852" i="1"/>
  <c r="H851" i="1"/>
  <c r="F851" i="1"/>
  <c r="H850" i="1"/>
  <c r="F850" i="1"/>
  <c r="H849" i="1"/>
  <c r="F849" i="1"/>
  <c r="H848" i="1"/>
  <c r="F848" i="1"/>
  <c r="H847" i="1"/>
  <c r="F847" i="1"/>
  <c r="H846" i="1"/>
  <c r="F846" i="1"/>
  <c r="H845" i="1"/>
  <c r="F845" i="1"/>
  <c r="H844" i="1"/>
  <c r="F844" i="1"/>
  <c r="H843" i="1"/>
  <c r="F843" i="1"/>
  <c r="H842" i="1"/>
  <c r="F842" i="1"/>
  <c r="H841" i="1"/>
  <c r="F841" i="1"/>
  <c r="H840" i="1"/>
  <c r="F840" i="1"/>
  <c r="H839" i="1"/>
  <c r="F839" i="1"/>
  <c r="H838" i="1"/>
  <c r="F838" i="1"/>
  <c r="H837" i="1"/>
  <c r="F837" i="1"/>
  <c r="H835" i="1"/>
  <c r="F835" i="1"/>
  <c r="H834" i="1"/>
  <c r="F834" i="1"/>
  <c r="H833" i="1"/>
  <c r="F833" i="1"/>
  <c r="H832" i="1"/>
  <c r="F832" i="1"/>
  <c r="H831" i="1"/>
  <c r="F831" i="1"/>
  <c r="H830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F823" i="1"/>
  <c r="H822" i="1"/>
  <c r="F822" i="1"/>
  <c r="H821" i="1"/>
  <c r="F821" i="1"/>
  <c r="H820" i="1"/>
  <c r="F820" i="1"/>
  <c r="H819" i="1"/>
  <c r="F819" i="1"/>
  <c r="H818" i="1"/>
  <c r="F818" i="1"/>
  <c r="H817" i="1"/>
  <c r="F817" i="1"/>
  <c r="H816" i="1"/>
  <c r="F816" i="1"/>
  <c r="H815" i="1"/>
  <c r="F815" i="1"/>
  <c r="H814" i="1"/>
  <c r="F814" i="1"/>
  <c r="H813" i="1"/>
  <c r="F813" i="1"/>
  <c r="H812" i="1"/>
  <c r="F812" i="1"/>
  <c r="H811" i="1"/>
  <c r="F811" i="1"/>
  <c r="H810" i="1"/>
  <c r="F810" i="1"/>
  <c r="H809" i="1"/>
  <c r="F809" i="1"/>
  <c r="H808" i="1"/>
  <c r="F808" i="1"/>
  <c r="H807" i="1"/>
  <c r="F807" i="1"/>
  <c r="H806" i="1"/>
  <c r="F806" i="1"/>
  <c r="H805" i="1"/>
  <c r="F805" i="1"/>
  <c r="H804" i="1"/>
  <c r="F804" i="1"/>
  <c r="H803" i="1"/>
  <c r="F803" i="1"/>
  <c r="H802" i="1"/>
  <c r="F802" i="1"/>
  <c r="H801" i="1"/>
  <c r="F801" i="1"/>
  <c r="H800" i="1"/>
  <c r="F800" i="1"/>
  <c r="H799" i="1"/>
  <c r="F799" i="1"/>
  <c r="H798" i="1"/>
  <c r="F798" i="1"/>
  <c r="H797" i="1"/>
  <c r="F797" i="1"/>
  <c r="H796" i="1"/>
  <c r="F796" i="1"/>
  <c r="H795" i="1"/>
  <c r="F795" i="1"/>
  <c r="H794" i="1"/>
  <c r="F794" i="1"/>
  <c r="H793" i="1"/>
  <c r="F793" i="1"/>
  <c r="H792" i="1"/>
  <c r="F792" i="1"/>
  <c r="H791" i="1"/>
  <c r="F791" i="1"/>
  <c r="H790" i="1"/>
  <c r="F790" i="1"/>
  <c r="H789" i="1"/>
  <c r="F789" i="1"/>
  <c r="H788" i="1"/>
  <c r="F788" i="1"/>
  <c r="H787" i="1"/>
  <c r="F787" i="1"/>
  <c r="H786" i="1"/>
  <c r="F786" i="1"/>
  <c r="H785" i="1"/>
  <c r="F785" i="1"/>
  <c r="H784" i="1"/>
  <c r="F784" i="1"/>
  <c r="H782" i="1"/>
  <c r="F782" i="1"/>
  <c r="H781" i="1"/>
  <c r="F781" i="1"/>
  <c r="H780" i="1"/>
  <c r="F780" i="1"/>
  <c r="H779" i="1"/>
  <c r="F779" i="1"/>
  <c r="H778" i="1"/>
  <c r="F778" i="1"/>
  <c r="H777" i="1"/>
  <c r="F777" i="1"/>
  <c r="H776" i="1"/>
  <c r="F776" i="1"/>
  <c r="H775" i="1"/>
  <c r="F775" i="1"/>
  <c r="H774" i="1"/>
  <c r="F774" i="1"/>
  <c r="H773" i="1"/>
  <c r="F773" i="1"/>
  <c r="H772" i="1"/>
  <c r="F772" i="1"/>
  <c r="H771" i="1"/>
  <c r="F771" i="1"/>
  <c r="H770" i="1"/>
  <c r="F770" i="1"/>
  <c r="H769" i="1"/>
  <c r="F769" i="1"/>
  <c r="H768" i="1"/>
  <c r="F768" i="1"/>
  <c r="H767" i="1"/>
  <c r="F767" i="1"/>
  <c r="H766" i="1"/>
  <c r="F766" i="1"/>
  <c r="H764" i="1"/>
  <c r="F764" i="1"/>
  <c r="H763" i="1"/>
  <c r="F763" i="1"/>
  <c r="H762" i="1"/>
  <c r="F762" i="1"/>
  <c r="H761" i="1"/>
  <c r="F761" i="1"/>
  <c r="H760" i="1"/>
  <c r="F760" i="1"/>
  <c r="H759" i="1"/>
  <c r="F759" i="1"/>
  <c r="H758" i="1"/>
  <c r="F758" i="1"/>
  <c r="H757" i="1"/>
  <c r="F757" i="1"/>
  <c r="H756" i="1"/>
  <c r="F756" i="1"/>
  <c r="H755" i="1"/>
  <c r="F755" i="1"/>
  <c r="H754" i="1"/>
  <c r="F754" i="1"/>
  <c r="H753" i="1"/>
  <c r="F753" i="1"/>
  <c r="H752" i="1"/>
  <c r="F752" i="1"/>
  <c r="H751" i="1"/>
  <c r="F751" i="1"/>
  <c r="H750" i="1"/>
  <c r="F750" i="1"/>
  <c r="H749" i="1"/>
  <c r="F749" i="1"/>
  <c r="H748" i="1"/>
  <c r="F748" i="1"/>
  <c r="H747" i="1"/>
  <c r="F747" i="1"/>
  <c r="H746" i="1"/>
  <c r="F746" i="1"/>
  <c r="H744" i="1"/>
  <c r="F744" i="1"/>
  <c r="H743" i="1"/>
  <c r="F743" i="1"/>
  <c r="H742" i="1"/>
  <c r="F742" i="1"/>
  <c r="H741" i="1"/>
  <c r="F741" i="1"/>
  <c r="H740" i="1"/>
  <c r="F740" i="1"/>
  <c r="H739" i="1"/>
  <c r="F739" i="1"/>
  <c r="H738" i="1"/>
  <c r="F738" i="1"/>
  <c r="H737" i="1"/>
  <c r="F737" i="1"/>
  <c r="H736" i="1"/>
  <c r="F736" i="1"/>
  <c r="H735" i="1"/>
  <c r="F735" i="1"/>
  <c r="H734" i="1"/>
  <c r="F734" i="1"/>
  <c r="H733" i="1"/>
  <c r="F733" i="1"/>
  <c r="H732" i="1"/>
  <c r="F732" i="1"/>
  <c r="H731" i="1"/>
  <c r="F731" i="1"/>
  <c r="H730" i="1"/>
  <c r="F730" i="1"/>
  <c r="H729" i="1"/>
  <c r="F729" i="1"/>
  <c r="H728" i="1"/>
  <c r="F728" i="1"/>
  <c r="H727" i="1"/>
  <c r="F727" i="1"/>
  <c r="H726" i="1"/>
  <c r="F726" i="1"/>
  <c r="H725" i="1"/>
  <c r="F725" i="1"/>
  <c r="H724" i="1"/>
  <c r="F724" i="1"/>
  <c r="H723" i="1"/>
  <c r="F723" i="1"/>
  <c r="H722" i="1"/>
  <c r="F722" i="1"/>
  <c r="H721" i="1"/>
  <c r="F721" i="1"/>
  <c r="H719" i="1"/>
  <c r="F719" i="1"/>
  <c r="H718" i="1"/>
  <c r="F718" i="1"/>
  <c r="H717" i="1"/>
  <c r="F717" i="1"/>
  <c r="H716" i="1"/>
  <c r="F716" i="1"/>
  <c r="H715" i="1"/>
  <c r="F715" i="1"/>
  <c r="H714" i="1"/>
  <c r="F714" i="1"/>
  <c r="H713" i="1"/>
  <c r="F713" i="1"/>
  <c r="H712" i="1"/>
  <c r="F712" i="1"/>
  <c r="H711" i="1"/>
  <c r="F711" i="1"/>
  <c r="H710" i="1"/>
  <c r="F710" i="1"/>
  <c r="H709" i="1"/>
  <c r="F709" i="1"/>
  <c r="H708" i="1"/>
  <c r="F708" i="1"/>
  <c r="H707" i="1"/>
  <c r="F707" i="1"/>
  <c r="H706" i="1"/>
  <c r="F706" i="1"/>
  <c r="H705" i="1"/>
  <c r="F705" i="1"/>
  <c r="H704" i="1"/>
  <c r="F704" i="1"/>
  <c r="H703" i="1"/>
  <c r="F703" i="1"/>
  <c r="H702" i="1"/>
  <c r="F702" i="1"/>
  <c r="H701" i="1"/>
  <c r="F701" i="1"/>
  <c r="H700" i="1"/>
  <c r="F700" i="1"/>
  <c r="H699" i="1"/>
  <c r="F699" i="1"/>
  <c r="H697" i="1"/>
  <c r="F697" i="1"/>
  <c r="H696" i="1"/>
  <c r="F696" i="1"/>
  <c r="H695" i="1"/>
  <c r="F695" i="1"/>
  <c r="H694" i="1"/>
  <c r="F694" i="1"/>
  <c r="H693" i="1"/>
  <c r="F693" i="1"/>
  <c r="H692" i="1"/>
  <c r="F692" i="1"/>
  <c r="H691" i="1"/>
  <c r="F691" i="1"/>
  <c r="H690" i="1"/>
  <c r="F690" i="1"/>
  <c r="H689" i="1"/>
  <c r="F689" i="1"/>
  <c r="H688" i="1"/>
  <c r="F688" i="1"/>
  <c r="H687" i="1"/>
  <c r="F687" i="1"/>
  <c r="H686" i="1"/>
  <c r="F686" i="1"/>
  <c r="H685" i="1"/>
  <c r="F685" i="1"/>
  <c r="H684" i="1"/>
  <c r="F684" i="1"/>
  <c r="H683" i="1"/>
  <c r="F683" i="1"/>
  <c r="H682" i="1"/>
  <c r="F682" i="1"/>
  <c r="H681" i="1"/>
  <c r="F681" i="1"/>
  <c r="H680" i="1"/>
  <c r="F680" i="1"/>
  <c r="H679" i="1"/>
  <c r="F679" i="1"/>
  <c r="H678" i="1"/>
  <c r="F678" i="1"/>
  <c r="H676" i="1"/>
  <c r="F676" i="1"/>
  <c r="H675" i="1"/>
  <c r="F675" i="1"/>
  <c r="H674" i="1"/>
  <c r="F674" i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40" i="1"/>
  <c r="F640" i="1"/>
  <c r="H639" i="1"/>
  <c r="F639" i="1"/>
  <c r="H638" i="1"/>
  <c r="F638" i="1"/>
  <c r="H637" i="1"/>
  <c r="F637" i="1"/>
  <c r="H636" i="1"/>
  <c r="F636" i="1"/>
  <c r="H635" i="1"/>
  <c r="F635" i="1"/>
  <c r="H634" i="1"/>
  <c r="F634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6" i="1"/>
  <c r="F616" i="1"/>
  <c r="H615" i="1"/>
  <c r="F615" i="1"/>
  <c r="H614" i="1"/>
  <c r="F614" i="1"/>
  <c r="H613" i="1"/>
  <c r="F613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5" i="1"/>
  <c r="F565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50" i="1"/>
  <c r="F550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6" i="1"/>
  <c r="F536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5" i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7" i="1"/>
  <c r="F497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1" i="1"/>
  <c r="F471" i="1"/>
  <c r="H470" i="1"/>
  <c r="F470" i="1"/>
  <c r="H469" i="1"/>
  <c r="F469" i="1"/>
  <c r="H468" i="1"/>
  <c r="F468" i="1"/>
  <c r="H467" i="1"/>
  <c r="F467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8" i="1"/>
  <c r="F428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F416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6" i="1"/>
  <c r="F396" i="1"/>
  <c r="H395" i="1"/>
  <c r="F395" i="1"/>
  <c r="H394" i="1"/>
  <c r="F394" i="1"/>
  <c r="H393" i="1"/>
  <c r="F393" i="1"/>
  <c r="H392" i="1"/>
  <c r="F392" i="1"/>
  <c r="H391" i="1"/>
  <c r="F391" i="1"/>
  <c r="H390" i="1"/>
  <c r="F390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1" i="1"/>
  <c r="F381" i="1"/>
  <c r="H380" i="1"/>
  <c r="F380" i="1"/>
  <c r="H379" i="1"/>
  <c r="F379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1" i="1"/>
  <c r="F311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6" i="1"/>
  <c r="F216" i="1"/>
  <c r="H215" i="1"/>
  <c r="F215" i="1"/>
  <c r="H214" i="1"/>
  <c r="F214" i="1"/>
  <c r="H213" i="1"/>
  <c r="F213" i="1"/>
  <c r="H212" i="1"/>
  <c r="F212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4" i="1"/>
  <c r="F14" i="1"/>
  <c r="H13" i="1"/>
  <c r="F13" i="1"/>
  <c r="H12" i="1"/>
  <c r="F12" i="1"/>
  <c r="H11" i="1"/>
  <c r="F11" i="1"/>
  <c r="F10" i="1"/>
  <c r="I2220" i="1" l="1"/>
  <c r="K2220" i="1"/>
  <c r="G2220" i="1" s="1"/>
  <c r="I2102" i="1"/>
  <c r="K2102" i="1"/>
  <c r="G2102" i="1" s="1"/>
  <c r="I1888" i="1"/>
  <c r="K1888" i="1"/>
  <c r="G1888" i="1" s="1"/>
  <c r="I1418" i="1"/>
  <c r="K1418" i="1"/>
  <c r="G1418" i="1" s="1"/>
  <c r="I1316" i="1"/>
  <c r="K1316" i="1"/>
  <c r="G1316" i="1" s="1"/>
  <c r="I1102" i="1"/>
  <c r="K1102" i="1"/>
  <c r="G1102" i="1" s="1"/>
  <c r="I995" i="1"/>
  <c r="K995" i="1"/>
  <c r="I877" i="1"/>
  <c r="K877" i="1"/>
  <c r="G877" i="1" s="1"/>
  <c r="K754" i="1"/>
  <c r="I754" i="1"/>
  <c r="G754" i="1" s="1"/>
  <c r="K630" i="1"/>
  <c r="I630" i="1"/>
  <c r="G630" i="1" s="1"/>
  <c r="I509" i="1"/>
  <c r="K509" i="1"/>
  <c r="G509" i="1" s="1"/>
  <c r="K386" i="1"/>
  <c r="I386" i="1"/>
  <c r="G386" i="1" s="1"/>
  <c r="K262" i="1"/>
  <c r="I262" i="1"/>
  <c r="G262" i="1" s="1"/>
  <c r="L2334" i="1"/>
  <c r="L2335" i="1" s="1"/>
  <c r="J2334" i="1"/>
  <c r="J2335" i="1" s="1"/>
  <c r="I2335" i="1" s="1"/>
  <c r="K2330" i="1"/>
  <c r="I2330" i="1"/>
  <c r="G2330" i="1" s="1"/>
  <c r="K2329" i="1"/>
  <c r="I2329" i="1"/>
  <c r="G2329" i="1" s="1"/>
  <c r="K2328" i="1"/>
  <c r="I2328" i="1"/>
  <c r="G2328" i="1" s="1"/>
  <c r="K2327" i="1"/>
  <c r="I2327" i="1"/>
  <c r="G2327" i="1" s="1"/>
  <c r="K2326" i="1"/>
  <c r="I2326" i="1"/>
  <c r="G2326" i="1" s="1"/>
  <c r="K2325" i="1"/>
  <c r="I2325" i="1"/>
  <c r="G2325" i="1" s="1"/>
  <c r="K2324" i="1"/>
  <c r="I2324" i="1"/>
  <c r="G2324" i="1" s="1"/>
  <c r="I2323" i="1"/>
  <c r="K2323" i="1"/>
  <c r="K2322" i="1"/>
  <c r="I2322" i="1"/>
  <c r="G2322" i="1" s="1"/>
  <c r="K2321" i="1"/>
  <c r="I2321" i="1"/>
  <c r="G2321" i="1" s="1"/>
  <c r="K2320" i="1"/>
  <c r="I2320" i="1"/>
  <c r="G2320" i="1" s="1"/>
  <c r="K2319" i="1"/>
  <c r="I2319" i="1"/>
  <c r="G2319" i="1" s="1"/>
  <c r="K2318" i="1"/>
  <c r="I2318" i="1"/>
  <c r="G2318" i="1" s="1"/>
  <c r="K2317" i="1"/>
  <c r="I2317" i="1"/>
  <c r="K2316" i="1"/>
  <c r="I2316" i="1"/>
  <c r="G2316" i="1" s="1"/>
  <c r="K2315" i="1"/>
  <c r="I2315" i="1"/>
  <c r="G2315" i="1" s="1"/>
  <c r="K2314" i="1"/>
  <c r="I2314" i="1"/>
  <c r="G2314" i="1" s="1"/>
  <c r="K2313" i="1"/>
  <c r="I2313" i="1"/>
  <c r="G2313" i="1" s="1"/>
  <c r="K2312" i="1"/>
  <c r="I2312" i="1"/>
  <c r="G2312" i="1" s="1"/>
  <c r="K2311" i="1"/>
  <c r="I2311" i="1"/>
  <c r="G2311" i="1" s="1"/>
  <c r="K2310" i="1"/>
  <c r="I2310" i="1"/>
  <c r="G2310" i="1" s="1"/>
  <c r="I2308" i="1"/>
  <c r="K2308" i="1"/>
  <c r="K2307" i="1"/>
  <c r="I2307" i="1"/>
  <c r="G2307" i="1" s="1"/>
  <c r="K2306" i="1"/>
  <c r="I2306" i="1"/>
  <c r="G2306" i="1" s="1"/>
  <c r="K2304" i="1"/>
  <c r="I2304" i="1"/>
  <c r="G2304" i="1" s="1"/>
  <c r="I2303" i="1"/>
  <c r="K2303" i="1"/>
  <c r="K2301" i="1"/>
  <c r="I2301" i="1"/>
  <c r="G2301" i="1" s="1"/>
  <c r="K2300" i="1"/>
  <c r="I2300" i="1"/>
  <c r="G2300" i="1" s="1"/>
  <c r="K2299" i="1"/>
  <c r="I2299" i="1"/>
  <c r="G2299" i="1" s="1"/>
  <c r="I2298" i="1"/>
  <c r="K2298" i="1"/>
  <c r="K2297" i="1"/>
  <c r="I2297" i="1"/>
  <c r="G2297" i="1" s="1"/>
  <c r="K2296" i="1"/>
  <c r="I2296" i="1"/>
  <c r="G2296" i="1" s="1"/>
  <c r="K2295" i="1"/>
  <c r="I2295" i="1"/>
  <c r="G2295" i="1" s="1"/>
  <c r="K2294" i="1"/>
  <c r="I2294" i="1"/>
  <c r="G2294" i="1" s="1"/>
  <c r="K2293" i="1"/>
  <c r="I2293" i="1"/>
  <c r="G2293" i="1" s="1"/>
  <c r="K2292" i="1"/>
  <c r="I2292" i="1"/>
  <c r="G2292" i="1" s="1"/>
  <c r="K2291" i="1"/>
  <c r="I2291" i="1"/>
  <c r="G2291" i="1" s="1"/>
  <c r="K2289" i="1"/>
  <c r="I2289" i="1"/>
  <c r="G2289" i="1" s="1"/>
  <c r="K2288" i="1"/>
  <c r="I2288" i="1"/>
  <c r="G2288" i="1" s="1"/>
  <c r="K2287" i="1"/>
  <c r="I2287" i="1"/>
  <c r="G2287" i="1" s="1"/>
  <c r="K2286" i="1"/>
  <c r="I2286" i="1"/>
  <c r="G2286" i="1" s="1"/>
  <c r="K2285" i="1"/>
  <c r="I2285" i="1"/>
  <c r="G2285" i="1" s="1"/>
  <c r="K2284" i="1"/>
  <c r="I2284" i="1"/>
  <c r="G2284" i="1" s="1"/>
  <c r="K2283" i="1"/>
  <c r="I2283" i="1"/>
  <c r="K2282" i="1"/>
  <c r="I2282" i="1"/>
  <c r="G2282" i="1" s="1"/>
  <c r="K2280" i="1"/>
  <c r="I2280" i="1"/>
  <c r="G2280" i="1" s="1"/>
  <c r="K2279" i="1"/>
  <c r="I2279" i="1"/>
  <c r="G2279" i="1" s="1"/>
  <c r="K2278" i="1"/>
  <c r="I2278" i="1"/>
  <c r="G2278" i="1" s="1"/>
  <c r="K2277" i="1"/>
  <c r="I2277" i="1"/>
  <c r="G2277" i="1" s="1"/>
  <c r="I2276" i="1"/>
  <c r="K2276" i="1"/>
  <c r="K2275" i="1"/>
  <c r="I2275" i="1"/>
  <c r="G2275" i="1" s="1"/>
  <c r="I2274" i="1"/>
  <c r="K2274" i="1"/>
  <c r="K2273" i="1"/>
  <c r="I2273" i="1"/>
  <c r="G2273" i="1" s="1"/>
  <c r="K2272" i="1"/>
  <c r="I2272" i="1"/>
  <c r="G2272" i="1" s="1"/>
  <c r="I2271" i="1"/>
  <c r="K2271" i="1"/>
  <c r="K2270" i="1"/>
  <c r="I2270" i="1"/>
  <c r="G2270" i="1" s="1"/>
  <c r="K2269" i="1"/>
  <c r="I2269" i="1"/>
  <c r="G2269" i="1" s="1"/>
  <c r="K2268" i="1"/>
  <c r="I2268" i="1"/>
  <c r="G2268" i="1" s="1"/>
  <c r="K2266" i="1"/>
  <c r="I2266" i="1"/>
  <c r="G2266" i="1" s="1"/>
  <c r="I2265" i="1"/>
  <c r="K2265" i="1"/>
  <c r="K2264" i="1"/>
  <c r="I2264" i="1"/>
  <c r="G2264" i="1" s="1"/>
  <c r="I2263" i="1"/>
  <c r="K2263" i="1"/>
  <c r="I2262" i="1"/>
  <c r="K2262" i="1"/>
  <c r="K2260" i="1"/>
  <c r="I2260" i="1"/>
  <c r="G2260" i="1" s="1"/>
  <c r="K2259" i="1"/>
  <c r="I2259" i="1"/>
  <c r="G2259" i="1" s="1"/>
  <c r="K2257" i="1"/>
  <c r="I2257" i="1"/>
  <c r="G2257" i="1" s="1"/>
  <c r="K2256" i="1"/>
  <c r="I2256" i="1"/>
  <c r="G2256" i="1" s="1"/>
  <c r="K2255" i="1"/>
  <c r="I2255" i="1"/>
  <c r="G2255" i="1" s="1"/>
  <c r="K2254" i="1"/>
  <c r="I2254" i="1"/>
  <c r="G2254" i="1" s="1"/>
  <c r="K2253" i="1"/>
  <c r="I2253" i="1"/>
  <c r="G2253" i="1" s="1"/>
  <c r="K2252" i="1"/>
  <c r="I2252" i="1"/>
  <c r="G2252" i="1" s="1"/>
  <c r="K2251" i="1"/>
  <c r="I2251" i="1"/>
  <c r="G2251" i="1" s="1"/>
  <c r="K2250" i="1"/>
  <c r="I2250" i="1"/>
  <c r="G2250" i="1" s="1"/>
  <c r="K2249" i="1"/>
  <c r="I2249" i="1"/>
  <c r="G2249" i="1" s="1"/>
  <c r="K2248" i="1"/>
  <c r="I2248" i="1"/>
  <c r="G2248" i="1" s="1"/>
  <c r="I2247" i="1"/>
  <c r="K2247" i="1"/>
  <c r="K2246" i="1"/>
  <c r="I2246" i="1"/>
  <c r="G2246" i="1" s="1"/>
  <c r="K2245" i="1"/>
  <c r="I2245" i="1"/>
  <c r="G2245" i="1" s="1"/>
  <c r="K2244" i="1"/>
  <c r="I2244" i="1"/>
  <c r="K2243" i="1"/>
  <c r="I2243" i="1"/>
  <c r="G2243" i="1" s="1"/>
  <c r="K2242" i="1"/>
  <c r="I2242" i="1"/>
  <c r="G2242" i="1" s="1"/>
  <c r="I2241" i="1"/>
  <c r="K2241" i="1"/>
  <c r="K2239" i="1"/>
  <c r="I2239" i="1"/>
  <c r="G2239" i="1" s="1"/>
  <c r="K2238" i="1"/>
  <c r="I2238" i="1"/>
  <c r="G2238" i="1" s="1"/>
  <c r="I2237" i="1"/>
  <c r="K2237" i="1"/>
  <c r="K2236" i="1"/>
  <c r="I2236" i="1"/>
  <c r="G2236" i="1" s="1"/>
  <c r="K2235" i="1"/>
  <c r="I2235" i="1"/>
  <c r="G2235" i="1" s="1"/>
  <c r="I2234" i="1"/>
  <c r="K2234" i="1"/>
  <c r="I2233" i="1"/>
  <c r="K2233" i="1"/>
  <c r="I2232" i="1"/>
  <c r="K2232" i="1"/>
  <c r="I2231" i="1"/>
  <c r="K2231" i="1"/>
  <c r="K2230" i="1"/>
  <c r="I2230" i="1"/>
  <c r="G2230" i="1" s="1"/>
  <c r="K2229" i="1"/>
  <c r="I2229" i="1"/>
  <c r="G2229" i="1" s="1"/>
  <c r="K2228" i="1"/>
  <c r="I2228" i="1"/>
  <c r="G2228" i="1" s="1"/>
  <c r="I2227" i="1"/>
  <c r="K2227" i="1"/>
  <c r="K2226" i="1"/>
  <c r="I2226" i="1"/>
  <c r="G2226" i="1" s="1"/>
  <c r="I2225" i="1"/>
  <c r="K2225" i="1"/>
  <c r="K2224" i="1"/>
  <c r="I2224" i="1"/>
  <c r="G2224" i="1" s="1"/>
  <c r="I2223" i="1"/>
  <c r="K2223" i="1"/>
  <c r="K2222" i="1"/>
  <c r="I2222" i="1"/>
  <c r="K2219" i="1"/>
  <c r="I2219" i="1"/>
  <c r="G2219" i="1" s="1"/>
  <c r="I2218" i="1"/>
  <c r="K2218" i="1"/>
  <c r="K2217" i="1"/>
  <c r="I2217" i="1"/>
  <c r="G2217" i="1" s="1"/>
  <c r="K2216" i="1"/>
  <c r="I2216" i="1"/>
  <c r="G2216" i="1" s="1"/>
  <c r="K2215" i="1"/>
  <c r="I2215" i="1"/>
  <c r="G2215" i="1" s="1"/>
  <c r="I2214" i="1"/>
  <c r="K2214" i="1"/>
  <c r="K2213" i="1"/>
  <c r="I2213" i="1"/>
  <c r="G2213" i="1" s="1"/>
  <c r="I2212" i="1"/>
  <c r="K2212" i="1"/>
  <c r="I2211" i="1"/>
  <c r="K2211" i="1"/>
  <c r="K2210" i="1"/>
  <c r="I2210" i="1"/>
  <c r="G2210" i="1" s="1"/>
  <c r="I2209" i="1"/>
  <c r="K2209" i="1"/>
  <c r="K2208" i="1"/>
  <c r="I2208" i="1"/>
  <c r="G2208" i="1" s="1"/>
  <c r="I2207" i="1"/>
  <c r="K2207" i="1"/>
  <c r="I2206" i="1"/>
  <c r="K2206" i="1"/>
  <c r="I2205" i="1"/>
  <c r="K2205" i="1"/>
  <c r="I2204" i="1"/>
  <c r="K2204" i="1"/>
  <c r="I2202" i="1"/>
  <c r="K2202" i="1"/>
  <c r="I2201" i="1"/>
  <c r="K2201" i="1"/>
  <c r="I2200" i="1"/>
  <c r="K2200" i="1"/>
  <c r="K2199" i="1"/>
  <c r="I2199" i="1"/>
  <c r="G2199" i="1" s="1"/>
  <c r="K2198" i="1"/>
  <c r="I2198" i="1"/>
  <c r="G2198" i="1" s="1"/>
  <c r="K2197" i="1"/>
  <c r="I2197" i="1"/>
  <c r="G2197" i="1" s="1"/>
  <c r="K2196" i="1"/>
  <c r="I2196" i="1"/>
  <c r="G2196" i="1" s="1"/>
  <c r="K2194" i="1"/>
  <c r="I2194" i="1"/>
  <c r="G2194" i="1" s="1"/>
  <c r="K2193" i="1"/>
  <c r="I2193" i="1"/>
  <c r="G2193" i="1" s="1"/>
  <c r="K2192" i="1"/>
  <c r="I2192" i="1"/>
  <c r="G2192" i="1" s="1"/>
  <c r="K2191" i="1"/>
  <c r="I2191" i="1"/>
  <c r="G2191" i="1" s="1"/>
  <c r="K2190" i="1"/>
  <c r="I2190" i="1"/>
  <c r="G2190" i="1" s="1"/>
  <c r="K2189" i="1"/>
  <c r="I2189" i="1"/>
  <c r="G2189" i="1" s="1"/>
  <c r="K2188" i="1"/>
  <c r="I2188" i="1"/>
  <c r="G2188" i="1" s="1"/>
  <c r="K2186" i="1"/>
  <c r="I2186" i="1"/>
  <c r="G2186" i="1" s="1"/>
  <c r="K2185" i="1"/>
  <c r="I2185" i="1"/>
  <c r="G2185" i="1" s="1"/>
  <c r="K2184" i="1"/>
  <c r="I2184" i="1"/>
  <c r="G2184" i="1" s="1"/>
  <c r="K2183" i="1"/>
  <c r="I2183" i="1"/>
  <c r="G2183" i="1" s="1"/>
  <c r="I2182" i="1"/>
  <c r="K2182" i="1"/>
  <c r="I2181" i="1"/>
  <c r="K2181" i="1"/>
  <c r="I2180" i="1"/>
  <c r="K2180" i="1"/>
  <c r="I2178" i="1"/>
  <c r="K2178" i="1"/>
  <c r="I2177" i="1"/>
  <c r="K2177" i="1"/>
  <c r="K2176" i="1"/>
  <c r="I2176" i="1"/>
  <c r="G2176" i="1" s="1"/>
  <c r="K2175" i="1"/>
  <c r="I2175" i="1"/>
  <c r="G2175" i="1" s="1"/>
  <c r="K2174" i="1"/>
  <c r="I2174" i="1"/>
  <c r="G2174" i="1" s="1"/>
  <c r="I2173" i="1"/>
  <c r="K2173" i="1"/>
  <c r="K2172" i="1"/>
  <c r="I2172" i="1"/>
  <c r="G2172" i="1" s="1"/>
  <c r="I2170" i="1"/>
  <c r="K2170" i="1"/>
  <c r="I2169" i="1"/>
  <c r="K2169" i="1"/>
  <c r="I2168" i="1"/>
  <c r="K2168" i="1"/>
  <c r="K2167" i="1"/>
  <c r="I2167" i="1"/>
  <c r="G2167" i="1" s="1"/>
  <c r="K2166" i="1"/>
  <c r="I2166" i="1"/>
  <c r="G2166" i="1" s="1"/>
  <c r="I2165" i="1"/>
  <c r="K2165" i="1"/>
  <c r="I2164" i="1"/>
  <c r="K2164" i="1"/>
  <c r="I2162" i="1"/>
  <c r="K2162" i="1"/>
  <c r="I2161" i="1"/>
  <c r="K2161" i="1"/>
  <c r="K2160" i="1"/>
  <c r="I2160" i="1"/>
  <c r="G2160" i="1" s="1"/>
  <c r="K2159" i="1"/>
  <c r="I2159" i="1"/>
  <c r="G2159" i="1" s="1"/>
  <c r="K2158" i="1"/>
  <c r="I2158" i="1"/>
  <c r="G2158" i="1" s="1"/>
  <c r="I2157" i="1"/>
  <c r="K2157" i="1"/>
  <c r="I2156" i="1"/>
  <c r="K2156" i="1"/>
  <c r="I2154" i="1"/>
  <c r="K2154" i="1"/>
  <c r="K2153" i="1"/>
  <c r="I2153" i="1"/>
  <c r="G2153" i="1" s="1"/>
  <c r="K2152" i="1"/>
  <c r="I2152" i="1"/>
  <c r="G2152" i="1" s="1"/>
  <c r="K2151" i="1"/>
  <c r="I2151" i="1"/>
  <c r="G2151" i="1" s="1"/>
  <c r="I2150" i="1"/>
  <c r="K2150" i="1"/>
  <c r="I2149" i="1"/>
  <c r="K2149" i="1"/>
  <c r="I2148" i="1"/>
  <c r="K2148" i="1"/>
  <c r="K2146" i="1"/>
  <c r="I2146" i="1"/>
  <c r="I2145" i="1"/>
  <c r="K2145" i="1"/>
  <c r="I2144" i="1"/>
  <c r="K2144" i="1"/>
  <c r="I2143" i="1"/>
  <c r="K2143" i="1"/>
  <c r="K2142" i="1"/>
  <c r="I2142" i="1"/>
  <c r="G2142" i="1" s="1"/>
  <c r="I2141" i="1"/>
  <c r="K2141" i="1"/>
  <c r="K2140" i="1"/>
  <c r="I2140" i="1"/>
  <c r="G2140" i="1" s="1"/>
  <c r="K2138" i="1"/>
  <c r="I2138" i="1"/>
  <c r="G2138" i="1" s="1"/>
  <c r="K2137" i="1"/>
  <c r="I2137" i="1"/>
  <c r="G2137" i="1" s="1"/>
  <c r="K2136" i="1"/>
  <c r="I2136" i="1"/>
  <c r="G2136" i="1" s="1"/>
  <c r="K2135" i="1"/>
  <c r="I2135" i="1"/>
  <c r="G2135" i="1" s="1"/>
  <c r="I2134" i="1"/>
  <c r="K2134" i="1"/>
  <c r="K2133" i="1"/>
  <c r="I2133" i="1"/>
  <c r="G2133" i="1" s="1"/>
  <c r="K2132" i="1"/>
  <c r="I2132" i="1"/>
  <c r="G2132" i="1" s="1"/>
  <c r="K2130" i="1"/>
  <c r="I2130" i="1"/>
  <c r="G2130" i="1" s="1"/>
  <c r="K2129" i="1"/>
  <c r="I2129" i="1"/>
  <c r="G2129" i="1" s="1"/>
  <c r="I2128" i="1"/>
  <c r="K2128" i="1"/>
  <c r="K2127" i="1"/>
  <c r="I2127" i="1"/>
  <c r="G2127" i="1" s="1"/>
  <c r="K2126" i="1"/>
  <c r="I2126" i="1"/>
  <c r="G2126" i="1" s="1"/>
  <c r="K2125" i="1"/>
  <c r="I2125" i="1"/>
  <c r="G2125" i="1" s="1"/>
  <c r="I2124" i="1"/>
  <c r="K2124" i="1"/>
  <c r="I2122" i="1"/>
  <c r="K2122" i="1"/>
  <c r="K2121" i="1"/>
  <c r="I2121" i="1"/>
  <c r="G2121" i="1" s="1"/>
  <c r="I2120" i="1"/>
  <c r="K2120" i="1"/>
  <c r="K2119" i="1"/>
  <c r="I2119" i="1"/>
  <c r="G2119" i="1" s="1"/>
  <c r="K2118" i="1"/>
  <c r="I2118" i="1"/>
  <c r="G2118" i="1" s="1"/>
  <c r="K2117" i="1"/>
  <c r="I2117" i="1"/>
  <c r="G2117" i="1" s="1"/>
  <c r="K2116" i="1"/>
  <c r="I2116" i="1"/>
  <c r="G2116" i="1" s="1"/>
  <c r="I2114" i="1"/>
  <c r="K2114" i="1"/>
  <c r="K2113" i="1"/>
  <c r="I2113" i="1"/>
  <c r="G2113" i="1" s="1"/>
  <c r="K2112" i="1"/>
  <c r="I2112" i="1"/>
  <c r="G2112" i="1" s="1"/>
  <c r="K2111" i="1"/>
  <c r="I2111" i="1"/>
  <c r="G2111" i="1" s="1"/>
  <c r="K2110" i="1"/>
  <c r="I2110" i="1"/>
  <c r="G2110" i="1" s="1"/>
  <c r="K2109" i="1"/>
  <c r="I2109" i="1"/>
  <c r="G2109" i="1" s="1"/>
  <c r="I2108" i="1"/>
  <c r="K2108" i="1"/>
  <c r="I2106" i="1"/>
  <c r="K2106" i="1"/>
  <c r="I2105" i="1"/>
  <c r="K2105" i="1"/>
  <c r="I2104" i="1"/>
  <c r="K2104" i="1"/>
  <c r="I2103" i="1"/>
  <c r="K2103" i="1"/>
  <c r="I2101" i="1"/>
  <c r="K2101" i="1"/>
  <c r="I2100" i="1"/>
  <c r="K2100" i="1"/>
  <c r="I2098" i="1"/>
  <c r="K2098" i="1"/>
  <c r="I2097" i="1"/>
  <c r="K2097" i="1"/>
  <c r="K2096" i="1"/>
  <c r="I2096" i="1"/>
  <c r="G2096" i="1" s="1"/>
  <c r="K2095" i="1"/>
  <c r="I2095" i="1"/>
  <c r="G2095" i="1" s="1"/>
  <c r="K2094" i="1"/>
  <c r="I2094" i="1"/>
  <c r="G2094" i="1" s="1"/>
  <c r="K2092" i="1"/>
  <c r="I2092" i="1"/>
  <c r="G2092" i="1" s="1"/>
  <c r="I2091" i="1"/>
  <c r="K2091" i="1"/>
  <c r="I2090" i="1"/>
  <c r="G2090" i="1" s="1"/>
  <c r="K2090" i="1"/>
  <c r="K2089" i="1"/>
  <c r="I2089" i="1"/>
  <c r="G2089" i="1" s="1"/>
  <c r="I2088" i="1"/>
  <c r="K2088" i="1"/>
  <c r="I2087" i="1"/>
  <c r="K2087" i="1"/>
  <c r="K2086" i="1"/>
  <c r="I2086" i="1"/>
  <c r="G2086" i="1" s="1"/>
  <c r="K2085" i="1"/>
  <c r="I2085" i="1"/>
  <c r="G2085" i="1" s="1"/>
  <c r="I2084" i="1"/>
  <c r="K2084" i="1"/>
  <c r="I2083" i="1"/>
  <c r="K2083" i="1"/>
  <c r="K2081" i="1"/>
  <c r="I2081" i="1"/>
  <c r="G2081" i="1" s="1"/>
  <c r="K2080" i="1"/>
  <c r="I2080" i="1"/>
  <c r="G2080" i="1" s="1"/>
  <c r="I2079" i="1"/>
  <c r="K2079" i="1"/>
  <c r="K2078" i="1"/>
  <c r="I2078" i="1"/>
  <c r="G2078" i="1" s="1"/>
  <c r="I2077" i="1"/>
  <c r="K2077" i="1"/>
  <c r="K2076" i="1"/>
  <c r="I2076" i="1"/>
  <c r="G2076" i="1" s="1"/>
  <c r="I2075" i="1"/>
  <c r="K2075" i="1"/>
  <c r="K2074" i="1"/>
  <c r="I2074" i="1"/>
  <c r="G2074" i="1" s="1"/>
  <c r="K2072" i="1"/>
  <c r="I2072" i="1"/>
  <c r="G2072" i="1" s="1"/>
  <c r="K2071" i="1"/>
  <c r="I2071" i="1"/>
  <c r="G2071" i="1" s="1"/>
  <c r="I2070" i="1"/>
  <c r="K2070" i="1"/>
  <c r="I2069" i="1"/>
  <c r="K2069" i="1"/>
  <c r="I2068" i="1"/>
  <c r="K2068" i="1"/>
  <c r="K2066" i="1"/>
  <c r="I2066" i="1"/>
  <c r="G2066" i="1" s="1"/>
  <c r="K2065" i="1"/>
  <c r="I2065" i="1"/>
  <c r="G2065" i="1" s="1"/>
  <c r="K2064" i="1"/>
  <c r="I2064" i="1"/>
  <c r="G2064" i="1" s="1"/>
  <c r="K2063" i="1"/>
  <c r="I2063" i="1"/>
  <c r="G2063" i="1" s="1"/>
  <c r="I2062" i="1"/>
  <c r="K2062" i="1"/>
  <c r="K2061" i="1"/>
  <c r="I2061" i="1"/>
  <c r="G2061" i="1" s="1"/>
  <c r="K2060" i="1"/>
  <c r="I2060" i="1"/>
  <c r="G2060" i="1" s="1"/>
  <c r="I2059" i="1"/>
  <c r="K2059" i="1"/>
  <c r="K2058" i="1"/>
  <c r="I2058" i="1"/>
  <c r="G2058" i="1" s="1"/>
  <c r="I2057" i="1"/>
  <c r="K2057" i="1"/>
  <c r="I2056" i="1"/>
  <c r="K2056" i="1"/>
  <c r="K2054" i="1"/>
  <c r="I2054" i="1"/>
  <c r="G2054" i="1" s="1"/>
  <c r="I2053" i="1"/>
  <c r="K2053" i="1"/>
  <c r="I2052" i="1"/>
  <c r="K2052" i="1"/>
  <c r="K2051" i="1"/>
  <c r="I2051" i="1"/>
  <c r="G2051" i="1" s="1"/>
  <c r="I2050" i="1"/>
  <c r="K2050" i="1"/>
  <c r="I2049" i="1"/>
  <c r="K2049" i="1"/>
  <c r="K2048" i="1"/>
  <c r="I2048" i="1"/>
  <c r="G2048" i="1" s="1"/>
  <c r="K2047" i="1"/>
  <c r="I2047" i="1"/>
  <c r="G2047" i="1" s="1"/>
  <c r="K2046" i="1"/>
  <c r="I2046" i="1"/>
  <c r="G2046" i="1" s="1"/>
  <c r="K2044" i="1"/>
  <c r="I2044" i="1"/>
  <c r="G2044" i="1" s="1"/>
  <c r="K2043" i="1"/>
  <c r="I2043" i="1"/>
  <c r="G2043" i="1" s="1"/>
  <c r="K2042" i="1"/>
  <c r="I2042" i="1"/>
  <c r="G2042" i="1" s="1"/>
  <c r="K2041" i="1"/>
  <c r="I2041" i="1"/>
  <c r="G2041" i="1" s="1"/>
  <c r="K2040" i="1"/>
  <c r="I2040" i="1"/>
  <c r="G2040" i="1" s="1"/>
  <c r="K2039" i="1"/>
  <c r="I2039" i="1"/>
  <c r="G2039" i="1" s="1"/>
  <c r="K2038" i="1"/>
  <c r="I2038" i="1"/>
  <c r="G2038" i="1" s="1"/>
  <c r="K2037" i="1"/>
  <c r="I2037" i="1"/>
  <c r="G2037" i="1" s="1"/>
  <c r="K2036" i="1"/>
  <c r="I2036" i="1"/>
  <c r="G2036" i="1" s="1"/>
  <c r="I2034" i="1"/>
  <c r="K2034" i="1"/>
  <c r="K2033" i="1"/>
  <c r="I2033" i="1"/>
  <c r="G2033" i="1" s="1"/>
  <c r="K2032" i="1"/>
  <c r="I2032" i="1"/>
  <c r="G2032" i="1" s="1"/>
  <c r="I2031" i="1"/>
  <c r="K2031" i="1"/>
  <c r="I2030" i="1"/>
  <c r="K2030" i="1"/>
  <c r="I2029" i="1"/>
  <c r="K2029" i="1"/>
  <c r="K2028" i="1"/>
  <c r="I2028" i="1"/>
  <c r="G2028" i="1" s="1"/>
  <c r="I2027" i="1"/>
  <c r="K2027" i="1"/>
  <c r="K2026" i="1"/>
  <c r="I2026" i="1"/>
  <c r="G2026" i="1" s="1"/>
  <c r="K2025" i="1"/>
  <c r="I2025" i="1"/>
  <c r="G2025" i="1" s="1"/>
  <c r="K2023" i="1"/>
  <c r="I2023" i="1"/>
  <c r="G2023" i="1" s="1"/>
  <c r="K2022" i="1"/>
  <c r="I2022" i="1"/>
  <c r="G2022" i="1" s="1"/>
  <c r="I2021" i="1"/>
  <c r="K2021" i="1"/>
  <c r="I2020" i="1"/>
  <c r="K2020" i="1"/>
  <c r="K2019" i="1"/>
  <c r="I2019" i="1"/>
  <c r="G2019" i="1" s="1"/>
  <c r="K2018" i="1"/>
  <c r="I2018" i="1"/>
  <c r="G2018" i="1" s="1"/>
  <c r="I2017" i="1"/>
  <c r="K2017" i="1"/>
  <c r="I2016" i="1"/>
  <c r="K2016" i="1"/>
  <c r="K2015" i="1"/>
  <c r="I2015" i="1"/>
  <c r="G2015" i="1" s="1"/>
  <c r="I2014" i="1"/>
  <c r="K2014" i="1"/>
  <c r="I2013" i="1"/>
  <c r="K2013" i="1"/>
  <c r="I2012" i="1"/>
  <c r="K2012" i="1"/>
  <c r="K2011" i="1"/>
  <c r="I2011" i="1"/>
  <c r="G2011" i="1" s="1"/>
  <c r="K2010" i="1"/>
  <c r="I2010" i="1"/>
  <c r="G2010" i="1" s="1"/>
  <c r="I2008" i="1"/>
  <c r="K2008" i="1"/>
  <c r="I2007" i="1"/>
  <c r="K2007" i="1"/>
  <c r="I2006" i="1"/>
  <c r="K2006" i="1"/>
  <c r="I2005" i="1"/>
  <c r="K2005" i="1"/>
  <c r="K2004" i="1"/>
  <c r="I2004" i="1"/>
  <c r="G2004" i="1" s="1"/>
  <c r="I2003" i="1"/>
  <c r="K2003" i="1"/>
  <c r="I2002" i="1"/>
  <c r="K2002" i="1"/>
  <c r="I2001" i="1"/>
  <c r="K2001" i="1"/>
  <c r="K2000" i="1"/>
  <c r="I2000" i="1"/>
  <c r="G2000" i="1" s="1"/>
  <c r="I1999" i="1"/>
  <c r="K1999" i="1"/>
  <c r="K1998" i="1"/>
  <c r="I1998" i="1"/>
  <c r="G1998" i="1" s="1"/>
  <c r="K1997" i="1"/>
  <c r="I1997" i="1"/>
  <c r="G1997" i="1" s="1"/>
  <c r="K1996" i="1"/>
  <c r="I1996" i="1"/>
  <c r="I1995" i="1"/>
  <c r="K1995" i="1"/>
  <c r="K1994" i="1"/>
  <c r="I1994" i="1"/>
  <c r="G1994" i="1" s="1"/>
  <c r="K1993" i="1"/>
  <c r="I1993" i="1"/>
  <c r="G1993" i="1" s="1"/>
  <c r="K1992" i="1"/>
  <c r="I1992" i="1"/>
  <c r="G1992" i="1" s="1"/>
  <c r="I1991" i="1"/>
  <c r="K1991" i="1"/>
  <c r="K1990" i="1"/>
  <c r="I1990" i="1"/>
  <c r="G1990" i="1" s="1"/>
  <c r="I1989" i="1"/>
  <c r="K1989" i="1"/>
  <c r="I1988" i="1"/>
  <c r="K1988" i="1"/>
  <c r="K1987" i="1"/>
  <c r="I1987" i="1"/>
  <c r="G1987" i="1" s="1"/>
  <c r="K1986" i="1"/>
  <c r="I1986" i="1"/>
  <c r="G1986" i="1" s="1"/>
  <c r="I1985" i="1"/>
  <c r="K1985" i="1"/>
  <c r="K1984" i="1"/>
  <c r="I1984" i="1"/>
  <c r="G1984" i="1" s="1"/>
  <c r="K1983" i="1"/>
  <c r="I1983" i="1"/>
  <c r="G1983" i="1" s="1"/>
  <c r="I1982" i="1"/>
  <c r="K1982" i="1"/>
  <c r="K1981" i="1"/>
  <c r="I1981" i="1"/>
  <c r="G1981" i="1" s="1"/>
  <c r="I1980" i="1"/>
  <c r="K1980" i="1"/>
  <c r="K1978" i="1"/>
  <c r="I1978" i="1"/>
  <c r="G1978" i="1" s="1"/>
  <c r="K1977" i="1"/>
  <c r="I1977" i="1"/>
  <c r="G1977" i="1" s="1"/>
  <c r="K1976" i="1"/>
  <c r="I1976" i="1"/>
  <c r="G1976" i="1" s="1"/>
  <c r="K1975" i="1"/>
  <c r="I1975" i="1"/>
  <c r="G1975" i="1" s="1"/>
  <c r="I1974" i="1"/>
  <c r="K1974" i="1"/>
  <c r="I1973" i="1"/>
  <c r="K1973" i="1"/>
  <c r="I1972" i="1"/>
  <c r="K1972" i="1"/>
  <c r="I1971" i="1"/>
  <c r="K1971" i="1"/>
  <c r="I1970" i="1"/>
  <c r="K1970" i="1"/>
  <c r="K1969" i="1"/>
  <c r="I1969" i="1"/>
  <c r="G1969" i="1" s="1"/>
  <c r="K1967" i="1"/>
  <c r="I1967" i="1"/>
  <c r="G1967" i="1" s="1"/>
  <c r="K1966" i="1"/>
  <c r="I1966" i="1"/>
  <c r="G1966" i="1" s="1"/>
  <c r="K1964" i="1"/>
  <c r="I1964" i="1"/>
  <c r="G1964" i="1" s="1"/>
  <c r="K1963" i="1"/>
  <c r="I1963" i="1"/>
  <c r="G1963" i="1" s="1"/>
  <c r="I1962" i="1"/>
  <c r="K1962" i="1"/>
  <c r="I1961" i="1"/>
  <c r="K1961" i="1"/>
  <c r="I1960" i="1"/>
  <c r="K1960" i="1"/>
  <c r="I1959" i="1"/>
  <c r="K1959" i="1"/>
  <c r="K1958" i="1"/>
  <c r="I1958" i="1"/>
  <c r="G1958" i="1" s="1"/>
  <c r="I1957" i="1"/>
  <c r="K1957" i="1"/>
  <c r="I1956" i="1"/>
  <c r="K1956" i="1"/>
  <c r="K1955" i="1"/>
  <c r="I1955" i="1"/>
  <c r="G1955" i="1" s="1"/>
  <c r="K1954" i="1"/>
  <c r="I1954" i="1"/>
  <c r="G1954" i="1" s="1"/>
  <c r="K1952" i="1"/>
  <c r="I1952" i="1"/>
  <c r="G1952" i="1" s="1"/>
  <c r="I1951" i="1"/>
  <c r="K1951" i="1"/>
  <c r="I1950" i="1"/>
  <c r="K1950" i="1"/>
  <c r="I1949" i="1"/>
  <c r="K1949" i="1"/>
  <c r="I1948" i="1"/>
  <c r="K1948" i="1"/>
  <c r="I1946" i="1"/>
  <c r="K1946" i="1"/>
  <c r="I1945" i="1"/>
  <c r="K1945" i="1"/>
  <c r="K1944" i="1"/>
  <c r="I1944" i="1"/>
  <c r="G1944" i="1" s="1"/>
  <c r="K1943" i="1"/>
  <c r="I1943" i="1"/>
  <c r="G1943" i="1" s="1"/>
  <c r="K1942" i="1"/>
  <c r="I1942" i="1"/>
  <c r="G1942" i="1" s="1"/>
  <c r="K1941" i="1"/>
  <c r="I1941" i="1"/>
  <c r="G1941" i="1" s="1"/>
  <c r="I1940" i="1"/>
  <c r="K1940" i="1"/>
  <c r="I1939" i="1"/>
  <c r="K1939" i="1"/>
  <c r="I1938" i="1"/>
  <c r="K1938" i="1"/>
  <c r="K1937" i="1"/>
  <c r="I1937" i="1"/>
  <c r="G1937" i="1" s="1"/>
  <c r="I1936" i="1"/>
  <c r="K1936" i="1"/>
  <c r="K1935" i="1"/>
  <c r="I1935" i="1"/>
  <c r="G1935" i="1" s="1"/>
  <c r="K1934" i="1"/>
  <c r="I1934" i="1"/>
  <c r="G1934" i="1" s="1"/>
  <c r="I1933" i="1"/>
  <c r="K1933" i="1"/>
  <c r="I1932" i="1"/>
  <c r="K1932" i="1"/>
  <c r="I1931" i="1"/>
  <c r="K1931" i="1"/>
  <c r="K1930" i="1"/>
  <c r="I1930" i="1"/>
  <c r="G1930" i="1" s="1"/>
  <c r="I1929" i="1"/>
  <c r="K1929" i="1"/>
  <c r="K1928" i="1"/>
  <c r="I1928" i="1"/>
  <c r="G1928" i="1" s="1"/>
  <c r="I1927" i="1"/>
  <c r="K1927" i="1"/>
  <c r="K1926" i="1"/>
  <c r="I1926" i="1"/>
  <c r="G1926" i="1" s="1"/>
  <c r="K1925" i="1"/>
  <c r="I1925" i="1"/>
  <c r="G1925" i="1" s="1"/>
  <c r="I1924" i="1"/>
  <c r="K1924" i="1"/>
  <c r="I1923" i="1"/>
  <c r="K1923" i="1"/>
  <c r="I1922" i="1"/>
  <c r="K1922" i="1"/>
  <c r="I1921" i="1"/>
  <c r="K1921" i="1"/>
  <c r="I1920" i="1"/>
  <c r="K1920" i="1"/>
  <c r="K1919" i="1"/>
  <c r="I1919" i="1"/>
  <c r="G1919" i="1" s="1"/>
  <c r="K1918" i="1"/>
  <c r="I1918" i="1"/>
  <c r="G1918" i="1" s="1"/>
  <c r="K1917" i="1"/>
  <c r="I1917" i="1"/>
  <c r="G1917" i="1" s="1"/>
  <c r="K1916" i="1"/>
  <c r="I1916" i="1"/>
  <c r="G1916" i="1" s="1"/>
  <c r="I1915" i="1"/>
  <c r="K1915" i="1"/>
  <c r="I1914" i="1"/>
  <c r="K1914" i="1"/>
  <c r="K1912" i="1"/>
  <c r="I1912" i="1"/>
  <c r="G1912" i="1" s="1"/>
  <c r="K1910" i="1"/>
  <c r="I1910" i="1"/>
  <c r="G1910" i="1" s="1"/>
  <c r="K1909" i="1"/>
  <c r="I1909" i="1"/>
  <c r="G1909" i="1" s="1"/>
  <c r="K1908" i="1"/>
  <c r="I1908" i="1"/>
  <c r="G1908" i="1" s="1"/>
  <c r="I1907" i="1"/>
  <c r="K1907" i="1"/>
  <c r="K1906" i="1"/>
  <c r="I1906" i="1"/>
  <c r="G1906" i="1" s="1"/>
  <c r="I1904" i="1"/>
  <c r="K1904" i="1"/>
  <c r="I1903" i="1"/>
  <c r="K1903" i="1"/>
  <c r="K1902" i="1"/>
  <c r="I1902" i="1"/>
  <c r="G1902" i="1" s="1"/>
  <c r="K1900" i="1"/>
  <c r="I1900" i="1"/>
  <c r="G1900" i="1" s="1"/>
  <c r="I1899" i="1"/>
  <c r="K1899" i="1"/>
  <c r="I1898" i="1"/>
  <c r="K1898" i="1"/>
  <c r="I1897" i="1"/>
  <c r="K1897" i="1"/>
  <c r="I1896" i="1"/>
  <c r="K1896" i="1"/>
  <c r="I1895" i="1"/>
  <c r="K1895" i="1"/>
  <c r="I1894" i="1"/>
  <c r="K1894" i="1"/>
  <c r="K1893" i="1"/>
  <c r="I1893" i="1"/>
  <c r="G1893" i="1" s="1"/>
  <c r="K1892" i="1"/>
  <c r="I1892" i="1"/>
  <c r="G1892" i="1" s="1"/>
  <c r="K1890" i="1"/>
  <c r="I1890" i="1"/>
  <c r="G1890" i="1" s="1"/>
  <c r="K1889" i="1"/>
  <c r="I1889" i="1"/>
  <c r="G1889" i="1" s="1"/>
  <c r="K1887" i="1"/>
  <c r="I1887" i="1"/>
  <c r="G1887" i="1" s="1"/>
  <c r="K1886" i="1"/>
  <c r="I1886" i="1"/>
  <c r="G1886" i="1" s="1"/>
  <c r="I1885" i="1"/>
  <c r="K1885" i="1"/>
  <c r="K1884" i="1"/>
  <c r="I1884" i="1"/>
  <c r="G1884" i="1" s="1"/>
  <c r="K1883" i="1"/>
  <c r="I1883" i="1"/>
  <c r="G1883" i="1" s="1"/>
  <c r="I1881" i="1"/>
  <c r="K1881" i="1"/>
  <c r="I1880" i="1"/>
  <c r="K1880" i="1"/>
  <c r="K1879" i="1"/>
  <c r="I1879" i="1"/>
  <c r="G1879" i="1" s="1"/>
  <c r="I1878" i="1"/>
  <c r="K1878" i="1"/>
  <c r="K1877" i="1"/>
  <c r="I1877" i="1"/>
  <c r="G1877" i="1" s="1"/>
  <c r="K1876" i="1"/>
  <c r="I1876" i="1"/>
  <c r="I1875" i="1"/>
  <c r="K1875" i="1"/>
  <c r="I1874" i="1"/>
  <c r="K1874" i="1"/>
  <c r="I1873" i="1"/>
  <c r="K1873" i="1"/>
  <c r="K1872" i="1"/>
  <c r="I1872" i="1"/>
  <c r="G1872" i="1" s="1"/>
  <c r="I1871" i="1"/>
  <c r="K1871" i="1"/>
  <c r="I1870" i="1"/>
  <c r="K1870" i="1"/>
  <c r="K1869" i="1"/>
  <c r="I1869" i="1"/>
  <c r="G1869" i="1" s="1"/>
  <c r="K1868" i="1"/>
  <c r="I1868" i="1"/>
  <c r="G1868" i="1" s="1"/>
  <c r="K1867" i="1"/>
  <c r="I1867" i="1"/>
  <c r="K1866" i="1"/>
  <c r="I1866" i="1"/>
  <c r="K1865" i="1"/>
  <c r="I1865" i="1"/>
  <c r="G1865" i="1" s="1"/>
  <c r="I1864" i="1"/>
  <c r="K1864" i="1"/>
  <c r="I1863" i="1"/>
  <c r="K1863" i="1"/>
  <c r="I1862" i="1"/>
  <c r="K1862" i="1"/>
  <c r="I1861" i="1"/>
  <c r="K1861" i="1"/>
  <c r="K1860" i="1"/>
  <c r="I1860" i="1"/>
  <c r="G1860" i="1" s="1"/>
  <c r="I1859" i="1"/>
  <c r="K1859" i="1"/>
  <c r="K1858" i="1"/>
  <c r="I1858" i="1"/>
  <c r="G1858" i="1" s="1"/>
  <c r="K1856" i="1"/>
  <c r="I1856" i="1"/>
  <c r="G1856" i="1" s="1"/>
  <c r="K1855" i="1"/>
  <c r="I1855" i="1"/>
  <c r="G1855" i="1" s="1"/>
  <c r="K1854" i="1"/>
  <c r="I1854" i="1"/>
  <c r="G1854" i="1" s="1"/>
  <c r="K1853" i="1"/>
  <c r="I1853" i="1"/>
  <c r="G1853" i="1" s="1"/>
  <c r="I1852" i="1"/>
  <c r="K1852" i="1"/>
  <c r="K1851" i="1"/>
  <c r="I1851" i="1"/>
  <c r="G1851" i="1" s="1"/>
  <c r="K1850" i="1"/>
  <c r="I1850" i="1"/>
  <c r="G1850" i="1" s="1"/>
  <c r="K1849" i="1"/>
  <c r="I1849" i="1"/>
  <c r="G1849" i="1" s="1"/>
  <c r="K1848" i="1"/>
  <c r="I1848" i="1"/>
  <c r="G1848" i="1" s="1"/>
  <c r="K1847" i="1"/>
  <c r="I1847" i="1"/>
  <c r="G1847" i="1" s="1"/>
  <c r="K1846" i="1"/>
  <c r="I1846" i="1"/>
  <c r="G1846" i="1" s="1"/>
  <c r="K1845" i="1"/>
  <c r="I1845" i="1"/>
  <c r="G1845" i="1" s="1"/>
  <c r="K1844" i="1"/>
  <c r="I1844" i="1"/>
  <c r="G1844" i="1" s="1"/>
  <c r="K1843" i="1"/>
  <c r="I1843" i="1"/>
  <c r="G1843" i="1" s="1"/>
  <c r="K1842" i="1"/>
  <c r="I1842" i="1"/>
  <c r="G1842" i="1" s="1"/>
  <c r="I1841" i="1"/>
  <c r="K1841" i="1"/>
  <c r="I1840" i="1"/>
  <c r="K1840" i="1"/>
  <c r="K1839" i="1"/>
  <c r="I1839" i="1"/>
  <c r="G1839" i="1" s="1"/>
  <c r="K1838" i="1"/>
  <c r="I1838" i="1"/>
  <c r="G1838" i="1" s="1"/>
  <c r="I1837" i="1"/>
  <c r="K1837" i="1"/>
  <c r="I1836" i="1"/>
  <c r="K1836" i="1"/>
  <c r="K1834" i="1"/>
  <c r="I1834" i="1"/>
  <c r="G1834" i="1" s="1"/>
  <c r="I1833" i="1"/>
  <c r="K1833" i="1"/>
  <c r="K1832" i="1"/>
  <c r="I1832" i="1"/>
  <c r="G1832" i="1" s="1"/>
  <c r="K1831" i="1"/>
  <c r="I1831" i="1"/>
  <c r="G1831" i="1" s="1"/>
  <c r="K1830" i="1"/>
  <c r="I1830" i="1"/>
  <c r="G1830" i="1" s="1"/>
  <c r="I1829" i="1"/>
  <c r="K1829" i="1"/>
  <c r="I1828" i="1"/>
  <c r="K1828" i="1"/>
  <c r="I1827" i="1"/>
  <c r="K1827" i="1"/>
  <c r="I1826" i="1"/>
  <c r="K1826" i="1"/>
  <c r="I1825" i="1"/>
  <c r="K1825" i="1"/>
  <c r="I1824" i="1"/>
  <c r="K1824" i="1"/>
  <c r="I1823" i="1"/>
  <c r="K1823" i="1"/>
  <c r="I1822" i="1"/>
  <c r="K1822" i="1"/>
  <c r="I1821" i="1"/>
  <c r="K1821" i="1"/>
  <c r="K1820" i="1"/>
  <c r="I1820" i="1"/>
  <c r="G1820" i="1" s="1"/>
  <c r="K1819" i="1"/>
  <c r="I1819" i="1"/>
  <c r="G1819" i="1" s="1"/>
  <c r="K1818" i="1"/>
  <c r="I1818" i="1"/>
  <c r="G1818" i="1" s="1"/>
  <c r="I1817" i="1"/>
  <c r="K1817" i="1"/>
  <c r="I1816" i="1"/>
  <c r="K1816" i="1"/>
  <c r="I1815" i="1"/>
  <c r="K1815" i="1"/>
  <c r="K1814" i="1"/>
  <c r="I1814" i="1"/>
  <c r="G1814" i="1" s="1"/>
  <c r="I1813" i="1"/>
  <c r="K1813" i="1"/>
  <c r="K1812" i="1"/>
  <c r="I1812" i="1"/>
  <c r="G1812" i="1" s="1"/>
  <c r="I1811" i="1"/>
  <c r="K1811" i="1"/>
  <c r="K1810" i="1"/>
  <c r="I1810" i="1"/>
  <c r="G1810" i="1" s="1"/>
  <c r="K1809" i="1"/>
  <c r="I1809" i="1"/>
  <c r="G1809" i="1" s="1"/>
  <c r="K1808" i="1"/>
  <c r="I1808" i="1"/>
  <c r="G1808" i="1" s="1"/>
  <c r="K1807" i="1"/>
  <c r="I1807" i="1"/>
  <c r="G1807" i="1" s="1"/>
  <c r="K1805" i="1"/>
  <c r="I1805" i="1"/>
  <c r="G1805" i="1" s="1"/>
  <c r="I1804" i="1"/>
  <c r="K1804" i="1"/>
  <c r="I1803" i="1"/>
  <c r="K1803" i="1"/>
  <c r="I1802" i="1"/>
  <c r="K1802" i="1"/>
  <c r="I1801" i="1"/>
  <c r="K1801" i="1"/>
  <c r="I1799" i="1"/>
  <c r="K1799" i="1"/>
  <c r="K1798" i="1"/>
  <c r="I1798" i="1"/>
  <c r="G1798" i="1" s="1"/>
  <c r="K1797" i="1"/>
  <c r="I1797" i="1"/>
  <c r="G1797" i="1" s="1"/>
  <c r="K1796" i="1"/>
  <c r="I1796" i="1"/>
  <c r="G1796" i="1" s="1"/>
  <c r="K1795" i="1"/>
  <c r="I1795" i="1"/>
  <c r="G1795" i="1" s="1"/>
  <c r="K1794" i="1"/>
  <c r="I1794" i="1"/>
  <c r="G1794" i="1" s="1"/>
  <c r="K1793" i="1"/>
  <c r="I1793" i="1"/>
  <c r="G1793" i="1" s="1"/>
  <c r="K1791" i="1"/>
  <c r="I1791" i="1"/>
  <c r="G1791" i="1" s="1"/>
  <c r="K1790" i="1"/>
  <c r="I1790" i="1"/>
  <c r="G1790" i="1" s="1"/>
  <c r="K1789" i="1"/>
  <c r="I1789" i="1"/>
  <c r="G1789" i="1" s="1"/>
  <c r="K1787" i="1"/>
  <c r="I1787" i="1"/>
  <c r="G1787" i="1" s="1"/>
  <c r="K1786" i="1"/>
  <c r="I1786" i="1"/>
  <c r="G1786" i="1" s="1"/>
  <c r="K1785" i="1"/>
  <c r="I1785" i="1"/>
  <c r="G1785" i="1" s="1"/>
  <c r="I1784" i="1"/>
  <c r="K1784" i="1"/>
  <c r="K1782" i="1"/>
  <c r="I1782" i="1"/>
  <c r="G1782" i="1" s="1"/>
  <c r="I1781" i="1"/>
  <c r="K1781" i="1"/>
  <c r="K1780" i="1"/>
  <c r="I1780" i="1"/>
  <c r="G1780" i="1" s="1"/>
  <c r="K1779" i="1"/>
  <c r="I1779" i="1"/>
  <c r="G1779" i="1" s="1"/>
  <c r="K1778" i="1"/>
  <c r="I1778" i="1"/>
  <c r="G1778" i="1" s="1"/>
  <c r="I1777" i="1"/>
  <c r="K1777" i="1"/>
  <c r="K1776" i="1"/>
  <c r="I1776" i="1"/>
  <c r="G1776" i="1" s="1"/>
  <c r="I1775" i="1"/>
  <c r="K1775" i="1"/>
  <c r="I1774" i="1"/>
  <c r="K1774" i="1"/>
  <c r="K1772" i="1"/>
  <c r="I1772" i="1"/>
  <c r="G1772" i="1" s="1"/>
  <c r="K1771" i="1"/>
  <c r="I1771" i="1"/>
  <c r="G1771" i="1" s="1"/>
  <c r="K1770" i="1"/>
  <c r="I1770" i="1"/>
  <c r="G1770" i="1" s="1"/>
  <c r="K1769" i="1"/>
  <c r="I1769" i="1"/>
  <c r="G1769" i="1" s="1"/>
  <c r="K1767" i="1"/>
  <c r="I1767" i="1"/>
  <c r="G1767" i="1" s="1"/>
  <c r="K1766" i="1"/>
  <c r="I1766" i="1"/>
  <c r="G1766" i="1" s="1"/>
  <c r="K1765" i="1"/>
  <c r="I1765" i="1"/>
  <c r="G1765" i="1" s="1"/>
  <c r="I1764" i="1"/>
  <c r="K1764" i="1"/>
  <c r="I1763" i="1"/>
  <c r="K1763" i="1"/>
  <c r="K1762" i="1"/>
  <c r="I1762" i="1"/>
  <c r="G1762" i="1" s="1"/>
  <c r="K1760" i="1"/>
  <c r="I1760" i="1"/>
  <c r="G1760" i="1" s="1"/>
  <c r="K1759" i="1"/>
  <c r="I1759" i="1"/>
  <c r="G1759" i="1" s="1"/>
  <c r="I1758" i="1"/>
  <c r="K1758" i="1"/>
  <c r="I1757" i="1"/>
  <c r="K1757" i="1"/>
  <c r="K1756" i="1"/>
  <c r="I1756" i="1"/>
  <c r="G1756" i="1" s="1"/>
  <c r="K1755" i="1"/>
  <c r="I1755" i="1"/>
  <c r="G1755" i="1" s="1"/>
  <c r="I1754" i="1"/>
  <c r="K1754" i="1"/>
  <c r="I1753" i="1"/>
  <c r="K1753" i="1"/>
  <c r="I1752" i="1"/>
  <c r="K1752" i="1"/>
  <c r="I1751" i="1"/>
  <c r="K1751" i="1"/>
  <c r="I1750" i="1"/>
  <c r="K1750" i="1"/>
  <c r="I1749" i="1"/>
  <c r="K1749" i="1"/>
  <c r="I1747" i="1"/>
  <c r="K1747" i="1"/>
  <c r="K1746" i="1"/>
  <c r="I1746" i="1"/>
  <c r="G1746" i="1" s="1"/>
  <c r="K1745" i="1"/>
  <c r="I1745" i="1"/>
  <c r="G1745" i="1" s="1"/>
  <c r="I1744" i="1"/>
  <c r="K1744" i="1"/>
  <c r="K1743" i="1"/>
  <c r="I1743" i="1"/>
  <c r="G1743" i="1" s="1"/>
  <c r="K1741" i="1"/>
  <c r="I1741" i="1"/>
  <c r="G1741" i="1" s="1"/>
  <c r="K1740" i="1"/>
  <c r="I1740" i="1"/>
  <c r="G1740" i="1" s="1"/>
  <c r="K1739" i="1"/>
  <c r="I1739" i="1"/>
  <c r="G1739" i="1" s="1"/>
  <c r="K1738" i="1"/>
  <c r="I1738" i="1"/>
  <c r="G1738" i="1" s="1"/>
  <c r="K1737" i="1"/>
  <c r="I1737" i="1"/>
  <c r="G1737" i="1" s="1"/>
  <c r="K1736" i="1"/>
  <c r="I1736" i="1"/>
  <c r="G1736" i="1" s="1"/>
  <c r="I1735" i="1"/>
  <c r="K1735" i="1"/>
  <c r="K1734" i="1"/>
  <c r="I1734" i="1"/>
  <c r="G1734" i="1" s="1"/>
  <c r="K1733" i="1"/>
  <c r="I1733" i="1"/>
  <c r="G1733" i="1" s="1"/>
  <c r="K1732" i="1"/>
  <c r="I1732" i="1"/>
  <c r="G1732" i="1" s="1"/>
  <c r="I1731" i="1"/>
  <c r="K1731" i="1"/>
  <c r="I1730" i="1"/>
  <c r="K1730" i="1"/>
  <c r="I1729" i="1"/>
  <c r="K1729" i="1"/>
  <c r="I1728" i="1"/>
  <c r="K1728" i="1"/>
  <c r="I1727" i="1"/>
  <c r="K1727" i="1"/>
  <c r="K1726" i="1"/>
  <c r="I1726" i="1"/>
  <c r="G1726" i="1" s="1"/>
  <c r="K1725" i="1"/>
  <c r="I1725" i="1"/>
  <c r="G1725" i="1" s="1"/>
  <c r="K1724" i="1"/>
  <c r="I1724" i="1"/>
  <c r="G1724" i="1" s="1"/>
  <c r="K1723" i="1"/>
  <c r="I1723" i="1"/>
  <c r="G1723" i="1" s="1"/>
  <c r="K1722" i="1"/>
  <c r="I1722" i="1"/>
  <c r="G1722" i="1" s="1"/>
  <c r="K1721" i="1"/>
  <c r="I1721" i="1"/>
  <c r="G1721" i="1" s="1"/>
  <c r="K1719" i="1"/>
  <c r="I1719" i="1"/>
  <c r="G1719" i="1" s="1"/>
  <c r="K1718" i="1"/>
  <c r="I1718" i="1"/>
  <c r="G1718" i="1" s="1"/>
  <c r="K1717" i="1"/>
  <c r="I1717" i="1"/>
  <c r="G1717" i="1" s="1"/>
  <c r="K1716" i="1"/>
  <c r="I1716" i="1"/>
  <c r="G1716" i="1" s="1"/>
  <c r="K1715" i="1"/>
  <c r="I1715" i="1"/>
  <c r="G1715" i="1" s="1"/>
  <c r="K1714" i="1"/>
  <c r="I1714" i="1"/>
  <c r="G1714" i="1" s="1"/>
  <c r="I1713" i="1"/>
  <c r="K1713" i="1"/>
  <c r="K1712" i="1"/>
  <c r="I1712" i="1"/>
  <c r="G1712" i="1" s="1"/>
  <c r="I1711" i="1"/>
  <c r="K1711" i="1"/>
  <c r="I1710" i="1"/>
  <c r="K1710" i="1"/>
  <c r="I1709" i="1"/>
  <c r="K1709" i="1"/>
  <c r="K1708" i="1"/>
  <c r="I1708" i="1"/>
  <c r="G1708" i="1" s="1"/>
  <c r="K1707" i="1"/>
  <c r="I1707" i="1"/>
  <c r="G1707" i="1" s="1"/>
  <c r="K1706" i="1"/>
  <c r="I1706" i="1"/>
  <c r="G1706" i="1" s="1"/>
  <c r="K1705" i="1"/>
  <c r="I1705" i="1"/>
  <c r="G1705" i="1" s="1"/>
  <c r="K1704" i="1"/>
  <c r="I1704" i="1"/>
  <c r="G1704" i="1" s="1"/>
  <c r="K1703" i="1"/>
  <c r="I1703" i="1"/>
  <c r="G1703" i="1" s="1"/>
  <c r="K1702" i="1"/>
  <c r="I1702" i="1"/>
  <c r="G1702" i="1" s="1"/>
  <c r="I1701" i="1"/>
  <c r="K1701" i="1"/>
  <c r="I1700" i="1"/>
  <c r="K1700" i="1"/>
  <c r="I1699" i="1"/>
  <c r="K1699" i="1"/>
  <c r="K1698" i="1"/>
  <c r="I1698" i="1"/>
  <c r="G1698" i="1" s="1"/>
  <c r="K1697" i="1"/>
  <c r="I1697" i="1"/>
  <c r="G1697" i="1" s="1"/>
  <c r="I1696" i="1"/>
  <c r="K1696" i="1"/>
  <c r="K1695" i="1"/>
  <c r="I1695" i="1"/>
  <c r="G1695" i="1" s="1"/>
  <c r="K1694" i="1"/>
  <c r="I1694" i="1"/>
  <c r="G1694" i="1" s="1"/>
  <c r="K1693" i="1"/>
  <c r="I1693" i="1"/>
  <c r="G1693" i="1" s="1"/>
  <c r="K1692" i="1"/>
  <c r="I1692" i="1"/>
  <c r="G1692" i="1" s="1"/>
  <c r="K1691" i="1"/>
  <c r="I1691" i="1"/>
  <c r="G1691" i="1" s="1"/>
  <c r="K1690" i="1"/>
  <c r="I1690" i="1"/>
  <c r="G1690" i="1" s="1"/>
  <c r="K1689" i="1"/>
  <c r="I1689" i="1"/>
  <c r="G1689" i="1" s="1"/>
  <c r="I1688" i="1"/>
  <c r="K1688" i="1"/>
  <c r="I1687" i="1"/>
  <c r="K1687" i="1"/>
  <c r="I1686" i="1"/>
  <c r="K1686" i="1"/>
  <c r="I1685" i="1"/>
  <c r="K1685" i="1"/>
  <c r="K1684" i="1"/>
  <c r="I1684" i="1"/>
  <c r="G1684" i="1" s="1"/>
  <c r="K1682" i="1"/>
  <c r="I1682" i="1"/>
  <c r="G1682" i="1" s="1"/>
  <c r="K1681" i="1"/>
  <c r="I1681" i="1"/>
  <c r="G1681" i="1" s="1"/>
  <c r="K1680" i="1"/>
  <c r="I1680" i="1"/>
  <c r="G1680" i="1" s="1"/>
  <c r="K1679" i="1"/>
  <c r="I1679" i="1"/>
  <c r="G1679" i="1" s="1"/>
  <c r="I1678" i="1"/>
  <c r="K1678" i="1"/>
  <c r="I1677" i="1"/>
  <c r="K1677" i="1"/>
  <c r="I1676" i="1"/>
  <c r="K1676" i="1"/>
  <c r="K1675" i="1"/>
  <c r="I1675" i="1"/>
  <c r="G1675" i="1" s="1"/>
  <c r="I1674" i="1"/>
  <c r="K1674" i="1"/>
  <c r="I1673" i="1"/>
  <c r="K1673" i="1"/>
  <c r="K1672" i="1"/>
  <c r="I1672" i="1"/>
  <c r="G1672" i="1" s="1"/>
  <c r="K1671" i="1"/>
  <c r="I1671" i="1"/>
  <c r="G1671" i="1" s="1"/>
  <c r="K1670" i="1"/>
  <c r="I1670" i="1"/>
  <c r="G1670" i="1" s="1"/>
  <c r="K1669" i="1"/>
  <c r="I1669" i="1"/>
  <c r="G1669" i="1" s="1"/>
  <c r="I1668" i="1"/>
  <c r="K1668" i="1"/>
  <c r="K1667" i="1"/>
  <c r="I1667" i="1"/>
  <c r="G1667" i="1" s="1"/>
  <c r="K1666" i="1"/>
  <c r="I1666" i="1"/>
  <c r="G1666" i="1" s="1"/>
  <c r="K1665" i="1"/>
  <c r="I1665" i="1"/>
  <c r="G1665" i="1" s="1"/>
  <c r="K1664" i="1"/>
  <c r="I1664" i="1"/>
  <c r="G1664" i="1" s="1"/>
  <c r="K1663" i="1"/>
  <c r="I1663" i="1"/>
  <c r="G1663" i="1" s="1"/>
  <c r="K1662" i="1"/>
  <c r="I1662" i="1"/>
  <c r="G1662" i="1" s="1"/>
  <c r="K1660" i="1"/>
  <c r="I1660" i="1"/>
  <c r="G1660" i="1" s="1"/>
  <c r="K1659" i="1"/>
  <c r="I1659" i="1"/>
  <c r="G1659" i="1" s="1"/>
  <c r="K1658" i="1"/>
  <c r="I1658" i="1"/>
  <c r="G1658" i="1" s="1"/>
  <c r="K1657" i="1"/>
  <c r="I1657" i="1"/>
  <c r="G1657" i="1" s="1"/>
  <c r="K1656" i="1"/>
  <c r="I1656" i="1"/>
  <c r="G1656" i="1" s="1"/>
  <c r="K1655" i="1"/>
  <c r="I1655" i="1"/>
  <c r="G1655" i="1" s="1"/>
  <c r="I1654" i="1"/>
  <c r="K1654" i="1"/>
  <c r="I1653" i="1"/>
  <c r="K1653" i="1"/>
  <c r="K1652" i="1"/>
  <c r="I1652" i="1"/>
  <c r="G1652" i="1" s="1"/>
  <c r="I1651" i="1"/>
  <c r="K1651" i="1"/>
  <c r="K1650" i="1"/>
  <c r="I1650" i="1"/>
  <c r="G1650" i="1" s="1"/>
  <c r="I1649" i="1"/>
  <c r="K1649" i="1"/>
  <c r="K1648" i="1"/>
  <c r="I1648" i="1"/>
  <c r="G1648" i="1" s="1"/>
  <c r="K1647" i="1"/>
  <c r="I1647" i="1"/>
  <c r="G1647" i="1" s="1"/>
  <c r="K1646" i="1"/>
  <c r="I1646" i="1"/>
  <c r="G1646" i="1" s="1"/>
  <c r="K1645" i="1"/>
  <c r="I1645" i="1"/>
  <c r="G1645" i="1" s="1"/>
  <c r="K1644" i="1"/>
  <c r="I1644" i="1"/>
  <c r="G1644" i="1" s="1"/>
  <c r="K1643" i="1"/>
  <c r="I1643" i="1"/>
  <c r="G1643" i="1" s="1"/>
  <c r="K1642" i="1"/>
  <c r="I1642" i="1"/>
  <c r="G1642" i="1" s="1"/>
  <c r="K1641" i="1"/>
  <c r="I1641" i="1"/>
  <c r="G1641" i="1" s="1"/>
  <c r="K1640" i="1"/>
  <c r="I1640" i="1"/>
  <c r="G1640" i="1" s="1"/>
  <c r="I1639" i="1"/>
  <c r="K1639" i="1"/>
  <c r="I1638" i="1"/>
  <c r="K1638" i="1"/>
  <c r="I1637" i="1"/>
  <c r="K1637" i="1"/>
  <c r="K1636" i="1"/>
  <c r="I1636" i="1"/>
  <c r="G1636" i="1" s="1"/>
  <c r="I1635" i="1"/>
  <c r="K1635" i="1"/>
  <c r="I1634" i="1"/>
  <c r="K1634" i="1"/>
  <c r="K1633" i="1"/>
  <c r="I1633" i="1"/>
  <c r="G1633" i="1" s="1"/>
  <c r="I1632" i="1"/>
  <c r="K1632" i="1"/>
  <c r="I1631" i="1"/>
  <c r="K1631" i="1"/>
  <c r="I1630" i="1"/>
  <c r="K1630" i="1"/>
  <c r="K1629" i="1"/>
  <c r="I1629" i="1"/>
  <c r="G1629" i="1" s="1"/>
  <c r="K1628" i="1"/>
  <c r="I1628" i="1"/>
  <c r="G1628" i="1" s="1"/>
  <c r="K1627" i="1"/>
  <c r="I1627" i="1"/>
  <c r="G1627" i="1" s="1"/>
  <c r="I1626" i="1"/>
  <c r="K1626" i="1"/>
  <c r="I1625" i="1"/>
  <c r="K1625" i="1"/>
  <c r="I1623" i="1"/>
  <c r="K1623" i="1"/>
  <c r="I1622" i="1"/>
  <c r="K1622" i="1"/>
  <c r="I1621" i="1"/>
  <c r="K1621" i="1"/>
  <c r="K1620" i="1"/>
  <c r="I1620" i="1"/>
  <c r="G1620" i="1" s="1"/>
  <c r="I1619" i="1"/>
  <c r="K1619" i="1"/>
  <c r="I1618" i="1"/>
  <c r="K1618" i="1"/>
  <c r="I1616" i="1"/>
  <c r="K1616" i="1"/>
  <c r="K1615" i="1"/>
  <c r="I1615" i="1"/>
  <c r="G1615" i="1" s="1"/>
  <c r="I1614" i="1"/>
  <c r="K1614" i="1"/>
  <c r="K1613" i="1"/>
  <c r="I1613" i="1"/>
  <c r="G1613" i="1" s="1"/>
  <c r="K1612" i="1"/>
  <c r="I1612" i="1"/>
  <c r="G1612" i="1" s="1"/>
  <c r="K1611" i="1"/>
  <c r="I1611" i="1"/>
  <c r="G1611" i="1" s="1"/>
  <c r="K1610" i="1"/>
  <c r="I1610" i="1"/>
  <c r="G1610" i="1" s="1"/>
  <c r="I1609" i="1"/>
  <c r="K1609" i="1"/>
  <c r="K1608" i="1"/>
  <c r="I1608" i="1"/>
  <c r="G1608" i="1" s="1"/>
  <c r="K1607" i="1"/>
  <c r="I1607" i="1"/>
  <c r="G1607" i="1" s="1"/>
  <c r="I1606" i="1"/>
  <c r="K1606" i="1"/>
  <c r="I1605" i="1"/>
  <c r="K1605" i="1"/>
  <c r="I1604" i="1"/>
  <c r="K1604" i="1"/>
  <c r="K1603" i="1"/>
  <c r="I1603" i="1"/>
  <c r="G1603" i="1" s="1"/>
  <c r="I1602" i="1"/>
  <c r="K1602" i="1"/>
  <c r="I1601" i="1"/>
  <c r="K1601" i="1"/>
  <c r="K1600" i="1"/>
  <c r="I1600" i="1"/>
  <c r="G1600" i="1" s="1"/>
  <c r="K1599" i="1"/>
  <c r="I1599" i="1"/>
  <c r="G1599" i="1" s="1"/>
  <c r="I1598" i="1"/>
  <c r="K1598" i="1"/>
  <c r="I1597" i="1"/>
  <c r="K1597" i="1"/>
  <c r="I1596" i="1"/>
  <c r="K1596" i="1"/>
  <c r="I1595" i="1"/>
  <c r="K1595" i="1"/>
  <c r="I1594" i="1"/>
  <c r="K1594" i="1"/>
  <c r="K1593" i="1"/>
  <c r="I1593" i="1"/>
  <c r="G1593" i="1" s="1"/>
  <c r="K1592" i="1"/>
  <c r="I1592" i="1"/>
  <c r="G1592" i="1" s="1"/>
  <c r="I1591" i="1"/>
  <c r="K1591" i="1"/>
  <c r="I1590" i="1"/>
  <c r="K1590" i="1"/>
  <c r="I1589" i="1"/>
  <c r="K1589" i="1"/>
  <c r="I1588" i="1"/>
  <c r="K1588" i="1"/>
  <c r="I1587" i="1"/>
  <c r="K1587" i="1"/>
  <c r="K1586" i="1"/>
  <c r="I1586" i="1"/>
  <c r="G1586" i="1" s="1"/>
  <c r="I1585" i="1"/>
  <c r="K1585" i="1"/>
  <c r="I1584" i="1"/>
  <c r="K1584" i="1"/>
  <c r="K1583" i="1"/>
  <c r="I1583" i="1"/>
  <c r="G1583" i="1" s="1"/>
  <c r="K1582" i="1"/>
  <c r="I1582" i="1"/>
  <c r="G1582" i="1" s="1"/>
  <c r="I1581" i="1"/>
  <c r="K1581" i="1"/>
  <c r="I1580" i="1"/>
  <c r="K1580" i="1"/>
  <c r="I1578" i="1"/>
  <c r="K1578" i="1"/>
  <c r="K1577" i="1"/>
  <c r="I1577" i="1"/>
  <c r="G1577" i="1" s="1"/>
  <c r="I1576" i="1"/>
  <c r="K1576" i="1"/>
  <c r="K1575" i="1"/>
  <c r="I1575" i="1"/>
  <c r="G1575" i="1" s="1"/>
  <c r="K1574" i="1"/>
  <c r="I1574" i="1"/>
  <c r="G1574" i="1" s="1"/>
  <c r="I1573" i="1"/>
  <c r="K1573" i="1"/>
  <c r="K1571" i="1"/>
  <c r="I1571" i="1"/>
  <c r="G1571" i="1" s="1"/>
  <c r="I1570" i="1"/>
  <c r="K1570" i="1"/>
  <c r="I1569" i="1"/>
  <c r="K1569" i="1"/>
  <c r="K1568" i="1"/>
  <c r="I1568" i="1"/>
  <c r="G1568" i="1" s="1"/>
  <c r="K1567" i="1"/>
  <c r="I1567" i="1"/>
  <c r="G1567" i="1" s="1"/>
  <c r="I1566" i="1"/>
  <c r="K1566" i="1"/>
  <c r="I1565" i="1"/>
  <c r="K1565" i="1"/>
  <c r="K1564" i="1"/>
  <c r="I1564" i="1"/>
  <c r="G1564" i="1" s="1"/>
  <c r="K1563" i="1"/>
  <c r="I1563" i="1"/>
  <c r="G1563" i="1" s="1"/>
  <c r="K1562" i="1"/>
  <c r="I1562" i="1"/>
  <c r="G1562" i="1" s="1"/>
  <c r="I1561" i="1"/>
  <c r="K1561" i="1"/>
  <c r="K1560" i="1"/>
  <c r="I1560" i="1"/>
  <c r="G1560" i="1" s="1"/>
  <c r="K1559" i="1"/>
  <c r="I1559" i="1"/>
  <c r="G1559" i="1" s="1"/>
  <c r="K1558" i="1"/>
  <c r="I1558" i="1"/>
  <c r="G1558" i="1" s="1"/>
  <c r="K1557" i="1"/>
  <c r="I1557" i="1"/>
  <c r="G1557" i="1" s="1"/>
  <c r="K1556" i="1"/>
  <c r="I1556" i="1"/>
  <c r="G1556" i="1" s="1"/>
  <c r="K1555" i="1"/>
  <c r="I1555" i="1"/>
  <c r="G1555" i="1" s="1"/>
  <c r="I1554" i="1"/>
  <c r="K1554" i="1"/>
  <c r="K1553" i="1"/>
  <c r="I1553" i="1"/>
  <c r="G1553" i="1" s="1"/>
  <c r="K1552" i="1"/>
  <c r="I1552" i="1"/>
  <c r="G1552" i="1" s="1"/>
  <c r="K1551" i="1"/>
  <c r="I1551" i="1"/>
  <c r="G1551" i="1" s="1"/>
  <c r="K1550" i="1"/>
  <c r="I1550" i="1"/>
  <c r="G1550" i="1" s="1"/>
  <c r="I1549" i="1"/>
  <c r="K1549" i="1"/>
  <c r="I1548" i="1"/>
  <c r="K1548" i="1"/>
  <c r="I1547" i="1"/>
  <c r="K1547" i="1"/>
  <c r="K1546" i="1"/>
  <c r="I1546" i="1"/>
  <c r="G1546" i="1" s="1"/>
  <c r="I1545" i="1"/>
  <c r="K1545" i="1"/>
  <c r="I1544" i="1"/>
  <c r="K1544" i="1"/>
  <c r="I1543" i="1"/>
  <c r="K1543" i="1"/>
  <c r="I1542" i="1"/>
  <c r="K1542" i="1"/>
  <c r="K1541" i="1"/>
  <c r="I1541" i="1"/>
  <c r="G1541" i="1" s="1"/>
  <c r="K1540" i="1"/>
  <c r="I1540" i="1"/>
  <c r="G1540" i="1" s="1"/>
  <c r="K1539" i="1"/>
  <c r="I1539" i="1"/>
  <c r="G1539" i="1" s="1"/>
  <c r="I1538" i="1"/>
  <c r="K1538" i="1"/>
  <c r="I1537" i="1"/>
  <c r="K1537" i="1"/>
  <c r="K1536" i="1"/>
  <c r="I1536" i="1"/>
  <c r="G1536" i="1" s="1"/>
  <c r="I1535" i="1"/>
  <c r="K1535" i="1"/>
  <c r="I1533" i="1"/>
  <c r="K1533" i="1"/>
  <c r="K1532" i="1"/>
  <c r="I1532" i="1"/>
  <c r="G1532" i="1" s="1"/>
  <c r="I1531" i="1"/>
  <c r="K1531" i="1"/>
  <c r="K1530" i="1"/>
  <c r="I1530" i="1"/>
  <c r="G1530" i="1" s="1"/>
  <c r="K1529" i="1"/>
  <c r="I1529" i="1"/>
  <c r="G1529" i="1" s="1"/>
  <c r="K1528" i="1"/>
  <c r="I1528" i="1"/>
  <c r="G1528" i="1" s="1"/>
  <c r="K1527" i="1"/>
  <c r="I1527" i="1"/>
  <c r="G1527" i="1" s="1"/>
  <c r="K1526" i="1"/>
  <c r="I1526" i="1"/>
  <c r="G1526" i="1" s="1"/>
  <c r="K1525" i="1"/>
  <c r="I1525" i="1"/>
  <c r="G1525" i="1" s="1"/>
  <c r="K1524" i="1"/>
  <c r="I1524" i="1"/>
  <c r="G1524" i="1" s="1"/>
  <c r="K1523" i="1"/>
  <c r="I1523" i="1"/>
  <c r="G1523" i="1" s="1"/>
  <c r="I1522" i="1"/>
  <c r="K1522" i="1"/>
  <c r="K1521" i="1"/>
  <c r="I1521" i="1"/>
  <c r="G1521" i="1" s="1"/>
  <c r="K1520" i="1"/>
  <c r="I1520" i="1"/>
  <c r="G1520" i="1" s="1"/>
  <c r="K1519" i="1"/>
  <c r="I1519" i="1"/>
  <c r="G1519" i="1" s="1"/>
  <c r="K1518" i="1"/>
  <c r="I1518" i="1"/>
  <c r="G1518" i="1" s="1"/>
  <c r="K1517" i="1"/>
  <c r="I1517" i="1"/>
  <c r="G1517" i="1" s="1"/>
  <c r="I1516" i="1"/>
  <c r="K1516" i="1"/>
  <c r="I1515" i="1"/>
  <c r="K1515" i="1"/>
  <c r="K1513" i="1"/>
  <c r="I1513" i="1"/>
  <c r="G1513" i="1" s="1"/>
  <c r="K1512" i="1"/>
  <c r="I1512" i="1"/>
  <c r="G1512" i="1" s="1"/>
  <c r="K1511" i="1"/>
  <c r="I1511" i="1"/>
  <c r="G1511" i="1" s="1"/>
  <c r="K1510" i="1"/>
  <c r="I1510" i="1"/>
  <c r="G1510" i="1" s="1"/>
  <c r="I1509" i="1"/>
  <c r="K1509" i="1"/>
  <c r="K1508" i="1"/>
  <c r="I1508" i="1"/>
  <c r="G1508" i="1" s="1"/>
  <c r="K1507" i="1"/>
  <c r="I1507" i="1"/>
  <c r="G1507" i="1" s="1"/>
  <c r="K1506" i="1"/>
  <c r="I1506" i="1"/>
  <c r="G1506" i="1" s="1"/>
  <c r="K1504" i="1"/>
  <c r="I1504" i="1"/>
  <c r="G1504" i="1" s="1"/>
  <c r="K1503" i="1"/>
  <c r="I1503" i="1"/>
  <c r="G1503" i="1" s="1"/>
  <c r="K1502" i="1"/>
  <c r="I1502" i="1"/>
  <c r="G1502" i="1" s="1"/>
  <c r="K1501" i="1"/>
  <c r="I1501" i="1"/>
  <c r="G1501" i="1" s="1"/>
  <c r="K1500" i="1"/>
  <c r="I1500" i="1"/>
  <c r="G1500" i="1" s="1"/>
  <c r="K1499" i="1"/>
  <c r="I1499" i="1"/>
  <c r="G1499" i="1" s="1"/>
  <c r="K1498" i="1"/>
  <c r="I1498" i="1"/>
  <c r="G1498" i="1" s="1"/>
  <c r="K1497" i="1"/>
  <c r="I1497" i="1"/>
  <c r="G1497" i="1" s="1"/>
  <c r="K1496" i="1"/>
  <c r="I1496" i="1"/>
  <c r="G1496" i="1" s="1"/>
  <c r="I1494" i="1"/>
  <c r="K1494" i="1"/>
  <c r="K1493" i="1"/>
  <c r="I1493" i="1"/>
  <c r="G1493" i="1" s="1"/>
  <c r="K1492" i="1"/>
  <c r="I1492" i="1"/>
  <c r="G1492" i="1" s="1"/>
  <c r="I1491" i="1"/>
  <c r="K1491" i="1"/>
  <c r="K1490" i="1"/>
  <c r="I1490" i="1"/>
  <c r="G1490" i="1" s="1"/>
  <c r="K1489" i="1"/>
  <c r="I1489" i="1"/>
  <c r="G1489" i="1" s="1"/>
  <c r="K1488" i="1"/>
  <c r="I1488" i="1"/>
  <c r="G1488" i="1" s="1"/>
  <c r="I1487" i="1"/>
  <c r="K1487" i="1"/>
  <c r="K1486" i="1"/>
  <c r="I1486" i="1"/>
  <c r="G1486" i="1" s="1"/>
  <c r="K1485" i="1"/>
  <c r="I1485" i="1"/>
  <c r="G1485" i="1" s="1"/>
  <c r="K1484" i="1"/>
  <c r="I1484" i="1"/>
  <c r="G1484" i="1" s="1"/>
  <c r="K1483" i="1"/>
  <c r="I1483" i="1"/>
  <c r="G1483" i="1" s="1"/>
  <c r="K1482" i="1"/>
  <c r="I1482" i="1"/>
  <c r="G1482" i="1" s="1"/>
  <c r="K1481" i="1"/>
  <c r="I1481" i="1"/>
  <c r="G1481" i="1" s="1"/>
  <c r="K1480" i="1"/>
  <c r="I1480" i="1"/>
  <c r="G1480" i="1" s="1"/>
  <c r="K1479" i="1"/>
  <c r="I1479" i="1"/>
  <c r="G1479" i="1" s="1"/>
  <c r="K1478" i="1"/>
  <c r="I1478" i="1"/>
  <c r="G1478" i="1" s="1"/>
  <c r="K1477" i="1"/>
  <c r="I1477" i="1"/>
  <c r="G1477" i="1" s="1"/>
  <c r="K1476" i="1"/>
  <c r="I1476" i="1"/>
  <c r="G1476" i="1" s="1"/>
  <c r="K1475" i="1"/>
  <c r="I1475" i="1"/>
  <c r="G1475" i="1" s="1"/>
  <c r="K1474" i="1"/>
  <c r="I1474" i="1"/>
  <c r="G1474" i="1" s="1"/>
  <c r="K1473" i="1"/>
  <c r="I1473" i="1"/>
  <c r="G1473" i="1" s="1"/>
  <c r="K1472" i="1"/>
  <c r="I1472" i="1"/>
  <c r="G1472" i="1" s="1"/>
  <c r="K1471" i="1"/>
  <c r="I1471" i="1"/>
  <c r="G1471" i="1" s="1"/>
  <c r="K1470" i="1"/>
  <c r="I1470" i="1"/>
  <c r="G1470" i="1" s="1"/>
  <c r="K1468" i="1"/>
  <c r="I1468" i="1"/>
  <c r="G1468" i="1" s="1"/>
  <c r="I1467" i="1"/>
  <c r="K1467" i="1"/>
  <c r="K1466" i="1"/>
  <c r="I1466" i="1"/>
  <c r="G1466" i="1" s="1"/>
  <c r="K1465" i="1"/>
  <c r="I1465" i="1"/>
  <c r="G1465" i="1" s="1"/>
  <c r="K1464" i="1"/>
  <c r="I1464" i="1"/>
  <c r="G1464" i="1" s="1"/>
  <c r="K1463" i="1"/>
  <c r="I1463" i="1"/>
  <c r="G1463" i="1" s="1"/>
  <c r="K1462" i="1"/>
  <c r="I1462" i="1"/>
  <c r="G1462" i="1" s="1"/>
  <c r="K1461" i="1"/>
  <c r="I1461" i="1"/>
  <c r="G1461" i="1" s="1"/>
  <c r="K1460" i="1"/>
  <c r="I1460" i="1"/>
  <c r="G1460" i="1" s="1"/>
  <c r="K1459" i="1"/>
  <c r="I1459" i="1"/>
  <c r="G1459" i="1" s="1"/>
  <c r="K1458" i="1"/>
  <c r="I1458" i="1"/>
  <c r="G1458" i="1" s="1"/>
  <c r="K1457" i="1"/>
  <c r="I1457" i="1"/>
  <c r="G1457" i="1" s="1"/>
  <c r="K1456" i="1"/>
  <c r="I1456" i="1"/>
  <c r="G1456" i="1" s="1"/>
  <c r="K1455" i="1"/>
  <c r="I1455" i="1"/>
  <c r="G1455" i="1" s="1"/>
  <c r="K1454" i="1"/>
  <c r="I1454" i="1"/>
  <c r="G1454" i="1" s="1"/>
  <c r="K1453" i="1"/>
  <c r="I1453" i="1"/>
  <c r="G1453" i="1" s="1"/>
  <c r="K1452" i="1"/>
  <c r="I1452" i="1"/>
  <c r="G1452" i="1" s="1"/>
  <c r="K1451" i="1"/>
  <c r="I1451" i="1"/>
  <c r="G1451" i="1" s="1"/>
  <c r="K1449" i="1"/>
  <c r="I1449" i="1"/>
  <c r="G1449" i="1" s="1"/>
  <c r="K1448" i="1"/>
  <c r="I1448" i="1"/>
  <c r="G1448" i="1" s="1"/>
  <c r="K1447" i="1"/>
  <c r="I1447" i="1"/>
  <c r="G1447" i="1" s="1"/>
  <c r="K1446" i="1"/>
  <c r="I1446" i="1"/>
  <c r="G1446" i="1" s="1"/>
  <c r="K1445" i="1"/>
  <c r="I1445" i="1"/>
  <c r="G1445" i="1" s="1"/>
  <c r="K1444" i="1"/>
  <c r="I1444" i="1"/>
  <c r="G1444" i="1" s="1"/>
  <c r="K1443" i="1"/>
  <c r="I1443" i="1"/>
  <c r="G1443" i="1" s="1"/>
  <c r="K1442" i="1"/>
  <c r="I1442" i="1"/>
  <c r="G1442" i="1" s="1"/>
  <c r="K1441" i="1"/>
  <c r="I1441" i="1"/>
  <c r="G1441" i="1" s="1"/>
  <c r="I1440" i="1"/>
  <c r="K1440" i="1"/>
  <c r="K1439" i="1"/>
  <c r="I1439" i="1"/>
  <c r="G1439" i="1" s="1"/>
  <c r="K1438" i="1"/>
  <c r="I1438" i="1"/>
  <c r="G1438" i="1" s="1"/>
  <c r="K1437" i="1"/>
  <c r="I1437" i="1"/>
  <c r="G1437" i="1" s="1"/>
  <c r="K1436" i="1"/>
  <c r="I1436" i="1"/>
  <c r="G1436" i="1" s="1"/>
  <c r="K1435" i="1"/>
  <c r="I1435" i="1"/>
  <c r="G1435" i="1" s="1"/>
  <c r="I1434" i="1"/>
  <c r="K1434" i="1"/>
  <c r="K1433" i="1"/>
  <c r="I1433" i="1"/>
  <c r="G1433" i="1" s="1"/>
  <c r="I1432" i="1"/>
  <c r="K1432" i="1"/>
  <c r="K1431" i="1"/>
  <c r="I1431" i="1"/>
  <c r="G1431" i="1" s="1"/>
  <c r="K1430" i="1"/>
  <c r="I1430" i="1"/>
  <c r="G1430" i="1" s="1"/>
  <c r="K1429" i="1"/>
  <c r="I1429" i="1"/>
  <c r="G1429" i="1" s="1"/>
  <c r="I1428" i="1"/>
  <c r="K1428" i="1"/>
  <c r="I1427" i="1"/>
  <c r="K1427" i="1"/>
  <c r="K1426" i="1"/>
  <c r="I1426" i="1"/>
  <c r="G1426" i="1" s="1"/>
  <c r="K1425" i="1"/>
  <c r="I1425" i="1"/>
  <c r="G1425" i="1" s="1"/>
  <c r="K1424" i="1"/>
  <c r="I1424" i="1"/>
  <c r="G1424" i="1" s="1"/>
  <c r="K1423" i="1"/>
  <c r="I1423" i="1"/>
  <c r="G1423" i="1" s="1"/>
  <c r="K1422" i="1"/>
  <c r="I1422" i="1"/>
  <c r="G1422" i="1" s="1"/>
  <c r="K1421" i="1"/>
  <c r="I1421" i="1"/>
  <c r="G1421" i="1" s="1"/>
  <c r="K1420" i="1"/>
  <c r="I1420" i="1"/>
  <c r="G1420" i="1" s="1"/>
  <c r="K1419" i="1"/>
  <c r="I1419" i="1"/>
  <c r="G1419" i="1" s="1"/>
  <c r="I1417" i="1"/>
  <c r="K1417" i="1"/>
  <c r="I1416" i="1"/>
  <c r="K1416" i="1"/>
  <c r="K1415" i="1"/>
  <c r="I1415" i="1"/>
  <c r="G1415" i="1" s="1"/>
  <c r="I1414" i="1"/>
  <c r="K1414" i="1"/>
  <c r="I1413" i="1"/>
  <c r="K1413" i="1"/>
  <c r="I1412" i="1"/>
  <c r="K1412" i="1"/>
  <c r="K1411" i="1"/>
  <c r="I1411" i="1"/>
  <c r="G1411" i="1" s="1"/>
  <c r="K1410" i="1"/>
  <c r="I1410" i="1"/>
  <c r="G1410" i="1" s="1"/>
  <c r="K1409" i="1"/>
  <c r="I1409" i="1"/>
  <c r="G1409" i="1" s="1"/>
  <c r="K1408" i="1"/>
  <c r="I1408" i="1"/>
  <c r="G1408" i="1" s="1"/>
  <c r="I1407" i="1"/>
  <c r="K1407" i="1"/>
  <c r="K1406" i="1"/>
  <c r="I1406" i="1"/>
  <c r="G1406" i="1" s="1"/>
  <c r="K1405" i="1"/>
  <c r="I1405" i="1"/>
  <c r="G1405" i="1" s="1"/>
  <c r="I1404" i="1"/>
  <c r="K1404" i="1"/>
  <c r="I1403" i="1"/>
  <c r="K1403" i="1"/>
  <c r="K1402" i="1"/>
  <c r="I1402" i="1"/>
  <c r="G1402" i="1" s="1"/>
  <c r="I1401" i="1"/>
  <c r="K1401" i="1"/>
  <c r="I1400" i="1"/>
  <c r="K1400" i="1"/>
  <c r="I1398" i="1"/>
  <c r="K1398" i="1"/>
  <c r="K1397" i="1"/>
  <c r="I1397" i="1"/>
  <c r="G1397" i="1" s="1"/>
  <c r="I1396" i="1"/>
  <c r="K1396" i="1"/>
  <c r="I1395" i="1"/>
  <c r="K1395" i="1"/>
  <c r="K1394" i="1"/>
  <c r="I1394" i="1"/>
  <c r="G1394" i="1" s="1"/>
  <c r="K1393" i="1"/>
  <c r="I1393" i="1"/>
  <c r="G1393" i="1" s="1"/>
  <c r="K1392" i="1"/>
  <c r="I1392" i="1"/>
  <c r="G1392" i="1" s="1"/>
  <c r="K1391" i="1"/>
  <c r="I1391" i="1"/>
  <c r="G1391" i="1" s="1"/>
  <c r="K1390" i="1"/>
  <c r="I1390" i="1"/>
  <c r="G1390" i="1" s="1"/>
  <c r="I1389" i="1"/>
  <c r="K1389" i="1"/>
  <c r="I1388" i="1"/>
  <c r="K1388" i="1"/>
  <c r="I1387" i="1"/>
  <c r="K1387" i="1"/>
  <c r="K1386" i="1"/>
  <c r="I1386" i="1"/>
  <c r="G1386" i="1" s="1"/>
  <c r="K1385" i="1"/>
  <c r="I1385" i="1"/>
  <c r="G1385" i="1" s="1"/>
  <c r="K1384" i="1"/>
  <c r="I1384" i="1"/>
  <c r="G1384" i="1" s="1"/>
  <c r="K1383" i="1"/>
  <c r="I1383" i="1"/>
  <c r="G1383" i="1" s="1"/>
  <c r="K1382" i="1"/>
  <c r="I1382" i="1"/>
  <c r="G1382" i="1" s="1"/>
  <c r="K1381" i="1"/>
  <c r="I1381" i="1"/>
  <c r="G1381" i="1" s="1"/>
  <c r="K1380" i="1"/>
  <c r="I1380" i="1"/>
  <c r="G1380" i="1" s="1"/>
  <c r="K1379" i="1"/>
  <c r="I1379" i="1"/>
  <c r="G1379" i="1" s="1"/>
  <c r="K1378" i="1"/>
  <c r="I1378" i="1"/>
  <c r="G1378" i="1" s="1"/>
  <c r="K1377" i="1"/>
  <c r="I1377" i="1"/>
  <c r="G1377" i="1" s="1"/>
  <c r="K1376" i="1"/>
  <c r="I1376" i="1"/>
  <c r="G1376" i="1" s="1"/>
  <c r="K1375" i="1"/>
  <c r="I1375" i="1"/>
  <c r="G1375" i="1" s="1"/>
  <c r="K1374" i="1"/>
  <c r="I1374" i="1"/>
  <c r="G1374" i="1" s="1"/>
  <c r="K1373" i="1"/>
  <c r="I1373" i="1"/>
  <c r="G1373" i="1" s="1"/>
  <c r="K1372" i="1"/>
  <c r="I1372" i="1"/>
  <c r="G1372" i="1" s="1"/>
  <c r="K1371" i="1"/>
  <c r="I1371" i="1"/>
  <c r="G1371" i="1" s="1"/>
  <c r="I1370" i="1"/>
  <c r="K1370" i="1"/>
  <c r="I1369" i="1"/>
  <c r="K1369" i="1"/>
  <c r="I1367" i="1"/>
  <c r="K1367" i="1"/>
  <c r="I1366" i="1"/>
  <c r="K1366" i="1"/>
  <c r="I1365" i="1"/>
  <c r="K1365" i="1"/>
  <c r="I1364" i="1"/>
  <c r="K1364" i="1"/>
  <c r="I1363" i="1"/>
  <c r="K1363" i="1"/>
  <c r="K1362" i="1"/>
  <c r="I1362" i="1"/>
  <c r="G1362" i="1" s="1"/>
  <c r="K1361" i="1"/>
  <c r="I1361" i="1"/>
  <c r="G1361" i="1" s="1"/>
  <c r="I1360" i="1"/>
  <c r="K1360" i="1"/>
  <c r="K1359" i="1"/>
  <c r="I1359" i="1"/>
  <c r="G1359" i="1" s="1"/>
  <c r="I1358" i="1"/>
  <c r="K1358" i="1"/>
  <c r="K1357" i="1"/>
  <c r="I1357" i="1"/>
  <c r="G1357" i="1" s="1"/>
  <c r="K1356" i="1"/>
  <c r="I1356" i="1"/>
  <c r="G1356" i="1" s="1"/>
  <c r="K1355" i="1"/>
  <c r="I1355" i="1"/>
  <c r="G1355" i="1" s="1"/>
  <c r="K1354" i="1"/>
  <c r="I1354" i="1"/>
  <c r="G1354" i="1" s="1"/>
  <c r="K1353" i="1"/>
  <c r="I1353" i="1"/>
  <c r="G1353" i="1" s="1"/>
  <c r="I1352" i="1"/>
  <c r="K1352" i="1"/>
  <c r="I1351" i="1"/>
  <c r="K1351" i="1"/>
  <c r="I1350" i="1"/>
  <c r="K1350" i="1"/>
  <c r="K1349" i="1"/>
  <c r="I1349" i="1"/>
  <c r="G1349" i="1" s="1"/>
  <c r="I1348" i="1"/>
  <c r="K1348" i="1"/>
  <c r="I1347" i="1"/>
  <c r="K1347" i="1"/>
  <c r="K1346" i="1"/>
  <c r="I1346" i="1"/>
  <c r="G1346" i="1" s="1"/>
  <c r="I1345" i="1"/>
  <c r="K1345" i="1"/>
  <c r="K1344" i="1"/>
  <c r="I1344" i="1"/>
  <c r="G1344" i="1" s="1"/>
  <c r="K1343" i="1"/>
  <c r="I1343" i="1"/>
  <c r="G1343" i="1" s="1"/>
  <c r="I1342" i="1"/>
  <c r="K1342" i="1"/>
  <c r="K1341" i="1"/>
  <c r="I1341" i="1"/>
  <c r="G1341" i="1" s="1"/>
  <c r="K1340" i="1"/>
  <c r="I1340" i="1"/>
  <c r="G1340" i="1" s="1"/>
  <c r="I1339" i="1"/>
  <c r="K1339" i="1"/>
  <c r="I1338" i="1"/>
  <c r="K1338" i="1"/>
  <c r="K1337" i="1"/>
  <c r="I1337" i="1"/>
  <c r="G1337" i="1" s="1"/>
  <c r="K1336" i="1"/>
  <c r="I1336" i="1"/>
  <c r="G1336" i="1" s="1"/>
  <c r="I1335" i="1"/>
  <c r="K1335" i="1"/>
  <c r="I1334" i="1"/>
  <c r="K1334" i="1"/>
  <c r="I1333" i="1"/>
  <c r="K1333" i="1"/>
  <c r="I1332" i="1"/>
  <c r="K1332" i="1"/>
  <c r="I1331" i="1"/>
  <c r="K1331" i="1"/>
  <c r="K1330" i="1"/>
  <c r="I1330" i="1"/>
  <c r="G1330" i="1" s="1"/>
  <c r="K1329" i="1"/>
  <c r="I1329" i="1"/>
  <c r="G1329" i="1" s="1"/>
  <c r="I1328" i="1"/>
  <c r="K1328" i="1"/>
  <c r="I1327" i="1"/>
  <c r="K1327" i="1"/>
  <c r="K1326" i="1"/>
  <c r="I1326" i="1"/>
  <c r="G1326" i="1" s="1"/>
  <c r="I1325" i="1"/>
  <c r="K1325" i="1"/>
  <c r="I1324" i="1"/>
  <c r="K1324" i="1"/>
  <c r="I1322" i="1"/>
  <c r="K1322" i="1"/>
  <c r="K1321" i="1"/>
  <c r="I1321" i="1"/>
  <c r="G1321" i="1" s="1"/>
  <c r="K1320" i="1"/>
  <c r="I1320" i="1"/>
  <c r="G1320" i="1" s="1"/>
  <c r="I1319" i="1"/>
  <c r="K1319" i="1"/>
  <c r="K1318" i="1"/>
  <c r="I1318" i="1"/>
  <c r="G1318" i="1" s="1"/>
  <c r="I1317" i="1"/>
  <c r="K1317" i="1"/>
  <c r="I1315" i="1"/>
  <c r="K1315" i="1"/>
  <c r="I1313" i="1"/>
  <c r="K1313" i="1"/>
  <c r="K1312" i="1"/>
  <c r="I1312" i="1"/>
  <c r="G1312" i="1" s="1"/>
  <c r="I1311" i="1"/>
  <c r="K1311" i="1"/>
  <c r="K1310" i="1"/>
  <c r="I1310" i="1"/>
  <c r="G1310" i="1" s="1"/>
  <c r="I1309" i="1"/>
  <c r="K1309" i="1"/>
  <c r="I1308" i="1"/>
  <c r="K1308" i="1"/>
  <c r="I1306" i="1"/>
  <c r="K1306" i="1"/>
  <c r="I1305" i="1"/>
  <c r="K1305" i="1"/>
  <c r="I1304" i="1"/>
  <c r="K1304" i="1"/>
  <c r="K1303" i="1"/>
  <c r="I1303" i="1"/>
  <c r="I1302" i="1"/>
  <c r="K1302" i="1"/>
  <c r="K1301" i="1"/>
  <c r="I1301" i="1"/>
  <c r="G1301" i="1" s="1"/>
  <c r="K1300" i="1"/>
  <c r="I1300" i="1"/>
  <c r="G1300" i="1" s="1"/>
  <c r="K1299" i="1"/>
  <c r="I1299" i="1"/>
  <c r="G1299" i="1" s="1"/>
  <c r="I1298" i="1"/>
  <c r="K1298" i="1"/>
  <c r="I1296" i="1"/>
  <c r="K1296" i="1"/>
  <c r="I1295" i="1"/>
  <c r="K1295" i="1"/>
  <c r="K1294" i="1"/>
  <c r="I1294" i="1"/>
  <c r="G1294" i="1" s="1"/>
  <c r="K1293" i="1"/>
  <c r="I1293" i="1"/>
  <c r="G1293" i="1" s="1"/>
  <c r="I1292" i="1"/>
  <c r="K1292" i="1"/>
  <c r="I1291" i="1"/>
  <c r="K1291" i="1"/>
  <c r="I1289" i="1"/>
  <c r="K1289" i="1"/>
  <c r="K1288" i="1"/>
  <c r="I1288" i="1"/>
  <c r="G1288" i="1" s="1"/>
  <c r="I1287" i="1"/>
  <c r="K1287" i="1"/>
  <c r="K1286" i="1"/>
  <c r="I1286" i="1"/>
  <c r="G1286" i="1" s="1"/>
  <c r="K1285" i="1"/>
  <c r="I1285" i="1"/>
  <c r="G1285" i="1" s="1"/>
  <c r="K1284" i="1"/>
  <c r="I1284" i="1"/>
  <c r="G1284" i="1" s="1"/>
  <c r="K1282" i="1"/>
  <c r="I1282" i="1"/>
  <c r="G1282" i="1" s="1"/>
  <c r="K1281" i="1"/>
  <c r="I1281" i="1"/>
  <c r="G1281" i="1" s="1"/>
  <c r="K1280" i="1"/>
  <c r="I1280" i="1"/>
  <c r="G1280" i="1" s="1"/>
  <c r="I1278" i="1"/>
  <c r="K1278" i="1"/>
  <c r="I1277" i="1"/>
  <c r="K1277" i="1"/>
  <c r="I1276" i="1"/>
  <c r="K1276" i="1"/>
  <c r="I1275" i="1"/>
  <c r="K1275" i="1"/>
  <c r="K1274" i="1"/>
  <c r="I1274" i="1"/>
  <c r="G1274" i="1" s="1"/>
  <c r="I1273" i="1"/>
  <c r="K1273" i="1"/>
  <c r="K1272" i="1"/>
  <c r="I1272" i="1"/>
  <c r="G1272" i="1" s="1"/>
  <c r="K1270" i="1"/>
  <c r="I1270" i="1"/>
  <c r="G1270" i="1" s="1"/>
  <c r="I1269" i="1"/>
  <c r="K1269" i="1"/>
  <c r="I1268" i="1"/>
  <c r="K1268" i="1"/>
  <c r="K1267" i="1"/>
  <c r="I1267" i="1"/>
  <c r="G1267" i="1" s="1"/>
  <c r="I1266" i="1"/>
  <c r="K1266" i="1"/>
  <c r="I1264" i="1"/>
  <c r="K1264" i="1"/>
  <c r="I1263" i="1"/>
  <c r="K1263" i="1"/>
  <c r="I1262" i="1"/>
  <c r="K1262" i="1"/>
  <c r="K1261" i="1"/>
  <c r="I1261" i="1"/>
  <c r="G1261" i="1" s="1"/>
  <c r="K1260" i="1"/>
  <c r="I1260" i="1"/>
  <c r="G1260" i="1" s="1"/>
  <c r="K1259" i="1"/>
  <c r="I1259" i="1"/>
  <c r="G1259" i="1" s="1"/>
  <c r="I1258" i="1"/>
  <c r="K1258" i="1"/>
  <c r="I1257" i="1"/>
  <c r="K1257" i="1"/>
  <c r="I1256" i="1"/>
  <c r="K1256" i="1"/>
  <c r="K1254" i="1"/>
  <c r="I1254" i="1"/>
  <c r="G1254" i="1" s="1"/>
  <c r="I1253" i="1"/>
  <c r="K1253" i="1"/>
  <c r="I1252" i="1"/>
  <c r="K1252" i="1"/>
  <c r="I1251" i="1"/>
  <c r="K1251" i="1"/>
  <c r="I1250" i="1"/>
  <c r="K1250" i="1"/>
  <c r="K1249" i="1"/>
  <c r="I1249" i="1"/>
  <c r="G1249" i="1" s="1"/>
  <c r="I1248" i="1"/>
  <c r="K1248" i="1"/>
  <c r="I1247" i="1"/>
  <c r="K1247" i="1"/>
  <c r="I1246" i="1"/>
  <c r="K1246" i="1"/>
  <c r="K1245" i="1"/>
  <c r="I1245" i="1"/>
  <c r="G1245" i="1" s="1"/>
  <c r="K1244" i="1"/>
  <c r="I1244" i="1"/>
  <c r="G1244" i="1" s="1"/>
  <c r="K1243" i="1"/>
  <c r="I1243" i="1"/>
  <c r="G1243" i="1" s="1"/>
  <c r="K1241" i="1"/>
  <c r="I1241" i="1"/>
  <c r="G1241" i="1" s="1"/>
  <c r="I1240" i="1"/>
  <c r="K1240" i="1"/>
  <c r="I1239" i="1"/>
  <c r="K1239" i="1"/>
  <c r="K1238" i="1"/>
  <c r="I1238" i="1"/>
  <c r="G1238" i="1" s="1"/>
  <c r="I1237" i="1"/>
  <c r="K1237" i="1"/>
  <c r="K1236" i="1"/>
  <c r="I1236" i="1"/>
  <c r="G1236" i="1" s="1"/>
  <c r="K1235" i="1"/>
  <c r="I1235" i="1"/>
  <c r="G1235" i="1" s="1"/>
  <c r="I1234" i="1"/>
  <c r="K1234" i="1"/>
  <c r="I1232" i="1"/>
  <c r="K1232" i="1"/>
  <c r="K1231" i="1"/>
  <c r="I1231" i="1"/>
  <c r="G1231" i="1" s="1"/>
  <c r="K1230" i="1"/>
  <c r="I1230" i="1"/>
  <c r="G1230" i="1" s="1"/>
  <c r="K1229" i="1"/>
  <c r="I1229" i="1"/>
  <c r="G1229" i="1" s="1"/>
  <c r="K1228" i="1"/>
  <c r="I1228" i="1"/>
  <c r="G1228" i="1" s="1"/>
  <c r="I1227" i="1"/>
  <c r="K1227" i="1"/>
  <c r="I1226" i="1"/>
  <c r="K1226" i="1"/>
  <c r="I1225" i="1"/>
  <c r="K1225" i="1"/>
  <c r="K1224" i="1"/>
  <c r="I1224" i="1"/>
  <c r="G1224" i="1" s="1"/>
  <c r="K1223" i="1"/>
  <c r="I1223" i="1"/>
  <c r="G1223" i="1" s="1"/>
  <c r="I1222" i="1"/>
  <c r="K1222" i="1"/>
  <c r="K1221" i="1"/>
  <c r="I1221" i="1"/>
  <c r="G1221" i="1" s="1"/>
  <c r="K1220" i="1"/>
  <c r="I1220" i="1"/>
  <c r="G1220" i="1" s="1"/>
  <c r="K1219" i="1"/>
  <c r="I1219" i="1"/>
  <c r="G1219" i="1" s="1"/>
  <c r="I1218" i="1"/>
  <c r="K1218" i="1"/>
  <c r="K1217" i="1"/>
  <c r="I1217" i="1"/>
  <c r="G1217" i="1" s="1"/>
  <c r="I1216" i="1"/>
  <c r="K1216" i="1"/>
  <c r="K1215" i="1"/>
  <c r="I1215" i="1"/>
  <c r="G1215" i="1" s="1"/>
  <c r="K1214" i="1"/>
  <c r="I1214" i="1"/>
  <c r="G1214" i="1" s="1"/>
  <c r="I1213" i="1"/>
  <c r="K1213" i="1"/>
  <c r="I1212" i="1"/>
  <c r="K1212" i="1"/>
  <c r="K1211" i="1"/>
  <c r="I1211" i="1"/>
  <c r="G1211" i="1" s="1"/>
  <c r="K1210" i="1"/>
  <c r="I1210" i="1"/>
  <c r="G1210" i="1" s="1"/>
  <c r="K1209" i="1"/>
  <c r="I1209" i="1"/>
  <c r="G1209" i="1" s="1"/>
  <c r="I1208" i="1"/>
  <c r="K1208" i="1"/>
  <c r="K1207" i="1"/>
  <c r="I1207" i="1"/>
  <c r="G1207" i="1" s="1"/>
  <c r="K1206" i="1"/>
  <c r="I1206" i="1"/>
  <c r="G1206" i="1" s="1"/>
  <c r="K1205" i="1"/>
  <c r="I1205" i="1"/>
  <c r="G1205" i="1" s="1"/>
  <c r="I1204" i="1"/>
  <c r="K1204" i="1"/>
  <c r="K1203" i="1"/>
  <c r="I1203" i="1"/>
  <c r="G1203" i="1" s="1"/>
  <c r="K1201" i="1"/>
  <c r="I1201" i="1"/>
  <c r="G1201" i="1" s="1"/>
  <c r="K1200" i="1"/>
  <c r="I1200" i="1"/>
  <c r="G1200" i="1" s="1"/>
  <c r="K1199" i="1"/>
  <c r="I1199" i="1"/>
  <c r="G1199" i="1" s="1"/>
  <c r="I1198" i="1"/>
  <c r="K1198" i="1"/>
  <c r="K1197" i="1"/>
  <c r="I1197" i="1"/>
  <c r="G1197" i="1" s="1"/>
  <c r="I1196" i="1"/>
  <c r="K1196" i="1"/>
  <c r="K1195" i="1"/>
  <c r="I1195" i="1"/>
  <c r="G1195" i="1" s="1"/>
  <c r="I1194" i="1"/>
  <c r="K1194" i="1"/>
  <c r="I1193" i="1"/>
  <c r="K1193" i="1"/>
  <c r="I1192" i="1"/>
  <c r="K1192" i="1"/>
  <c r="K1191" i="1"/>
  <c r="I1191" i="1"/>
  <c r="G1191" i="1" s="1"/>
  <c r="K1190" i="1"/>
  <c r="I1190" i="1"/>
  <c r="G1190" i="1" s="1"/>
  <c r="K1189" i="1"/>
  <c r="I1189" i="1"/>
  <c r="G1189" i="1" s="1"/>
  <c r="K1188" i="1"/>
  <c r="I1188" i="1"/>
  <c r="G1188" i="1" s="1"/>
  <c r="I1187" i="1"/>
  <c r="K1187" i="1"/>
  <c r="K1186" i="1"/>
  <c r="I1186" i="1"/>
  <c r="G1186" i="1" s="1"/>
  <c r="I1184" i="1"/>
  <c r="K1184" i="1"/>
  <c r="I1183" i="1"/>
  <c r="K1183" i="1"/>
  <c r="K1182" i="1"/>
  <c r="I1182" i="1"/>
  <c r="I1181" i="1"/>
  <c r="K1181" i="1"/>
  <c r="I1180" i="1"/>
  <c r="K1180" i="1"/>
  <c r="K1179" i="1"/>
  <c r="I1179" i="1"/>
  <c r="G1179" i="1" s="1"/>
  <c r="I1178" i="1"/>
  <c r="K1178" i="1"/>
  <c r="I1177" i="1"/>
  <c r="K1177" i="1"/>
  <c r="I1176" i="1"/>
  <c r="K1176" i="1"/>
  <c r="K1175" i="1"/>
  <c r="I1175" i="1"/>
  <c r="G1175" i="1" s="1"/>
  <c r="K1174" i="1"/>
  <c r="I1174" i="1"/>
  <c r="G1174" i="1" s="1"/>
  <c r="I1172" i="1"/>
  <c r="K1172" i="1"/>
  <c r="K1171" i="1"/>
  <c r="I1171" i="1"/>
  <c r="K1170" i="1"/>
  <c r="I1170" i="1"/>
  <c r="G1170" i="1" s="1"/>
  <c r="K1169" i="1"/>
  <c r="I1169" i="1"/>
  <c r="G1169" i="1" s="1"/>
  <c r="K1168" i="1"/>
  <c r="I1168" i="1"/>
  <c r="G1168" i="1" s="1"/>
  <c r="I1167" i="1"/>
  <c r="K1167" i="1"/>
  <c r="I1166" i="1"/>
  <c r="K1166" i="1"/>
  <c r="K1165" i="1"/>
  <c r="I1165" i="1"/>
  <c r="G1165" i="1" s="1"/>
  <c r="I1164" i="1"/>
  <c r="K1164" i="1"/>
  <c r="I1163" i="1"/>
  <c r="K1163" i="1"/>
  <c r="I1162" i="1"/>
  <c r="K1162" i="1"/>
  <c r="I1161" i="1"/>
  <c r="K1161" i="1"/>
  <c r="I1160" i="1"/>
  <c r="K1160" i="1"/>
  <c r="K1159" i="1"/>
  <c r="I1159" i="1"/>
  <c r="G1159" i="1" s="1"/>
  <c r="K1158" i="1"/>
  <c r="I1158" i="1"/>
  <c r="G1158" i="1" s="1"/>
  <c r="I1157" i="1"/>
  <c r="K1157" i="1"/>
  <c r="K1156" i="1"/>
  <c r="I1156" i="1"/>
  <c r="G1156" i="1" s="1"/>
  <c r="I1155" i="1"/>
  <c r="K1155" i="1"/>
  <c r="I1154" i="1"/>
  <c r="K1154" i="1"/>
  <c r="I1153" i="1"/>
  <c r="K1153" i="1"/>
  <c r="I1152" i="1"/>
  <c r="K1152" i="1"/>
  <c r="I1151" i="1"/>
  <c r="K1151" i="1"/>
  <c r="I1148" i="1"/>
  <c r="K1148" i="1"/>
  <c r="K1146" i="1"/>
  <c r="I1146" i="1"/>
  <c r="G1146" i="1" s="1"/>
  <c r="K1145" i="1"/>
  <c r="I1145" i="1"/>
  <c r="G1145" i="1" s="1"/>
  <c r="I1144" i="1"/>
  <c r="K1144" i="1"/>
  <c r="K1143" i="1"/>
  <c r="I1143" i="1"/>
  <c r="K1142" i="1"/>
  <c r="I1142" i="1"/>
  <c r="G1142" i="1" s="1"/>
  <c r="K1141" i="1"/>
  <c r="I1141" i="1"/>
  <c r="G1141" i="1" s="1"/>
  <c r="K1140" i="1"/>
  <c r="I1140" i="1"/>
  <c r="G1140" i="1" s="1"/>
  <c r="K1139" i="1"/>
  <c r="I1139" i="1"/>
  <c r="G1139" i="1" s="1"/>
  <c r="K1138" i="1"/>
  <c r="I1138" i="1"/>
  <c r="G1138" i="1" s="1"/>
  <c r="I1137" i="1"/>
  <c r="K1137" i="1"/>
  <c r="I1136" i="1"/>
  <c r="K1136" i="1"/>
  <c r="I1135" i="1"/>
  <c r="K1135" i="1"/>
  <c r="K1134" i="1"/>
  <c r="I1134" i="1"/>
  <c r="G1134" i="1" s="1"/>
  <c r="K1133" i="1"/>
  <c r="I1133" i="1"/>
  <c r="G1133" i="1" s="1"/>
  <c r="I1132" i="1"/>
  <c r="K1132" i="1"/>
  <c r="I1131" i="1"/>
  <c r="K1131" i="1"/>
  <c r="K1130" i="1"/>
  <c r="I1130" i="1"/>
  <c r="G1130" i="1" s="1"/>
  <c r="K1128" i="1"/>
  <c r="I1128" i="1"/>
  <c r="G1128" i="1" s="1"/>
  <c r="I1127" i="1"/>
  <c r="K1127" i="1"/>
  <c r="K1126" i="1"/>
  <c r="I1126" i="1"/>
  <c r="G1126" i="1" s="1"/>
  <c r="I1125" i="1"/>
  <c r="K1125" i="1"/>
  <c r="K1124" i="1"/>
  <c r="I1124" i="1"/>
  <c r="G1124" i="1" s="1"/>
  <c r="I1123" i="1"/>
  <c r="K1123" i="1"/>
  <c r="I1122" i="1"/>
  <c r="K1122" i="1"/>
  <c r="K1121" i="1"/>
  <c r="I1121" i="1"/>
  <c r="G1121" i="1" s="1"/>
  <c r="K1120" i="1"/>
  <c r="I1120" i="1"/>
  <c r="G1120" i="1" s="1"/>
  <c r="I1119" i="1"/>
  <c r="K1119" i="1"/>
  <c r="I1118" i="1"/>
  <c r="K1118" i="1"/>
  <c r="K1117" i="1"/>
  <c r="I1117" i="1"/>
  <c r="G1117" i="1" s="1"/>
  <c r="K1116" i="1"/>
  <c r="I1116" i="1"/>
  <c r="G1116" i="1" s="1"/>
  <c r="I1115" i="1"/>
  <c r="K1115" i="1"/>
  <c r="K1114" i="1"/>
  <c r="I1114" i="1"/>
  <c r="G1114" i="1" s="1"/>
  <c r="I1113" i="1"/>
  <c r="K1113" i="1"/>
  <c r="K1112" i="1"/>
  <c r="I1112" i="1"/>
  <c r="G1112" i="1" s="1"/>
  <c r="K1111" i="1"/>
  <c r="I1111" i="1"/>
  <c r="G1111" i="1" s="1"/>
  <c r="K1110" i="1"/>
  <c r="I1110" i="1"/>
  <c r="G1110" i="1" s="1"/>
  <c r="I1109" i="1"/>
  <c r="K1109" i="1"/>
  <c r="K1108" i="1"/>
  <c r="I1108" i="1"/>
  <c r="G1108" i="1" s="1"/>
  <c r="K1107" i="1"/>
  <c r="I1107" i="1"/>
  <c r="G1107" i="1" s="1"/>
  <c r="I1106" i="1"/>
  <c r="K1106" i="1"/>
  <c r="I1104" i="1"/>
  <c r="K1104" i="1"/>
  <c r="I1103" i="1"/>
  <c r="K1103" i="1"/>
  <c r="I1100" i="1"/>
  <c r="K1100" i="1"/>
  <c r="I1099" i="1"/>
  <c r="K1099" i="1"/>
  <c r="K1097" i="1"/>
  <c r="I1097" i="1"/>
  <c r="G1097" i="1" s="1"/>
  <c r="K1096" i="1"/>
  <c r="I1096" i="1"/>
  <c r="G1096" i="1" s="1"/>
  <c r="K1095" i="1"/>
  <c r="I1095" i="1"/>
  <c r="G1095" i="1" s="1"/>
  <c r="I1094" i="1"/>
  <c r="K1094" i="1"/>
  <c r="I1093" i="1"/>
  <c r="K1093" i="1"/>
  <c r="K1092" i="1"/>
  <c r="I1092" i="1"/>
  <c r="G1092" i="1" s="1"/>
  <c r="K1091" i="1"/>
  <c r="I1091" i="1"/>
  <c r="G1091" i="1" s="1"/>
  <c r="K1090" i="1"/>
  <c r="I1090" i="1"/>
  <c r="G1090" i="1" s="1"/>
  <c r="K1089" i="1"/>
  <c r="I1089" i="1"/>
  <c r="G1089" i="1" s="1"/>
  <c r="K1087" i="1"/>
  <c r="I1087" i="1"/>
  <c r="G1087" i="1" s="1"/>
  <c r="K1086" i="1"/>
  <c r="I1086" i="1"/>
  <c r="G1086" i="1" s="1"/>
  <c r="I1085" i="1"/>
  <c r="K1085" i="1"/>
  <c r="I1084" i="1"/>
  <c r="K1084" i="1"/>
  <c r="I1083" i="1"/>
  <c r="K1083" i="1"/>
  <c r="K1082" i="1"/>
  <c r="I1082" i="1"/>
  <c r="G1082" i="1" s="1"/>
  <c r="K1080" i="1"/>
  <c r="I1080" i="1"/>
  <c r="G1080" i="1" s="1"/>
  <c r="I1079" i="1"/>
  <c r="K1079" i="1"/>
  <c r="K1078" i="1"/>
  <c r="I1078" i="1"/>
  <c r="G1078" i="1" s="1"/>
  <c r="K1077" i="1"/>
  <c r="I1077" i="1"/>
  <c r="G1077" i="1" s="1"/>
  <c r="K1075" i="1"/>
  <c r="I1075" i="1"/>
  <c r="G1075" i="1" s="1"/>
  <c r="K1074" i="1"/>
  <c r="I1074" i="1"/>
  <c r="G1074" i="1" s="1"/>
  <c r="K1073" i="1"/>
  <c r="I1073" i="1"/>
  <c r="G1073" i="1" s="1"/>
  <c r="K1072" i="1"/>
  <c r="I1072" i="1"/>
  <c r="G1072" i="1" s="1"/>
  <c r="K1071" i="1"/>
  <c r="I1071" i="1"/>
  <c r="G1071" i="1" s="1"/>
  <c r="K1070" i="1"/>
  <c r="I1070" i="1"/>
  <c r="G1070" i="1" s="1"/>
  <c r="K1069" i="1"/>
  <c r="I1069" i="1"/>
  <c r="G1069" i="1" s="1"/>
  <c r="K1068" i="1"/>
  <c r="I1068" i="1"/>
  <c r="G1068" i="1" s="1"/>
  <c r="K1067" i="1"/>
  <c r="I1067" i="1"/>
  <c r="G1067" i="1" s="1"/>
  <c r="K1066" i="1"/>
  <c r="I1066" i="1"/>
  <c r="G1066" i="1" s="1"/>
  <c r="K1065" i="1"/>
  <c r="I1065" i="1"/>
  <c r="G1065" i="1" s="1"/>
  <c r="K1064" i="1"/>
  <c r="I1064" i="1"/>
  <c r="G1064" i="1" s="1"/>
  <c r="K1063" i="1"/>
  <c r="I1063" i="1"/>
  <c r="G1063" i="1" s="1"/>
  <c r="K1062" i="1"/>
  <c r="I1062" i="1"/>
  <c r="K1061" i="1"/>
  <c r="I1061" i="1"/>
  <c r="G1061" i="1" s="1"/>
  <c r="K1060" i="1"/>
  <c r="I1060" i="1"/>
  <c r="G1060" i="1" s="1"/>
  <c r="K1059" i="1"/>
  <c r="I1059" i="1"/>
  <c r="G1059" i="1" s="1"/>
  <c r="K1058" i="1"/>
  <c r="I1058" i="1"/>
  <c r="G1058" i="1" s="1"/>
  <c r="K1057" i="1"/>
  <c r="I1057" i="1"/>
  <c r="G1057" i="1" s="1"/>
  <c r="K1056" i="1"/>
  <c r="I1056" i="1"/>
  <c r="K1055" i="1"/>
  <c r="I1055" i="1"/>
  <c r="G1055" i="1" s="1"/>
  <c r="K1054" i="1"/>
  <c r="I1054" i="1"/>
  <c r="G1054" i="1" s="1"/>
  <c r="K1052" i="1"/>
  <c r="I1052" i="1"/>
  <c r="K1051" i="1"/>
  <c r="I1051" i="1"/>
  <c r="G1051" i="1" s="1"/>
  <c r="K1050" i="1"/>
  <c r="I1050" i="1"/>
  <c r="G1050" i="1" s="1"/>
  <c r="K1049" i="1"/>
  <c r="I1049" i="1"/>
  <c r="K1048" i="1"/>
  <c r="I1048" i="1"/>
  <c r="I1046" i="1"/>
  <c r="K1046" i="1"/>
  <c r="K1045" i="1"/>
  <c r="I1045" i="1"/>
  <c r="G1045" i="1" s="1"/>
  <c r="K1044" i="1"/>
  <c r="I1044" i="1"/>
  <c r="G1044" i="1" s="1"/>
  <c r="K1043" i="1"/>
  <c r="I1043" i="1"/>
  <c r="G1043" i="1" s="1"/>
  <c r="K1042" i="1"/>
  <c r="I1042" i="1"/>
  <c r="G1042" i="1" s="1"/>
  <c r="K1041" i="1"/>
  <c r="I1041" i="1"/>
  <c r="G1041" i="1" s="1"/>
  <c r="K1040" i="1"/>
  <c r="I1040" i="1"/>
  <c r="G1040" i="1" s="1"/>
  <c r="I1039" i="1"/>
  <c r="K1039" i="1"/>
  <c r="I1038" i="1"/>
  <c r="K1038" i="1"/>
  <c r="I1037" i="1"/>
  <c r="K1037" i="1"/>
  <c r="K1036" i="1"/>
  <c r="I1036" i="1"/>
  <c r="G1036" i="1" s="1"/>
  <c r="K1035" i="1"/>
  <c r="I1035" i="1"/>
  <c r="G1035" i="1" s="1"/>
  <c r="K1034" i="1"/>
  <c r="I1034" i="1"/>
  <c r="G1034" i="1" s="1"/>
  <c r="I1033" i="1"/>
  <c r="K1033" i="1"/>
  <c r="I1032" i="1"/>
  <c r="K1032" i="1"/>
  <c r="I1031" i="1"/>
  <c r="K1031" i="1"/>
  <c r="I1030" i="1"/>
  <c r="K1030" i="1"/>
  <c r="K1029" i="1"/>
  <c r="I1029" i="1"/>
  <c r="G1029" i="1" s="1"/>
  <c r="K1028" i="1"/>
  <c r="I1028" i="1"/>
  <c r="G1028" i="1" s="1"/>
  <c r="K1027" i="1"/>
  <c r="I1027" i="1"/>
  <c r="G1027" i="1" s="1"/>
  <c r="K1026" i="1"/>
  <c r="I1026" i="1"/>
  <c r="G1026" i="1" s="1"/>
  <c r="K1025" i="1"/>
  <c r="I1025" i="1"/>
  <c r="G1025" i="1" s="1"/>
  <c r="K1024" i="1"/>
  <c r="I1024" i="1"/>
  <c r="G1024" i="1" s="1"/>
  <c r="K1023" i="1"/>
  <c r="I1023" i="1"/>
  <c r="G1023" i="1" s="1"/>
  <c r="K1022" i="1"/>
  <c r="I1022" i="1"/>
  <c r="G1022" i="1" s="1"/>
  <c r="K1021" i="1"/>
  <c r="I1021" i="1"/>
  <c r="G1021" i="1" s="1"/>
  <c r="K1020" i="1"/>
  <c r="I1020" i="1"/>
  <c r="G1020" i="1" s="1"/>
  <c r="K1019" i="1"/>
  <c r="I1019" i="1"/>
  <c r="G1019" i="1" s="1"/>
  <c r="K1018" i="1"/>
  <c r="I1018" i="1"/>
  <c r="G1018" i="1" s="1"/>
  <c r="K1017" i="1"/>
  <c r="I1017" i="1"/>
  <c r="G1017" i="1" s="1"/>
  <c r="K1016" i="1"/>
  <c r="I1016" i="1"/>
  <c r="G1016" i="1" s="1"/>
  <c r="I1015" i="1"/>
  <c r="K1015" i="1"/>
  <c r="I1014" i="1"/>
  <c r="K1014" i="1"/>
  <c r="I1013" i="1"/>
  <c r="K1013" i="1"/>
  <c r="K1012" i="1"/>
  <c r="I1012" i="1"/>
  <c r="G1012" i="1" s="1"/>
  <c r="I1011" i="1"/>
  <c r="K1011" i="1"/>
  <c r="K1010" i="1"/>
  <c r="I1010" i="1"/>
  <c r="G1010" i="1" s="1"/>
  <c r="I1009" i="1"/>
  <c r="K1009" i="1"/>
  <c r="K1007" i="1"/>
  <c r="I1007" i="1"/>
  <c r="G1007" i="1" s="1"/>
  <c r="K1006" i="1"/>
  <c r="I1006" i="1"/>
  <c r="G1006" i="1" s="1"/>
  <c r="K1005" i="1"/>
  <c r="I1005" i="1"/>
  <c r="G1005" i="1" s="1"/>
  <c r="K1004" i="1"/>
  <c r="I1004" i="1"/>
  <c r="G1004" i="1" s="1"/>
  <c r="K1003" i="1"/>
  <c r="I1003" i="1"/>
  <c r="G1003" i="1" s="1"/>
  <c r="K1002" i="1"/>
  <c r="I1002" i="1"/>
  <c r="G1002" i="1" s="1"/>
  <c r="I1001" i="1"/>
  <c r="K1001" i="1"/>
  <c r="K1000" i="1"/>
  <c r="I1000" i="1"/>
  <c r="G1000" i="1" s="1"/>
  <c r="K998" i="1"/>
  <c r="I998" i="1"/>
  <c r="G998" i="1" s="1"/>
  <c r="K997" i="1"/>
  <c r="I997" i="1"/>
  <c r="G997" i="1" s="1"/>
  <c r="K996" i="1"/>
  <c r="I996" i="1"/>
  <c r="G996" i="1" s="1"/>
  <c r="K994" i="1"/>
  <c r="I994" i="1"/>
  <c r="G994" i="1" s="1"/>
  <c r="K993" i="1"/>
  <c r="I993" i="1"/>
  <c r="G993" i="1" s="1"/>
  <c r="K991" i="1"/>
  <c r="I991" i="1"/>
  <c r="G991" i="1" s="1"/>
  <c r="K990" i="1"/>
  <c r="I990" i="1"/>
  <c r="G990" i="1" s="1"/>
  <c r="K989" i="1"/>
  <c r="I989" i="1"/>
  <c r="G989" i="1" s="1"/>
  <c r="I988" i="1"/>
  <c r="K988" i="1"/>
  <c r="K987" i="1"/>
  <c r="I987" i="1"/>
  <c r="G987" i="1" s="1"/>
  <c r="I986" i="1"/>
  <c r="K986" i="1"/>
  <c r="I985" i="1"/>
  <c r="K985" i="1"/>
  <c r="I984" i="1"/>
  <c r="K984" i="1"/>
  <c r="I983" i="1"/>
  <c r="K983" i="1"/>
  <c r="I981" i="1"/>
  <c r="K981" i="1"/>
  <c r="I980" i="1"/>
  <c r="K980" i="1"/>
  <c r="I979" i="1"/>
  <c r="K979" i="1"/>
  <c r="I978" i="1"/>
  <c r="K978" i="1"/>
  <c r="I977" i="1"/>
  <c r="K977" i="1"/>
  <c r="K976" i="1"/>
  <c r="I976" i="1"/>
  <c r="G976" i="1" s="1"/>
  <c r="I975" i="1"/>
  <c r="K975" i="1"/>
  <c r="K974" i="1"/>
  <c r="I974" i="1"/>
  <c r="G974" i="1" s="1"/>
  <c r="I973" i="1"/>
  <c r="K973" i="1"/>
  <c r="I972" i="1"/>
  <c r="K972" i="1"/>
  <c r="I971" i="1"/>
  <c r="K971" i="1"/>
  <c r="I969" i="1"/>
  <c r="K969" i="1"/>
  <c r="I968" i="1"/>
  <c r="K968" i="1"/>
  <c r="K967" i="1"/>
  <c r="I967" i="1"/>
  <c r="G967" i="1" s="1"/>
  <c r="I966" i="1"/>
  <c r="K966" i="1"/>
  <c r="I965" i="1"/>
  <c r="K965" i="1"/>
  <c r="K964" i="1"/>
  <c r="I964" i="1"/>
  <c r="G964" i="1" s="1"/>
  <c r="K963" i="1"/>
  <c r="I963" i="1"/>
  <c r="G963" i="1" s="1"/>
  <c r="I962" i="1"/>
  <c r="K962" i="1"/>
  <c r="K961" i="1"/>
  <c r="I961" i="1"/>
  <c r="G961" i="1" s="1"/>
  <c r="I960" i="1"/>
  <c r="K960" i="1"/>
  <c r="K959" i="1"/>
  <c r="I959" i="1"/>
  <c r="G959" i="1" s="1"/>
  <c r="K958" i="1"/>
  <c r="I958" i="1"/>
  <c r="G958" i="1" s="1"/>
  <c r="K957" i="1"/>
  <c r="I957" i="1"/>
  <c r="G957" i="1" s="1"/>
  <c r="I956" i="1"/>
  <c r="K956" i="1"/>
  <c r="I955" i="1"/>
  <c r="K955" i="1"/>
  <c r="I954" i="1"/>
  <c r="K954" i="1"/>
  <c r="K953" i="1"/>
  <c r="I953" i="1"/>
  <c r="G953" i="1" s="1"/>
  <c r="K952" i="1"/>
  <c r="I952" i="1"/>
  <c r="G952" i="1" s="1"/>
  <c r="K951" i="1"/>
  <c r="I951" i="1"/>
  <c r="G951" i="1" s="1"/>
  <c r="I950" i="1"/>
  <c r="K950" i="1"/>
  <c r="K949" i="1"/>
  <c r="I949" i="1"/>
  <c r="G949" i="1" s="1"/>
  <c r="I948" i="1"/>
  <c r="K948" i="1"/>
  <c r="K947" i="1"/>
  <c r="I947" i="1"/>
  <c r="G947" i="1" s="1"/>
  <c r="I946" i="1"/>
  <c r="K946" i="1"/>
  <c r="K945" i="1"/>
  <c r="I945" i="1"/>
  <c r="G945" i="1" s="1"/>
  <c r="K944" i="1"/>
  <c r="I944" i="1"/>
  <c r="G944" i="1" s="1"/>
  <c r="K943" i="1"/>
  <c r="I943" i="1"/>
  <c r="G943" i="1" s="1"/>
  <c r="I942" i="1"/>
  <c r="K942" i="1"/>
  <c r="I941" i="1"/>
  <c r="K941" i="1"/>
  <c r="K940" i="1"/>
  <c r="I940" i="1"/>
  <c r="G940" i="1" s="1"/>
  <c r="K939" i="1"/>
  <c r="I939" i="1"/>
  <c r="G939" i="1" s="1"/>
  <c r="K937" i="1"/>
  <c r="I937" i="1"/>
  <c r="G937" i="1" s="1"/>
  <c r="K936" i="1"/>
  <c r="I936" i="1"/>
  <c r="G936" i="1" s="1"/>
  <c r="K934" i="1"/>
  <c r="I934" i="1"/>
  <c r="G934" i="1" s="1"/>
  <c r="K933" i="1"/>
  <c r="I933" i="1"/>
  <c r="G933" i="1" s="1"/>
  <c r="K932" i="1"/>
  <c r="I932" i="1"/>
  <c r="G932" i="1" s="1"/>
  <c r="K931" i="1"/>
  <c r="I931" i="1"/>
  <c r="G931" i="1" s="1"/>
  <c r="K929" i="1"/>
  <c r="I929" i="1"/>
  <c r="G929" i="1" s="1"/>
  <c r="K928" i="1"/>
  <c r="I928" i="1"/>
  <c r="G928" i="1" s="1"/>
  <c r="K926" i="1"/>
  <c r="I926" i="1"/>
  <c r="G926" i="1" s="1"/>
  <c r="K925" i="1"/>
  <c r="I925" i="1"/>
  <c r="G925" i="1" s="1"/>
  <c r="K924" i="1"/>
  <c r="I924" i="1"/>
  <c r="G924" i="1" s="1"/>
  <c r="K922" i="1"/>
  <c r="AX922" i="1" s="1"/>
  <c r="I922" i="1"/>
  <c r="G922" i="1" s="1"/>
  <c r="K921" i="1"/>
  <c r="I921" i="1"/>
  <c r="G921" i="1" s="1"/>
  <c r="K920" i="1"/>
  <c r="I920" i="1"/>
  <c r="G920" i="1" s="1"/>
  <c r="K919" i="1"/>
  <c r="I919" i="1"/>
  <c r="K917" i="1"/>
  <c r="I917" i="1"/>
  <c r="G917" i="1" s="1"/>
  <c r="K916" i="1"/>
  <c r="I916" i="1"/>
  <c r="G916" i="1" s="1"/>
  <c r="K915" i="1"/>
  <c r="I915" i="1"/>
  <c r="G915" i="1" s="1"/>
  <c r="I914" i="1"/>
  <c r="K914" i="1"/>
  <c r="K913" i="1"/>
  <c r="I913" i="1"/>
  <c r="K912" i="1"/>
  <c r="I912" i="1"/>
  <c r="G912" i="1" s="1"/>
  <c r="I911" i="1"/>
  <c r="K911" i="1"/>
  <c r="K910" i="1"/>
  <c r="I910" i="1"/>
  <c r="G910" i="1" s="1"/>
  <c r="I909" i="1"/>
  <c r="K909" i="1"/>
  <c r="K907" i="1"/>
  <c r="I907" i="1"/>
  <c r="G907" i="1" s="1"/>
  <c r="I906" i="1"/>
  <c r="K906" i="1"/>
  <c r="I904" i="1"/>
  <c r="K904" i="1"/>
  <c r="I903" i="1"/>
  <c r="K903" i="1"/>
  <c r="K902" i="1"/>
  <c r="I902" i="1"/>
  <c r="G902" i="1" s="1"/>
  <c r="K901" i="1"/>
  <c r="I901" i="1"/>
  <c r="G901" i="1" s="1"/>
  <c r="K900" i="1"/>
  <c r="I900" i="1"/>
  <c r="G900" i="1" s="1"/>
  <c r="K899" i="1"/>
  <c r="I899" i="1"/>
  <c r="K898" i="1"/>
  <c r="I898" i="1"/>
  <c r="G898" i="1" s="1"/>
  <c r="K897" i="1"/>
  <c r="I897" i="1"/>
  <c r="K896" i="1"/>
  <c r="I896" i="1"/>
  <c r="G896" i="1" s="1"/>
  <c r="K895" i="1"/>
  <c r="I895" i="1"/>
  <c r="G895" i="1" s="1"/>
  <c r="K894" i="1"/>
  <c r="I894" i="1"/>
  <c r="K893" i="1"/>
  <c r="I893" i="1"/>
  <c r="G893" i="1" s="1"/>
  <c r="K892" i="1"/>
  <c r="I892" i="1"/>
  <c r="G892" i="1" s="1"/>
  <c r="K891" i="1"/>
  <c r="I891" i="1"/>
  <c r="G891" i="1" s="1"/>
  <c r="K890" i="1"/>
  <c r="I890" i="1"/>
  <c r="G890" i="1" s="1"/>
  <c r="K888" i="1"/>
  <c r="I888" i="1"/>
  <c r="G888" i="1" s="1"/>
  <c r="I887" i="1"/>
  <c r="K887" i="1"/>
  <c r="I886" i="1"/>
  <c r="K886" i="1"/>
  <c r="K885" i="1"/>
  <c r="I885" i="1"/>
  <c r="G885" i="1" s="1"/>
  <c r="I884" i="1"/>
  <c r="K884" i="1"/>
  <c r="I883" i="1"/>
  <c r="K883" i="1"/>
  <c r="K882" i="1"/>
  <c r="I882" i="1"/>
  <c r="G882" i="1" s="1"/>
  <c r="K881" i="1"/>
  <c r="I881" i="1"/>
  <c r="G881" i="1" s="1"/>
  <c r="K880" i="1"/>
  <c r="I880" i="1"/>
  <c r="G880" i="1" s="1"/>
  <c r="I879" i="1"/>
  <c r="K879" i="1"/>
  <c r="I876" i="1"/>
  <c r="K876" i="1"/>
  <c r="I875" i="1"/>
  <c r="K875" i="1"/>
  <c r="I874" i="1"/>
  <c r="K874" i="1"/>
  <c r="I873" i="1"/>
  <c r="K873" i="1"/>
  <c r="I871" i="1"/>
  <c r="K871" i="1"/>
  <c r="I870" i="1"/>
  <c r="K870" i="1"/>
  <c r="I869" i="1"/>
  <c r="K869" i="1"/>
  <c r="I868" i="1"/>
  <c r="K868" i="1"/>
  <c r="K867" i="1"/>
  <c r="I867" i="1"/>
  <c r="G867" i="1" s="1"/>
  <c r="I866" i="1"/>
  <c r="K866" i="1"/>
  <c r="I865" i="1"/>
  <c r="K865" i="1"/>
  <c r="I864" i="1"/>
  <c r="K864" i="1"/>
  <c r="I863" i="1"/>
  <c r="K863" i="1"/>
  <c r="K862" i="1"/>
  <c r="I862" i="1"/>
  <c r="G862" i="1" s="1"/>
  <c r="I861" i="1"/>
  <c r="K861" i="1"/>
  <c r="K860" i="1"/>
  <c r="I860" i="1"/>
  <c r="I859" i="1"/>
  <c r="K859" i="1"/>
  <c r="I858" i="1"/>
  <c r="K858" i="1"/>
  <c r="I857" i="1"/>
  <c r="K857" i="1"/>
  <c r="I856" i="1"/>
  <c r="K856" i="1"/>
  <c r="I855" i="1"/>
  <c r="K855" i="1"/>
  <c r="I854" i="1"/>
  <c r="K854" i="1"/>
  <c r="K853" i="1"/>
  <c r="I853" i="1"/>
  <c r="G853" i="1" s="1"/>
  <c r="K852" i="1"/>
  <c r="I852" i="1"/>
  <c r="G852" i="1" s="1"/>
  <c r="I851" i="1"/>
  <c r="K851" i="1"/>
  <c r="I850" i="1"/>
  <c r="K850" i="1"/>
  <c r="I849" i="1"/>
  <c r="K849" i="1"/>
  <c r="I848" i="1"/>
  <c r="K848" i="1"/>
  <c r="I847" i="1"/>
  <c r="K847" i="1"/>
  <c r="I846" i="1"/>
  <c r="K846" i="1"/>
  <c r="I845" i="1"/>
  <c r="K845" i="1"/>
  <c r="I844" i="1"/>
  <c r="K844" i="1"/>
  <c r="K843" i="1"/>
  <c r="I843" i="1"/>
  <c r="I842" i="1"/>
  <c r="K842" i="1"/>
  <c r="K841" i="1"/>
  <c r="I841" i="1"/>
  <c r="G841" i="1" s="1"/>
  <c r="K840" i="1"/>
  <c r="I840" i="1"/>
  <c r="G840" i="1" s="1"/>
  <c r="K839" i="1"/>
  <c r="I839" i="1"/>
  <c r="G839" i="1" s="1"/>
  <c r="K838" i="1"/>
  <c r="I838" i="1"/>
  <c r="G838" i="1" s="1"/>
  <c r="K837" i="1"/>
  <c r="I837" i="1"/>
  <c r="G837" i="1" s="1"/>
  <c r="K835" i="1"/>
  <c r="I835" i="1"/>
  <c r="G835" i="1" s="1"/>
  <c r="I834" i="1"/>
  <c r="K834" i="1"/>
  <c r="K833" i="1"/>
  <c r="I833" i="1"/>
  <c r="G833" i="1" s="1"/>
  <c r="I832" i="1"/>
  <c r="K832" i="1"/>
  <c r="I831" i="1"/>
  <c r="K831" i="1"/>
  <c r="K830" i="1"/>
  <c r="I830" i="1"/>
  <c r="G830" i="1" s="1"/>
  <c r="K829" i="1"/>
  <c r="I829" i="1"/>
  <c r="G829" i="1" s="1"/>
  <c r="K828" i="1"/>
  <c r="I828" i="1"/>
  <c r="G828" i="1" s="1"/>
  <c r="I827" i="1"/>
  <c r="K827" i="1"/>
  <c r="K826" i="1"/>
  <c r="I826" i="1"/>
  <c r="G826" i="1" s="1"/>
  <c r="K825" i="1"/>
  <c r="I825" i="1"/>
  <c r="G825" i="1" s="1"/>
  <c r="I824" i="1"/>
  <c r="K824" i="1"/>
  <c r="K823" i="1"/>
  <c r="I823" i="1"/>
  <c r="G823" i="1" s="1"/>
  <c r="K822" i="1"/>
  <c r="I822" i="1"/>
  <c r="I821" i="1"/>
  <c r="K821" i="1"/>
  <c r="I820" i="1"/>
  <c r="K820" i="1"/>
  <c r="I819" i="1"/>
  <c r="K819" i="1"/>
  <c r="I818" i="1"/>
  <c r="K818" i="1"/>
  <c r="I817" i="1"/>
  <c r="K817" i="1"/>
  <c r="I816" i="1"/>
  <c r="K816" i="1"/>
  <c r="I815" i="1"/>
  <c r="K815" i="1"/>
  <c r="I814" i="1"/>
  <c r="K814" i="1"/>
  <c r="K813" i="1"/>
  <c r="I813" i="1"/>
  <c r="I812" i="1"/>
  <c r="K812" i="1"/>
  <c r="I811" i="1"/>
  <c r="K811" i="1"/>
  <c r="K810" i="1"/>
  <c r="I810" i="1"/>
  <c r="G810" i="1" s="1"/>
  <c r="K809" i="1"/>
  <c r="I809" i="1"/>
  <c r="G809" i="1" s="1"/>
  <c r="I808" i="1"/>
  <c r="K808" i="1"/>
  <c r="I807" i="1"/>
  <c r="K807" i="1"/>
  <c r="I806" i="1"/>
  <c r="K806" i="1"/>
  <c r="K805" i="1"/>
  <c r="I805" i="1"/>
  <c r="G805" i="1" s="1"/>
  <c r="I804" i="1"/>
  <c r="K804" i="1"/>
  <c r="I803" i="1"/>
  <c r="K803" i="1"/>
  <c r="I802" i="1"/>
  <c r="K802" i="1"/>
  <c r="K801" i="1"/>
  <c r="I801" i="1"/>
  <c r="G801" i="1" s="1"/>
  <c r="K800" i="1"/>
  <c r="I800" i="1"/>
  <c r="G800" i="1" s="1"/>
  <c r="K799" i="1"/>
  <c r="I799" i="1"/>
  <c r="G799" i="1" s="1"/>
  <c r="K798" i="1"/>
  <c r="I798" i="1"/>
  <c r="G798" i="1" s="1"/>
  <c r="K797" i="1"/>
  <c r="I797" i="1"/>
  <c r="G797" i="1" s="1"/>
  <c r="I796" i="1"/>
  <c r="K796" i="1"/>
  <c r="I795" i="1"/>
  <c r="K795" i="1"/>
  <c r="I794" i="1"/>
  <c r="K794" i="1"/>
  <c r="I793" i="1"/>
  <c r="K793" i="1"/>
  <c r="K792" i="1"/>
  <c r="I792" i="1"/>
  <c r="G792" i="1" s="1"/>
  <c r="I791" i="1"/>
  <c r="K791" i="1"/>
  <c r="K790" i="1"/>
  <c r="I790" i="1"/>
  <c r="G790" i="1" s="1"/>
  <c r="I789" i="1"/>
  <c r="K789" i="1"/>
  <c r="I788" i="1"/>
  <c r="K788" i="1"/>
  <c r="I787" i="1"/>
  <c r="K787" i="1"/>
  <c r="K786" i="1"/>
  <c r="I786" i="1"/>
  <c r="G786" i="1" s="1"/>
  <c r="I785" i="1"/>
  <c r="K785" i="1"/>
  <c r="K784" i="1"/>
  <c r="I784" i="1"/>
  <c r="G784" i="1" s="1"/>
  <c r="I782" i="1"/>
  <c r="K782" i="1"/>
  <c r="K781" i="1"/>
  <c r="I781" i="1"/>
  <c r="G781" i="1" s="1"/>
  <c r="K780" i="1"/>
  <c r="I780" i="1"/>
  <c r="G780" i="1" s="1"/>
  <c r="I779" i="1"/>
  <c r="K779" i="1"/>
  <c r="I778" i="1"/>
  <c r="K778" i="1"/>
  <c r="K777" i="1"/>
  <c r="I777" i="1"/>
  <c r="G777" i="1" s="1"/>
  <c r="K776" i="1"/>
  <c r="I776" i="1"/>
  <c r="G776" i="1" s="1"/>
  <c r="K775" i="1"/>
  <c r="I775" i="1"/>
  <c r="G775" i="1" s="1"/>
  <c r="K774" i="1"/>
  <c r="I774" i="1"/>
  <c r="G774" i="1" s="1"/>
  <c r="I773" i="1"/>
  <c r="K773" i="1"/>
  <c r="K772" i="1"/>
  <c r="I772" i="1"/>
  <c r="G772" i="1" s="1"/>
  <c r="K771" i="1"/>
  <c r="I771" i="1"/>
  <c r="G771" i="1" s="1"/>
  <c r="I770" i="1"/>
  <c r="K770" i="1"/>
  <c r="K769" i="1"/>
  <c r="I769" i="1"/>
  <c r="G769" i="1" s="1"/>
  <c r="K768" i="1"/>
  <c r="I768" i="1"/>
  <c r="G768" i="1" s="1"/>
  <c r="K767" i="1"/>
  <c r="I767" i="1"/>
  <c r="G767" i="1" s="1"/>
  <c r="K766" i="1"/>
  <c r="I766" i="1"/>
  <c r="G766" i="1" s="1"/>
  <c r="I764" i="1"/>
  <c r="K764" i="1"/>
  <c r="K763" i="1"/>
  <c r="I763" i="1"/>
  <c r="G763" i="1" s="1"/>
  <c r="I762" i="1"/>
  <c r="K762" i="1"/>
  <c r="I761" i="1"/>
  <c r="K761" i="1"/>
  <c r="K760" i="1"/>
  <c r="I760" i="1"/>
  <c r="G760" i="1" s="1"/>
  <c r="K759" i="1"/>
  <c r="I759" i="1"/>
  <c r="G759" i="1" s="1"/>
  <c r="I758" i="1"/>
  <c r="K758" i="1"/>
  <c r="K757" i="1"/>
  <c r="I757" i="1"/>
  <c r="G757" i="1" s="1"/>
  <c r="I756" i="1"/>
  <c r="K756" i="1"/>
  <c r="K755" i="1"/>
  <c r="I755" i="1"/>
  <c r="G755" i="1" s="1"/>
  <c r="I753" i="1"/>
  <c r="K753" i="1"/>
  <c r="I752" i="1"/>
  <c r="K752" i="1"/>
  <c r="I751" i="1"/>
  <c r="K751" i="1"/>
  <c r="I750" i="1"/>
  <c r="K750" i="1"/>
  <c r="I749" i="1"/>
  <c r="K749" i="1"/>
  <c r="I748" i="1"/>
  <c r="K748" i="1"/>
  <c r="I747" i="1"/>
  <c r="K747" i="1"/>
  <c r="I746" i="1"/>
  <c r="K746" i="1"/>
  <c r="I744" i="1"/>
  <c r="K744" i="1"/>
  <c r="I743" i="1"/>
  <c r="K743" i="1"/>
  <c r="I742" i="1"/>
  <c r="K742" i="1"/>
  <c r="I741" i="1"/>
  <c r="K741" i="1"/>
  <c r="I740" i="1"/>
  <c r="K740" i="1"/>
  <c r="K739" i="1"/>
  <c r="I739" i="1"/>
  <c r="G739" i="1" s="1"/>
  <c r="I738" i="1"/>
  <c r="K738" i="1"/>
  <c r="I737" i="1"/>
  <c r="K737" i="1"/>
  <c r="K736" i="1"/>
  <c r="I736" i="1"/>
  <c r="G736" i="1" s="1"/>
  <c r="K735" i="1"/>
  <c r="I735" i="1"/>
  <c r="G735" i="1" s="1"/>
  <c r="K734" i="1"/>
  <c r="I734" i="1"/>
  <c r="G734" i="1" s="1"/>
  <c r="I733" i="1"/>
  <c r="K733" i="1"/>
  <c r="K732" i="1"/>
  <c r="I732" i="1"/>
  <c r="G732" i="1" s="1"/>
  <c r="K731" i="1"/>
  <c r="I731" i="1"/>
  <c r="G731" i="1" s="1"/>
  <c r="I730" i="1"/>
  <c r="K730" i="1"/>
  <c r="I729" i="1"/>
  <c r="K729" i="1"/>
  <c r="K728" i="1"/>
  <c r="I728" i="1"/>
  <c r="G728" i="1" s="1"/>
  <c r="K727" i="1"/>
  <c r="I727" i="1"/>
  <c r="G727" i="1" s="1"/>
  <c r="K726" i="1"/>
  <c r="I726" i="1"/>
  <c r="G726" i="1" s="1"/>
  <c r="I725" i="1"/>
  <c r="K725" i="1"/>
  <c r="K724" i="1"/>
  <c r="I724" i="1"/>
  <c r="G724" i="1" s="1"/>
  <c r="K723" i="1"/>
  <c r="I723" i="1"/>
  <c r="G723" i="1" s="1"/>
  <c r="K722" i="1"/>
  <c r="I722" i="1"/>
  <c r="G722" i="1" s="1"/>
  <c r="K721" i="1"/>
  <c r="I721" i="1"/>
  <c r="G721" i="1" s="1"/>
  <c r="K719" i="1"/>
  <c r="I719" i="1"/>
  <c r="G719" i="1" s="1"/>
  <c r="I718" i="1"/>
  <c r="K718" i="1"/>
  <c r="I717" i="1"/>
  <c r="K717" i="1"/>
  <c r="I716" i="1"/>
  <c r="K716" i="1"/>
  <c r="K715" i="1"/>
  <c r="I715" i="1"/>
  <c r="G715" i="1" s="1"/>
  <c r="K714" i="1"/>
  <c r="I714" i="1"/>
  <c r="G714" i="1" s="1"/>
  <c r="K713" i="1"/>
  <c r="I713" i="1"/>
  <c r="G713" i="1" s="1"/>
  <c r="K712" i="1"/>
  <c r="I712" i="1"/>
  <c r="G712" i="1" s="1"/>
  <c r="K711" i="1"/>
  <c r="I711" i="1"/>
  <c r="G711" i="1" s="1"/>
  <c r="I710" i="1"/>
  <c r="K710" i="1"/>
  <c r="I709" i="1"/>
  <c r="K709" i="1"/>
  <c r="I708" i="1"/>
  <c r="K708" i="1"/>
  <c r="I707" i="1"/>
  <c r="K707" i="1"/>
  <c r="I706" i="1"/>
  <c r="K706" i="1"/>
  <c r="I705" i="1"/>
  <c r="K705" i="1"/>
  <c r="K704" i="1"/>
  <c r="I704" i="1"/>
  <c r="G704" i="1" s="1"/>
  <c r="I703" i="1"/>
  <c r="K703" i="1"/>
  <c r="I702" i="1"/>
  <c r="K702" i="1"/>
  <c r="I701" i="1"/>
  <c r="K701" i="1"/>
  <c r="K700" i="1"/>
  <c r="I700" i="1"/>
  <c r="G700" i="1" s="1"/>
  <c r="K699" i="1"/>
  <c r="I699" i="1"/>
  <c r="G699" i="1" s="1"/>
  <c r="I697" i="1"/>
  <c r="K697" i="1"/>
  <c r="K696" i="1"/>
  <c r="I696" i="1"/>
  <c r="G696" i="1" s="1"/>
  <c r="K695" i="1"/>
  <c r="I695" i="1"/>
  <c r="G695" i="1" s="1"/>
  <c r="K694" i="1"/>
  <c r="I694" i="1"/>
  <c r="G694" i="1" s="1"/>
  <c r="K693" i="1"/>
  <c r="I693" i="1"/>
  <c r="G693" i="1" s="1"/>
  <c r="K692" i="1"/>
  <c r="I692" i="1"/>
  <c r="G692" i="1" s="1"/>
  <c r="K691" i="1"/>
  <c r="I691" i="1"/>
  <c r="G691" i="1" s="1"/>
  <c r="I690" i="1"/>
  <c r="K690" i="1"/>
  <c r="I689" i="1"/>
  <c r="K689" i="1"/>
  <c r="I688" i="1"/>
  <c r="K688" i="1"/>
  <c r="K687" i="1"/>
  <c r="I687" i="1"/>
  <c r="G687" i="1" s="1"/>
  <c r="K686" i="1"/>
  <c r="I686" i="1"/>
  <c r="G686" i="1" s="1"/>
  <c r="K685" i="1"/>
  <c r="I685" i="1"/>
  <c r="G685" i="1" s="1"/>
  <c r="I684" i="1"/>
  <c r="K684" i="1"/>
  <c r="I683" i="1"/>
  <c r="K683" i="1"/>
  <c r="K682" i="1"/>
  <c r="I682" i="1"/>
  <c r="G682" i="1" s="1"/>
  <c r="I681" i="1"/>
  <c r="K681" i="1"/>
  <c r="I680" i="1"/>
  <c r="K680" i="1"/>
  <c r="I679" i="1"/>
  <c r="K679" i="1"/>
  <c r="K678" i="1"/>
  <c r="I678" i="1"/>
  <c r="G678" i="1" s="1"/>
  <c r="I676" i="1"/>
  <c r="K676" i="1"/>
  <c r="K675" i="1"/>
  <c r="I675" i="1"/>
  <c r="G675" i="1" s="1"/>
  <c r="K674" i="1"/>
  <c r="I674" i="1"/>
  <c r="G674" i="1" s="1"/>
  <c r="K673" i="1"/>
  <c r="I673" i="1"/>
  <c r="G673" i="1" s="1"/>
  <c r="K672" i="1"/>
  <c r="I672" i="1"/>
  <c r="G672" i="1" s="1"/>
  <c r="I671" i="1"/>
  <c r="K671" i="1"/>
  <c r="K670" i="1"/>
  <c r="I670" i="1"/>
  <c r="G670" i="1" s="1"/>
  <c r="K669" i="1"/>
  <c r="I669" i="1"/>
  <c r="G669" i="1" s="1"/>
  <c r="I668" i="1"/>
  <c r="K668" i="1"/>
  <c r="I667" i="1"/>
  <c r="K667" i="1"/>
  <c r="K666" i="1"/>
  <c r="I666" i="1"/>
  <c r="K665" i="1"/>
  <c r="I665" i="1"/>
  <c r="G665" i="1" s="1"/>
  <c r="I664" i="1"/>
  <c r="K664" i="1"/>
  <c r="I663" i="1"/>
  <c r="K663" i="1"/>
  <c r="K662" i="1"/>
  <c r="I662" i="1"/>
  <c r="G662" i="1" s="1"/>
  <c r="I661" i="1"/>
  <c r="K661" i="1"/>
  <c r="I660" i="1"/>
  <c r="K660" i="1"/>
  <c r="K659" i="1"/>
  <c r="I659" i="1"/>
  <c r="G659" i="1" s="1"/>
  <c r="I658" i="1"/>
  <c r="K658" i="1"/>
  <c r="I657" i="1"/>
  <c r="K657" i="1"/>
  <c r="I656" i="1"/>
  <c r="K656" i="1"/>
  <c r="K655" i="1"/>
  <c r="I655" i="1"/>
  <c r="G655" i="1" s="1"/>
  <c r="I653" i="1"/>
  <c r="K653" i="1"/>
  <c r="I652" i="1"/>
  <c r="K652" i="1"/>
  <c r="I651" i="1"/>
  <c r="K651" i="1"/>
  <c r="I650" i="1"/>
  <c r="K650" i="1"/>
  <c r="K649" i="1"/>
  <c r="I649" i="1"/>
  <c r="G649" i="1" s="1"/>
  <c r="K648" i="1"/>
  <c r="I648" i="1"/>
  <c r="G648" i="1" s="1"/>
  <c r="I647" i="1"/>
  <c r="K647" i="1"/>
  <c r="K646" i="1"/>
  <c r="I646" i="1"/>
  <c r="G646" i="1" s="1"/>
  <c r="I645" i="1"/>
  <c r="K645" i="1"/>
  <c r="K644" i="1"/>
  <c r="I644" i="1"/>
  <c r="G644" i="1" s="1"/>
  <c r="K643" i="1"/>
  <c r="I643" i="1"/>
  <c r="G643" i="1" s="1"/>
  <c r="I642" i="1"/>
  <c r="K642" i="1"/>
  <c r="I641" i="1"/>
  <c r="K641" i="1"/>
  <c r="I640" i="1"/>
  <c r="K640" i="1"/>
  <c r="I639" i="1"/>
  <c r="K639" i="1"/>
  <c r="K638" i="1"/>
  <c r="I638" i="1"/>
  <c r="G638" i="1" s="1"/>
  <c r="I637" i="1"/>
  <c r="K637" i="1"/>
  <c r="K636" i="1"/>
  <c r="I636" i="1"/>
  <c r="G636" i="1" s="1"/>
  <c r="I635" i="1"/>
  <c r="K635" i="1"/>
  <c r="K634" i="1"/>
  <c r="I634" i="1"/>
  <c r="G634" i="1" s="1"/>
  <c r="I633" i="1"/>
  <c r="K633" i="1"/>
  <c r="K632" i="1"/>
  <c r="I632" i="1"/>
  <c r="G632" i="1" s="1"/>
  <c r="I631" i="1"/>
  <c r="K631" i="1"/>
  <c r="I629" i="1"/>
  <c r="K629" i="1"/>
  <c r="K628" i="1"/>
  <c r="I628" i="1"/>
  <c r="G628" i="1" s="1"/>
  <c r="I627" i="1"/>
  <c r="K627" i="1"/>
  <c r="I626" i="1"/>
  <c r="K626" i="1"/>
  <c r="I625" i="1"/>
  <c r="K625" i="1"/>
  <c r="K624" i="1"/>
  <c r="I624" i="1"/>
  <c r="G624" i="1" s="1"/>
  <c r="K623" i="1"/>
  <c r="I623" i="1"/>
  <c r="G623" i="1" s="1"/>
  <c r="I622" i="1"/>
  <c r="K622" i="1"/>
  <c r="I621" i="1"/>
  <c r="K621" i="1"/>
  <c r="I620" i="1"/>
  <c r="K620" i="1"/>
  <c r="I619" i="1"/>
  <c r="K619" i="1"/>
  <c r="I618" i="1"/>
  <c r="K618" i="1"/>
  <c r="I617" i="1"/>
  <c r="K617" i="1"/>
  <c r="I616" i="1"/>
  <c r="K616" i="1"/>
  <c r="I615" i="1"/>
  <c r="K615" i="1"/>
  <c r="I614" i="1"/>
  <c r="K614" i="1"/>
  <c r="I613" i="1"/>
  <c r="K613" i="1"/>
  <c r="I611" i="1"/>
  <c r="K611" i="1"/>
  <c r="K610" i="1"/>
  <c r="I610" i="1"/>
  <c r="G610" i="1" s="1"/>
  <c r="I609" i="1"/>
  <c r="K609" i="1"/>
  <c r="I608" i="1"/>
  <c r="K608" i="1"/>
  <c r="I607" i="1"/>
  <c r="K607" i="1"/>
  <c r="K606" i="1"/>
  <c r="I606" i="1"/>
  <c r="G606" i="1" s="1"/>
  <c r="I605" i="1"/>
  <c r="K605" i="1"/>
  <c r="K604" i="1"/>
  <c r="I604" i="1"/>
  <c r="G604" i="1" s="1"/>
  <c r="I603" i="1"/>
  <c r="K603" i="1"/>
  <c r="I602" i="1"/>
  <c r="K602" i="1"/>
  <c r="I601" i="1"/>
  <c r="K601" i="1"/>
  <c r="K600" i="1"/>
  <c r="I600" i="1"/>
  <c r="G600" i="1" s="1"/>
  <c r="K599" i="1"/>
  <c r="I599" i="1"/>
  <c r="G599" i="1" s="1"/>
  <c r="K598" i="1"/>
  <c r="I598" i="1"/>
  <c r="G598" i="1" s="1"/>
  <c r="K597" i="1"/>
  <c r="I597" i="1"/>
  <c r="G597" i="1" s="1"/>
  <c r="K596" i="1"/>
  <c r="I596" i="1"/>
  <c r="G596" i="1" s="1"/>
  <c r="K595" i="1"/>
  <c r="I595" i="1"/>
  <c r="G595" i="1" s="1"/>
  <c r="K594" i="1"/>
  <c r="I594" i="1"/>
  <c r="G594" i="1" s="1"/>
  <c r="K593" i="1"/>
  <c r="I593" i="1"/>
  <c r="G593" i="1" s="1"/>
  <c r="I592" i="1"/>
  <c r="K592" i="1"/>
  <c r="K591" i="1"/>
  <c r="I591" i="1"/>
  <c r="G591" i="1" s="1"/>
  <c r="I590" i="1"/>
  <c r="K590" i="1"/>
  <c r="K589" i="1"/>
  <c r="I589" i="1"/>
  <c r="G589" i="1" s="1"/>
  <c r="K588" i="1"/>
  <c r="I588" i="1"/>
  <c r="G588" i="1" s="1"/>
  <c r="K587" i="1"/>
  <c r="I587" i="1"/>
  <c r="G587" i="1" s="1"/>
  <c r="K586" i="1"/>
  <c r="I586" i="1"/>
  <c r="G586" i="1" s="1"/>
  <c r="K585" i="1"/>
  <c r="I585" i="1"/>
  <c r="G585" i="1" s="1"/>
  <c r="K584" i="1"/>
  <c r="I584" i="1"/>
  <c r="G584" i="1" s="1"/>
  <c r="K583" i="1"/>
  <c r="I583" i="1"/>
  <c r="G583" i="1" s="1"/>
  <c r="I582" i="1"/>
  <c r="K582" i="1"/>
  <c r="I581" i="1"/>
  <c r="K581" i="1"/>
  <c r="K580" i="1"/>
  <c r="I580" i="1"/>
  <c r="G580" i="1" s="1"/>
  <c r="K579" i="1"/>
  <c r="I579" i="1"/>
  <c r="G579" i="1" s="1"/>
  <c r="K578" i="1"/>
  <c r="I578" i="1"/>
  <c r="G578" i="1" s="1"/>
  <c r="I577" i="1"/>
  <c r="K577" i="1"/>
  <c r="K576" i="1"/>
  <c r="I576" i="1"/>
  <c r="I575" i="1"/>
  <c r="K575" i="1"/>
  <c r="K574" i="1"/>
  <c r="I574" i="1"/>
  <c r="G574" i="1" s="1"/>
  <c r="K573" i="1"/>
  <c r="I573" i="1"/>
  <c r="G573" i="1" s="1"/>
  <c r="K572" i="1"/>
  <c r="I572" i="1"/>
  <c r="G572" i="1" s="1"/>
  <c r="K571" i="1"/>
  <c r="I571" i="1"/>
  <c r="G571" i="1" s="1"/>
  <c r="K570" i="1"/>
  <c r="I570" i="1"/>
  <c r="G570" i="1" s="1"/>
  <c r="I569" i="1"/>
  <c r="K569" i="1"/>
  <c r="K568" i="1"/>
  <c r="I568" i="1"/>
  <c r="G568" i="1" s="1"/>
  <c r="I567" i="1"/>
  <c r="K567" i="1"/>
  <c r="I566" i="1"/>
  <c r="K566" i="1"/>
  <c r="K565" i="1"/>
  <c r="I565" i="1"/>
  <c r="G565" i="1" s="1"/>
  <c r="K564" i="1"/>
  <c r="I564" i="1"/>
  <c r="G564" i="1" s="1"/>
  <c r="K563" i="1"/>
  <c r="I563" i="1"/>
  <c r="G563" i="1" s="1"/>
  <c r="I562" i="1"/>
  <c r="K562" i="1"/>
  <c r="I561" i="1"/>
  <c r="K561" i="1"/>
  <c r="K560" i="1"/>
  <c r="I560" i="1"/>
  <c r="G560" i="1" s="1"/>
  <c r="I559" i="1"/>
  <c r="K559" i="1"/>
  <c r="I558" i="1"/>
  <c r="K558" i="1"/>
  <c r="K557" i="1"/>
  <c r="I557" i="1"/>
  <c r="G557" i="1" s="1"/>
  <c r="I556" i="1"/>
  <c r="K556" i="1"/>
  <c r="K555" i="1"/>
  <c r="I555" i="1"/>
  <c r="G555" i="1" s="1"/>
  <c r="I554" i="1"/>
  <c r="K554" i="1"/>
  <c r="K553" i="1"/>
  <c r="I553" i="1"/>
  <c r="G553" i="1" s="1"/>
  <c r="K552" i="1"/>
  <c r="I552" i="1"/>
  <c r="G552" i="1" s="1"/>
  <c r="K551" i="1"/>
  <c r="I551" i="1"/>
  <c r="G551" i="1" s="1"/>
  <c r="K550" i="1"/>
  <c r="I550" i="1"/>
  <c r="G550" i="1" s="1"/>
  <c r="I549" i="1"/>
  <c r="K549" i="1"/>
  <c r="I548" i="1"/>
  <c r="K548" i="1"/>
  <c r="I547" i="1"/>
  <c r="K547" i="1"/>
  <c r="K546" i="1"/>
  <c r="I546" i="1"/>
  <c r="G546" i="1" s="1"/>
  <c r="I545" i="1"/>
  <c r="K545" i="1"/>
  <c r="I544" i="1"/>
  <c r="K544" i="1"/>
  <c r="I543" i="1"/>
  <c r="K543" i="1"/>
  <c r="I542" i="1"/>
  <c r="K542" i="1"/>
  <c r="I541" i="1"/>
  <c r="K541" i="1"/>
  <c r="I540" i="1"/>
  <c r="K540" i="1"/>
  <c r="I539" i="1"/>
  <c r="K539" i="1"/>
  <c r="I538" i="1"/>
  <c r="K538" i="1"/>
  <c r="I537" i="1"/>
  <c r="K537" i="1"/>
  <c r="I536" i="1"/>
  <c r="K536" i="1"/>
  <c r="I535" i="1"/>
  <c r="K535" i="1"/>
  <c r="I534" i="1"/>
  <c r="K534" i="1"/>
  <c r="K533" i="1"/>
  <c r="I533" i="1"/>
  <c r="G533" i="1" s="1"/>
  <c r="I532" i="1"/>
  <c r="K532" i="1"/>
  <c r="I531" i="1"/>
  <c r="K531" i="1"/>
  <c r="K530" i="1"/>
  <c r="I530" i="1"/>
  <c r="G530" i="1" s="1"/>
  <c r="I529" i="1"/>
  <c r="K529" i="1"/>
  <c r="I528" i="1"/>
  <c r="K528" i="1"/>
  <c r="K527" i="1"/>
  <c r="I527" i="1"/>
  <c r="G527" i="1" s="1"/>
  <c r="K526" i="1"/>
  <c r="I526" i="1"/>
  <c r="G526" i="1" s="1"/>
  <c r="I525" i="1"/>
  <c r="K525" i="1"/>
  <c r="I524" i="1"/>
  <c r="K524" i="1"/>
  <c r="I523" i="1"/>
  <c r="K523" i="1"/>
  <c r="I522" i="1"/>
  <c r="K522" i="1"/>
  <c r="I521" i="1"/>
  <c r="K521" i="1"/>
  <c r="I520" i="1"/>
  <c r="K520" i="1"/>
  <c r="K519" i="1"/>
  <c r="I519" i="1"/>
  <c r="G519" i="1" s="1"/>
  <c r="K518" i="1"/>
  <c r="I518" i="1"/>
  <c r="G518" i="1" s="1"/>
  <c r="K517" i="1"/>
  <c r="I517" i="1"/>
  <c r="G517" i="1" s="1"/>
  <c r="K516" i="1"/>
  <c r="I516" i="1"/>
  <c r="G516" i="1" s="1"/>
  <c r="K515" i="1"/>
  <c r="I515" i="1"/>
  <c r="G515" i="1" s="1"/>
  <c r="K514" i="1"/>
  <c r="I514" i="1"/>
  <c r="G514" i="1" s="1"/>
  <c r="K513" i="1"/>
  <c r="I513" i="1"/>
  <c r="G513" i="1" s="1"/>
  <c r="I512" i="1"/>
  <c r="K512" i="1"/>
  <c r="K511" i="1"/>
  <c r="I511" i="1"/>
  <c r="G511" i="1" s="1"/>
  <c r="K510" i="1"/>
  <c r="I510" i="1"/>
  <c r="G510" i="1" s="1"/>
  <c r="I508" i="1"/>
  <c r="K508" i="1"/>
  <c r="I507" i="1"/>
  <c r="K507" i="1"/>
  <c r="I506" i="1"/>
  <c r="K506" i="1"/>
  <c r="I505" i="1"/>
  <c r="K505" i="1"/>
  <c r="K504" i="1"/>
  <c r="I504" i="1"/>
  <c r="G504" i="1" s="1"/>
  <c r="I503" i="1"/>
  <c r="K503" i="1"/>
  <c r="I502" i="1"/>
  <c r="K502" i="1"/>
  <c r="I501" i="1"/>
  <c r="K501" i="1"/>
  <c r="K500" i="1"/>
  <c r="I500" i="1"/>
  <c r="G500" i="1" s="1"/>
  <c r="I499" i="1"/>
  <c r="K499" i="1"/>
  <c r="I498" i="1"/>
  <c r="K498" i="1"/>
  <c r="I497" i="1"/>
  <c r="K497" i="1"/>
  <c r="I496" i="1"/>
  <c r="K496" i="1"/>
  <c r="K495" i="1"/>
  <c r="I495" i="1"/>
  <c r="G495" i="1" s="1"/>
  <c r="K494" i="1"/>
  <c r="I494" i="1"/>
  <c r="G494" i="1" s="1"/>
  <c r="K493" i="1"/>
  <c r="I493" i="1"/>
  <c r="G493" i="1" s="1"/>
  <c r="K492" i="1"/>
  <c r="I492" i="1"/>
  <c r="G492" i="1" s="1"/>
  <c r="K491" i="1"/>
  <c r="I491" i="1"/>
  <c r="G491" i="1" s="1"/>
  <c r="K490" i="1"/>
  <c r="I490" i="1"/>
  <c r="G490" i="1" s="1"/>
  <c r="K489" i="1"/>
  <c r="I489" i="1"/>
  <c r="G489" i="1" s="1"/>
  <c r="K488" i="1"/>
  <c r="I488" i="1"/>
  <c r="G488" i="1" s="1"/>
  <c r="K487" i="1"/>
  <c r="I487" i="1"/>
  <c r="G487" i="1" s="1"/>
  <c r="K486" i="1"/>
  <c r="I486" i="1"/>
  <c r="G486" i="1" s="1"/>
  <c r="K485" i="1"/>
  <c r="I485" i="1"/>
  <c r="G485" i="1" s="1"/>
  <c r="K484" i="1"/>
  <c r="I484" i="1"/>
  <c r="G484" i="1" s="1"/>
  <c r="K483" i="1"/>
  <c r="I483" i="1"/>
  <c r="G483" i="1" s="1"/>
  <c r="K482" i="1"/>
  <c r="I482" i="1"/>
  <c r="G482" i="1" s="1"/>
  <c r="I481" i="1"/>
  <c r="K481" i="1"/>
  <c r="K480" i="1"/>
  <c r="I480" i="1"/>
  <c r="G480" i="1" s="1"/>
  <c r="K479" i="1"/>
  <c r="I479" i="1"/>
  <c r="G479" i="1" s="1"/>
  <c r="K478" i="1"/>
  <c r="I478" i="1"/>
  <c r="G478" i="1" s="1"/>
  <c r="K477" i="1"/>
  <c r="I477" i="1"/>
  <c r="G477" i="1" s="1"/>
  <c r="K476" i="1"/>
  <c r="I476" i="1"/>
  <c r="G476" i="1" s="1"/>
  <c r="K475" i="1"/>
  <c r="I475" i="1"/>
  <c r="G475" i="1" s="1"/>
  <c r="I474" i="1"/>
  <c r="K474" i="1"/>
  <c r="I473" i="1"/>
  <c r="K473" i="1"/>
  <c r="K471" i="1"/>
  <c r="I471" i="1"/>
  <c r="K470" i="1"/>
  <c r="I470" i="1"/>
  <c r="G470" i="1" s="1"/>
  <c r="K469" i="1"/>
  <c r="I469" i="1"/>
  <c r="G469" i="1" s="1"/>
  <c r="K468" i="1"/>
  <c r="I468" i="1"/>
  <c r="G468" i="1" s="1"/>
  <c r="I467" i="1"/>
  <c r="K467" i="1"/>
  <c r="I465" i="1"/>
  <c r="K465" i="1"/>
  <c r="I464" i="1"/>
  <c r="K464" i="1"/>
  <c r="I463" i="1"/>
  <c r="K463" i="1"/>
  <c r="I462" i="1"/>
  <c r="K462" i="1"/>
  <c r="I461" i="1"/>
  <c r="K461" i="1"/>
  <c r="K460" i="1"/>
  <c r="I460" i="1"/>
  <c r="G460" i="1" s="1"/>
  <c r="I459" i="1"/>
  <c r="K459" i="1"/>
  <c r="K458" i="1"/>
  <c r="I458" i="1"/>
  <c r="G458" i="1" s="1"/>
  <c r="I457" i="1"/>
  <c r="K457" i="1"/>
  <c r="K456" i="1"/>
  <c r="I456" i="1"/>
  <c r="G456" i="1" s="1"/>
  <c r="I455" i="1"/>
  <c r="K455" i="1"/>
  <c r="K454" i="1"/>
  <c r="I454" i="1"/>
  <c r="G454" i="1" s="1"/>
  <c r="K453" i="1"/>
  <c r="I453" i="1"/>
  <c r="G453" i="1" s="1"/>
  <c r="I452" i="1"/>
  <c r="K452" i="1"/>
  <c r="I451" i="1"/>
  <c r="K451" i="1"/>
  <c r="I450" i="1"/>
  <c r="K450" i="1"/>
  <c r="I449" i="1"/>
  <c r="K449" i="1"/>
  <c r="I447" i="1"/>
  <c r="K447" i="1"/>
  <c r="I446" i="1"/>
  <c r="K446" i="1"/>
  <c r="I445" i="1"/>
  <c r="K445" i="1"/>
  <c r="I444" i="1"/>
  <c r="K444" i="1"/>
  <c r="I443" i="1"/>
  <c r="K443" i="1"/>
  <c r="I442" i="1"/>
  <c r="K442" i="1"/>
  <c r="K441" i="1"/>
  <c r="I441" i="1"/>
  <c r="G441" i="1" s="1"/>
  <c r="I440" i="1"/>
  <c r="K440" i="1"/>
  <c r="I439" i="1"/>
  <c r="K439" i="1"/>
  <c r="K438" i="1"/>
  <c r="I438" i="1"/>
  <c r="G438" i="1" s="1"/>
  <c r="K437" i="1"/>
  <c r="I437" i="1"/>
  <c r="G437" i="1" s="1"/>
  <c r="K436" i="1"/>
  <c r="I436" i="1"/>
  <c r="G436" i="1" s="1"/>
  <c r="K435" i="1"/>
  <c r="I435" i="1"/>
  <c r="G435" i="1" s="1"/>
  <c r="I434" i="1"/>
  <c r="K434" i="1"/>
  <c r="I433" i="1"/>
  <c r="K433" i="1"/>
  <c r="K432" i="1"/>
  <c r="I432" i="1"/>
  <c r="G432" i="1" s="1"/>
  <c r="K431" i="1"/>
  <c r="I431" i="1"/>
  <c r="G431" i="1" s="1"/>
  <c r="K430" i="1"/>
  <c r="I430" i="1"/>
  <c r="G430" i="1" s="1"/>
  <c r="K429" i="1"/>
  <c r="I429" i="1"/>
  <c r="G429" i="1" s="1"/>
  <c r="I428" i="1"/>
  <c r="K428" i="1"/>
  <c r="I427" i="1"/>
  <c r="K427" i="1"/>
  <c r="K426" i="1"/>
  <c r="I426" i="1"/>
  <c r="G426" i="1" s="1"/>
  <c r="K425" i="1"/>
  <c r="I425" i="1"/>
  <c r="G425" i="1" s="1"/>
  <c r="I424" i="1"/>
  <c r="K424" i="1"/>
  <c r="K423" i="1"/>
  <c r="I423" i="1"/>
  <c r="G423" i="1" s="1"/>
  <c r="K422" i="1"/>
  <c r="I422" i="1"/>
  <c r="G422" i="1" s="1"/>
  <c r="I421" i="1"/>
  <c r="K421" i="1"/>
  <c r="I420" i="1"/>
  <c r="K420" i="1"/>
  <c r="K419" i="1"/>
  <c r="I419" i="1"/>
  <c r="G419" i="1" s="1"/>
  <c r="I418" i="1"/>
  <c r="K418" i="1"/>
  <c r="K417" i="1"/>
  <c r="I417" i="1"/>
  <c r="G417" i="1" s="1"/>
  <c r="I416" i="1"/>
  <c r="K416" i="1"/>
  <c r="I415" i="1"/>
  <c r="K415" i="1"/>
  <c r="I414" i="1"/>
  <c r="K414" i="1"/>
  <c r="I413" i="1"/>
  <c r="K413" i="1"/>
  <c r="I412" i="1"/>
  <c r="K412" i="1"/>
  <c r="K411" i="1"/>
  <c r="I411" i="1"/>
  <c r="G411" i="1" s="1"/>
  <c r="I410" i="1"/>
  <c r="K410" i="1"/>
  <c r="K409" i="1"/>
  <c r="I409" i="1"/>
  <c r="G409" i="1" s="1"/>
  <c r="I408" i="1"/>
  <c r="K408" i="1"/>
  <c r="I407" i="1"/>
  <c r="K407" i="1"/>
  <c r="K406" i="1"/>
  <c r="I406" i="1"/>
  <c r="G406" i="1" s="1"/>
  <c r="K405" i="1"/>
  <c r="I405" i="1"/>
  <c r="G405" i="1" s="1"/>
  <c r="I404" i="1"/>
  <c r="K404" i="1"/>
  <c r="I403" i="1"/>
  <c r="K403" i="1"/>
  <c r="K402" i="1"/>
  <c r="I402" i="1"/>
  <c r="G402" i="1" s="1"/>
  <c r="I401" i="1"/>
  <c r="K401" i="1"/>
  <c r="K400" i="1"/>
  <c r="I400" i="1"/>
  <c r="G400" i="1" s="1"/>
  <c r="I399" i="1"/>
  <c r="K399" i="1"/>
  <c r="I398" i="1"/>
  <c r="K398" i="1"/>
  <c r="K396" i="1"/>
  <c r="I396" i="1"/>
  <c r="G396" i="1" s="1"/>
  <c r="K395" i="1"/>
  <c r="I395" i="1"/>
  <c r="G395" i="1" s="1"/>
  <c r="I394" i="1"/>
  <c r="K394" i="1"/>
  <c r="K393" i="1"/>
  <c r="I393" i="1"/>
  <c r="G393" i="1" s="1"/>
  <c r="I392" i="1"/>
  <c r="K392" i="1"/>
  <c r="I391" i="1"/>
  <c r="K391" i="1"/>
  <c r="K390" i="1"/>
  <c r="I390" i="1"/>
  <c r="G390" i="1" s="1"/>
  <c r="I389" i="1"/>
  <c r="K389" i="1"/>
  <c r="I388" i="1"/>
  <c r="K388" i="1"/>
  <c r="I387" i="1"/>
  <c r="K387" i="1"/>
  <c r="I385" i="1"/>
  <c r="K385" i="1"/>
  <c r="I384" i="1"/>
  <c r="K384" i="1"/>
  <c r="I383" i="1"/>
  <c r="K383" i="1"/>
  <c r="I381" i="1"/>
  <c r="K381" i="1"/>
  <c r="I380" i="1"/>
  <c r="K380" i="1"/>
  <c r="I379" i="1"/>
  <c r="K379" i="1"/>
  <c r="I378" i="1"/>
  <c r="K378" i="1"/>
  <c r="I377" i="1"/>
  <c r="K377" i="1"/>
  <c r="I376" i="1"/>
  <c r="K376" i="1"/>
  <c r="I375" i="1"/>
  <c r="K375" i="1"/>
  <c r="I374" i="1"/>
  <c r="K374" i="1"/>
  <c r="I373" i="1"/>
  <c r="K373" i="1"/>
  <c r="I372" i="1"/>
  <c r="K372" i="1"/>
  <c r="I371" i="1"/>
  <c r="K371" i="1"/>
  <c r="K370" i="1"/>
  <c r="I370" i="1"/>
  <c r="G370" i="1" s="1"/>
  <c r="K369" i="1"/>
  <c r="I369" i="1"/>
  <c r="G369" i="1" s="1"/>
  <c r="K367" i="1"/>
  <c r="I367" i="1"/>
  <c r="G367" i="1" s="1"/>
  <c r="K366" i="1"/>
  <c r="I366" i="1"/>
  <c r="G366" i="1" s="1"/>
  <c r="K365" i="1"/>
  <c r="I365" i="1"/>
  <c r="G365" i="1" s="1"/>
  <c r="I364" i="1"/>
  <c r="K364" i="1"/>
  <c r="I363" i="1"/>
  <c r="K363" i="1"/>
  <c r="I362" i="1"/>
  <c r="K362" i="1"/>
  <c r="I361" i="1"/>
  <c r="K361" i="1"/>
  <c r="K360" i="1"/>
  <c r="I360" i="1"/>
  <c r="G360" i="1" s="1"/>
  <c r="I359" i="1"/>
  <c r="K359" i="1"/>
  <c r="I358" i="1"/>
  <c r="K358" i="1"/>
  <c r="K357" i="1"/>
  <c r="I357" i="1"/>
  <c r="G357" i="1" s="1"/>
  <c r="I356" i="1"/>
  <c r="K356" i="1"/>
  <c r="I355" i="1"/>
  <c r="K355" i="1"/>
  <c r="K354" i="1"/>
  <c r="I354" i="1"/>
  <c r="G354" i="1" s="1"/>
  <c r="K353" i="1"/>
  <c r="I353" i="1"/>
  <c r="G353" i="1" s="1"/>
  <c r="K352" i="1"/>
  <c r="I352" i="1"/>
  <c r="G352" i="1" s="1"/>
  <c r="K351" i="1"/>
  <c r="I351" i="1"/>
  <c r="G351" i="1" s="1"/>
  <c r="K350" i="1"/>
  <c r="I350" i="1"/>
  <c r="G350" i="1" s="1"/>
  <c r="I349" i="1"/>
  <c r="K349" i="1"/>
  <c r="K348" i="1"/>
  <c r="I348" i="1"/>
  <c r="G348" i="1" s="1"/>
  <c r="K346" i="1"/>
  <c r="I346" i="1"/>
  <c r="G346" i="1" s="1"/>
  <c r="K345" i="1"/>
  <c r="I345" i="1"/>
  <c r="G345" i="1" s="1"/>
  <c r="K344" i="1"/>
  <c r="I344" i="1"/>
  <c r="G344" i="1" s="1"/>
  <c r="K343" i="1"/>
  <c r="I343" i="1"/>
  <c r="G343" i="1" s="1"/>
  <c r="K342" i="1"/>
  <c r="I342" i="1"/>
  <c r="G342" i="1" s="1"/>
  <c r="I341" i="1"/>
  <c r="K341" i="1"/>
  <c r="I340" i="1"/>
  <c r="K340" i="1"/>
  <c r="I339" i="1"/>
  <c r="K339" i="1"/>
  <c r="I338" i="1"/>
  <c r="K338" i="1"/>
  <c r="I337" i="1"/>
  <c r="K337" i="1"/>
  <c r="K336" i="1"/>
  <c r="I336" i="1"/>
  <c r="G336" i="1" s="1"/>
  <c r="K335" i="1"/>
  <c r="I335" i="1"/>
  <c r="G335" i="1" s="1"/>
  <c r="K334" i="1"/>
  <c r="I334" i="1"/>
  <c r="G334" i="1" s="1"/>
  <c r="K333" i="1"/>
  <c r="I333" i="1"/>
  <c r="G333" i="1" s="1"/>
  <c r="K332" i="1"/>
  <c r="I332" i="1"/>
  <c r="G332" i="1" s="1"/>
  <c r="I331" i="1"/>
  <c r="K331" i="1"/>
  <c r="I330" i="1"/>
  <c r="K330" i="1"/>
  <c r="I328" i="1"/>
  <c r="K328" i="1"/>
  <c r="I327" i="1"/>
  <c r="K327" i="1"/>
  <c r="K326" i="1"/>
  <c r="I326" i="1"/>
  <c r="G326" i="1" s="1"/>
  <c r="K325" i="1"/>
  <c r="I325" i="1"/>
  <c r="G325" i="1" s="1"/>
  <c r="K324" i="1"/>
  <c r="I324" i="1"/>
  <c r="G324" i="1" s="1"/>
  <c r="K323" i="1"/>
  <c r="I323" i="1"/>
  <c r="G323" i="1" s="1"/>
  <c r="K322" i="1"/>
  <c r="I322" i="1"/>
  <c r="G322" i="1" s="1"/>
  <c r="K321" i="1"/>
  <c r="I321" i="1"/>
  <c r="G321" i="1" s="1"/>
  <c r="K320" i="1"/>
  <c r="I320" i="1"/>
  <c r="G320" i="1" s="1"/>
  <c r="K319" i="1"/>
  <c r="I319" i="1"/>
  <c r="G319" i="1" s="1"/>
  <c r="K318" i="1"/>
  <c r="I318" i="1"/>
  <c r="G318" i="1" s="1"/>
  <c r="K317" i="1"/>
  <c r="I317" i="1"/>
  <c r="G317" i="1" s="1"/>
  <c r="K316" i="1"/>
  <c r="I316" i="1"/>
  <c r="G316" i="1" s="1"/>
  <c r="K315" i="1"/>
  <c r="I315" i="1"/>
  <c r="G315" i="1" s="1"/>
  <c r="K314" i="1"/>
  <c r="I314" i="1"/>
  <c r="G314" i="1" s="1"/>
  <c r="K313" i="1"/>
  <c r="I313" i="1"/>
  <c r="G313" i="1" s="1"/>
  <c r="K312" i="1"/>
  <c r="I312" i="1"/>
  <c r="G312" i="1" s="1"/>
  <c r="K311" i="1"/>
  <c r="I311" i="1"/>
  <c r="G311" i="1" s="1"/>
  <c r="K310" i="1"/>
  <c r="I310" i="1"/>
  <c r="G310" i="1" s="1"/>
  <c r="K309" i="1"/>
  <c r="I309" i="1"/>
  <c r="G309" i="1" s="1"/>
  <c r="I308" i="1"/>
  <c r="K308" i="1"/>
  <c r="I307" i="1"/>
  <c r="K307" i="1"/>
  <c r="I306" i="1"/>
  <c r="K306" i="1"/>
  <c r="K305" i="1"/>
  <c r="I305" i="1"/>
  <c r="G305" i="1" s="1"/>
  <c r="I304" i="1"/>
  <c r="K304" i="1"/>
  <c r="I303" i="1"/>
  <c r="K303" i="1"/>
  <c r="K301" i="1"/>
  <c r="I301" i="1"/>
  <c r="G301" i="1" s="1"/>
  <c r="I300" i="1"/>
  <c r="K300" i="1"/>
  <c r="K299" i="1"/>
  <c r="I299" i="1"/>
  <c r="G299" i="1" s="1"/>
  <c r="I298" i="1"/>
  <c r="K298" i="1"/>
  <c r="K297" i="1"/>
  <c r="I297" i="1"/>
  <c r="G297" i="1" s="1"/>
  <c r="K296" i="1"/>
  <c r="I296" i="1"/>
  <c r="G296" i="1" s="1"/>
  <c r="I295" i="1"/>
  <c r="K295" i="1"/>
  <c r="K294" i="1"/>
  <c r="I294" i="1"/>
  <c r="G294" i="1" s="1"/>
  <c r="K293" i="1"/>
  <c r="I293" i="1"/>
  <c r="G293" i="1" s="1"/>
  <c r="K292" i="1"/>
  <c r="I292" i="1"/>
  <c r="G292" i="1" s="1"/>
  <c r="I291" i="1"/>
  <c r="K291" i="1"/>
  <c r="K290" i="1"/>
  <c r="I290" i="1"/>
  <c r="G290" i="1" s="1"/>
  <c r="K289" i="1"/>
  <c r="I289" i="1"/>
  <c r="G289" i="1" s="1"/>
  <c r="K288" i="1"/>
  <c r="I288" i="1"/>
  <c r="G288" i="1" s="1"/>
  <c r="K287" i="1"/>
  <c r="I287" i="1"/>
  <c r="G287" i="1" s="1"/>
  <c r="I286" i="1"/>
  <c r="K286" i="1"/>
  <c r="K285" i="1"/>
  <c r="I285" i="1"/>
  <c r="G285" i="1" s="1"/>
  <c r="K284" i="1"/>
  <c r="I284" i="1"/>
  <c r="G284" i="1" s="1"/>
  <c r="K283" i="1"/>
  <c r="I283" i="1"/>
  <c r="G283" i="1" s="1"/>
  <c r="K282" i="1"/>
  <c r="I282" i="1"/>
  <c r="G282" i="1" s="1"/>
  <c r="K281" i="1"/>
  <c r="I281" i="1"/>
  <c r="G281" i="1" s="1"/>
  <c r="K280" i="1"/>
  <c r="I280" i="1"/>
  <c r="G280" i="1" s="1"/>
  <c r="K279" i="1"/>
  <c r="I279" i="1"/>
  <c r="G279" i="1" s="1"/>
  <c r="K278" i="1"/>
  <c r="I278" i="1"/>
  <c r="G278" i="1" s="1"/>
  <c r="K277" i="1"/>
  <c r="I277" i="1"/>
  <c r="G277" i="1" s="1"/>
  <c r="K276" i="1"/>
  <c r="I276" i="1"/>
  <c r="G276" i="1" s="1"/>
  <c r="K275" i="1"/>
  <c r="I275" i="1"/>
  <c r="G275" i="1" s="1"/>
  <c r="I274" i="1"/>
  <c r="K274" i="1"/>
  <c r="K273" i="1"/>
  <c r="I273" i="1"/>
  <c r="G273" i="1" s="1"/>
  <c r="I272" i="1"/>
  <c r="K272" i="1"/>
  <c r="K271" i="1"/>
  <c r="I271" i="1"/>
  <c r="G271" i="1" s="1"/>
  <c r="I270" i="1"/>
  <c r="K270" i="1"/>
  <c r="I269" i="1"/>
  <c r="K269" i="1"/>
  <c r="K268" i="1"/>
  <c r="I268" i="1"/>
  <c r="G268" i="1" s="1"/>
  <c r="K267" i="1"/>
  <c r="I267" i="1"/>
  <c r="G267" i="1" s="1"/>
  <c r="K266" i="1"/>
  <c r="I266" i="1"/>
  <c r="G266" i="1" s="1"/>
  <c r="I265" i="1"/>
  <c r="K265" i="1"/>
  <c r="I264" i="1"/>
  <c r="K264" i="1"/>
  <c r="I263" i="1"/>
  <c r="K263" i="1"/>
  <c r="I261" i="1"/>
  <c r="K261" i="1"/>
  <c r="I260" i="1"/>
  <c r="K260" i="1"/>
  <c r="I258" i="1"/>
  <c r="K258" i="1"/>
  <c r="I257" i="1"/>
  <c r="K257" i="1"/>
  <c r="I256" i="1"/>
  <c r="K256" i="1"/>
  <c r="K255" i="1"/>
  <c r="I255" i="1"/>
  <c r="G255" i="1" s="1"/>
  <c r="K254" i="1"/>
  <c r="I254" i="1"/>
  <c r="G254" i="1" s="1"/>
  <c r="K253" i="1"/>
  <c r="I253" i="1"/>
  <c r="G253" i="1" s="1"/>
  <c r="I252" i="1"/>
  <c r="K252" i="1"/>
  <c r="I251" i="1"/>
  <c r="K251" i="1"/>
  <c r="I250" i="1"/>
  <c r="K250" i="1"/>
  <c r="K249" i="1"/>
  <c r="I249" i="1"/>
  <c r="G249" i="1" s="1"/>
  <c r="K248" i="1"/>
  <c r="I248" i="1"/>
  <c r="G248" i="1" s="1"/>
  <c r="I246" i="1"/>
  <c r="K246" i="1"/>
  <c r="K245" i="1"/>
  <c r="I245" i="1"/>
  <c r="G245" i="1" s="1"/>
  <c r="K244" i="1"/>
  <c r="I244" i="1"/>
  <c r="G244" i="1" s="1"/>
  <c r="I243" i="1"/>
  <c r="K243" i="1"/>
  <c r="I242" i="1"/>
  <c r="K242" i="1"/>
  <c r="I241" i="1"/>
  <c r="K241" i="1"/>
  <c r="I240" i="1"/>
  <c r="K240" i="1"/>
  <c r="I239" i="1"/>
  <c r="K239" i="1"/>
  <c r="K238" i="1"/>
  <c r="I238" i="1"/>
  <c r="G238" i="1" s="1"/>
  <c r="K236" i="1"/>
  <c r="I236" i="1"/>
  <c r="I235" i="1"/>
  <c r="K235" i="1"/>
  <c r="I234" i="1"/>
  <c r="K234" i="1"/>
  <c r="I233" i="1"/>
  <c r="K233" i="1"/>
  <c r="I232" i="1"/>
  <c r="K232" i="1"/>
  <c r="K231" i="1"/>
  <c r="I231" i="1"/>
  <c r="G231" i="1" s="1"/>
  <c r="I230" i="1"/>
  <c r="K230" i="1"/>
  <c r="I229" i="1"/>
  <c r="K229" i="1"/>
  <c r="K228" i="1"/>
  <c r="I228" i="1"/>
  <c r="G228" i="1" s="1"/>
  <c r="K227" i="1"/>
  <c r="I227" i="1"/>
  <c r="G227" i="1" s="1"/>
  <c r="K226" i="1"/>
  <c r="I226" i="1"/>
  <c r="G226" i="1" s="1"/>
  <c r="K225" i="1"/>
  <c r="I225" i="1"/>
  <c r="G225" i="1" s="1"/>
  <c r="K224" i="1"/>
  <c r="I224" i="1"/>
  <c r="G224" i="1" s="1"/>
  <c r="K223" i="1"/>
  <c r="I223" i="1"/>
  <c r="G223" i="1" s="1"/>
  <c r="K222" i="1"/>
  <c r="I222" i="1"/>
  <c r="G222" i="1" s="1"/>
  <c r="I221" i="1"/>
  <c r="K221" i="1"/>
  <c r="I220" i="1"/>
  <c r="K220" i="1"/>
  <c r="K219" i="1"/>
  <c r="I219" i="1"/>
  <c r="G219" i="1" s="1"/>
  <c r="K218" i="1"/>
  <c r="I218" i="1"/>
  <c r="G218" i="1" s="1"/>
  <c r="I216" i="1"/>
  <c r="K216" i="1"/>
  <c r="K215" i="1"/>
  <c r="I215" i="1"/>
  <c r="G215" i="1" s="1"/>
  <c r="K214" i="1"/>
  <c r="I214" i="1"/>
  <c r="G214" i="1" s="1"/>
  <c r="I213" i="1"/>
  <c r="K213" i="1"/>
  <c r="K212" i="1"/>
  <c r="I212" i="1"/>
  <c r="G212" i="1" s="1"/>
  <c r="I210" i="1"/>
  <c r="K210" i="1"/>
  <c r="I209" i="1"/>
  <c r="K209" i="1"/>
  <c r="I208" i="1"/>
  <c r="K208" i="1"/>
  <c r="K207" i="1"/>
  <c r="I207" i="1"/>
  <c r="G207" i="1" s="1"/>
  <c r="K206" i="1"/>
  <c r="I206" i="1"/>
  <c r="G206" i="1" s="1"/>
  <c r="K205" i="1"/>
  <c r="I205" i="1"/>
  <c r="G205" i="1" s="1"/>
  <c r="I204" i="1"/>
  <c r="K204" i="1"/>
  <c r="I203" i="1"/>
  <c r="K203" i="1"/>
  <c r="K202" i="1"/>
  <c r="I202" i="1"/>
  <c r="G202" i="1" s="1"/>
  <c r="I201" i="1"/>
  <c r="K201" i="1"/>
  <c r="I200" i="1"/>
  <c r="K200" i="1"/>
  <c r="I199" i="1"/>
  <c r="K199" i="1"/>
  <c r="I197" i="1"/>
  <c r="K197" i="1"/>
  <c r="I196" i="1"/>
  <c r="K196" i="1"/>
  <c r="I195" i="1"/>
  <c r="K195" i="1"/>
  <c r="I194" i="1"/>
  <c r="K194" i="1"/>
  <c r="K193" i="1"/>
  <c r="I193" i="1"/>
  <c r="G193" i="1" s="1"/>
  <c r="K192" i="1"/>
  <c r="I192" i="1"/>
  <c r="G192" i="1" s="1"/>
  <c r="I191" i="1"/>
  <c r="K191" i="1"/>
  <c r="K190" i="1"/>
  <c r="I190" i="1"/>
  <c r="G190" i="1" s="1"/>
  <c r="K189" i="1"/>
  <c r="I189" i="1"/>
  <c r="G189" i="1" s="1"/>
  <c r="I188" i="1"/>
  <c r="K188" i="1"/>
  <c r="K187" i="1"/>
  <c r="I187" i="1"/>
  <c r="G187" i="1" s="1"/>
  <c r="K186" i="1"/>
  <c r="I186" i="1"/>
  <c r="G186" i="1" s="1"/>
  <c r="K185" i="1"/>
  <c r="I185" i="1"/>
  <c r="G185" i="1" s="1"/>
  <c r="I184" i="1"/>
  <c r="K184" i="1"/>
  <c r="I183" i="1"/>
  <c r="K183" i="1"/>
  <c r="I182" i="1"/>
  <c r="K182" i="1"/>
  <c r="I181" i="1"/>
  <c r="K181" i="1"/>
  <c r="K180" i="1"/>
  <c r="I180" i="1"/>
  <c r="G180" i="1" s="1"/>
  <c r="I179" i="1"/>
  <c r="K179" i="1"/>
  <c r="I178" i="1"/>
  <c r="K178" i="1"/>
  <c r="K177" i="1"/>
  <c r="I177" i="1"/>
  <c r="G177" i="1" s="1"/>
  <c r="K176" i="1"/>
  <c r="I176" i="1"/>
  <c r="G176" i="1" s="1"/>
  <c r="K175" i="1"/>
  <c r="I175" i="1"/>
  <c r="G175" i="1" s="1"/>
  <c r="I174" i="1"/>
  <c r="K174" i="1"/>
  <c r="K173" i="1"/>
  <c r="I173" i="1"/>
  <c r="G173" i="1" s="1"/>
  <c r="K172" i="1"/>
  <c r="I172" i="1"/>
  <c r="G172" i="1" s="1"/>
  <c r="K171" i="1"/>
  <c r="I171" i="1"/>
  <c r="G171" i="1" s="1"/>
  <c r="I170" i="1"/>
  <c r="K170" i="1"/>
  <c r="I169" i="1"/>
  <c r="K169" i="1"/>
  <c r="I168" i="1"/>
  <c r="K168" i="1"/>
  <c r="K167" i="1"/>
  <c r="I167" i="1"/>
  <c r="G167" i="1" s="1"/>
  <c r="I166" i="1"/>
  <c r="K166" i="1"/>
  <c r="K165" i="1"/>
  <c r="I165" i="1"/>
  <c r="G165" i="1" s="1"/>
  <c r="I164" i="1"/>
  <c r="K164" i="1"/>
  <c r="I163" i="1"/>
  <c r="K163" i="1"/>
  <c r="K162" i="1"/>
  <c r="I162" i="1"/>
  <c r="G162" i="1" s="1"/>
  <c r="K161" i="1"/>
  <c r="I161" i="1"/>
  <c r="G161" i="1" s="1"/>
  <c r="I160" i="1"/>
  <c r="K160" i="1"/>
  <c r="K159" i="1"/>
  <c r="I159" i="1"/>
  <c r="G159" i="1" s="1"/>
  <c r="I158" i="1"/>
  <c r="K158" i="1"/>
  <c r="K157" i="1"/>
  <c r="I157" i="1"/>
  <c r="G157" i="1" s="1"/>
  <c r="K156" i="1"/>
  <c r="I156" i="1"/>
  <c r="G156" i="1" s="1"/>
  <c r="K155" i="1"/>
  <c r="I155" i="1"/>
  <c r="G155" i="1" s="1"/>
  <c r="I154" i="1"/>
  <c r="K154" i="1"/>
  <c r="I153" i="1"/>
  <c r="K153" i="1"/>
  <c r="I152" i="1"/>
  <c r="K152" i="1"/>
  <c r="I151" i="1"/>
  <c r="K151" i="1"/>
  <c r="K150" i="1"/>
  <c r="I150" i="1"/>
  <c r="G150" i="1" s="1"/>
  <c r="K149" i="1"/>
  <c r="I149" i="1"/>
  <c r="G149" i="1" s="1"/>
  <c r="I148" i="1"/>
  <c r="K148" i="1"/>
  <c r="I147" i="1"/>
  <c r="K147" i="1"/>
  <c r="K146" i="1"/>
  <c r="I146" i="1"/>
  <c r="G146" i="1" s="1"/>
  <c r="K145" i="1"/>
  <c r="I145" i="1"/>
  <c r="G145" i="1" s="1"/>
  <c r="I144" i="1"/>
  <c r="K144" i="1"/>
  <c r="I143" i="1"/>
  <c r="K143" i="1"/>
  <c r="K142" i="1"/>
  <c r="I142" i="1"/>
  <c r="G142" i="1" s="1"/>
  <c r="K141" i="1"/>
  <c r="I141" i="1"/>
  <c r="G141" i="1" s="1"/>
  <c r="I140" i="1"/>
  <c r="K140" i="1"/>
  <c r="I139" i="1"/>
  <c r="K139" i="1"/>
  <c r="K138" i="1"/>
  <c r="I138" i="1"/>
  <c r="G138" i="1" s="1"/>
  <c r="I137" i="1"/>
  <c r="K137" i="1"/>
  <c r="I136" i="1"/>
  <c r="K136" i="1"/>
  <c r="K135" i="1"/>
  <c r="I135" i="1"/>
  <c r="G135" i="1" s="1"/>
  <c r="K134" i="1"/>
  <c r="I134" i="1"/>
  <c r="G134" i="1" s="1"/>
  <c r="K133" i="1"/>
  <c r="I133" i="1"/>
  <c r="G133" i="1" s="1"/>
  <c r="K132" i="1"/>
  <c r="I132" i="1"/>
  <c r="G132" i="1" s="1"/>
  <c r="K131" i="1"/>
  <c r="I131" i="1"/>
  <c r="G131" i="1" s="1"/>
  <c r="K130" i="1"/>
  <c r="I130" i="1"/>
  <c r="G130" i="1" s="1"/>
  <c r="K129" i="1"/>
  <c r="I129" i="1"/>
  <c r="G129" i="1" s="1"/>
  <c r="K128" i="1"/>
  <c r="I128" i="1"/>
  <c r="G128" i="1" s="1"/>
  <c r="I127" i="1"/>
  <c r="K127" i="1"/>
  <c r="I126" i="1"/>
  <c r="K126" i="1"/>
  <c r="I125" i="1"/>
  <c r="K125" i="1"/>
  <c r="K124" i="1"/>
  <c r="I124" i="1"/>
  <c r="G124" i="1" s="1"/>
  <c r="K123" i="1"/>
  <c r="I123" i="1"/>
  <c r="G123" i="1" s="1"/>
  <c r="I122" i="1"/>
  <c r="K122" i="1"/>
  <c r="K121" i="1"/>
  <c r="I121" i="1"/>
  <c r="G121" i="1" s="1"/>
  <c r="K120" i="1"/>
  <c r="I120" i="1"/>
  <c r="G120" i="1" s="1"/>
  <c r="K119" i="1"/>
  <c r="I119" i="1"/>
  <c r="G119" i="1" s="1"/>
  <c r="I118" i="1"/>
  <c r="K118" i="1"/>
  <c r="K116" i="1"/>
  <c r="I116" i="1"/>
  <c r="G116" i="1" s="1"/>
  <c r="I115" i="1"/>
  <c r="K115" i="1"/>
  <c r="I114" i="1"/>
  <c r="K114" i="1"/>
  <c r="K113" i="1"/>
  <c r="I113" i="1"/>
  <c r="G113" i="1" s="1"/>
  <c r="K112" i="1"/>
  <c r="I112" i="1"/>
  <c r="G112" i="1" s="1"/>
  <c r="I111" i="1"/>
  <c r="K111" i="1"/>
  <c r="K110" i="1"/>
  <c r="I110" i="1"/>
  <c r="G110" i="1" s="1"/>
  <c r="K109" i="1"/>
  <c r="I109" i="1"/>
  <c r="G109" i="1" s="1"/>
  <c r="K108" i="1"/>
  <c r="I108" i="1"/>
  <c r="G108" i="1" s="1"/>
  <c r="K107" i="1"/>
  <c r="I107" i="1"/>
  <c r="G107" i="1" s="1"/>
  <c r="K106" i="1"/>
  <c r="I106" i="1"/>
  <c r="G106" i="1" s="1"/>
  <c r="K105" i="1"/>
  <c r="I105" i="1"/>
  <c r="G105" i="1" s="1"/>
  <c r="K104" i="1"/>
  <c r="I104" i="1"/>
  <c r="G104" i="1" s="1"/>
  <c r="I103" i="1"/>
  <c r="K103" i="1"/>
  <c r="K102" i="1"/>
  <c r="I102" i="1"/>
  <c r="G102" i="1" s="1"/>
  <c r="K100" i="1"/>
  <c r="I100" i="1"/>
  <c r="G100" i="1" s="1"/>
  <c r="K99" i="1"/>
  <c r="I99" i="1"/>
  <c r="G99" i="1" s="1"/>
  <c r="K98" i="1"/>
  <c r="I98" i="1"/>
  <c r="G98" i="1" s="1"/>
  <c r="K97" i="1"/>
  <c r="I97" i="1"/>
  <c r="G97" i="1" s="1"/>
  <c r="K96" i="1"/>
  <c r="I96" i="1"/>
  <c r="G96" i="1" s="1"/>
  <c r="K95" i="1"/>
  <c r="I95" i="1"/>
  <c r="G95" i="1" s="1"/>
  <c r="K94" i="1"/>
  <c r="I94" i="1"/>
  <c r="G94" i="1" s="1"/>
  <c r="K93" i="1"/>
  <c r="I93" i="1"/>
  <c r="G93" i="1" s="1"/>
  <c r="K92" i="1"/>
  <c r="I92" i="1"/>
  <c r="G92" i="1" s="1"/>
  <c r="K91" i="1"/>
  <c r="I91" i="1"/>
  <c r="G91" i="1" s="1"/>
  <c r="K90" i="1"/>
  <c r="I90" i="1"/>
  <c r="G90" i="1" s="1"/>
  <c r="I89" i="1"/>
  <c r="K89" i="1"/>
  <c r="K88" i="1"/>
  <c r="I88" i="1"/>
  <c r="G88" i="1" s="1"/>
  <c r="K87" i="1"/>
  <c r="I87" i="1"/>
  <c r="G87" i="1" s="1"/>
  <c r="I86" i="1"/>
  <c r="K86" i="1"/>
  <c r="K85" i="1"/>
  <c r="I85" i="1"/>
  <c r="G85" i="1" s="1"/>
  <c r="K84" i="1"/>
  <c r="I84" i="1"/>
  <c r="G84" i="1" s="1"/>
  <c r="K83" i="1"/>
  <c r="I83" i="1"/>
  <c r="G83" i="1" s="1"/>
  <c r="I82" i="1"/>
  <c r="K82" i="1"/>
  <c r="I81" i="1"/>
  <c r="K81" i="1"/>
  <c r="K79" i="1"/>
  <c r="I79" i="1"/>
  <c r="G79" i="1" s="1"/>
  <c r="K78" i="1"/>
  <c r="I78" i="1"/>
  <c r="G78" i="1" s="1"/>
  <c r="K77" i="1"/>
  <c r="I77" i="1"/>
  <c r="G77" i="1" s="1"/>
  <c r="K76" i="1"/>
  <c r="I76" i="1"/>
  <c r="G76" i="1" s="1"/>
  <c r="K75" i="1"/>
  <c r="I75" i="1"/>
  <c r="G75" i="1" s="1"/>
  <c r="K74" i="1"/>
  <c r="I74" i="1"/>
  <c r="G74" i="1" s="1"/>
  <c r="I73" i="1"/>
  <c r="K73" i="1"/>
  <c r="K71" i="1"/>
  <c r="I71" i="1"/>
  <c r="G71" i="1" s="1"/>
  <c r="I70" i="1"/>
  <c r="K70" i="1"/>
  <c r="K69" i="1"/>
  <c r="I69" i="1"/>
  <c r="G69" i="1" s="1"/>
  <c r="K68" i="1"/>
  <c r="I68" i="1"/>
  <c r="G68" i="1" s="1"/>
  <c r="K67" i="1"/>
  <c r="I67" i="1"/>
  <c r="G67" i="1" s="1"/>
  <c r="K66" i="1"/>
  <c r="I66" i="1"/>
  <c r="G66" i="1" s="1"/>
  <c r="K65" i="1"/>
  <c r="I65" i="1"/>
  <c r="G65" i="1" s="1"/>
  <c r="K64" i="1"/>
  <c r="I64" i="1"/>
  <c r="G64" i="1" s="1"/>
  <c r="K63" i="1"/>
  <c r="I63" i="1"/>
  <c r="G63" i="1" s="1"/>
  <c r="K62" i="1"/>
  <c r="I62" i="1"/>
  <c r="G62" i="1" s="1"/>
  <c r="K61" i="1"/>
  <c r="I61" i="1"/>
  <c r="G61" i="1" s="1"/>
  <c r="K60" i="1"/>
  <c r="I60" i="1"/>
  <c r="G60" i="1" s="1"/>
  <c r="K59" i="1"/>
  <c r="I59" i="1"/>
  <c r="G59" i="1" s="1"/>
  <c r="K58" i="1"/>
  <c r="I58" i="1"/>
  <c r="G58" i="1" s="1"/>
  <c r="K57" i="1"/>
  <c r="I57" i="1"/>
  <c r="G57" i="1" s="1"/>
  <c r="K56" i="1"/>
  <c r="I56" i="1"/>
  <c r="G56" i="1" s="1"/>
  <c r="K55" i="1"/>
  <c r="I55" i="1"/>
  <c r="G55" i="1" s="1"/>
  <c r="K54" i="1"/>
  <c r="I54" i="1"/>
  <c r="G54" i="1" s="1"/>
  <c r="K53" i="1"/>
  <c r="I53" i="1"/>
  <c r="G53" i="1" s="1"/>
  <c r="K52" i="1"/>
  <c r="I52" i="1"/>
  <c r="G52" i="1" s="1"/>
  <c r="I51" i="1"/>
  <c r="K51" i="1"/>
  <c r="K50" i="1"/>
  <c r="I50" i="1"/>
  <c r="G50" i="1" s="1"/>
  <c r="K49" i="1"/>
  <c r="I49" i="1"/>
  <c r="G49" i="1" s="1"/>
  <c r="K48" i="1"/>
  <c r="I48" i="1"/>
  <c r="G48" i="1" s="1"/>
  <c r="K47" i="1"/>
  <c r="I47" i="1"/>
  <c r="G47" i="1" s="1"/>
  <c r="K46" i="1"/>
  <c r="I46" i="1"/>
  <c r="G46" i="1" s="1"/>
  <c r="I44" i="1"/>
  <c r="K44" i="1"/>
  <c r="K43" i="1"/>
  <c r="I43" i="1"/>
  <c r="G43" i="1" s="1"/>
  <c r="I42" i="1"/>
  <c r="K42" i="1"/>
  <c r="K41" i="1"/>
  <c r="I41" i="1"/>
  <c r="G41" i="1" s="1"/>
  <c r="K40" i="1"/>
  <c r="I40" i="1"/>
  <c r="G40" i="1" s="1"/>
  <c r="K39" i="1"/>
  <c r="I39" i="1"/>
  <c r="G39" i="1" s="1"/>
  <c r="K38" i="1"/>
  <c r="I38" i="1"/>
  <c r="G38" i="1" s="1"/>
  <c r="K37" i="1"/>
  <c r="I37" i="1"/>
  <c r="G37" i="1" s="1"/>
  <c r="K36" i="1"/>
  <c r="I36" i="1"/>
  <c r="G36" i="1" s="1"/>
  <c r="K35" i="1"/>
  <c r="I35" i="1"/>
  <c r="G35" i="1" s="1"/>
  <c r="I34" i="1"/>
  <c r="K34" i="1"/>
  <c r="K33" i="1"/>
  <c r="I33" i="1"/>
  <c r="G33" i="1" s="1"/>
  <c r="I32" i="1"/>
  <c r="K32" i="1"/>
  <c r="I31" i="1"/>
  <c r="K31" i="1"/>
  <c r="K30" i="1"/>
  <c r="I30" i="1"/>
  <c r="G30" i="1" s="1"/>
  <c r="K29" i="1"/>
  <c r="I29" i="1"/>
  <c r="G29" i="1" s="1"/>
  <c r="K28" i="1"/>
  <c r="I28" i="1"/>
  <c r="G28" i="1" s="1"/>
  <c r="K27" i="1"/>
  <c r="I27" i="1"/>
  <c r="G27" i="1" s="1"/>
  <c r="K26" i="1"/>
  <c r="I26" i="1"/>
  <c r="G26" i="1" s="1"/>
  <c r="K25" i="1"/>
  <c r="I25" i="1"/>
  <c r="G25" i="1" s="1"/>
  <c r="K24" i="1"/>
  <c r="I24" i="1"/>
  <c r="G24" i="1" s="1"/>
  <c r="I22" i="1"/>
  <c r="K22" i="1"/>
  <c r="K21" i="1"/>
  <c r="I21" i="1"/>
  <c r="G21" i="1" s="1"/>
  <c r="K20" i="1"/>
  <c r="I20" i="1"/>
  <c r="G20" i="1" s="1"/>
  <c r="K19" i="1"/>
  <c r="I19" i="1"/>
  <c r="G19" i="1" s="1"/>
  <c r="K18" i="1"/>
  <c r="I18" i="1"/>
  <c r="G18" i="1" s="1"/>
  <c r="K17" i="1"/>
  <c r="I17" i="1"/>
  <c r="G17" i="1" s="1"/>
  <c r="K16" i="1"/>
  <c r="I16" i="1"/>
  <c r="G16" i="1" s="1"/>
  <c r="I14" i="1"/>
  <c r="G14" i="1" s="1"/>
  <c r="K14" i="1"/>
  <c r="K13" i="1"/>
  <c r="I13" i="1"/>
  <c r="G13" i="1" s="1"/>
  <c r="K12" i="1"/>
  <c r="I12" i="1"/>
  <c r="G12" i="1" s="1"/>
  <c r="F2331" i="1"/>
  <c r="I11" i="1"/>
  <c r="K11" i="1"/>
  <c r="G995" i="1" l="1"/>
  <c r="G2308" i="1"/>
  <c r="G2298" i="1"/>
  <c r="G2276" i="1"/>
  <c r="G2274" i="1"/>
  <c r="G2271" i="1"/>
  <c r="G2263" i="1"/>
  <c r="G2262" i="1"/>
  <c r="G2247" i="1"/>
  <c r="G2237" i="1"/>
  <c r="G2233" i="1"/>
  <c r="G2231" i="1"/>
  <c r="G2227" i="1"/>
  <c r="G2225" i="1"/>
  <c r="G2223" i="1"/>
  <c r="G2222" i="1"/>
  <c r="G2214" i="1"/>
  <c r="G1867" i="1"/>
  <c r="G1861" i="1"/>
  <c r="G1859" i="1"/>
  <c r="G1852" i="1"/>
  <c r="G1303" i="1"/>
  <c r="G1428" i="1"/>
  <c r="G1416" i="1"/>
  <c r="G1401" i="1"/>
  <c r="G1400" i="1"/>
  <c r="G1396" i="1"/>
  <c r="G1182" i="1"/>
  <c r="G1171" i="1"/>
  <c r="G1137" i="1"/>
  <c r="G1135" i="1"/>
  <c r="G1113" i="1"/>
  <c r="G1093" i="1"/>
  <c r="G1084" i="1"/>
  <c r="G1046" i="1"/>
  <c r="G1038" i="1"/>
  <c r="G666" i="1"/>
  <c r="G658" i="1"/>
  <c r="G656" i="1"/>
  <c r="G653" i="1"/>
  <c r="G652" i="1"/>
  <c r="G651" i="1"/>
  <c r="G647" i="1"/>
  <c r="G645" i="1"/>
  <c r="G642" i="1"/>
  <c r="G640" i="1"/>
  <c r="G637" i="1"/>
  <c r="G635" i="1"/>
  <c r="G629" i="1"/>
  <c r="G627" i="1"/>
  <c r="G626" i="1"/>
  <c r="G625" i="1"/>
  <c r="G622" i="1"/>
  <c r="G620" i="1"/>
  <c r="G619" i="1"/>
  <c r="G618" i="1"/>
  <c r="G616" i="1"/>
  <c r="G615" i="1"/>
  <c r="G613" i="1"/>
  <c r="G608" i="1"/>
  <c r="G607" i="1"/>
  <c r="G602" i="1"/>
  <c r="G592" i="1"/>
  <c r="G909" i="1"/>
  <c r="G906" i="1"/>
  <c r="G903" i="1"/>
  <c r="G886" i="1"/>
  <c r="G884" i="1"/>
  <c r="G873" i="1"/>
  <c r="G870" i="1"/>
  <c r="G868" i="1"/>
  <c r="G865" i="1"/>
  <c r="G864" i="1"/>
  <c r="G832" i="1"/>
  <c r="G821" i="1"/>
  <c r="G811" i="1"/>
  <c r="G807" i="1"/>
  <c r="G803" i="1"/>
  <c r="G1062" i="1"/>
  <c r="G512" i="1"/>
  <c r="G507" i="1"/>
  <c r="G501" i="1"/>
  <c r="G498" i="1"/>
  <c r="G496" i="1"/>
  <c r="G481" i="1"/>
  <c r="G473" i="1"/>
  <c r="G471" i="1"/>
  <c r="G467" i="1"/>
  <c r="G465" i="1"/>
  <c r="G252" i="1"/>
  <c r="G250" i="1"/>
  <c r="G246" i="1"/>
  <c r="G243" i="1"/>
  <c r="G242" i="1"/>
  <c r="G240" i="1"/>
  <c r="G239" i="1"/>
  <c r="G2146" i="1"/>
  <c r="G1996" i="1"/>
  <c r="H2334" i="1"/>
  <c r="H2335" i="1" s="1"/>
  <c r="I2334" i="1"/>
  <c r="I2331" i="1"/>
  <c r="K2331" i="1"/>
  <c r="G2323" i="1"/>
  <c r="G2232" i="1"/>
  <c r="G2212" i="1"/>
  <c r="G2211" i="1"/>
  <c r="G2209" i="1"/>
  <c r="G2207" i="1"/>
  <c r="G2206" i="1"/>
  <c r="G2205" i="1"/>
  <c r="G2204" i="1"/>
  <c r="G2202" i="1"/>
  <c r="G2201" i="1"/>
  <c r="G2200" i="1"/>
  <c r="G2182" i="1"/>
  <c r="G2181" i="1"/>
  <c r="G2180" i="1"/>
  <c r="G2178" i="1"/>
  <c r="G2177" i="1"/>
  <c r="G2173" i="1"/>
  <c r="G2170" i="1"/>
  <c r="G2169" i="1"/>
  <c r="G2168" i="1"/>
  <c r="G2165" i="1"/>
  <c r="G2164" i="1"/>
  <c r="G2162" i="1"/>
  <c r="G2161" i="1"/>
  <c r="G2157" i="1"/>
  <c r="G2156" i="1"/>
  <c r="G2154" i="1"/>
  <c r="G2150" i="1"/>
  <c r="G2149" i="1"/>
  <c r="G2148" i="1"/>
  <c r="G2145" i="1"/>
  <c r="G2144" i="1"/>
  <c r="G2143" i="1"/>
  <c r="G2141" i="1"/>
  <c r="G2134" i="1"/>
  <c r="G2128" i="1"/>
  <c r="G2124" i="1"/>
  <c r="G2122" i="1"/>
  <c r="G2120" i="1"/>
  <c r="G2114" i="1"/>
  <c r="G2108" i="1"/>
  <c r="G2106" i="1"/>
  <c r="G2105" i="1"/>
  <c r="G2104" i="1"/>
  <c r="G2103" i="1"/>
  <c r="G2101" i="1"/>
  <c r="G2100" i="1"/>
  <c r="G2098" i="1"/>
  <c r="G2097" i="1"/>
  <c r="G2091" i="1"/>
  <c r="G2088" i="1"/>
  <c r="G2087" i="1"/>
  <c r="G2084" i="1"/>
  <c r="G2083" i="1"/>
  <c r="G2079" i="1"/>
  <c r="G2077" i="1"/>
  <c r="G2075" i="1"/>
  <c r="G2070" i="1"/>
  <c r="G2069" i="1"/>
  <c r="G2068" i="1"/>
  <c r="G2062" i="1"/>
  <c r="G2059" i="1"/>
  <c r="G2057" i="1"/>
  <c r="G2056" i="1"/>
  <c r="G2053" i="1"/>
  <c r="G2052" i="1"/>
  <c r="G2050" i="1"/>
  <c r="G2049" i="1"/>
  <c r="G2034" i="1"/>
  <c r="G2031" i="1"/>
  <c r="G2030" i="1"/>
  <c r="G2029" i="1"/>
  <c r="G2027" i="1"/>
  <c r="G2021" i="1"/>
  <c r="G2020" i="1"/>
  <c r="G2017" i="1"/>
  <c r="G2016" i="1"/>
  <c r="G2014" i="1"/>
  <c r="G2013" i="1"/>
  <c r="G2012" i="1"/>
  <c r="G2008" i="1"/>
  <c r="G2007" i="1"/>
  <c r="G2006" i="1"/>
  <c r="G2005" i="1"/>
  <c r="G2003" i="1"/>
  <c r="G2002" i="1"/>
  <c r="G2001" i="1"/>
  <c r="G1999" i="1"/>
  <c r="G1995" i="1"/>
  <c r="G1991" i="1"/>
  <c r="G1989" i="1"/>
  <c r="G1988" i="1"/>
  <c r="G1985" i="1"/>
  <c r="G1982" i="1"/>
  <c r="G1980" i="1"/>
  <c r="G1974" i="1"/>
  <c r="G1973" i="1"/>
  <c r="G1876" i="1"/>
  <c r="G1875" i="1"/>
  <c r="G1874" i="1"/>
  <c r="G1873" i="1"/>
  <c r="G1871" i="1"/>
  <c r="G1870" i="1"/>
  <c r="G1866" i="1"/>
  <c r="G1864" i="1"/>
  <c r="G1863" i="1"/>
  <c r="G1862" i="1"/>
  <c r="G1972" i="1"/>
  <c r="G1971" i="1"/>
  <c r="G1970" i="1"/>
  <c r="G1962" i="1"/>
  <c r="G1961" i="1"/>
  <c r="G1960" i="1"/>
  <c r="G1959" i="1"/>
  <c r="G1957" i="1"/>
  <c r="G1956" i="1"/>
  <c r="G1951" i="1"/>
  <c r="G1950" i="1"/>
  <c r="G1949" i="1"/>
  <c r="G1948" i="1"/>
  <c r="G1946" i="1"/>
  <c r="G1945" i="1"/>
  <c r="G1940" i="1"/>
  <c r="G1939" i="1"/>
  <c r="G1938" i="1"/>
  <c r="G1936" i="1"/>
  <c r="G1933" i="1"/>
  <c r="G1932" i="1"/>
  <c r="G1931" i="1"/>
  <c r="G1929" i="1"/>
  <c r="G1927" i="1"/>
  <c r="G1924" i="1"/>
  <c r="G1923" i="1"/>
  <c r="G1922" i="1"/>
  <c r="G1921" i="1"/>
  <c r="G1920" i="1"/>
  <c r="G1915" i="1"/>
  <c r="G1914" i="1"/>
  <c r="G1907" i="1"/>
  <c r="G1904" i="1"/>
  <c r="G1903" i="1"/>
  <c r="G1899" i="1"/>
  <c r="G1898" i="1"/>
  <c r="G1897" i="1"/>
  <c r="G1896" i="1"/>
  <c r="G1895" i="1"/>
  <c r="G1894" i="1"/>
  <c r="G1885" i="1"/>
  <c r="G1881" i="1"/>
  <c r="G1880" i="1"/>
  <c r="G1878" i="1"/>
  <c r="G1841" i="1"/>
  <c r="G1840" i="1"/>
  <c r="G1837" i="1"/>
  <c r="G1836" i="1"/>
  <c r="G1833" i="1"/>
  <c r="G1829" i="1"/>
  <c r="G1828" i="1"/>
  <c r="G1827" i="1"/>
  <c r="G1826" i="1"/>
  <c r="G1825" i="1"/>
  <c r="G1824" i="1"/>
  <c r="G1823" i="1"/>
  <c r="G1822" i="1"/>
  <c r="G1821" i="1"/>
  <c r="G1817" i="1"/>
  <c r="G1816" i="1"/>
  <c r="G1815" i="1"/>
  <c r="G1813" i="1"/>
  <c r="G1811" i="1"/>
  <c r="G1804" i="1"/>
  <c r="G1803" i="1"/>
  <c r="G1802" i="1"/>
  <c r="G1801" i="1"/>
  <c r="G1799" i="1"/>
  <c r="G1784" i="1"/>
  <c r="G1781" i="1"/>
  <c r="G1777" i="1"/>
  <c r="G1775" i="1"/>
  <c r="G1774" i="1"/>
  <c r="G1764" i="1"/>
  <c r="G1763" i="1"/>
  <c r="G1758" i="1"/>
  <c r="G1757" i="1"/>
  <c r="G1754" i="1"/>
  <c r="G1753" i="1"/>
  <c r="G1752" i="1"/>
  <c r="G1751" i="1"/>
  <c r="G1750" i="1"/>
  <c r="G1749" i="1"/>
  <c r="G1747" i="1"/>
  <c r="G1744" i="1"/>
  <c r="G1735" i="1"/>
  <c r="G1731" i="1"/>
  <c r="G1730" i="1"/>
  <c r="G1729" i="1"/>
  <c r="G1728" i="1"/>
  <c r="G1727" i="1"/>
  <c r="G1713" i="1"/>
  <c r="G1711" i="1"/>
  <c r="G1710" i="1"/>
  <c r="G1709" i="1"/>
  <c r="G1701" i="1"/>
  <c r="G1700" i="1"/>
  <c r="G1699" i="1"/>
  <c r="G1696" i="1"/>
  <c r="G1688" i="1"/>
  <c r="G1687" i="1"/>
  <c r="G1686" i="1"/>
  <c r="G1685" i="1"/>
  <c r="G1678" i="1"/>
  <c r="G1677" i="1"/>
  <c r="G1676" i="1"/>
  <c r="G1674" i="1"/>
  <c r="G1673" i="1"/>
  <c r="G1668" i="1"/>
  <c r="G1654" i="1"/>
  <c r="G1653" i="1"/>
  <c r="G1651" i="1"/>
  <c r="G1649" i="1"/>
  <c r="G1639" i="1"/>
  <c r="G1638" i="1"/>
  <c r="G1637" i="1"/>
  <c r="G1635" i="1"/>
  <c r="G1634" i="1"/>
  <c r="G1632" i="1"/>
  <c r="G1631" i="1"/>
  <c r="G1630" i="1"/>
  <c r="G1626" i="1"/>
  <c r="G1625" i="1"/>
  <c r="G1623" i="1"/>
  <c r="G1622" i="1"/>
  <c r="G1621" i="1"/>
  <c r="G1403" i="1"/>
  <c r="G1395" i="1"/>
  <c r="G1056" i="1"/>
  <c r="G1619" i="1"/>
  <c r="G1618" i="1"/>
  <c r="G1616" i="1"/>
  <c r="G1614" i="1"/>
  <c r="G1609" i="1"/>
  <c r="G1606" i="1"/>
  <c r="G1605" i="1"/>
  <c r="G1604" i="1"/>
  <c r="G1602" i="1"/>
  <c r="G1601" i="1"/>
  <c r="G1598" i="1"/>
  <c r="G1597" i="1"/>
  <c r="G1596" i="1"/>
  <c r="G1595" i="1"/>
  <c r="G1594" i="1"/>
  <c r="G1591" i="1"/>
  <c r="G1590" i="1"/>
  <c r="G1589" i="1"/>
  <c r="G1588" i="1"/>
  <c r="G1587" i="1"/>
  <c r="G1585" i="1"/>
  <c r="G1584" i="1"/>
  <c r="G1581" i="1"/>
  <c r="G1580" i="1"/>
  <c r="G1578" i="1"/>
  <c r="G1576" i="1"/>
  <c r="G1573" i="1"/>
  <c r="G1570" i="1"/>
  <c r="G1569" i="1"/>
  <c r="G1566" i="1"/>
  <c r="G1565" i="1"/>
  <c r="G1561" i="1"/>
  <c r="G1554" i="1"/>
  <c r="G1549" i="1"/>
  <c r="G1548" i="1"/>
  <c r="G1547" i="1"/>
  <c r="G1545" i="1"/>
  <c r="G1544" i="1"/>
  <c r="G1543" i="1"/>
  <c r="G1542" i="1"/>
  <c r="G1538" i="1"/>
  <c r="G1537" i="1"/>
  <c r="G1535" i="1"/>
  <c r="G1533" i="1"/>
  <c r="G1531" i="1"/>
  <c r="G1522" i="1"/>
  <c r="G1516" i="1"/>
  <c r="G1515" i="1"/>
  <c r="G1509" i="1"/>
  <c r="G1494" i="1"/>
  <c r="G1491" i="1"/>
  <c r="G1487" i="1"/>
  <c r="G1467" i="1"/>
  <c r="G1427" i="1"/>
  <c r="G1417" i="1"/>
  <c r="G1414" i="1"/>
  <c r="G1412" i="1"/>
  <c r="G1404" i="1"/>
  <c r="G1440" i="1"/>
  <c r="G1434" i="1"/>
  <c r="G1432" i="1"/>
  <c r="G1413" i="1"/>
  <c r="G1407" i="1"/>
  <c r="G1398" i="1"/>
  <c r="G1389" i="1"/>
  <c r="G1388" i="1"/>
  <c r="G1387" i="1"/>
  <c r="G1370" i="1"/>
  <c r="G1369" i="1"/>
  <c r="G1367" i="1"/>
  <c r="G1366" i="1"/>
  <c r="G1365" i="1"/>
  <c r="G1364" i="1"/>
  <c r="G1363" i="1"/>
  <c r="G1360" i="1"/>
  <c r="G1358" i="1"/>
  <c r="G1352" i="1"/>
  <c r="G1351" i="1"/>
  <c r="G1350" i="1"/>
  <c r="G1348" i="1"/>
  <c r="G1347" i="1"/>
  <c r="G1345" i="1"/>
  <c r="G1342" i="1"/>
  <c r="G1339" i="1"/>
  <c r="G1338" i="1"/>
  <c r="G1335" i="1"/>
  <c r="G1334" i="1"/>
  <c r="G1333" i="1"/>
  <c r="G1332" i="1"/>
  <c r="G1331" i="1"/>
  <c r="G1328" i="1"/>
  <c r="G1327" i="1"/>
  <c r="G1325" i="1"/>
  <c r="G1324" i="1"/>
  <c r="G1322" i="1"/>
  <c r="G1319" i="1"/>
  <c r="G1317" i="1"/>
  <c r="G1315" i="1"/>
  <c r="G1313" i="1"/>
  <c r="G1311" i="1"/>
  <c r="G1309" i="1"/>
  <c r="G1308" i="1"/>
  <c r="G1306" i="1"/>
  <c r="G1305" i="1"/>
  <c r="G1304" i="1"/>
  <c r="G1302" i="1"/>
  <c r="G1298" i="1"/>
  <c r="G1296" i="1"/>
  <c r="G1295" i="1"/>
  <c r="G1292" i="1"/>
  <c r="G1291" i="1"/>
  <c r="G1289" i="1"/>
  <c r="G1287" i="1"/>
  <c r="G1278" i="1"/>
  <c r="G1277" i="1"/>
  <c r="G1276" i="1"/>
  <c r="G1132" i="1"/>
  <c r="G1131" i="1"/>
  <c r="G1127" i="1"/>
  <c r="G1125" i="1"/>
  <c r="G1123" i="1"/>
  <c r="G1122" i="1"/>
  <c r="G1109" i="1"/>
  <c r="G1094" i="1"/>
  <c r="G1083" i="1"/>
  <c r="G1275" i="1"/>
  <c r="G1273" i="1"/>
  <c r="G1269" i="1"/>
  <c r="G1268" i="1"/>
  <c r="G1266" i="1"/>
  <c r="G1264" i="1"/>
  <c r="G1263" i="1"/>
  <c r="G1262" i="1"/>
  <c r="G1258" i="1"/>
  <c r="G1257" i="1"/>
  <c r="G1256" i="1"/>
  <c r="G1253" i="1"/>
  <c r="G1252" i="1"/>
  <c r="G1251" i="1"/>
  <c r="G1250" i="1"/>
  <c r="G1248" i="1"/>
  <c r="G1247" i="1"/>
  <c r="G1246" i="1"/>
  <c r="G1240" i="1"/>
  <c r="G1239" i="1"/>
  <c r="G1237" i="1"/>
  <c r="G1234" i="1"/>
  <c r="G1232" i="1"/>
  <c r="G1227" i="1"/>
  <c r="G1226" i="1"/>
  <c r="G1225" i="1"/>
  <c r="G1222" i="1"/>
  <c r="G1218" i="1"/>
  <c r="G1216" i="1"/>
  <c r="G1213" i="1"/>
  <c r="G1212" i="1"/>
  <c r="G1208" i="1"/>
  <c r="G1204" i="1"/>
  <c r="G1198" i="1"/>
  <c r="G1196" i="1"/>
  <c r="G1194" i="1"/>
  <c r="G1193" i="1"/>
  <c r="G1192" i="1"/>
  <c r="G1187" i="1"/>
  <c r="G1184" i="1"/>
  <c r="G1183" i="1"/>
  <c r="G1181" i="1"/>
  <c r="G1180" i="1"/>
  <c r="G1178" i="1"/>
  <c r="G1177" i="1"/>
  <c r="G1176" i="1"/>
  <c r="G1172" i="1"/>
  <c r="G1167" i="1"/>
  <c r="G1166" i="1"/>
  <c r="G1164" i="1"/>
  <c r="G1163" i="1"/>
  <c r="G1162" i="1"/>
  <c r="G1161" i="1"/>
  <c r="G1160" i="1"/>
  <c r="G1157" i="1"/>
  <c r="G1155" i="1"/>
  <c r="G1154" i="1"/>
  <c r="G1153" i="1"/>
  <c r="G1152" i="1"/>
  <c r="G1151" i="1"/>
  <c r="G1148" i="1"/>
  <c r="G1144" i="1"/>
  <c r="G1143" i="1"/>
  <c r="G1136" i="1"/>
  <c r="G1119" i="1"/>
  <c r="G1118" i="1"/>
  <c r="G1115" i="1"/>
  <c r="G1106" i="1"/>
  <c r="G1104" i="1"/>
  <c r="G1103" i="1"/>
  <c r="G1100" i="1"/>
  <c r="G1099" i="1"/>
  <c r="G1085" i="1"/>
  <c r="G1079" i="1"/>
  <c r="G1052" i="1"/>
  <c r="G1049" i="1"/>
  <c r="G1048" i="1"/>
  <c r="G1039" i="1"/>
  <c r="G2218" i="1"/>
  <c r="G1037" i="1"/>
  <c r="G1033" i="1"/>
  <c r="G1032" i="1"/>
  <c r="G1031" i="1"/>
  <c r="G1030" i="1"/>
  <c r="G1015" i="1"/>
  <c r="G1014" i="1"/>
  <c r="G1013" i="1"/>
  <c r="G1011" i="1"/>
  <c r="G1009" i="1"/>
  <c r="G1001" i="1"/>
  <c r="G988" i="1"/>
  <c r="G986" i="1"/>
  <c r="G985" i="1"/>
  <c r="G984" i="1"/>
  <c r="G983" i="1"/>
  <c r="G981" i="1"/>
  <c r="G980" i="1"/>
  <c r="G979" i="1"/>
  <c r="G978" i="1"/>
  <c r="G977" i="1"/>
  <c r="G975" i="1"/>
  <c r="G973" i="1"/>
  <c r="G972" i="1"/>
  <c r="G971" i="1"/>
  <c r="G969" i="1"/>
  <c r="G968" i="1"/>
  <c r="G966" i="1"/>
  <c r="G965" i="1"/>
  <c r="G962" i="1"/>
  <c r="G960" i="1"/>
  <c r="G956" i="1"/>
  <c r="G955" i="1"/>
  <c r="G954" i="1"/>
  <c r="G950" i="1"/>
  <c r="G948" i="1"/>
  <c r="G946" i="1"/>
  <c r="G942" i="1"/>
  <c r="G941" i="1"/>
  <c r="G914" i="1"/>
  <c r="G913" i="1"/>
  <c r="G911" i="1"/>
  <c r="G904" i="1"/>
  <c r="G899" i="1"/>
  <c r="G897" i="1"/>
  <c r="G887" i="1"/>
  <c r="G883" i="1"/>
  <c r="G869" i="1"/>
  <c r="G866" i="1"/>
  <c r="G863" i="1"/>
  <c r="G861" i="1"/>
  <c r="G834" i="1"/>
  <c r="G827" i="1"/>
  <c r="G806" i="1"/>
  <c r="G2244" i="1"/>
  <c r="G919" i="1"/>
  <c r="G894" i="1"/>
  <c r="G879" i="1"/>
  <c r="G876" i="1"/>
  <c r="G875" i="1"/>
  <c r="G874" i="1"/>
  <c r="G871" i="1"/>
  <c r="G860" i="1"/>
  <c r="G859" i="1"/>
  <c r="G858" i="1"/>
  <c r="G857" i="1"/>
  <c r="G856" i="1"/>
  <c r="G855" i="1"/>
  <c r="G854" i="1"/>
  <c r="G851" i="1"/>
  <c r="G850" i="1"/>
  <c r="G849" i="1"/>
  <c r="G848" i="1"/>
  <c r="G847" i="1"/>
  <c r="G846" i="1"/>
  <c r="G845" i="1"/>
  <c r="G844" i="1"/>
  <c r="G843" i="1"/>
  <c r="G842" i="1"/>
  <c r="G831" i="1"/>
  <c r="G824" i="1"/>
  <c r="G822" i="1"/>
  <c r="G820" i="1"/>
  <c r="G819" i="1"/>
  <c r="G818" i="1"/>
  <c r="G817" i="1"/>
  <c r="G816" i="1"/>
  <c r="G815" i="1"/>
  <c r="G814" i="1"/>
  <c r="G813" i="1"/>
  <c r="G812" i="1"/>
  <c r="G808" i="1"/>
  <c r="G804" i="1"/>
  <c r="G2234" i="1"/>
  <c r="G802" i="1"/>
  <c r="G796" i="1"/>
  <c r="G795" i="1"/>
  <c r="G794" i="1"/>
  <c r="G793" i="1"/>
  <c r="G791" i="1"/>
  <c r="G789" i="1"/>
  <c r="G788" i="1"/>
  <c r="G787" i="1"/>
  <c r="G785" i="1"/>
  <c r="G782" i="1"/>
  <c r="G779" i="1"/>
  <c r="G778" i="1"/>
  <c r="G773" i="1"/>
  <c r="G770" i="1"/>
  <c r="G764" i="1"/>
  <c r="G762" i="1"/>
  <c r="G761" i="1"/>
  <c r="G758" i="1"/>
  <c r="G756" i="1"/>
  <c r="G753" i="1"/>
  <c r="G752" i="1"/>
  <c r="G751" i="1"/>
  <c r="G750" i="1"/>
  <c r="G749" i="1"/>
  <c r="G748" i="1"/>
  <c r="G747" i="1"/>
  <c r="G746" i="1"/>
  <c r="G744" i="1"/>
  <c r="G743" i="1"/>
  <c r="G742" i="1"/>
  <c r="G741" i="1"/>
  <c r="G740" i="1"/>
  <c r="G738" i="1"/>
  <c r="G737" i="1"/>
  <c r="G733" i="1"/>
  <c r="G730" i="1"/>
  <c r="G729" i="1"/>
  <c r="G725" i="1"/>
  <c r="G718" i="1"/>
  <c r="G717" i="1"/>
  <c r="G716" i="1"/>
  <c r="G710" i="1"/>
  <c r="G709" i="1"/>
  <c r="G708" i="1"/>
  <c r="G707" i="1"/>
  <c r="G706" i="1"/>
  <c r="G705" i="1"/>
  <c r="G703" i="1"/>
  <c r="G702" i="1"/>
  <c r="G701" i="1"/>
  <c r="G697" i="1"/>
  <c r="G690" i="1"/>
  <c r="G689" i="1"/>
  <c r="G639" i="1"/>
  <c r="G631" i="1"/>
  <c r="G614" i="1"/>
  <c r="G611" i="1"/>
  <c r="G688" i="1"/>
  <c r="G684" i="1"/>
  <c r="G683" i="1"/>
  <c r="G681" i="1"/>
  <c r="G680" i="1"/>
  <c r="G679" i="1"/>
  <c r="G676" i="1"/>
  <c r="G671" i="1"/>
  <c r="G668" i="1"/>
  <c r="G667" i="1"/>
  <c r="G664" i="1"/>
  <c r="G663" i="1"/>
  <c r="G661" i="1"/>
  <c r="G660" i="1"/>
  <c r="G657" i="1"/>
  <c r="G650" i="1"/>
  <c r="G641" i="1"/>
  <c r="G633" i="1"/>
  <c r="G621" i="1"/>
  <c r="G617" i="1"/>
  <c r="G609" i="1"/>
  <c r="G605" i="1"/>
  <c r="G603" i="1"/>
  <c r="G601" i="1"/>
  <c r="G590" i="1"/>
  <c r="G582" i="1"/>
  <c r="G581" i="1"/>
  <c r="G577" i="1"/>
  <c r="G508" i="1"/>
  <c r="G499" i="1"/>
  <c r="G2317" i="1"/>
  <c r="G2303" i="1"/>
  <c r="G2283" i="1"/>
  <c r="G2265" i="1"/>
  <c r="G2241" i="1"/>
  <c r="G576" i="1"/>
  <c r="G575" i="1"/>
  <c r="G569" i="1"/>
  <c r="G567" i="1"/>
  <c r="G566" i="1"/>
  <c r="G562" i="1"/>
  <c r="G561" i="1"/>
  <c r="G559" i="1"/>
  <c r="G558" i="1"/>
  <c r="G556" i="1"/>
  <c r="G554" i="1"/>
  <c r="G549" i="1"/>
  <c r="G548" i="1"/>
  <c r="G547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2" i="1"/>
  <c r="G531" i="1"/>
  <c r="G529" i="1"/>
  <c r="G528" i="1"/>
  <c r="G525" i="1"/>
  <c r="G524" i="1"/>
  <c r="G523" i="1"/>
  <c r="G522" i="1"/>
  <c r="G521" i="1"/>
  <c r="G520" i="1"/>
  <c r="G506" i="1"/>
  <c r="G505" i="1"/>
  <c r="G503" i="1"/>
  <c r="G502" i="1"/>
  <c r="G497" i="1"/>
  <c r="G474" i="1"/>
  <c r="G11" i="1"/>
  <c r="G464" i="1"/>
  <c r="G463" i="1"/>
  <c r="G462" i="1"/>
  <c r="G461" i="1"/>
  <c r="G459" i="1"/>
  <c r="G457" i="1"/>
  <c r="G455" i="1"/>
  <c r="G452" i="1"/>
  <c r="G451" i="1"/>
  <c r="G450" i="1"/>
  <c r="G449" i="1"/>
  <c r="G447" i="1"/>
  <c r="G446" i="1"/>
  <c r="G445" i="1"/>
  <c r="G444" i="1"/>
  <c r="G443" i="1"/>
  <c r="G442" i="1"/>
  <c r="G440" i="1"/>
  <c r="G439" i="1"/>
  <c r="G434" i="1"/>
  <c r="G433" i="1"/>
  <c r="G428" i="1"/>
  <c r="G427" i="1"/>
  <c r="G424" i="1"/>
  <c r="G421" i="1"/>
  <c r="G420" i="1"/>
  <c r="G418" i="1"/>
  <c r="G416" i="1"/>
  <c r="G415" i="1"/>
  <c r="G414" i="1"/>
  <c r="G413" i="1"/>
  <c r="G412" i="1"/>
  <c r="G410" i="1"/>
  <c r="G408" i="1"/>
  <c r="G407" i="1"/>
  <c r="G404" i="1"/>
  <c r="G403" i="1"/>
  <c r="G401" i="1"/>
  <c r="G399" i="1"/>
  <c r="G398" i="1"/>
  <c r="G394" i="1"/>
  <c r="G392" i="1"/>
  <c r="G391" i="1"/>
  <c r="G389" i="1"/>
  <c r="G388" i="1"/>
  <c r="G387" i="1"/>
  <c r="G385" i="1"/>
  <c r="G384" i="1"/>
  <c r="G383" i="1"/>
  <c r="G381" i="1"/>
  <c r="G380" i="1"/>
  <c r="G379" i="1"/>
  <c r="G378" i="1"/>
  <c r="G377" i="1"/>
  <c r="G376" i="1"/>
  <c r="G375" i="1"/>
  <c r="G374" i="1"/>
  <c r="G373" i="1"/>
  <c r="G372" i="1"/>
  <c r="G371" i="1"/>
  <c r="G364" i="1"/>
  <c r="G363" i="1"/>
  <c r="G362" i="1"/>
  <c r="G361" i="1"/>
  <c r="G359" i="1"/>
  <c r="G358" i="1"/>
  <c r="G356" i="1"/>
  <c r="G355" i="1"/>
  <c r="G349" i="1"/>
  <c r="G341" i="1"/>
  <c r="G340" i="1"/>
  <c r="G339" i="1"/>
  <c r="G338" i="1"/>
  <c r="G337" i="1"/>
  <c r="G331" i="1"/>
  <c r="G330" i="1"/>
  <c r="G328" i="1"/>
  <c r="G327" i="1"/>
  <c r="G308" i="1"/>
  <c r="G307" i="1"/>
  <c r="G306" i="1"/>
  <c r="G304" i="1"/>
  <c r="G303" i="1"/>
  <c r="G300" i="1"/>
  <c r="G298" i="1"/>
  <c r="G295" i="1"/>
  <c r="G291" i="1"/>
  <c r="G286" i="1"/>
  <c r="G274" i="1"/>
  <c r="G272" i="1"/>
  <c r="G270" i="1"/>
  <c r="G269" i="1"/>
  <c r="G265" i="1"/>
  <c r="G264" i="1"/>
  <c r="G263" i="1"/>
  <c r="G261" i="1"/>
  <c r="G260" i="1"/>
  <c r="G258" i="1"/>
  <c r="G257" i="1"/>
  <c r="G256" i="1"/>
  <c r="G251" i="1"/>
  <c r="G241" i="1"/>
  <c r="G236" i="1"/>
  <c r="G235" i="1"/>
  <c r="G234" i="1"/>
  <c r="G233" i="1"/>
  <c r="G232" i="1"/>
  <c r="G230" i="1"/>
  <c r="G229" i="1"/>
  <c r="G221" i="1"/>
  <c r="G220" i="1"/>
  <c r="G216" i="1"/>
  <c r="G213" i="1"/>
  <c r="G210" i="1"/>
  <c r="G209" i="1"/>
  <c r="G208" i="1"/>
  <c r="G204" i="1"/>
  <c r="G203" i="1"/>
  <c r="G201" i="1"/>
  <c r="G200" i="1"/>
  <c r="G199" i="1"/>
  <c r="G197" i="1"/>
  <c r="G196" i="1"/>
  <c r="G195" i="1"/>
  <c r="G194" i="1"/>
  <c r="G191" i="1"/>
  <c r="G188" i="1"/>
  <c r="G184" i="1"/>
  <c r="G183" i="1"/>
  <c r="G182" i="1"/>
  <c r="G181" i="1"/>
  <c r="G179" i="1"/>
  <c r="G178" i="1"/>
  <c r="G174" i="1"/>
  <c r="G170" i="1"/>
  <c r="G169" i="1"/>
  <c r="G168" i="1"/>
  <c r="G166" i="1"/>
  <c r="G164" i="1"/>
  <c r="G163" i="1"/>
  <c r="G160" i="1"/>
  <c r="G158" i="1"/>
  <c r="G154" i="1"/>
  <c r="G153" i="1"/>
  <c r="G152" i="1"/>
  <c r="G151" i="1"/>
  <c r="G148" i="1"/>
  <c r="G147" i="1"/>
  <c r="G144" i="1"/>
  <c r="G143" i="1"/>
  <c r="G140" i="1"/>
  <c r="G139" i="1"/>
  <c r="G137" i="1"/>
  <c r="G136" i="1"/>
  <c r="G127" i="1"/>
  <c r="G126" i="1"/>
  <c r="G125" i="1"/>
  <c r="G122" i="1"/>
  <c r="G118" i="1"/>
  <c r="G115" i="1"/>
  <c r="G114" i="1"/>
  <c r="G111" i="1"/>
  <c r="G103" i="1"/>
  <c r="G89" i="1"/>
  <c r="G86" i="1"/>
  <c r="G82" i="1"/>
  <c r="G81" i="1"/>
  <c r="G73" i="1"/>
  <c r="G70" i="1"/>
  <c r="G51" i="1"/>
  <c r="G44" i="1"/>
  <c r="G42" i="1"/>
  <c r="G34" i="1"/>
  <c r="G32" i="1"/>
  <c r="G31" i="1"/>
  <c r="G22" i="1"/>
  <c r="F2332" i="1"/>
  <c r="F2333" i="1" s="1"/>
  <c r="K2332" i="1" l="1"/>
  <c r="I2332" i="1"/>
  <c r="G2332" i="1" s="1"/>
  <c r="F2334" i="1"/>
  <c r="K2333" i="1"/>
  <c r="I2333" i="1"/>
  <c r="G2333" i="1" s="1"/>
  <c r="G2331" i="1"/>
  <c r="K2334" i="1" l="1"/>
  <c r="G2334" i="1" s="1"/>
  <c r="F2335" i="1"/>
  <c r="C5" i="1" l="1"/>
  <c r="K2335" i="1"/>
  <c r="G23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AZ-BOQ check</author>
    <author>Ilaha N. Amiraslanova</author>
  </authors>
  <commentList>
    <comment ref="D1134" authorId="0" shapeId="0" xr:uid="{00000000-0006-0000-0000-000001000000}">
      <text>
        <r>
          <rPr>
            <sz val="11"/>
            <color theme="1"/>
            <rFont val="Aptos Narrow"/>
            <family val="2"/>
            <charset val="204"/>
            <scheme val="minor"/>
          </rPr>
          <t>AZ-BOQ: bill 6, drawing 5 each. bill 6 vs drawing 5 each</t>
        </r>
      </text>
    </comment>
    <comment ref="D1135" authorId="0" shapeId="0" xr:uid="{00000000-0006-0000-0000-000002000000}">
      <text>
        <r>
          <rPr>
            <sz val="11"/>
            <color theme="1"/>
            <rFont val="Aptos Narrow"/>
            <family val="2"/>
            <charset val="204"/>
            <scheme val="minor"/>
          </rPr>
          <t>AZ-BOQ: bill 6, drawing 5 each. bill 6 vs drawing 5 each</t>
        </r>
      </text>
    </comment>
    <comment ref="B1185" authorId="1" shapeId="0" xr:uid="{00000000-0006-0000-0000-000003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addendum 15   haz;rl;q qati 152 m2 az verilmelidir</t>
        </r>
      </text>
    </comment>
    <comment ref="B1188" authorId="1" shapeId="0" xr:uid="{00000000-0006-0000-0000-000004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bunu ish bitdikce tam vermek olar</t>
        </r>
      </text>
    </comment>
    <comment ref="B1216" authorId="1" shapeId="0" xr:uid="{00000000-0006-0000-0000-000005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addendum 15   beton 110  azn 385 m3 az verilmeli idi</t>
        </r>
      </text>
    </comment>
    <comment ref="B1217" authorId="1" shapeId="0" xr:uid="{00000000-0006-0000-0000-000006000000}">
      <text>
        <r>
          <rPr>
            <sz val="11"/>
            <color theme="1"/>
            <rFont val="Aptos Narrow"/>
            <family val="2"/>
            <charset val="204"/>
            <scheme val="minor"/>
          </rPr>
          <t xml:space="preserve">Ilaha N. Amiraslanova:
addendum 15  beton 115 azn 552-460 = 92 m3  460 burda eksik verlib </t>
        </r>
      </text>
    </comment>
    <comment ref="B1228" authorId="1" shapeId="0" xr:uid="{00000000-0006-0000-0000-000007000000}">
      <text>
        <r>
          <rPr>
            <sz val="11"/>
            <color theme="1"/>
            <rFont val="Aptos Narrow"/>
            <family val="2"/>
            <charset val="204"/>
            <scheme val="minor"/>
          </rPr>
          <t xml:space="preserve">Ilaha N. Amiraslanova:
basqa boru ile deyisdirilib bunu 0 lamaq lazim olacaq deyesen </t>
        </r>
      </text>
    </comment>
    <comment ref="B1266" authorId="1" shapeId="0" xr:uid="{00000000-0006-0000-0000-000008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  <comment ref="B1596" authorId="1" shapeId="0" xr:uid="{00000000-0006-0000-0000-000009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  <comment ref="B1797" authorId="1" shapeId="0" xr:uid="{00000000-0006-0000-0000-00000A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  <comment ref="B2001" authorId="1" shapeId="0" xr:uid="{00000000-0006-0000-0000-00000B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  <comment ref="B2202" authorId="1" shapeId="0" xr:uid="{00000000-0006-0000-0000-00000C000000}">
      <text>
        <r>
          <rPr>
            <sz val="11"/>
            <color theme="1"/>
            <rFont val="Aptos Narrow"/>
            <family val="2"/>
            <charset val="204"/>
            <scheme val="minor"/>
          </rPr>
          <t>Ilaha N. Amiraslanova:
addedndum 15 deki beton  552-460 yuxarida eksikdir 92 m3 burdan azaltmaq lazimdir</t>
        </r>
      </text>
    </comment>
  </commentList>
</comments>
</file>

<file path=xl/sharedStrings.xml><?xml version="1.0" encoding="utf-8"?>
<sst xmlns="http://schemas.openxmlformats.org/spreadsheetml/2006/main" count="13506" uniqueCount="3651">
  <si>
    <t xml:space="preserve">PROJECT / İnşaat obyekti : </t>
  </si>
  <si>
    <t xml:space="preserve">EMPLOYER / Sifarişçi : </t>
  </si>
  <si>
    <t>LOGO</t>
  </si>
  <si>
    <t xml:space="preserve">CONTRACT NO &amp; DATE / Müqavilə:  № ve Tarix : </t>
  </si>
  <si>
    <t xml:space="preserve">SUBCONTRACTOR / Podratçı : </t>
  </si>
  <si>
    <t>PPC NO / A  K  T № :</t>
  </si>
  <si>
    <t xml:space="preserve">CONTRACT PRICE / Müqavilə üzrə Qiyməti : </t>
  </si>
  <si>
    <t>PPC DATE / Tarix :</t>
  </si>
  <si>
    <t>BOQ No</t>
  </si>
  <si>
    <t xml:space="preserve">                 
Description /  İşin adı</t>
  </si>
  <si>
    <t>Uom / Ölçü 
vahidi</t>
  </si>
  <si>
    <t>Quantity / 
Həcmi</t>
  </si>
  <si>
    <t xml:space="preserve">Unit Price in AZN / 
İş vahidinin
 qiyməti manat </t>
  </si>
  <si>
    <t>Total Unit Price in AZN / Ümumi
qiymət 
manat</t>
  </si>
  <si>
    <t xml:space="preserve">Progress Payment / Yerinə yetirilmişdir  </t>
  </si>
  <si>
    <t>Pogress Up-to date / Tikinti işlərinin əvvəlindən</t>
  </si>
  <si>
    <t>Previous Progress / Əvvəlki dövr</t>
  </si>
  <si>
    <t>This Month Progress  /       O cümlədən hesabat ayı ərzində</t>
  </si>
  <si>
    <t>Total Quantity / 
Həcmi</t>
  </si>
  <si>
    <t>Total Amount / 
Qiyməti</t>
  </si>
  <si>
    <t>Previous Quantity / 
Həcmi</t>
  </si>
  <si>
    <t>Previous Amount / 
Qiyməti</t>
  </si>
  <si>
    <t>This Interim Quantity / 
Həcmi</t>
  </si>
  <si>
    <t>This Interim  Amount / 
Qiyməti</t>
  </si>
  <si>
    <t>(Söküntü işləri)</t>
  </si>
  <si>
    <t>Binaların uçurulma metodu ilə sökülməsi: kərpic, isidilməyən binaların</t>
  </si>
  <si>
    <t>m3</t>
  </si>
  <si>
    <t>Çalovunun tutumu 0,5 m3-ə qədər olan ekskavatorla yüklənən inşaat tullantısı: Yükləmə</t>
  </si>
  <si>
    <t>ton</t>
  </si>
  <si>
    <t>Özüboşaldan avtomobil, 17 t daşınma məsafəsi - 5 km. 1-ci sinifli yük</t>
  </si>
  <si>
    <t>Torpağın töküntü yerində işlərin yerinə yetirilməsi, qruntun qrupu: 2-3</t>
  </si>
  <si>
    <t xml:space="preserve"> 4 çıxışlı Yanğın Deposu binası  (Torpaq işləri)</t>
  </si>
  <si>
    <t>Çalovunun tutumu 0,5 (0,5-0,63) m3 olan ekskavatorlarla qruntun özüboşaldan avtomobillərə yüklənməklə qazılması, qruntun qrupu: 1 (Artıq qrunt)</t>
  </si>
  <si>
    <t>Çalovunun tutumu 0,5-0,63 m3 olan ekskavatorlarla qruntun kənara atılaraq qazılması, qruntun qrupu: 1</t>
  </si>
  <si>
    <t>Dərinliyi 2 m-ə qədər olan yamaclı xəndəklərdə qruntun bərkitmələr olmadan əl ilə qazılması, qruntun qrupu: 1</t>
  </si>
  <si>
    <t>Qruntu 5 m-ə qədər məsafəyə yerinin dəyişdirilməsi ilə çalaların və xəndəklərin buldozerlərlə doldurulması, buldozerin gücü: 59 (80) kVt (a.g.), 1-ci qrup qrunt</t>
  </si>
  <si>
    <t>Xəndəklərin, çalaların və çuxurların əl ilə doldurulması, qruntun qrupu: 1</t>
  </si>
  <si>
    <t>Pnevmatik döyəcləyicilərlə qruntun sıxlaşdırılması, qruntun qrupu: 1, 2</t>
  </si>
  <si>
    <t xml:space="preserve"> 4 çıxışlı Yanğın Deposu binası  (Bünövrə)</t>
  </si>
  <si>
    <t>Bünövrə altı əsasların qurulması:çınqıllı</t>
  </si>
  <si>
    <t>Beton hazırlıq qatının qurulması</t>
  </si>
  <si>
    <t>Lentvari bünövrələrin qurulması: dəmir-beton, yuxarı tərəfinin eni 1000 mm-ə qədər olduqda</t>
  </si>
  <si>
    <t>A-1 sinifli armatur</t>
  </si>
  <si>
    <t>A-3 sinifli armatur</t>
  </si>
  <si>
    <t xml:space="preserve">Qoyma detalların qurulması, çəkisi: döşənək və betonlama qatlarının armaturlanması </t>
  </si>
  <si>
    <t xml:space="preserve">Dəmir-beton divarların və arakəsmələrin qurulması, hündürlüyü: 3 m-ə qədər, qalınlığı 500 mm </t>
  </si>
  <si>
    <t xml:space="preserve">Dəmir-beton divarların və arakəsmələrin qurulması, hündürlüyü: 3 m-ə qədər, qalınlığı 200 mm </t>
  </si>
  <si>
    <t>390x190x188 mm ölçülərində mişarlanmış əhəng daşından bina və qurğuların bütöv divarlarının hörgüsü: 39 sm qalınlığında (Mişarlanmış əhəng daşından xarici zirzəmi divarı)</t>
  </si>
  <si>
    <t>m2</t>
  </si>
  <si>
    <t>Yandan hidroizolyasiya: kərpic, beton və but hörgüsünün düzləndirilmiş səthi üzrə yaxmalı bitumlu 2 qat</t>
  </si>
  <si>
    <t>Döşənək qatlarının düzəldilməsi: qırmadaşlı</t>
  </si>
  <si>
    <t>Döşənək qatlarının düzəldilməsi: betonlu (-2.75 səv-də beton döşəmə )</t>
  </si>
  <si>
    <t>Divarların və yastı diblərin quraşdırılması, qalınlığı: 150 mm-dən artıq dairəvi qurğuların (Havalandırma çalası)</t>
  </si>
  <si>
    <t>Quraşdırma: zolaqlşəkilli və nazikvərəqli poladdan nov, qəfəslər, cəftələr (Zirzəmidə havalandırma deşiklərinə metal torun vurulması)</t>
  </si>
  <si>
    <t xml:space="preserve"> 4 çıxışlı Yanğın Deposu binası  (D/b konsturksiyalar)</t>
  </si>
  <si>
    <t xml:space="preserve">Taxta qəlibdə dəmir-beton sütunların qurulması, hündürlüyü: 4 m-ə qədər, perimetri 2 m-ə qədər </t>
  </si>
  <si>
    <t>Örtüklər üçün tirlərin, dayaq meydançasından 6 m-ə qədər hündürlükdə olan kranaltı və bağlayıcı tirlərin qurulması, tirlərin hündürlüyü: 500 mm-ə qədər</t>
  </si>
  <si>
    <t>Kəmərlərin qurulması: qəlibdə</t>
  </si>
  <si>
    <t>Tirsiz örtüklərin qurulması, qalınlığı: 200 mm-ə qədər, dayaq meydançasından 6 m-ə qədər hündürlükdə</t>
  </si>
  <si>
    <t>Qabırğalı örtüklərin qurulması, dayaq meydançasından hündürlüyü: 6 m-ə qədər (Pilləkən qəfəsəsi)</t>
  </si>
  <si>
    <t>Tutacaqsız metal məhəccərlərin qurulması (Daxili pilləkən məhəccəri)</t>
  </si>
  <si>
    <t>m</t>
  </si>
  <si>
    <t xml:space="preserve">İsti qaldırma qalvanizə olunması; metal məhəccərlər tipli metal konstruksiyalar </t>
  </si>
  <si>
    <t>Tirsiz örtüklərin qurulması, qalınlığı: 200 mm-ə qədər, dayaq meydançasından 6 m-ə qədər hündürlükdə (çətir)</t>
  </si>
  <si>
    <t>Taxta qəlibdə dəmir-beton sütunların qurulması, hündürlüyü: 4 m-ə qədər, perimetri 2 m-ə qədər</t>
  </si>
  <si>
    <t xml:space="preserve">Kəmərlərin qurulması: qəlibdə </t>
  </si>
  <si>
    <t xml:space="preserve"> 4 çıxışlı Yanğın Deposu binası  (Divar və arakəsmələr)</t>
  </si>
  <si>
    <t>390x190x188 mm ölçülərində mişarlanmış əhəng daşından yaşayış və ictimai binaların xarici divarlarının hörgüsü: 39 sm qalınlığında</t>
  </si>
  <si>
    <t>390x190x188 mm ölçülərində mişarlanmış əhəng daşından yaşayış və ictimai binaların xarici divarlarının hörgüsü: 39 sm qalınlığında (Parapet divar)</t>
  </si>
  <si>
    <t>390x190x188 mm ölçülərində mişarlanmış əhəng daşından yaşayış, ictimai və sənaye binalarının daxili divarlarının hörgüsü: 39 sm qalınlığında</t>
  </si>
  <si>
    <t>Daxili kərpic divar hörgüsü: mərtəbənin hündürlüyü 4 m-ə qədər olduqda (1201,7 m², qal=20 sm)</t>
  </si>
  <si>
    <t>Divar hörgüsünün və digər konstruksiyaların armaturlanması</t>
  </si>
  <si>
    <t>Kərpicdən armaturlanmış arakəsmələrin hörgüsü: mərtəbənin hündürlüyü 4 m-ə qədər olduqda, 1/2 kərpic qalınlığında</t>
  </si>
  <si>
    <t>Quraşdırma məmulatlarının qoyulması, kütləsi: 20 kq-a qədər</t>
  </si>
  <si>
    <t xml:space="preserve"> 4 çıxışlı Yanğın Deposu binası  (Dam örtüyü)</t>
  </si>
  <si>
    <t xml:space="preserve">Sement-qum düzləndirici qatın hazırlanması: 15 mm qalınlığında </t>
  </si>
  <si>
    <t xml:space="preserve">Sement-qum düzləndirici qatın hazırlanması: qəlavə 1 mm </t>
  </si>
  <si>
    <t>Örtüyün bitum mastikası ilə polistirollu penoplast tavalarla isidilməsi: bir qat (Penopolistrol - 75 mm)</t>
  </si>
  <si>
    <t>Penopolistrol istilik izolyasiya plitələri</t>
  </si>
  <si>
    <t>İzolyasiya karkasın düz və əyrixətli səthlərdə qurulması: tordan</t>
  </si>
  <si>
    <t>Şüşə tor, tikinti üçün</t>
  </si>
  <si>
    <t xml:space="preserve">Sement-qum düzləndirici qatın hazırlanması: əlavə 1 mm </t>
  </si>
  <si>
    <t>Çatıların qoyulması</t>
  </si>
  <si>
    <t>Qeyri-istehsalat təyinatlı obyektlər üçün profilləşdirilmiş vərəqlərdən dam örtüyünün quraşdırılması: orta mürəkkəb</t>
  </si>
  <si>
    <t>Profnastil dam örtüyü, qalınlığı 0,4 mm</t>
  </si>
  <si>
    <t xml:space="preserve">Sinklənmiş polad vərəqdən kiçik örtüklərin (brandmauerlər, parapetlər, çıxıntılar və s.) düzəldilməsi </t>
  </si>
  <si>
    <t xml:space="preserve">Novların düzəldilməsi: asma </t>
  </si>
  <si>
    <t>Metal su axıdıcı sistemin qurulması: düz boru bağlantıları (PVC 100 mm )</t>
  </si>
  <si>
    <t>Yüksək elastikliyə, geniş diapazonlu təzyiqə malik,  standartlara cavab verən polietilen su və qaz borusu: diametri 110 mm, divarının qalınlığı 2,7 mm</t>
  </si>
  <si>
    <t>Örtüklərdə lyukların quraşdırılması, boşluğun sahəsi 2 m²-ə qədər</t>
  </si>
  <si>
    <t>Çəpərləmə ilə düzxətli və əyrixətli yanğın pilləkənlərinin quraşdırılması</t>
  </si>
  <si>
    <t>Dam örtüyünün məhəccərlə çəpərlənməsi</t>
  </si>
  <si>
    <t>Dam pəncərələrinin qurulması</t>
  </si>
  <si>
    <t>ədəd</t>
  </si>
  <si>
    <t>Yastı dam örtüyünün bitum mastikalı çınqılla mühafizəsi (Çətirlər)</t>
  </si>
  <si>
    <t xml:space="preserve"> 4 çıxışlı Yanğın Deposu binası  (Qapı və pəncərələr)</t>
  </si>
  <si>
    <t>Hazır boşluqlara metal qapı bloklarının qurulması</t>
  </si>
  <si>
    <t>PVX blokların daxili və xarici qapı boşluqlarına qoyulması daş divarlarda, boşluğun sahəsi 3m²-dək</t>
  </si>
  <si>
    <t>m(2)</t>
  </si>
  <si>
    <t>Xarici və daxili qapı boşluqlarında blokların qoyulması: daş divarlarda, boşluğun sahəsi 3 m²-ə qədər (MDF qapı)</t>
  </si>
  <si>
    <t>Xarici və daxili qapı boşluqlarında blokların qoyulması: daş divarlarda, boşluğun sahəsi 3 m² -dən artıq (MDF qapı)</t>
  </si>
  <si>
    <t xml:space="preserve">PVX blokların daxili və xarici qapı boşluqlarına qoyulması daş divarlarda, boşluğun sahəsi 3m²-dən cox </t>
  </si>
  <si>
    <t>Alüminium yarıqörtənlərli alüminium pəncərə bloklarının quraşdırılması (252,28 m²)</t>
  </si>
  <si>
    <t>Paket şəffaf şüşə 4mm+şəffaf şüşə 4mm</t>
  </si>
  <si>
    <t>Yaşayış və ictimai binalarda PVX profildən pəncərə bloklarının qoyulması: dönən (açılan, dönən-açılan), boşluğun sahəsi 2 m²-dən artıq, iki laylı</t>
  </si>
  <si>
    <t>Alüminium yarıqörtənlərli alüminium pəncərə bloklarının quraşdırılması (Alüminium şüşəli qapıların quraşdırılması- 39 m²)</t>
  </si>
  <si>
    <t xml:space="preserve">Paket şəffaf şüşə 4mm+şəffaf şüşə 4mm </t>
  </si>
  <si>
    <t>Pardaqlanmış pəncərəaltı mərmər tavaların düzülməsi (süni mərmər)</t>
  </si>
  <si>
    <t>Atmaların qoyulması, kütləsi: 0,3 tona qədər</t>
  </si>
  <si>
    <t>Atmaların qurulması</t>
  </si>
  <si>
    <t>m(3)</t>
  </si>
  <si>
    <t xml:space="preserve"> 4 çıxışlı Yanğın Deposu binası  (Döşəmələr)</t>
  </si>
  <si>
    <t>Örtüklərin düzəldilməsi: beton, qalınlığı 30 mm</t>
  </si>
  <si>
    <t>Örtüklərin düzəldilməsi: əlavə 5 mm (Zirzəmi)</t>
  </si>
  <si>
    <t>Səpilmə istilik-səs izolyasiyasının düzəldilməsi: keramzitlə (35 mm)</t>
  </si>
  <si>
    <t>Qoyma detalların qurulması, çəkisi: döşənək və betonlama qatlarının armaturlanması</t>
  </si>
  <si>
    <t>Armatur məftil, azkarbonlu poladdan, diametri 4 mm</t>
  </si>
  <si>
    <t>Birləşdirici qatın düzəldilməsi: sement, qalınlığı 20 mm</t>
  </si>
  <si>
    <t xml:space="preserve">Birləşdirici qatın düzəldilməsi: sement, birləşdirici qat əlavə 5 mm </t>
  </si>
  <si>
    <t>Rulonlu materiallarla yapışqanlı hidroizolyasiyanın düzəldilməsi: Bitum mastikasında 1-ci qat</t>
  </si>
  <si>
    <t>Rulonlu materiallarla yapışqanlı hidroizolyasiyanın düzəldilməsi: Bitum mastikasında sonrakı qat</t>
  </si>
  <si>
    <t>Sement məhlulunda tavalardan örtüklərin düzəldilməsi: keramik, döşəmələr üçün bir rəngli boya ilə (Zirzəmi)</t>
  </si>
  <si>
    <t>Mozaik örtüklərin düzəldilməsi: terraso, qalınlığı 20 mm, şəkilsiz</t>
  </si>
  <si>
    <t>Mozaik örtüklərin düzəldilməsi: əlavə 5 mm üçün (1-ci mərtəbə)</t>
  </si>
  <si>
    <t>Ağac lifli tavalardan laqaaltı lentvari istilik-səs izolyasiyasının düzəldilməsi</t>
  </si>
  <si>
    <t>Bütöv istilik-səs izolyasiyasının tavalardan düzəldilməsi: və ya mineral pambıq və ya şüşə lifli rulonlardan (penopolistrol-70 mm)</t>
  </si>
  <si>
    <t>Laqaların qoyulması: örtük tavaları üzrə</t>
  </si>
  <si>
    <t>Taxta örtüklərin düzəldilməsi: qalınlığı 36 mm</t>
  </si>
  <si>
    <t>Taxta səthlərin əliflənməsi: fırça ilə (Döşəməyə dolğunun vurulması)</t>
  </si>
  <si>
    <t>SELLÜLOZİK DOLĞU, Nitrosellüloza əsaslı, bir komponentli yüksək keyfiyyətli dolğudur.Mebellərdə, parket və bütün növ taxta materialların səthində istifadə olunur.Çəkilər: 0,75 // 2,5 kg // 12 kg</t>
  </si>
  <si>
    <t>kg</t>
  </si>
  <si>
    <t>Rənglənən və astarlanan döşəmələrin lakla örtülməsi: 2 dəfə (1-ci mərtəbə)</t>
  </si>
  <si>
    <t>Bir lay fanerdan döşəmələrin əsasının qurulması: sahəsi 20m² qədər (Dikt-20 mm)</t>
  </si>
  <si>
    <t>Dikt (1,52*1,52) 18 mm</t>
  </si>
  <si>
    <t>Örtüklərin düzəldilməsi: açar üsulu ilə laminasiya olunmuş taxtalardan (1-ci mərtəbə)</t>
  </si>
  <si>
    <t>Keramoqranit tavalardan örtüklərin qurulması, ölçüləri: 60x60sm (1-ci mərtəbə Tip-4)</t>
  </si>
  <si>
    <t>Armatur məftil, Vr-l azkarbonlu poladdan, diametri 4 mm</t>
  </si>
  <si>
    <t>Sement məhlulunda tavalardan örtüklərin düzəldilməsi: keramik, döşəmələr üçün bir rəngli boya ilə (1-ci mərtəbə)</t>
  </si>
  <si>
    <t>Pillələrin və pilləaltlarının pardaqlanmış mərmər tavalarla üzlənməsi (1-ci mərtəbə süni mərmər)</t>
  </si>
  <si>
    <t>Səpilmə istilik-səs izolyasiyasının düzəldilməsi: qumla</t>
  </si>
  <si>
    <t>Birləşdirici qatın düzəldilməsi: yüngül beton, qalınlığı 20 mm</t>
  </si>
  <si>
    <t xml:space="preserve">Birləşdirici qatın düzəldilməsi: yüngül beton , birləşdirici qat əlavə 5 mm </t>
  </si>
  <si>
    <t>Örtüklərin düzəldilməsi: açar üsulu ilə laminasiya olunmuş taxtalardan (2-ci mərtəbə)</t>
  </si>
  <si>
    <t xml:space="preserve">Birləşdirici qatın düzəldilməsi: sement, birləşdirici qatın qalınlığının əlavə 5 mm </t>
  </si>
  <si>
    <t>Sement məhlulunda tavalardan örtüklərin düzəldilməsi: keramik, döşəmələr üçün bir rəngli boya ilə (2-ci mərtəbə)</t>
  </si>
  <si>
    <t xml:space="preserve">Birləşdirici qatın düzəldilməsi: sement,əlavə 5 mm </t>
  </si>
  <si>
    <t>Pillələrin və pilləaltlarının pardaqlanmış mərmər tavalarla üzlənməsi (2-ci mərtəbə süni mərmər)</t>
  </si>
  <si>
    <t xml:space="preserve"> 4 çıxışlı Yanğın Deposu binası  (Daxili bəzək işləri)</t>
  </si>
  <si>
    <t>Binanın daxilində əhəngli sulu tərkiblərlə rəngləmə: kərpic və beton üzrə (zirzəmi tavan)</t>
  </si>
  <si>
    <t>Beton səthlərin əhəng məhlulu ilə bütöv hamarlanması (birqat suvaq): tavanların</t>
  </si>
  <si>
    <t>Polivinilasetatlı suemulsiya tərkiblərlə yaxşılaşdırılmış rəngləmə: suvaq üzrə tavanları</t>
  </si>
  <si>
    <t>Gipskarton vərəqlərdən (GKV) asma tavanların quraşdırılması: bir səviyyəli (Alçipan asma tavan)</t>
  </si>
  <si>
    <t>Polivinilasetatlı suemulsiya tərkiblərlə yaxşılaşdırılmış rəngləmə: yığma konstruksiyaları, rənglənməyə hazırlanmış tavanları</t>
  </si>
  <si>
    <t>Tavanların qurulması: alüminium reykalardan (Alüminium asma tavan)</t>
  </si>
  <si>
    <t>Beton və daş səthlərin sement-əhəng və ya sement məhlulu ilə suvanması: divarların, sadə (Zirzəmi divarlar)</t>
  </si>
  <si>
    <t>Binanın daxilində əhəngli sulu tərkiblərlə rəngləmə: suvaq üzrə</t>
  </si>
  <si>
    <t>Beton və daş səthlərin sement-əhəng və ya sement məhlulu ilə suvanması: divarların, yaxşılaşdırılmış</t>
  </si>
  <si>
    <t>Polivinilasetatlı suemulsiya tərkiblərlə yaxşılaşdırılmış rəngləmə: suvaq üzrə divarları</t>
  </si>
  <si>
    <t>Beton və daş səthlərin sement-əhəng və ya sement məhlulu ilə suvanması: divarların, sadə</t>
  </si>
  <si>
    <t>Divar, dirək, pilyastr və mail səthlərin quru qarışıqdan yapışqanla, (karniz, plintus və künc tavalarından başqa) tualet qarnitur tavaları qoyulmadan, hamar üzlənməsi: kərpic və beton üzrə</t>
  </si>
  <si>
    <t xml:space="preserve"> 4 çıxışlı Yanğın Deposu binası  (Xarici bəzək işləri)</t>
  </si>
  <si>
    <t>Sement-əhəng məhlulu ilə daş üzrə yaxşılaşdırılmış suvama: divarları</t>
  </si>
  <si>
    <t>İsidicinin üzərindən nazik qat suvaq çəkməklə binalarin xarici istilik izolyasiyasinin qurulması, plitənin qalınlığı: 50 mm (istilik izolyasiyası- 50 mm, şüşə lifli tor, yapışdırıcı məhlul, astar, dekorativ suvaq, fasad boyası)</t>
  </si>
  <si>
    <t>Qabarit ölçüləri 100 mm-dən 200 mm-ə qədər olan çay daşlarından divar səthlərinin üzlənməsi</t>
  </si>
  <si>
    <t>Hündürlüyü 16 m-ə qədər olan xarici inventar taxtabəndlərin qurulması və sökülməsi: digər tamamlama işləri üçün, borulu</t>
  </si>
  <si>
    <t xml:space="preserve"> 4 çıxışlı Yanğın Deposu binası  (Müayinə çalası-2 ədəd)</t>
  </si>
  <si>
    <t>Xəndəklərin, çalaların və çuxurların əl ilə doldurulması, qruntun qrupu: 2</t>
  </si>
  <si>
    <t xml:space="preserve">Bünövrə altı əsasların qurulması:qırmadaşlı </t>
  </si>
  <si>
    <t>Dəmir-beton bünövrə tavalarının qurulması: yastı (Bt-1)</t>
  </si>
  <si>
    <t>Qoyma detalların qurulması, çəkisi: 20 kq-dan artıq</t>
  </si>
  <si>
    <t>Təbii qum-çınqıl qatışığı</t>
  </si>
  <si>
    <t>Dəmir-beton bünövrə tavalarının qurulması: yastı (Döşəmə tavası)</t>
  </si>
  <si>
    <t>Qurulması: beton pillələrin</t>
  </si>
  <si>
    <t xml:space="preserve"> 4 çıxışlı Yanğın Deposu binası  (Zirzəmiyə giriş pilləkəni Zp1-Zp2)</t>
  </si>
  <si>
    <t>Qurulması: dəmir-beton pillələrin</t>
  </si>
  <si>
    <t xml:space="preserve">Sement məhlulunda tavalardan örtüklərin düzəldilməsi: keramik, döşəmələr üçün bir rəngli boya ilə </t>
  </si>
  <si>
    <t>Tutacaqsız metal məhəccərlərin qurulması</t>
  </si>
  <si>
    <t xml:space="preserve"> 4 çıxışlı Yanğın Deposu binası  (Artırmalar)</t>
  </si>
  <si>
    <t>Qurulması: dəmir-beton artırmalar</t>
  </si>
  <si>
    <t xml:space="preserve">Birləşdirici qatın düzəldilməsi: əlavə 5 mm </t>
  </si>
  <si>
    <t>Mərmər tavalardan örtüklərin düzəldilməsi, 1 m²-də tavaların sayı: 3 ədədə qədər (süni mərmər)</t>
  </si>
  <si>
    <t xml:space="preserve"> 4 çıxışlı Yanğın Deposu binası. Daxili su kəməri və kanalizasiya (SO-Ümumi təyinatlı su şəbəkəsi)</t>
  </si>
  <si>
    <t>Elektrik qaynaqlı polad borulardan istilik və su təchizatı boru kəmərlərinin çəkilməsi, diametri: 65 mm (D63.5x3.5mm)</t>
  </si>
  <si>
    <t xml:space="preserve">Elektriklə qaynaq edilmiş borular, 60/3,5mm </t>
  </si>
  <si>
    <t>Elektrik qaynaqlı polad borulardan istilik və su təchizatı boru kəmərlərinin çəkilməsi, diametri: 50 mm (D57x3.5mm)</t>
  </si>
  <si>
    <t>Xarici diametri 57 mm, divarının qalınlığı 3,5 mm olan  poladdan, faskası çıxarılmış, düztikişli elektrik qaynaqlı polad borular</t>
  </si>
  <si>
    <t>İstilik sistemi, su kəməri və isti su təchizatı boru kəmərlərinin hidravlik sınağı, boruların diametri: 100 mm-ə qədər</t>
  </si>
  <si>
    <t>Polad boruların futlyara salınması, boruların diametri: 100 mm (D114x5.0mm)</t>
  </si>
  <si>
    <t>Sinklənmiş polad su-qaz borularından su təchizatı boru kəmərlərinin çəkilməsi, diametri: 25 mm</t>
  </si>
  <si>
    <t>Qaz-su xətləri üçün şərti keçid diametri 25 mm, divarının qalınlığı 3,2 mm olan sinklənmiş, adi, yivli, qaynaq edilmiş polad borular</t>
  </si>
  <si>
    <t>Sinklənmiş polad su-qaz borularından su təchizatı boru kəmərlərinin çəkilməsi, diametri: 20 mm</t>
  </si>
  <si>
    <t>Qaz-su xətləri üçün şərti keçid diametri 20 mm, divarının qalınlığı 2,8 mm olan sinklənmiş, adi, yivli, qaynaq edilmiş polad borular</t>
  </si>
  <si>
    <t>Sinklənmiş polad su-qaz borularından su təchizatı boru kəmərlərinin çəkilməsi, diametri: 15 mm</t>
  </si>
  <si>
    <t>Qaz-su xətləri üçün şərti keçid diametri 15 mm, divarının qalınlığı 2,8 mm olan sinklənmiş, adi, yivli, qaynaq edilmiş polad borular</t>
  </si>
  <si>
    <t>İstilik sistemi, su kəməri və isti su təchizatı boru kəmərlərinin hidravlik sınağı, boruların diametri: 50 mm-ə qədər</t>
  </si>
  <si>
    <t>Polipropilen borulardan daxili su təchizatı və istilik sistemlərinin boru kəmərlərinin çəkilməsi: 32mm (Yüksək təzyiqə davamlı polipropilen su borusu D25(32x2.9))</t>
  </si>
  <si>
    <t>Yüksək elastikliyə, geniş diapazonlu təzyiqə malik,  standartlara cavab verən polietilen su və qaz borusu: diametri 32 mm, divarının qalınlığı 3 mm</t>
  </si>
  <si>
    <t>Polipropilen borulardan daxili su təchizatı və istilik sistemlərinin boru kəmərlərinin çəkilməsi: 25mm (Yüksək təzyiqə davamlı polipropilen su borusu D20(25x2.3))</t>
  </si>
  <si>
    <t>Yüksək elastikliyə, geniş diapazonlu təzyiqə malik,  standartlara cavab verən polietilen su və qaz borusu: diametri 25 mm, divarının qalınlığı 2,3 mm</t>
  </si>
  <si>
    <t>Polipropilen borulardan daxili su təchizatı və istilik sistemlərinin boru kəmərlərinin çəkilməsi: 20mm (Yüksək təzyiqə davamlı polipropilen su borusu S5(PN10) D15(20x2.0))</t>
  </si>
  <si>
    <t>Yüksək elastikliyə, geniş diapazonlu təzyiqə malik,  standartlara cavab verən polietilen su və qaz borusu: diametri 20 mm, divarının qalınlığı 2 mm</t>
  </si>
  <si>
    <t>Polad borulardan olan boru kəmərlərinə ventillərin, siyirtmələrin, sürgülərin, əks klapanların, keçid kranlarının qoyulması, boruların diametri: 50 mm-ə qədər (D50mm siyirtmə quraşdırma)</t>
  </si>
  <si>
    <t>Polad siyirtmələr, 50 mm</t>
  </si>
  <si>
    <t>Poladdan qaynaq olunmuş yastı polad flanslar; təzyiqi 0,6 MPa (6 kqq/sm²), 50 mm diametrli</t>
  </si>
  <si>
    <t>Əks klapan D=50mm 16kq/sm²</t>
  </si>
  <si>
    <t>Diametri 25 mm olan 1,6 MPa (16 kqq/sm²) təzyiqli su üçün, muftalı keçid ventilləri</t>
  </si>
  <si>
    <t>Ventil, 20mm</t>
  </si>
  <si>
    <t>Diametri 15 mm olan 1,6 MPa (16 kqq/sm²) təzyiqli su üçün, muftalı keçid ventilləri</t>
  </si>
  <si>
    <t>Diametri 50 mm olan yanğın kranının qoyulması</t>
  </si>
  <si>
    <t>Yanğın şlanqları, normal, quru kətandan hörülmüş, diametri 51 mm</t>
  </si>
  <si>
    <t>Kranlar (Su kranı D15mm)</t>
  </si>
  <si>
    <t>Su üçün rezin-parça tərkibli şlanqlar, təzyiqlə soran, təzyiqi 1 MPa (10 kqq/sm²), diametri 16 mm</t>
  </si>
  <si>
    <t>Sinklənmiş poladdan dam örtüyünün düzəldilməsi: divar novları olmadan (İçməli su çəni (1.5x1.5x0.7(h) Sinkləşdirilmiş nazik polad vərəq)</t>
  </si>
  <si>
    <t>Üzgəc klapanlar (D32mm)</t>
  </si>
  <si>
    <t>Tikişləri yağlamaqla izolyasiya səthlərinin rulon materialları ilə tam quru sarınması (Su çəninin izolyasiyası. İzolmastika)</t>
  </si>
  <si>
    <t>Sintetik yapışdırıcılı mineral pambıqdan silindrlərlə və yarımsilindrlərlə boru kəmərlərinin izolyasiya edilməsi (Mineral pambıq qatı 40mm)</t>
  </si>
  <si>
    <t>Elastiki qılaflarla boru kəmərlərinin izolyasiya səthlərinin örtülməsi: şüşə-plastikləri ilə, şüşə parçalarla (Şüşətekstolit)</t>
  </si>
  <si>
    <t>Elektrik qaynaqlı polad borulardan istilik və su təchizatı boru kəmərlərinin çəkilməsi, diametri: 40 mm-ə qədər (Elektrik qaynaqlı polad boru D38x2.5mm)</t>
  </si>
  <si>
    <t>Xarici diametri 40 mm, divarının qalınlığı 2,5 mm olan  poladdan, faskası çıxarılmış, düztikişli elektrik qaynaqlı polad borular (D38x2.5mm)</t>
  </si>
  <si>
    <t>Elektrik qaynaqlı polad borulardan istilik və su təchizatı boru kəmərlərinin çəkilməsi, diametri: 40 mm-ə qədər (Elektrik qaynaqlı polad boru D32x2.2mm)</t>
  </si>
  <si>
    <t xml:space="preserve">Elektrik qaynaqlı tikişli polad borular 32x2,5mm </t>
  </si>
  <si>
    <t>Diametri 32 mm olan 1,6 MPa (16 kqq/sm²) təzyiqli su üçün, muftalı keçid ventilləri</t>
  </si>
  <si>
    <t xml:space="preserve"> 4 çıxışlı Yanğın Deposu binası. Daxili su kəməri və kanalizasiya (İS3: İS4- İsti su və dövrü su şəbəkəsi)</t>
  </si>
  <si>
    <t>Sinklənmiş polad su-qaz borularından su təchizatı boru kəmərlərinin çəkilməsi, diametri: 40 mm</t>
  </si>
  <si>
    <t>Qaz-su xətləri üçün şərti keçid diametri 40 mm, divarının qalınlığı 3,5 mm olan sinklənmiş, adi, yivli, qaynaq edilmiş polad borular</t>
  </si>
  <si>
    <t>Polipropilen borulardan daxili su təchizatı və istilik sistemlərinin boru kəmərlərinin çəkilməsi: 32mm (Yüksək təzyiqə davamlı polipropilen boru D25 (32x4.4))</t>
  </si>
  <si>
    <t>Yüksək elastikliyə, geniş diapazonlu təzyiqə malik,  standartlara cavab verən polietilen su və qaz borusu: diametri 32 mm, divarının qalınlığı 4,4 mm</t>
  </si>
  <si>
    <t>Polipropilen borulardan daxili su təchizatı və istilik sistemlərinin boru kəmərlərinin çəkilməsi: 25mm (Yüksək təzyiqə davamlı polipropilen boru D20 (25x3.5))</t>
  </si>
  <si>
    <t>Yüksək elastikliyə, geniş diapazonlu təzyiqə malik,  standartlara cavab verən polietilen su və qaz borusu: diametri 25 mm, divarının qalınlığı 3,5 mm</t>
  </si>
  <si>
    <t>Polipropilen borulardan daxili su təchizatı və istilik sistemlərinin boru kəmərlərinin çəkilməsi: 20mm (Yüksək təzyiqə davamlı polipropilen boru D15 (20x2.8))</t>
  </si>
  <si>
    <t>Yüksək elastikliyə, geniş diapazonlu təzyiqə malik,  standartlara cavab verən polietilen su və qaz borusu: diametri 20 mm, divarının qalınlığı 3 mm, (D20x2.8mm)</t>
  </si>
  <si>
    <t>Diametri 40 mm olan 1,6 MPa (16 kqq/sm²) təzyiqli su üçün, muftalı keçid ventilləri</t>
  </si>
  <si>
    <t>Qarışdırıcıların quraşdırılması (Gigiyenik duş qarışdırıcı ilə)</t>
  </si>
  <si>
    <t>Gigiyenik su qarışdırıcı (şlanqlı,başliqlı)</t>
  </si>
  <si>
    <t>dəst</t>
  </si>
  <si>
    <t>Qarışdırıcıların quraşdırılması (Duş qurğusu qarışdırıcı ilə)</t>
  </si>
  <si>
    <t>Duş qarışdırıcı komplekt</t>
  </si>
  <si>
    <t xml:space="preserve"> 4 çıxışlı Yanğın Deposu binası. Daxili su kəməri və kanalizasiya (K1- Məişət kanalizasiyası)</t>
  </si>
  <si>
    <t>Polipropilen borulardan daxili kanalizasiya boru kəmərlərin çəkilməsi, diametri: 110mm (Polivinilxlorid kanalizasiya borusu D110mm)</t>
  </si>
  <si>
    <t>Daxili kanalizasiya üçün  olan polietilen borulardan boru kəmərləri, diametri 100 mm (D110mm)</t>
  </si>
  <si>
    <t>Polipropilen borulardan daxili kanalizasiya boru kəmərlərin çəkilməsi, diametri: 50mm (Polivinilxlorid kanalizasiya borusu D50mm)</t>
  </si>
  <si>
    <t>Yüksək sıxlıqlı polietilen borulardan kanalizasiya boru kəmərləri, gilizli, diametri 50 mm</t>
  </si>
  <si>
    <t>Santexnika (yoxlama) lyuklarının qoyulması: özü kəsən şuruplarla bərkidilməsi (Yoxlayıcı D110mm)</t>
  </si>
  <si>
    <t>Əlüzyuyanların quraşdırılması: isti və soyuq su çəkilməklə</t>
  </si>
  <si>
    <t>Keramik çanaq, (sifonlu, su qarışdırıcılı)</t>
  </si>
  <si>
    <t>Unitazların quraşdırılması: baçokla bilavasitə birləşdirilmiş</t>
  </si>
  <si>
    <t>Unitaz iki hissə</t>
  </si>
  <si>
    <t>Duş altlıqlarının quraşdırılması: xırda polad və çuqun</t>
  </si>
  <si>
    <t>Duş üçün balaca çuqun və polad paddon</t>
  </si>
  <si>
    <t>Çanaq üçün sifon boru (poddon üçün)</t>
  </si>
  <si>
    <t>Trapların quraşdırılması diametri: 100 mm</t>
  </si>
  <si>
    <t>Trapların quraşdırılması diametri: 50 mm</t>
  </si>
  <si>
    <t>Elektrik qaynaqlı polad borulardan istilik və su təchizatı boru kəmərlərinin çəkilməsi, diametri: 300 mm (D32x5.0mm)</t>
  </si>
  <si>
    <t>Xarici diametri 325 mm, divarının qalınlığı 5,0 mm olan  poladdan diametri 20 –dən 377 mm –dək, faskası çıxarılmış, düztikişli elektrik qaynaqlı polad borular</t>
  </si>
  <si>
    <t>İstilik sistemi, su kəməri və isti su təchizatı boru kəmərlərinin hidravlik sınağı, boruların diametri: 400 mm-ə qədər</t>
  </si>
  <si>
    <t xml:space="preserve"> 4 çıxışlı Yanğın Deposu binası. Daxili su kəməri və kanalizasiya (K1T-Təzyiqli məişət kanalizasiyası)</t>
  </si>
  <si>
    <t>Elektrik qaynaqlı polad borulardan istilik və su təchizatı boru kəmərlərinin çəkilməsi, diametri: 80 mm (D89x3.0)</t>
  </si>
  <si>
    <t>Xarici diametri 89 mm, divarının qalınlığı 2,8 mm olan  poladdan diametri 20 –dən 377 mm–dək, faskası çıxarılmış, düztikişli elektrik qaynaqlı polad borular</t>
  </si>
  <si>
    <t>Polad borulardan olan boru kəmərlərinə ventillərin, siyirtmələrin, sürgülərin, əks klapanların, keçid kranlarının qoyulması, boruların diametri: 100 mm-ə qədər (D80mm siyirtmənin quraşdırılması)</t>
  </si>
  <si>
    <t>Siyirtmə diametri 76mm* (D80mm)</t>
  </si>
  <si>
    <t>Poladdan qaynaq olunmuş yastı polad flanslar; təzyiqi 0,6 MPa (6 kqq/sm²), diametri 80 mm</t>
  </si>
  <si>
    <t>Əks klapan D=80mm 16kq/sm²</t>
  </si>
  <si>
    <t>Elektrik mühərrikli mərkəzdənqaçma nasoslarının qoyulması, aqreqatın kütləsi: 0,1 tona qədər</t>
  </si>
  <si>
    <t>Kanalizasiya nasosu Q=1-8,6m3/saat H=19,8m, N=1,2kvt (Kanalizasiya nasosu  N=1,9kvt (76kq))</t>
  </si>
  <si>
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</t>
  </si>
  <si>
    <t xml:space="preserve"> 4 çıxışlı Yanğın Deposu binası. Daxili su kəməri və kanalizasiya (K3-İstehsalat kanalizasiyası)</t>
  </si>
  <si>
    <t>Santexnika (yoxlama) lyuklarının qoyulması: özü kəsən şuruplarla bərkidilməsi (Yoxlayıcı D100mm. D50mm)</t>
  </si>
  <si>
    <t>Yuyucuların quraşdırılması: bir hissəli (Yuyucu qarışdırıcı və sifonla quraşdırma)</t>
  </si>
  <si>
    <t>Tək çanaqlı yuma vannası(40*40*25), ölçüləri 600*600*850</t>
  </si>
  <si>
    <t>Çanaq üçün sifon boru</t>
  </si>
  <si>
    <t>Çanaq üçün sifon boru (Texnoloji avadanlıqlar üçün sifon)</t>
  </si>
  <si>
    <t>Elektrik qaynaqlı polad borulardan istilik və su təchizatı boru kəmərlərinin çəkilməsi, diametri: 300 mm (futlyar D32x5.0mm)</t>
  </si>
  <si>
    <t xml:space="preserve"> 4 çıxışlı Yanğın Deposu binası. Daxili su kəməri və kanalizasiya (K3T-Təzyiqli sistem)</t>
  </si>
  <si>
    <t>Polipropilen borulardan daxili su təchizatı və istilik sistemlərinin boru kəmərlərinin çəkilməsi: 40mm (Yüksək təzyiqə davamlı polietilen su borusu D32(38x2.5))</t>
  </si>
  <si>
    <t>Yüksək elastikliyə, geniş diapazonlu təzyiqə malik,  standartlara cavab verən polietilen su və qaz borusu: diametri 40 mm, divarının qalınlığı 2,4 mm</t>
  </si>
  <si>
    <t>Polad borulardan olan boru kəmərlərinə ventillərin, siyirtmələrin, sürgülərin, əks klapanların, keçid kranlarının qoyulması, boruların diametri: 50 mm-ə qədər (D50mm siyirtmə quraşdırılması)</t>
  </si>
  <si>
    <t>Polad siyirtmələr (və ya əks klapanlar), su kəməri üçün (Əks klapan D32mm)</t>
  </si>
  <si>
    <t>Dalğıc tipli drenaj su nasosu: Q=2.5 l/san= 9 m³/saat, H=3-5 m, N=1.0 kVt (Dalğıc nasos  Q=8.0m3/saat N=0.55kw H=10.0)</t>
  </si>
  <si>
    <t xml:space="preserve"> 4 çıxışlı Yanğın Deposu binası (İsitmə sistemi)</t>
  </si>
  <si>
    <t xml:space="preserve">Polipropilen borulardan daxili su təchizatı və istilik sistemlərinin boru kəmərlərinin çəkilməsi: 25mm  </t>
  </si>
  <si>
    <t>Yüksək elastikliyə, geniş diapazonlu təzyiqə malik,  standartlara cavab verən polietilen su və qaz borusu: diametri 25 mm, divarının qalınlığı 4,2 mm</t>
  </si>
  <si>
    <t xml:space="preserve">Polipropilen borulardan daxili su təchizatı və istilik sistemlərinin boru kəmərlərinin çəkilməsi: 32mm  </t>
  </si>
  <si>
    <t>Yüksək elastikliyə, geniş diapazonlu təzyiqə malik,  standartlara cavab verən polietilen su və qaz borusu: diametri 32 mm, divarının qalınlığı 5,4 mm</t>
  </si>
  <si>
    <t xml:space="preserve">Polipropilen borulardan daxili su təchizatı və istilik sistemlərinin boru kəmərlərinin çəkilməsi: 40mm  </t>
  </si>
  <si>
    <t>Yüksək elastikliyə, geniş diapazonlu təzyiqə malik,  standartlara cavab verən polietilen su və qaz borusu: diametri 40 mm, divarının qalınlığı 6,7 mm</t>
  </si>
  <si>
    <t xml:space="preserve">Polipropilen borulardan daxili su təchizatı və istilik sistemlərinin boru kəmərlərinin çəkilməsi: 50mm  </t>
  </si>
  <si>
    <t>Yüksək elastikliyə, geniş diapazonlu təzyiqə malik,  standartlara cavab verən polietilen su və qaz borusu: diametri 50 mm, divarının qalınlığı 8,3 mm</t>
  </si>
  <si>
    <t xml:space="preserve">Polipropilen borulardan daxili su təchizatı və istilik sistemlərinin boru kəmərlərinin çəkilməsi: 63mm  </t>
  </si>
  <si>
    <t>Yüksək elastikliyə, geniş diapazonlu təzyiqə malik,  standartlara cavab verən polietilen su və qaz borusu: diametri 63 mm, divarının qalınlığı 7,1 mm</t>
  </si>
  <si>
    <t>Elektrik qaynaqlı polad borulardan istilik və su təchizatı boru kəmərlərinin çəkilməsi, diametri: 65 mm</t>
  </si>
  <si>
    <t>Xarici diametri 76 mm, divarının qalınlığı 3,5 mm olan  poladdan diametri 20–dən 377 mm–dək, faskası çıxarılmış, düztikişli elektrik qaynaqlı polad borular</t>
  </si>
  <si>
    <t>Polipropilen borulardan daxili su təchizatı və istilik sistemlərinin boru kəmərlərinin çəkilməsi: 110mm</t>
  </si>
  <si>
    <t xml:space="preserve">Yüksək elastikliyə malik, qırılma-çatlama-korroziyaya uğrama xüsusiyyətləri olmayan, mexaniki zərbələrə davamlı olan   polietilen dirsək: DN 110, 45 dərəcə  </t>
  </si>
  <si>
    <t>3 seksiyalı istilik radiatoru h=0,5m</t>
  </si>
  <si>
    <t>5 seksiyalı istilik radiatoru h=0,5m</t>
  </si>
  <si>
    <t>6 seksiyalı istilik radiatoru h=0,5m</t>
  </si>
  <si>
    <t>7 seksiyalı istilik radiatoru h=0,5m</t>
  </si>
  <si>
    <t>8 seksiyalı istilik radiatoru h=0,5m</t>
  </si>
  <si>
    <t>9 seksiyalı istilik radiatoru h=0,5m</t>
  </si>
  <si>
    <t>10 seksiyalı istilik radiatoru h=0,5m</t>
  </si>
  <si>
    <t>11 seksiyalı istilik radiatoru h=0,5m</t>
  </si>
  <si>
    <t>12 seksiyalı istilik radiatoru h=0,5m</t>
  </si>
  <si>
    <t>13 seksiyalı istilik radiatoru h=0,5m</t>
  </si>
  <si>
    <t>14 seksiyalı istilik radiatoru h=0,5m</t>
  </si>
  <si>
    <t>16 seksiyalı istilik radiatoru h=0,5m</t>
  </si>
  <si>
    <t>İstilik radiatorları, seksiya 572x75x96mm</t>
  </si>
  <si>
    <t>Radial ventilyatorların qoyulması, kütləsi: 0,2 tona qədər (İstilik ventilyatorunun quraşdırılması)</t>
  </si>
  <si>
    <t>Kanal tipli hava sovurucu ventilyator Q=1050m³\h P=350 pa N=1.0Kw ~1 (İstilik ventilyatoru)</t>
  </si>
  <si>
    <t>Radiator ventili 1/2x16 (kürəvari kran)</t>
  </si>
  <si>
    <t>Hava kranlarının qoyulması ( hava xaric edici)</t>
  </si>
  <si>
    <t>Radiator hava klapanı,D=15</t>
  </si>
  <si>
    <t>Havaaparıcıların qoyulması (Avtomatik hava buraxıcıların quraşdırılması D=15mm)</t>
  </si>
  <si>
    <t>Avtomatik hava buraxıcılar D=15mm</t>
  </si>
  <si>
    <t xml:space="preserve">Ventil, 20mm </t>
  </si>
  <si>
    <t>Ventil, 50mm</t>
  </si>
  <si>
    <t>Çuqun ventillər, 80mm (D75mm)</t>
  </si>
  <si>
    <t>Süzgəclərin qoyulması, diametri: 65 mm (D75mm)</t>
  </si>
  <si>
    <t>Süzgəclərin qoyulması, diametri: 25 mm (D15mm)</t>
  </si>
  <si>
    <t>Polad borulardan olan boru kəmərlərinə ventillərin, siyirtmələrin, sürgülərin, əks klapanların, keçid kranlarının qoyulması, boruların diametri: 25 mm-ə qədər</t>
  </si>
  <si>
    <t>Üç girişli ventil, 220 V ,16 ATM,1 m-lik kabelli,yarım zqonlu,çöl diş yivli,ölçüləri 3/4" (servomotorlu) (İdarəedici mexanizm olan 3 gedişli tənzimləyici klapan)</t>
  </si>
  <si>
    <t>Termostatlı radiator ventili ; 1/2 düyümlü</t>
  </si>
  <si>
    <t>Manometrlərin qoyulması: üç gedişli kranlı</t>
  </si>
  <si>
    <t xml:space="preserve">Manometr </t>
  </si>
  <si>
    <t>Düz və künc termometrlərinin çərçivədə qoyulması</t>
  </si>
  <si>
    <t>Termometr Hiqrometr elektron</t>
  </si>
  <si>
    <t>Penopoliuretandan (yarımsilindrlərlə və seqmentlərlə) ədədi məmulatlarla boru kəməri səthlərinin izolyasiya edilməsi</t>
  </si>
  <si>
    <t xml:space="preserve"> 4 çıxışlı Yanğın Deposu binası (Ventilyasiya sistemi)</t>
  </si>
  <si>
    <t>Radial ventilyatorların qoyulması, kütləsi: 0,2 tona qədər</t>
  </si>
  <si>
    <t>Kanal tipli ventilyator L=400 m3/saat N=0.1 kvt (Kanal tipli ventilyator L=350 m3/saat N=0.158 kvt )</t>
  </si>
  <si>
    <t>Sovurucu ventilyator 3000m³/s  (Hava sorucu oxlu ventilyator L=400 m3/saat N=0.064 kvt )</t>
  </si>
  <si>
    <t>Kanal tipli hava sorucu ventilyator 3000 m³/saat (Hava sorucu ventilyator)</t>
  </si>
  <si>
    <t>Oxlu ventilyator (L=95m3/saat, H=35Pa, N=0.014 kVt) (Məişət ventilyatoru  N=0.014 )</t>
  </si>
  <si>
    <t>Polad jalüz qəfəslərin qoyulması: tənzimləyici (RR), 1 saylı, 100x200 mm ölçülü (150x150 )</t>
  </si>
  <si>
    <t>Polad jalüz qəfəslərin qoyulması: tənzimləyici (RR), 4 saylı, 200x400 mm ölçülü (300x150 350x150)</t>
  </si>
  <si>
    <t>Jalüz qəfəslərin qoyulması, təmiz sahəsi: 0,5 m²-ə qədər</t>
  </si>
  <si>
    <t>İşçi zonaya hava vermək üçün nəzərdə tututlmuş havapaylayıcıların qoyulması, kütləsi: 20 kq-a qədər (diffuzorların quraşdırılması )</t>
  </si>
  <si>
    <t>Paslanmaz polad diffuzor jalüz 150x150mm (diffuzor )</t>
  </si>
  <si>
    <t>Şaxtalar üzərində polad vərəqdən dairəvi en kəsikli çətirlərin qoyulması, diametri: 200 mm</t>
  </si>
  <si>
    <t>Şaxtalar üzərində polad vərəqdən dairəvi en kəsikli çətirlərin qoyulması, diametri: 315 mm (400mm)</t>
  </si>
  <si>
    <t>Flanslı elastik taxma D=65mm (Ventilyatorlar üçün elastik taxma)</t>
  </si>
  <si>
    <t>Sinklənmiş polad vərəqlərdən və N (normal) sinifli alüminiumdan havaötürücü xətlərin çəkilməsi, qalınlığı: 0,5 mm, diametri 200 mm-ə qədər</t>
  </si>
  <si>
    <t>Sinklənmiş polad vərəqlərdən və N (normal) sinifli alüminiumdan havaötürücü xətlərin çəkilməsi, qalınlığı: 0,6 mm, diametri 355 mm-ə qədər</t>
  </si>
  <si>
    <t>Sinklənmiş polad vərəqlərdən və N (normal) sinifli alüminiumdan havaötürücü xətlərin çəkilməsi, qalınlığı: 0,6 mm, diametri 450 mm-ə qədər</t>
  </si>
  <si>
    <t xml:space="preserve">Elastik hava kəməri Dn100 </t>
  </si>
  <si>
    <t xml:space="preserve"> 4 çıxışlı Yanğın Deposu binası (Kondisionerləşmə)</t>
  </si>
  <si>
    <t xml:space="preserve">Split-sistemlərin divar üstü növlü daxili blokunun quraşdırılması, gücü: 5 kVt qədər </t>
  </si>
  <si>
    <t>Split tipli divar kondisioneri (gücü (kVt): 2,5 gücü (BTU): 9000 ) (Qs=2.17kvt; Qs=2.6kvt)</t>
  </si>
  <si>
    <t>Split tipli divar kondisioneri  (gücü (kVt): 3,5 gücü (BTU): 12000) (Qs=3.18 kvt və Qs=4.62kvt)</t>
  </si>
  <si>
    <t xml:space="preserve">Split-sistemlərin divar üstü növlü daxili blokunun quraşdırılması, gücü: 8 kVt qədər </t>
  </si>
  <si>
    <t xml:space="preserve">Split tipli kondisioner,gərginlik 24 v, 50HZ 24000BTU </t>
  </si>
  <si>
    <t xml:space="preserve"> 4 çıxışlı Yanğın Deposu binası (Elektrik güc avadanlıqları)</t>
  </si>
  <si>
    <t>İşıq şkafı (Metal şkaf ölçüsü (1000x600x600)mm)</t>
  </si>
  <si>
    <t>Asma idarəetmə şkafı (pult), hündürlüyü, eni və dərinliyi, mm, qədər:900 x 600 x 500</t>
  </si>
  <si>
    <t xml:space="preserve">3FAZ C TİPİ 400A AVTOMAT AÇAR,  </t>
  </si>
  <si>
    <t xml:space="preserve">3FAZ C TİPİ 100A AVTOMAT AÇAR,  </t>
  </si>
  <si>
    <t xml:space="preserve">3FAZ C TİPİ 80A AVTOMAT AÇAR,  </t>
  </si>
  <si>
    <t xml:space="preserve">3FAZ C TİPİ 63A AVTOMAT AÇAR,  </t>
  </si>
  <si>
    <t xml:space="preserve">3FAZ C TİPİ 50A AVTOMAT AÇAR,  </t>
  </si>
  <si>
    <t xml:space="preserve"> 3FAZ C TİPİ 40A AVTOMAT AÇAR,  </t>
  </si>
  <si>
    <t xml:space="preserve">3FAZ C TİPİ 25A AVTOMAT AÇAR,  </t>
  </si>
  <si>
    <t xml:space="preserve">3FAZ C TİPİ 20A AVTOMAT AÇAR,  </t>
  </si>
  <si>
    <t xml:space="preserve"> 3FAZ C TİPİ 16A AVTOMAT AÇAR,  </t>
  </si>
  <si>
    <t>Cihaz və ya aparat</t>
  </si>
  <si>
    <t>Daxili elektrik təchizatı üçün elektrik sayğacı (Sayğac 380V, 5A)</t>
  </si>
  <si>
    <t>Hazır vəziyyətdə quraşdırılmış sayğaclar üçfazalı</t>
  </si>
  <si>
    <t>Daxili elektrik təchizatı üçün cərəyan transfarmatoru (400/5 A transformasiya nisbətli, dəqiqlik sinfi 0,5 olan, nominal gücü minimum 100 VA olan, 0,4 kV şəbəkə üçün nəzərdə tutulmuş cərəyan transformatoru)</t>
  </si>
  <si>
    <t>Cərəyan transformatoru, gərginlik kV, qədər: 10</t>
  </si>
  <si>
    <t xml:space="preserve"> 3FAZ C TİPİ 400A AVTOMAT AÇAR,   (Ehtiyatın avtomatik qoşulması 380V, 400A EAQ)</t>
  </si>
  <si>
    <t>Divar və ya sütunda konstruksiya üzərində quraşdırılan bir-, iki-, üçpolyuslu avtomat, cərəyan, A, qədər:400 (Ehtiyatın avtomatik qoşulması)</t>
  </si>
  <si>
    <t>Daxili elektrik təchizatı üçün paylayıcı lövhə (Metal şkaf ölçüsü (600x400x250)mm)</t>
  </si>
  <si>
    <t>Asma idarəetmə şkafı (pult), hündürlüyü, eni və dərinliyi, mm, qədər:600 x 600 x 350</t>
  </si>
  <si>
    <t xml:space="preserve">3FAZ C TİPİ 32A AVTOMAT AÇAR,  </t>
  </si>
  <si>
    <t xml:space="preserve">1FAZ C TİPİ 10A AVTOMAT AÇAR,  </t>
  </si>
  <si>
    <t>Avtomatik qoşulan ehtiyat qurğusu 3x40A (Ehtiyatın avtomatik qoşulması 380V, 50A EAQ)</t>
  </si>
  <si>
    <t>Divar və ya sütunda konstruksiya üzərində quraşdırılan bir-, iki-, üçpolyuslu avtomat, cərəyan, A, qədər:100</t>
  </si>
  <si>
    <t>Daxili elektrik təchizatı üçün paylayıcı lövhə (Metal şkaf ölçüsü (600x400x250)mm PQ1)</t>
  </si>
  <si>
    <t xml:space="preserve"> 3FAZ C TİPİ 32A AVTOMAT AÇAR,  </t>
  </si>
  <si>
    <t xml:space="preserve"> 1FAZ C TİPİ 25A AVTOMAT AÇAR,  </t>
  </si>
  <si>
    <t xml:space="preserve">1FAZ C TİPİ 16A AVTOMAT AÇAR,  </t>
  </si>
  <si>
    <t>Daxili elektrik təchizatı üçün paylayıcı lövhə (Metal şkaf ölçüsü (600x400x250)mm PQ2)</t>
  </si>
  <si>
    <t xml:space="preserve">3FAZ C TİPİ 40A AVTOMAT AÇAR,  </t>
  </si>
  <si>
    <t>3FAZ C TİPİ 16A AVTOMAT AÇAR,   (3FAZ C TİPİ 10A AVTOMAT AÇAR)</t>
  </si>
  <si>
    <t xml:space="preserve">1FAZ C TİPİ 25A AVTOMAT AÇAR,  </t>
  </si>
  <si>
    <t xml:space="preserve">3FAZ C TİPİ 16A AVTOMAT AÇAR,  </t>
  </si>
  <si>
    <t xml:space="preserve">1FAZ C TİPİ 20A AVTOMAT AÇAR, Qütb sayı: 1;  </t>
  </si>
  <si>
    <t>Maqnit işəsalıcı (Maqnit işə salıcı rele ilə 380V)</t>
  </si>
  <si>
    <t>Divar və ya sütunda konstruksiya üzərində quraşdırılan ümumi təyinatlı bir maqnitli buraxıcı qurğudan ibarət yığma, cərəyan, A, qədər 40</t>
  </si>
  <si>
    <t>Düyməli post "Start-Stop"(İdarəetmə düyməsi)</t>
  </si>
  <si>
    <t>Divar və ya sütunda konstruksiya üzərində quraşdırılan ümumi təyinatlı düyməli bir neçə idarəetmə postlarından ibarət yığma, post elementlərinin sayı, qədər:3</t>
  </si>
  <si>
    <t>0,6/1,0 kV-luq güc kabeli 5х4</t>
  </si>
  <si>
    <t>Daxili elektrik təchizatı üçün paylayıcı lövhə (Metal şkaf ölçüsü (600x400x250)mm PQ4)</t>
  </si>
  <si>
    <t>Düyməli post "Start-Stop" (İdarəetmə düyməsi)</t>
  </si>
  <si>
    <t>Daxili elektrik təchizatı üçün paylayıcı lövhə (Metal şkaf ölçüsü (600x400x250)mm PQÇ)</t>
  </si>
  <si>
    <t>Daxili elektrik təchizatı üçün paylayıcı lövhə (Metal şkaf ölçüsü (600x400x250)mm PQM)</t>
  </si>
  <si>
    <t xml:space="preserve">1FAZ C TİPİ 40A AVTOMAT AÇAR,  </t>
  </si>
  <si>
    <t>Ştepsel rozetkası-yerlə birləşdirmə, (Ştepsel rozetkası-yerlə birləşdirmə 220V, 10A və 16A)</t>
  </si>
  <si>
    <t>Ştepsel rozetkalar, TORPAQLI RAZETKA 2Lİ (Ştepsel rozetkası-yerlə birləşdirmə, 2-li 220V, 10A)</t>
  </si>
  <si>
    <t>Ştepsel rozetkalar, Modul tipli, (Ştepsel rozetkası-yerlə birləşdirmə, 220V, 25A)</t>
  </si>
  <si>
    <t>Ştepsel rozetkası: gizli üsulla elektrik şəbəkəsinin çəkilməsi zamanı, batıqlı tipli</t>
  </si>
  <si>
    <t xml:space="preserve">Germetik ştepsel rozetkası </t>
  </si>
  <si>
    <t>Ştepsel rozetkası: yarımgermetik və germetik</t>
  </si>
  <si>
    <t>Elektrik QUTUSU,  (Rozetkalar üçün qutu)</t>
  </si>
  <si>
    <t>Paylayıcı qutu, ELEKTRIK MONTAJ QUTUSU 100x100mm (Budaqlanma qutusu)</t>
  </si>
  <si>
    <t>3FAZ C TİPİ 25A AVTOMAT AÇAR,   (Avtomat açar 380V, 25A)</t>
  </si>
  <si>
    <t>1FAZ C TİPİ 40A AVTOMAT AÇAR,   (Avtomat açar 220V, 40A)</t>
  </si>
  <si>
    <t>Elektrik açarı  (Paket açarı 380V, 6A)</t>
  </si>
  <si>
    <t xml:space="preserve"> Naqil üçün Qırçınlı PLASTİK yanmaz Boru (d= 25mm) 50m (PVC boru D25)</t>
  </si>
  <si>
    <t>Quraşdırılmış konstruksiyalar üzrə viniplast boru, döşəmənin əsası üzrə, diametri, mm, qədər: 25</t>
  </si>
  <si>
    <t>Yüksək elastikliyə, geniş diapazonlu təzyiqə malik,  standartlara cavab verən polietilen su və qaz borusu: diametri 32 mm, divarının qalınlığı 3 mm,  (PVC boru D32)</t>
  </si>
  <si>
    <t>Yüksək elastikliyə, geniş diapazonlu təzyiqə malik,  standartlara cavab verən polietilen su və qaz borusu: diametri 50 mm, divarının qalınlığı 3 mm, (PVC boru D50)</t>
  </si>
  <si>
    <t>Quraşdırılmış konstruksiyalar üzrə viniplast boru, döşəmənin əsası üzrə, diametri, mm, qədər: 50</t>
  </si>
  <si>
    <t>Metal boru 25mmx2mm</t>
  </si>
  <si>
    <t>Quraşdırılmış konstruksiyalar üzrə polad boru, hazır şırımlarda, döşəmənin əsası üzrə, diametri, mm, qədər:25</t>
  </si>
  <si>
    <t>0,6/1,0 kV-luq güc kabeli 3х2,5</t>
  </si>
  <si>
    <t>0,6/1,0 kV-luq güc kabeli 3х4</t>
  </si>
  <si>
    <t>0,6/1,0 kV-luq güc kabeli 3х10</t>
  </si>
  <si>
    <t>0,6/1,0 kV-luq güc kabeli 4х4</t>
  </si>
  <si>
    <t>1,0 kV-luq güc kabeli 3х2,5</t>
  </si>
  <si>
    <t>1,0 kV-luq güc kabeli 5х4</t>
  </si>
  <si>
    <t>1,0 kV-luq güc kabeli 5х6</t>
  </si>
  <si>
    <t>1,0 kV-luq güc kabeli 5х10</t>
  </si>
  <si>
    <t>1,0 kV-luq güc kabeli 5х16</t>
  </si>
  <si>
    <t>1,0 kV-luq güc kabeli 3х50+2х25</t>
  </si>
  <si>
    <t>Ümumi hörmədə birinci birdamarlı və ya çoxdamarlı naqillərin çəkilmiş borulara dartılması, ümumi en kəsiyi, mm², qədər: 35</t>
  </si>
  <si>
    <t>0,6/1,0 kV-luq güc kabeli  3х95+2х50</t>
  </si>
  <si>
    <t>Qoruyucu örtükdə naqil və ya iki-beş damarlı kabel: divarların və örtüklərin hazır kanallarında</t>
  </si>
  <si>
    <t xml:space="preserve">Dairəvi polad, 16mm </t>
  </si>
  <si>
    <t>Dairəvi poladdan şaquli yerlə birləşdirici, diametri, mm:16</t>
  </si>
  <si>
    <t>Polad zolaq 25x4mm</t>
  </si>
  <si>
    <t xml:space="preserve">Döşəmənin birləşdirici qatında gizli ötürücü: zolaq şəkilli poladdan, en kəsiyi 100 mm² </t>
  </si>
  <si>
    <t>Polad zolaq 40x4mm</t>
  </si>
  <si>
    <t xml:space="preserve">Üfüqi yerlə birləşdirici:zolaq şəkilli poladdan, en kəsiyi 160 mm² </t>
  </si>
  <si>
    <t xml:space="preserve"> 4 çıxışlı Yanğın Deposu binası (Elektrik işıqlanması)</t>
  </si>
  <si>
    <t>LED PANEL ASILQANLI 600X600mm (LED lampalı çıraq 220V, 36 Vt, , 600x600mm)</t>
  </si>
  <si>
    <t>LED PANEL 600X600mm (LED lampalı çıraq 220V, 22 Vt, , 300x300mm)</t>
  </si>
  <si>
    <t>LED lampalı çıraq 220V, 18 Vt, , 300x300mm</t>
  </si>
  <si>
    <t xml:space="preserve"> Led tipli çıraq. (LED lampalı çıraq 220V, 40 Vt, , 200x600mm)</t>
  </si>
  <si>
    <t>Lampa Led, diod tipli, ANBAR İŞIQLANDIRCI 150W  (LED lampalı çıraq 220V, 15 Vt, , 300x300mm)</t>
  </si>
  <si>
    <t>Led tipli çıraq   19Vt (LED lampalı çıraq 220V, 150 Vt, )</t>
  </si>
  <si>
    <t xml:space="preserve">LED lampalı çıraq 220V, 10 Vt lampa ilə dəst </t>
  </si>
  <si>
    <t>Lüminesent və ya civə lampalı çılçıraqlar (LED lampalı çıraq 220V, 20 Vt)</t>
  </si>
  <si>
    <t>LED lampalı çıraq 220V, 20 Vt lampa ilə dəst</t>
  </si>
  <si>
    <t>LED, 1.7W 150 , Ø 50 MM (LED lampalı çıraq 220V, 24 Vt)</t>
  </si>
  <si>
    <t>Led tipli akkumlyatorlu çıraq 12Vt (LED lampalı çıraq 220V, 150 Vt, Qəza akkumulyatorlu)</t>
  </si>
  <si>
    <t>3VT- luq Led tipli çıraq (LED lampalı çıraq 220V, 20 Vt, Qəza akkumulyatorlu)</t>
  </si>
  <si>
    <t>Led tipli çıraq. (LED lampalı çıraq 220V, 20 Vt, Qəza akkumulyatorlu)</t>
  </si>
  <si>
    <t>Özül detallarda quraşdırılan asma tavan çırağı, çıraqdakı lampaların sayı, qədər: 2</t>
  </si>
  <si>
    <t>Lüminesent və ya civə lampalı çılçıraqlar (LED lampalı spot 220V, 10Vt)</t>
  </si>
  <si>
    <t>Asma tavanlarda çıraqlar</t>
  </si>
  <si>
    <t>Asma çıraqlar, (Közərmə lampalı çıraq 15Vt)</t>
  </si>
  <si>
    <t>Yerli işıqlandırma çırağı</t>
  </si>
  <si>
    <t>Sadə işıqsız " EXİT " tablosu (Çıxış göstəricisi) Ölçüsü 50x50</t>
  </si>
  <si>
    <t>Divar işıq işarələri</t>
  </si>
  <si>
    <t>Borusayaq kolbalı közərmə lampası, 25Vt (220V, 25Vt)</t>
  </si>
  <si>
    <t>Borusayaq kolbalı közərmə lampası, 25Vt (24V, 25Vt)</t>
  </si>
  <si>
    <t>Borusayaq kolbalı közərmə lampası 15Vt (220V, 15Vt)</t>
  </si>
  <si>
    <t>Alçaldıcı transformator 220/12 V</t>
  </si>
  <si>
    <t>Gücü aşağı salan transformatorlu qutu</t>
  </si>
  <si>
    <t>Elektrik açarları, (Bir qütblü bir səmtli gizli quröu üçün açar 220V, 6A)</t>
  </si>
  <si>
    <t>Elektrik açarı: gizli üsulla elektrik şəbəkəsinin çəkilməsi zamanı, birdilli, batıqlı tipli</t>
  </si>
  <si>
    <t>Elektrik açarları, (Bir qütblü iki səmtli gizli quröu üçün açar 220V, 6A)</t>
  </si>
  <si>
    <t>Elektrik açarları, Modul tipli (İki tərəfdən idarə olunan açar 220V, 6A)</t>
  </si>
  <si>
    <t>Elektrik açarı: gizli üsulla elektrik şəbəkəsinin çəkilməsi zamanı, ikidilli, batıqlı tipli</t>
  </si>
  <si>
    <t>Elektrik açarları + Rozetka qapaqlı (Bir qütblü bir səmtli mühafizəli açar 220V, 6A )</t>
  </si>
  <si>
    <t>Elektrik açarı: yarımgermetik və germetik</t>
  </si>
  <si>
    <t>Elektrik QUTUSU,  (Açarlar üçün qutu)</t>
  </si>
  <si>
    <t xml:space="preserve"> Naqil üçün Qırçınlı PLASTİK yanmaz Boru (   d= 25mm) t-50m</t>
  </si>
  <si>
    <t>0,6/1,0 kV-luq güc kabeli 4х2,5</t>
  </si>
  <si>
    <t>0,6/1,0 kV-luq güc kabeli 5х2,5</t>
  </si>
  <si>
    <t>Ümumi hörmədə birinci birdamarlı və ya çoxdamarlı naqillərin çəkilmiş borulara dartılması, ümumi en kəsiyi, mm², qədər: 16</t>
  </si>
  <si>
    <t xml:space="preserve"> 4 çıxışlı Yanğın Deposu binası (Yanğın siqnalizasiyası)</t>
  </si>
  <si>
    <t>Mərkəzi yanğın paneli,  ( 32 zona)</t>
  </si>
  <si>
    <t>PS nəzarət-qəbul, işəsalma cihazları. Konsentrator:20 şualı baza bloku</t>
  </si>
  <si>
    <t>Ünvanlı mərkəzi yanğın cihazı 2 şualı  (Təkrar yanğın cihazı)</t>
  </si>
  <si>
    <t>PS nəzarət-qəbul, işəsalma cihazları. Konsentrator:10 şualı baza bloku</t>
  </si>
  <si>
    <t>Yanğın siqnalizasiya sistemi üçün,tüstü xəbərverici (Tüstü xəbərverici )</t>
  </si>
  <si>
    <t>Yanğın siqnalizasiya sistemi üçün, işıq-səsxəbərvericisini (İşıq-səs veren yanğın xəbərvericisi )</t>
  </si>
  <si>
    <t>Avtomatik PS bildiriciləri: partlayışdan mühafizəli istilik, tüstü, işıq</t>
  </si>
  <si>
    <t>Yanğın siqnalizasiya sistemi üçün,əl ilə işləyən xəbərverici (Əl ilə xəbərverici )</t>
  </si>
  <si>
    <t>Avtomatik bildiricilər: şüşədə quraşdırılan zərbə- kontaktlı, kontaktsız elektromaqnit və ya pyezoelektrik</t>
  </si>
  <si>
    <t>Telefon, LAN, koaksial kabel 2x2x0,8 (Kabel 2x2x0.8)</t>
  </si>
  <si>
    <t>Yanğın siqnalizasiya sistemi üçün, akkumlyator  (Akkumlyator batareyası 12v7.8A)</t>
  </si>
  <si>
    <t>Ultrasəs qurğuları: qidalandırma və nəzarət bloku</t>
  </si>
  <si>
    <t>Yanğın siqnalizasiya sistemi üçün,baza(Baza)</t>
  </si>
  <si>
    <t>Naqil en kəsiyi 2,5mm² (Naqil 3x2,5mm² )</t>
  </si>
  <si>
    <t xml:space="preserve"> Naqil üçün Qırçınlı PLASTİK Yanmaz Boru (   d= 20mm) t-50m (Viniplast boru D20mm)</t>
  </si>
  <si>
    <t xml:space="preserve">Qarışıq tüstü və karbonmonooksit detektoru optik/termal sensoru özündə birləşdirən CO detektoru - fərqli irəli/geri, işıq səpmə texnologiyasından istifadə edir. Aşkarlana bilən qaz - Dəm; Aşkarlama metodu: Sabit Temperatur, Fotoelektrik, Proqramlaşdırıla bilən, Artış dərəcəsi; Termal Reytinq: Proqramlaşdırıla bilən. Çəki: 0.30 lb; Ölçülər: 2.00 x 4.00 x 4.00 düym; </t>
  </si>
  <si>
    <t>Stasionar metal detektorları, tağşəkilli tipli</t>
  </si>
  <si>
    <t xml:space="preserve"> 4 çıxışlı Yanğın Deposu binası (Videomüşahidə sistemi)</t>
  </si>
  <si>
    <t>Videoregistratorr (İP Videoqeydiyyat cihazı 32 kanallı)</t>
  </si>
  <si>
    <t>Videonəzarət qurğusu</t>
  </si>
  <si>
    <t>Videomüşahidə sistemi üçün xarici İP 2MP kamera  (Gece/gündüz rəngli videokamera (xarici))</t>
  </si>
  <si>
    <t>Videomüşahidə sistemi üçün daxili ip 2MP kamera  (Gece/gündüz rəngli videokamera (daxili))</t>
  </si>
  <si>
    <t>Videomüşahidə kameraları: kronşteynlərdə</t>
  </si>
  <si>
    <t>Videomüşahidə kameraları: fiksajlanmış</t>
  </si>
  <si>
    <t xml:space="preserve">Switch 24 portlu </t>
  </si>
  <si>
    <t xml:space="preserve">Üç proqramla yayım üçün mühafizə filterləri </t>
  </si>
  <si>
    <t>HDMİ kabel,4K ultra HD 60Hz tezlikli,Ölçüsü:15,2 m</t>
  </si>
  <si>
    <t>Alümin kabel ucluqları (Birləşmələr)</t>
  </si>
  <si>
    <t xml:space="preserve"> Naqil üçün Qırçınlı PLASTİK Yanmaz Boru (   d= 20mm) t-50m (Kabel borusu qofra D20mm)</t>
  </si>
  <si>
    <t>Monitor 43  (Monitor 43 diaqonal)</t>
  </si>
  <si>
    <t>Videomaqnitafon</t>
  </si>
  <si>
    <t>Videonəzarət kamerası üçün kronşteyn  (Kronşteyn L=0.5m)</t>
  </si>
  <si>
    <t>Divar üzərində «PEREXOD» kronşteyni</t>
  </si>
  <si>
    <t>Şəbəkə kabeli 4x2x24 CAT6  (Kabel Cat 6 4x2x23 )</t>
  </si>
  <si>
    <t>Videoqeydiyyat cihazı üçün disk HDD 4Tb</t>
  </si>
  <si>
    <t xml:space="preserve"> 4 çıxışlı Yanğın Deposu binası.Rabitə şəbəkəsi (Anons sistemi)</t>
  </si>
  <si>
    <t>İdarəetmə gücləndiricisi 180 vt (360vt)  (İdarəetmə gücləndiricisi (360W) MP3 PLAYERLƏ</t>
  </si>
  <si>
    <t xml:space="preserve">Əsas gücləndirici  (Gücləndirici (360W)    </t>
  </si>
  <si>
    <t>Akkumulyator 12V/7A (Akkumulyator 12V/50A)</t>
  </si>
  <si>
    <t>Səsucaldan 3v-6v Tavan tipli Tezlik müdaxiləsi (-10dB) olçüləri 104x78mm (Səsucaldan 3w. )</t>
  </si>
  <si>
    <t>Fövqaladə hallarda anons sistemi üçün gücü 6VT olan səsucaldanlar(Səsucaldan 6w. )</t>
  </si>
  <si>
    <t>Səsucaldan yaxud səs «kolonkası»: dirəkdə yaxud damda, gücü 10 Vt-a qədər (Quraşdırma)</t>
  </si>
  <si>
    <t>Fövqaladə hallarda anons sistemi üçün mikrofon (Mikrofon)</t>
  </si>
  <si>
    <t>Masaüstü səsucaldan</t>
  </si>
  <si>
    <t>Mikrofon üçün genişləndirici</t>
  </si>
  <si>
    <t>Yanğın xəbərveci sistemlərində istifadə olunan mikrofon. Bütün  cihazlar tərəfindən dəstəklənir,Voltaj 2-10V,Həssaslıq 42dB  (Mikrofon (yanğın zamanı avtomatik xəbərdarlıq))</t>
  </si>
  <si>
    <t>Səsucaldan yaxud səs «kolonkası»: dirəkdə yaxud damda, gücü 10 Vt-a qədər (Mikrofon (yanğın zamanı avtomatik xəbərdarlıq) quraşdırma)</t>
  </si>
  <si>
    <t>300/500V 2x1,5 telefon, LAN, koaksial kabel (Kabel 2x1.5)</t>
  </si>
  <si>
    <t>Telefon, LAN, koaksial kabel U/UTP Cat 6 4х2х0,57</t>
  </si>
  <si>
    <t>Mikrofon kabeli  (4x0.35)</t>
  </si>
  <si>
    <t xml:space="preserve">Qəza qida mənbəyi (Qəza qida mənbəyi    </t>
  </si>
  <si>
    <t xml:space="preserve"> 4 çıxışlı Yanğın Deposu binası.Rabitə şəbəkəsi (Telefon və kompyuter şəbəkələri)</t>
  </si>
  <si>
    <t xml:space="preserve">Modem </t>
  </si>
  <si>
    <t>İP servis üçün qermetik divar tipli metal şkaf, 19 W=600mm D=400mm  600X400X915  (Telekommunikasiya şkafı 19")</t>
  </si>
  <si>
    <t>Lövhə və pultlar, kütləsi: 100 kq–a qədər</t>
  </si>
  <si>
    <t xml:space="preserve">Switch 24 port </t>
  </si>
  <si>
    <t>İP servis otağında metal şkaf üçün rəflər, 19"  482x400x270 (Telekommunikasiya paneli 19")</t>
  </si>
  <si>
    <t xml:space="preserve">İP servis otağında Fiber Optik kabellər üçün paylayıcı qutular, 19" 24 PORT Fiber Optical Box 482x280x44   </t>
  </si>
  <si>
    <t>Çıxarılan və qabağa çıxan bloklar (modullar, yuvacıqlar, TEZ), kütləsi: 5 kq–a qədər</t>
  </si>
  <si>
    <t>Rozetka + Telefon yuvalı</t>
  </si>
  <si>
    <t>Mikrofon rozetkası</t>
  </si>
  <si>
    <t>Rozetka+Elektrik açarları, (Kompyuter rozetkası)</t>
  </si>
  <si>
    <t>Fiber optik sonlanma paneli 24 port (Optik panel)</t>
  </si>
  <si>
    <t xml:space="preserve">Kabel orqanayzer 19" </t>
  </si>
  <si>
    <t>İP servis otağında metal şkaf üçün fanlar, 2fans, on/off 490x135x45  (Ventilyator blok )</t>
  </si>
  <si>
    <t xml:space="preserve">Ventilyator </t>
  </si>
  <si>
    <t xml:space="preserve">Optik kabel  1x8 fiber optik </t>
  </si>
  <si>
    <t>Telefon, LAN, koaksial kabel Cat 6-PVC 4x2x0,57</t>
  </si>
  <si>
    <t xml:space="preserve">Mini ATS (6 şəhər 16 daxili portlu) </t>
  </si>
  <si>
    <t>Telefon qurğusu (konsentrator)</t>
  </si>
  <si>
    <t>Xətlərin sazlanması: ATS-lə birləşdirilmə</t>
  </si>
  <si>
    <t xml:space="preserve"> 4 çıxışlı Yanğın Deposu binası.Rabitə şəbəkəsi (Daxili televiziya sistemi)</t>
  </si>
  <si>
    <t xml:space="preserve">Wi-Fi Modem </t>
  </si>
  <si>
    <t>Antena</t>
  </si>
  <si>
    <t>Antena-fider traktı. Antenaların yustirlənməsi, gücləndirmə: 40 dB-ə qədər</t>
  </si>
  <si>
    <t>Gücü 1 Vt olan, efirdən qəbul edilməklə avtomatik xidmət etməyən televiziya retranslyatorları</t>
  </si>
  <si>
    <t>Antenna dayağı (Televiziya dayağı hündürlüyü -5m)</t>
  </si>
  <si>
    <t>Əsas gücləndirici  (Abunəçi gücləndirici)</t>
  </si>
  <si>
    <t xml:space="preserve">Multi switch 2x5 2 giriş 5 çıxışlı multisviç </t>
  </si>
  <si>
    <t>Üç proqramla yayım üçün mühafizə filterləri (FNQ)</t>
  </si>
  <si>
    <t>Telefon, LAN, koaksial kabel RG 6/U-6 (Televiziya kabeli)</t>
  </si>
  <si>
    <t>Telefon, LAN, koaksial kabel  (Televiziya kabeli magistral)</t>
  </si>
  <si>
    <t>Xətti gücləndirici L diapazonlu (Televiziya magistral xətti gücləndirici)</t>
  </si>
  <si>
    <t>Rozetka + TV yuvalı, (Televiziya rozetkası)</t>
  </si>
  <si>
    <t>Katanka məftil, 8mm (Polad zolaq D-8mm)</t>
  </si>
  <si>
    <t xml:space="preserve">Dairəvi polad, 12mm </t>
  </si>
  <si>
    <t>Üfüqi yerlə birləşdirici:dairəvi poladdan, diametri 12 mm</t>
  </si>
  <si>
    <t xml:space="preserve"> 4 çıxışlı Yanğın Deposu binası.Rabitə şəbəkəsi (Səsləndirmə zal üçün)</t>
  </si>
  <si>
    <t>Səsgücləndirici E=200 Vt E=200 W  (Səsgücləndiricilər 2x600W)</t>
  </si>
  <si>
    <t>Sinxron tərcümə qulaqcıqları (CD/MP3 Pleer)</t>
  </si>
  <si>
    <t>Stereo maqnitafon</t>
  </si>
  <si>
    <t>Server şkaf, olçüləri 600x600 mm (Video wall üçün) (akt zalı 600x800)</t>
  </si>
  <si>
    <t>Kommutasiya şkafı</t>
  </si>
  <si>
    <t>Səsucaldan 30Vt (Kalonka divar tipli 30W)</t>
  </si>
  <si>
    <t>Mikrofon kabeli (Mikrofon kabeli akt zalı 2x0.22)</t>
  </si>
  <si>
    <t>300/500V 2x2,5 telefon, LAN, koaksial kabel (Kabel 2x2.5 akt zalı kalonkalar üçün)</t>
  </si>
  <si>
    <t>Elan mikrofonu  (Zal mikrafonu)</t>
  </si>
  <si>
    <t>Gücləndirici bloku (360W) (350W) (16 kanallı)</t>
  </si>
  <si>
    <t xml:space="preserve"> Naqil üçün Qırçınlı PLASTİK yanmaz Boru (   d= 25mm) 50m (Kabel borusu D25mm)</t>
  </si>
  <si>
    <t xml:space="preserve"> 4 çıxışlı Yanğın Deposu binası.Texnoloji avadanlıqlar (TX)</t>
  </si>
  <si>
    <t xml:space="preserve">Mətbəx mebeli </t>
  </si>
  <si>
    <t>p/m</t>
  </si>
  <si>
    <t>Elektrik çaynik,tutumu 10 L</t>
  </si>
  <si>
    <t>Mikrodalğalı soba</t>
  </si>
  <si>
    <t>Bir bölməli yuma vannası 600x600x800</t>
  </si>
  <si>
    <t>Hündürlüyü 167 sm ,eni 60 sm ,dərinliyi 63 sm olan, dondurucu kamerası yuxarda yerləşən de frost məişət soyuducusu</t>
  </si>
  <si>
    <t>Sərin içkilər üçün soyuducu, ölçüləri 600x600x1800</t>
  </si>
  <si>
    <t>Elektrik sterilizator 250x125x60 (Bıçaqların steriliza qabı)</t>
  </si>
  <si>
    <t>Su distilyatoru  avtomatik</t>
  </si>
  <si>
    <t>(Havaçəkən aspirator) divar tip filtrsiz, ölçüləri 1000*800*500</t>
  </si>
  <si>
    <t>Paslanmayan stellaj, ölçüləri 1200x550x1600</t>
  </si>
  <si>
    <t>Elektrik sobası 4 gözlü 60sm</t>
  </si>
  <si>
    <t>Stellaj dörd rəfli, ölçüləri 900*450*1800    (Təmiz qablar üçün)</t>
  </si>
  <si>
    <t xml:space="preserve">1 masa və 4 oturacaqdan ibarət mətbəx masası </t>
  </si>
  <si>
    <t>Dəsmal qurudanlar,bərkidicilərlə (Əl qurudan)</t>
  </si>
  <si>
    <t xml:space="preserve">Çarpayı 200x95sm, başlıq və yanlar döşəmə, somyalı </t>
  </si>
  <si>
    <t>Çarpayı tumbası, 400x400x860mm</t>
  </si>
  <si>
    <t>Stul (yumşaq) 400x400x800</t>
  </si>
  <si>
    <t xml:space="preserve">Yumşaq divan (3 yerli) (210x80x73) sm; (Süni dəri,  25 kg/m3 Xrom ayaq h= 5 sm) </t>
  </si>
  <si>
    <t>Hərəkətli iş masası (alt rəfli), ölçüləri 1200*600*850</t>
  </si>
  <si>
    <t>Stul (yumşaq) 400x400x800 (Dirsəkli stul)</t>
  </si>
  <si>
    <t xml:space="preserve">Kompyuter+monitor dəsti </t>
  </si>
  <si>
    <t>Universal şkaf, sənədlər üçün, şüşəli ( Sənəd dolabı) (80x40x185) sm; (Korpus: laminat 18 mm, PVC 0,4 mm Üst qapılar: sadə şəffaf şüşə Petlə laminat qapıda vakkum, şüşə qapıda sadə Dəstək: xrom, 9,6 sm , ayparavari, orta hissəsi incə Ayaq lapa plastik, h=5sm Arxa lay DVP mat, içdən)</t>
  </si>
  <si>
    <t xml:space="preserve">Paltar dolabı 2 qapaqlı 200x90x62sm, laminat </t>
  </si>
  <si>
    <t xml:space="preserve">Stellaj dörd rəfli, ölçüləri 900*450*1800    </t>
  </si>
  <si>
    <t>Kürsü təkərli 830x790x1000</t>
  </si>
  <si>
    <t>Ofis mebeli: İş masası – 160sm+200sm * 70sm * 75sm, kamod- 200sm*90sm*42sm, jurnal masası – 100sm*50sm*40sm (ön masa yan masa)</t>
  </si>
  <si>
    <t>Sənəd və kitab dolabı 80x210x55sm</t>
  </si>
  <si>
    <t>Kreslo, ofis üçün, rəhbər üçün, multi mexanizmli, başlıqlı, 4 pilləli, qazla qalxıb-enən, təkərli, dəridən</t>
  </si>
  <si>
    <t xml:space="preserve">Jurnal masa (60x40x45) sm; (Metal gövdə, toz boya Üst lay 18 mm laminat PVC 1 mm Plastik dabanlıqlar) </t>
  </si>
  <si>
    <t xml:space="preserve">1-tumbalı iş masası (1200x700x750)mm; (Material: Laminat 18 mm, PVC təmas hissələrində 1 mm, qalan hissələrdə 0,4 mm Dəstək: xrom, 9,6 sm , ayparavari, orta hissəsi incə Ray teleskopik,vakkum Daban: domino) </t>
  </si>
  <si>
    <t>Kreslo, ofis üçün, rəhbər üçün, multi mexanizmli, başlıqlı, 4 pilləli, qazla qalxıb-enən, təkərli, parçadan</t>
  </si>
  <si>
    <t>Dolab geyim üçün 800x500x1800</t>
  </si>
  <si>
    <t>Skameyka 100x40x45sm, dəmir, taxta, boyalı</t>
  </si>
  <si>
    <t>İş masası (alt rəfli tək çəkməcəli), ölçüləri 2000*600*850  (İstehsalat masası)</t>
  </si>
  <si>
    <t>Eni 80 sm,uzunluğu(dərinlik) 60sm,hündürlüyü 75 sm olan,laminasya olunmuş DSP dən ibarət yazı masası (Tədris üçün masa)</t>
  </si>
  <si>
    <t>İş stolu, üçün arakəsmə (160x1,8x35) sm; (Laminat 18 mm, PVC 1 mm İki masa arasına vida ilə bağlanacaq) (köməkçi masa)</t>
  </si>
  <si>
    <t>Masa 75x150x65sm, dəmir ayaqlı, laminat, pərdəlikli  (Stol)</t>
  </si>
  <si>
    <t>Yumşaq divan (2 yerli) (150x80x73) sm; (Süni dəri, 25 kg/m3 Xrom ayaq h= 5 sm)(Divan)</t>
  </si>
  <si>
    <t xml:space="preserve">Iş stolu 90x75x60 </t>
  </si>
  <si>
    <t>Yazı taxtası (600x900 mm)</t>
  </si>
  <si>
    <t>Loker dolabı 184x40x45sm, laminat (Divar şkafı)</t>
  </si>
  <si>
    <t>İş masası (alt rəfli tək çəkməcəli), ölçüləri 1600*700*850 (İstehsalat masası)</t>
  </si>
  <si>
    <t>Asılqan 5 qarmaqlı (500x100) ; (Laminat 18 mm PVC 0,4 mm Asılqan qarmaq, Plastik, 5 ədəd)</t>
  </si>
  <si>
    <t xml:space="preserve">Televizor 32" Smart TV </t>
  </si>
  <si>
    <t xml:space="preserve">Printer A4, Printer </t>
  </si>
  <si>
    <t>Maksimal yükləmə həddi 11 kq olan paltar yuyan maşın.</t>
  </si>
  <si>
    <t>Paslanmaz sifonlu yer trapı, ölçüləri (300x200x180) (Drenaj toru trap sifonlu)</t>
  </si>
  <si>
    <t>İki çanaqlı yuma vannası (50*50*30), ölçüləri 1200*700*850</t>
  </si>
  <si>
    <t xml:space="preserve">Elektron ağırlıq tərəziləri üçün, çəki indiqatoru </t>
  </si>
  <si>
    <t>Dolab dezinfeksiya vasitələri üçün 450x350x900</t>
  </si>
  <si>
    <t>Səyyar qutu çirkli ağlar üçün 700x700x721</t>
  </si>
  <si>
    <t xml:space="preserve"> 4 çıxışlı Yanğın Deposu binası.Texnoloji avadanlıqlar (2-ci mərtəbə)</t>
  </si>
  <si>
    <t xml:space="preserve">İş masası (alt rəfli tək çəkməcəli), ölçüləri 2000*600*850 </t>
  </si>
  <si>
    <t>Kreslo, ofis üçün, rəhbər üçün, multi mexanizmli, başlıqlı, 4 pilləli, qazla qalxıb-enən, təkərli, parçadan (Dirsəkli kreslo)</t>
  </si>
  <si>
    <t>Tumba 3 siyirməli təkərli (mərkəzi kilidli), eni 42 sm, uzunluğu 40 sm, hündürlüyü 62 sm</t>
  </si>
  <si>
    <t>Televizor 32" Smart TV</t>
  </si>
  <si>
    <t xml:space="preserve">Yumşaq divan (3 yerli) (210x80x73) sm; (Süni dəri, 25 kg/m3 Xrom ayaq h= 5 sm) </t>
  </si>
  <si>
    <t>Oturacaq (müsafir üçün)</t>
  </si>
  <si>
    <t>Eni 80 sm,uzunluğu(dərinlik) 60sm,hündürlüyü 75 sm olan,laminasya olunmuş DSP dən ibarət yazı masası (iş masası)</t>
  </si>
  <si>
    <t>Stul (yumşaq) 400x400x800 (kreslo dirsəkli)</t>
  </si>
  <si>
    <t>Toplantı (Müsafir) masası 320x110x75(h)sm (İclas masası)</t>
  </si>
  <si>
    <t>Yarı yumşaq oturacaq (470x465x740) mm, (Palata üçün yarı yumşaq oturacaq ; Metal, xrom ayaqlar, dikt, Süni dəri üzlük) (İclas zalı üçün stul)</t>
  </si>
  <si>
    <t>Printer 3 in 1</t>
  </si>
  <si>
    <t>Printer Lazer 2500 page  (Printer 4 in)</t>
  </si>
  <si>
    <t>İş masası (dolablı alt rəfli sürgü qapılı), ölçüləri 1200*600*850 (Printer dolabı)</t>
  </si>
  <si>
    <t>Kreslo dönən (630x470x910) sm</t>
  </si>
  <si>
    <t>Paltar dolabı 2 qapaqlı 200x90x62sm, laminat</t>
  </si>
  <si>
    <t>Çarpayı 200x95sm, başlıq və yanlar döşəmə</t>
  </si>
  <si>
    <t>Yarı yumşaq oturacaq (470x465x740) mm, (Palata üçün yarı yumşaq oturacaq ; Metal, xrom ayaqlar Paralon, dikt, Süni dəri üzlük)</t>
  </si>
  <si>
    <t>1 Laylı paltar dolabı (60x40x185) sm; (Laminat 18 mm, PVC qapıda 1 mm, qalan hissələrdə 0,4 mm Petlə vakkum Dəstək: xrom, 9,6 sm , ayparavari, orta hissəsi incə Asılqan, papaq yeri Kilid 1 ədəd Ayaq xrom silindirik, h=5sm Arxa lay, içdən, DVP mat)</t>
  </si>
  <si>
    <t>Toplantı masası 400x120x75sm</t>
  </si>
  <si>
    <t>Məşvərət zalı üçün kreslo (standart); Poliuretan içlik, üzəri parça gövdə metal, xrom) (Toplantı stolu)</t>
  </si>
  <si>
    <t>Akt zalı üçün kreslo (standart)</t>
  </si>
  <si>
    <t>pagon metr</t>
  </si>
  <si>
    <t>Nəzarətçi otağı (Torpaq işləri)</t>
  </si>
  <si>
    <t>Çalovun tutumu 0,5 (0,5-0,63)m3 olan “əks çalov”lu ekskavatorlarla qruntun xəndəklərdən kənara atılaraq qazılması, qruntun qrupu: 2</t>
  </si>
  <si>
    <t>Dərinliyi 2 m-ə qədər olan yamaclı xəndəklərdə qruntun bərkitmələr olmadan əl ilə qazılması, qruntun qrupu: 2</t>
  </si>
  <si>
    <t>Qruntu 5 m-ə qədər məsafəyə yerinin dəyişdirilməsi ilə çalaların və xəndəklərin buldozerlərlə doldurulması, buldozerin gücü: 59 (80) kVt (a.g.), 2-ci qrup qrunt</t>
  </si>
  <si>
    <t>Nəzarətçi otağı (Bünövrə)</t>
  </si>
  <si>
    <t>A-1 sinifli armatur (düyün ilə birlikdə)</t>
  </si>
  <si>
    <t>A-3 sinifli armatur (düyün ilə birlikdə)</t>
  </si>
  <si>
    <t>390x190x188 mm ölçülərində mişarlanmış əhəng daşından bina və qurğuların bütöv divarlarının hörgüsü: 39 sm qalınlığında</t>
  </si>
  <si>
    <t>Döşənək qatlarının düzəldilməsi: betonlu (Beton döşəmə)</t>
  </si>
  <si>
    <t>Nəzarətçi otağı (D/b konstruksiyalar)</t>
  </si>
  <si>
    <t>Taxta qəlibdə dəmir-beton sütunların qurulması, hündürlüyü: 4 m-ə qədər, perimetri 2 m-ə qədər (b20)</t>
  </si>
  <si>
    <t>Tirsiz örtüklərin qurulması, qalınlığı: 200 mm-ə qədər, dayaq meydançasından 6 m-ə qədər hündürlükdə (Mtv1,b20)</t>
  </si>
  <si>
    <t>Tirsiz örtüklərin qurulması, qalınlığı: 200 mm-ə qədər, dayaq meydançasından 6 m-ə qədər hündürlükdə (çətir,b20)</t>
  </si>
  <si>
    <t>Kəmərlərin qurulması: qəlibdə (b20)</t>
  </si>
  <si>
    <t>Atmaların qurulması (b20)</t>
  </si>
  <si>
    <t>Nəzarətçi otağı (Divar və arakəsmələr)</t>
  </si>
  <si>
    <t>Nəzarətçi otağı (Dam örtüyü)</t>
  </si>
  <si>
    <t xml:space="preserve">Bir qat araqatı buxar izolyasiyasının düzəldilməsi </t>
  </si>
  <si>
    <t>Örtüyün isidilməsi: keramzitlə</t>
  </si>
  <si>
    <t xml:space="preserve">Sement-qum düzləndirici qatın hazırlanması: qalınlığın hər 1 mm dəyişməsinə əlavə etmək və ya çıxmaq (12-01-017-01)-ə </t>
  </si>
  <si>
    <t>Hazır dayaq tirlər üzrə metal keramitdən dam örtüklərinin düzəldilməsi: orta mürəkkəbli</t>
  </si>
  <si>
    <t>Metal su axıdıcı sistemin qurulması: düz boru bağlantıları (PVC 100 mm)</t>
  </si>
  <si>
    <t>Nəzarətçi otağı (Qapı və pəncərələr)</t>
  </si>
  <si>
    <t xml:space="preserve">Qapı-pəncərə üstü atma </t>
  </si>
  <si>
    <t>Nəzarətçi otağı (Döşəmə-Tip 1)</t>
  </si>
  <si>
    <t>Laqaların qoyulması: kərpic altlıqlar üzrə</t>
  </si>
  <si>
    <t>Fermalar üzərində döşənəklərin qurulması: işlək, qalınlığı 25 mm, seyrəkləşdirilmiş</t>
  </si>
  <si>
    <t>Örtüklərin düzəldilməsi: açar üsulu ilə laminasiya olunmuş taxtalardan</t>
  </si>
  <si>
    <t>Nəzarətçi otağı (Döşəmə-Tip 2)</t>
  </si>
  <si>
    <t>Birləşdirici qatın düzəldilməsi: sement, qalınlığı 15 mm</t>
  </si>
  <si>
    <t>Nəzarətçi otağı (Daxili bəzək işləri)</t>
  </si>
  <si>
    <t>Nəzarətçi otağı (Xarici bəzək işləri)</t>
  </si>
  <si>
    <t>Səthləri hazırlamaqla fasadların tərkiblərlə taxtabəndlərdən rənglənməsi: perxlorvinilli</t>
  </si>
  <si>
    <t>Nəzarətçi otağı (Elektrik işıqlanması)</t>
  </si>
  <si>
    <t>Daxili elektrik təchizatı üçün paylayıcı lövhə (Metal şkaf ölçüsü (300x300x125)mm)</t>
  </si>
  <si>
    <t>1FAZ C TİPİ 16A AVTOMAT AÇAR</t>
  </si>
  <si>
    <t xml:space="preserve">1FAZ C TİPİ 10A AVTOMAT AÇAR  </t>
  </si>
  <si>
    <t>Paket çevirgəc (380V, 20A)</t>
  </si>
  <si>
    <t>LED PANEL 600X600mm 48W (LED lampalı çıraq 220V, 15Vt)</t>
  </si>
  <si>
    <t>Lüminesent və ya civə lampalı çılçıraqlar (LED lampalı çıraq 220V, 12Vt)</t>
  </si>
  <si>
    <t>Akkumulyator fənər 12V, 10vt</t>
  </si>
  <si>
    <t>Elektrik açarları,  (Bir qütblü bir səmtli açar, gizli qurğu üçün 6A, 220V)</t>
  </si>
  <si>
    <t>Elektrik açarları + Rozetka qapaqlı, (Bir qütblü bir səmtli açar (mühafizəli) açıq qurğu üçün 220V , 6A , )</t>
  </si>
  <si>
    <t>Ştepsel rozetkası-yerlə birləşdirmə, (Ştepsel rozetkası-yerlə birləşdiricisi olan 220V, 10A)</t>
  </si>
  <si>
    <t>Elektrik QUTUSU,  (Açar və rozetkalar üçün qutu)</t>
  </si>
  <si>
    <t xml:space="preserve"> Naqil üçün Qırçınlı PLASTİK yanmaz Boru (   d= 25mm) t-50m (PVC boru D25 )</t>
  </si>
  <si>
    <t>Nəzarətçi otağı.Videomüşahidə və Rabitə şəbəkəsi (Videomüşahidə)</t>
  </si>
  <si>
    <t>Videomüşahidə sistemi üçün daxili ip 2MP kamera  (Gece/gündüz rəngli videokamera)</t>
  </si>
  <si>
    <t>HDMİ kabel,4K ultra HD 60Hz tezlikli,Ölçüsü:15,2 m (HDMİ kabel 15 metrlik)</t>
  </si>
  <si>
    <t xml:space="preserve"> Naqil üçün Qırçınlı PLASTİK Yanmaz Boru (   d= 20mm) t-50m</t>
  </si>
  <si>
    <t>Videonəzarət kamerası üçün kronşteyn</t>
  </si>
  <si>
    <t>Divar üzərində «PEREXOD» kronşteyni (quraşdırma)</t>
  </si>
  <si>
    <t>Şəbəkə kabeli 4x2x24 CAT6</t>
  </si>
  <si>
    <t>Nəzarətçi otağı.Videomüşahidə və Rabitə şəbəkəsi (Videomüşahidə sistemi)</t>
  </si>
  <si>
    <t xml:space="preserve">Telefon aparatı </t>
  </si>
  <si>
    <t>SB sistemli yaxud ATS telefon aparatı: stolüstü</t>
  </si>
  <si>
    <t>Polivinilxlorid izolyasiyalı diametri 0,5mm olan birməftilli mis damarlı qoşa paylayıcı telefon naqilləri (Telefon naqili 1x2)</t>
  </si>
  <si>
    <t>Telefon, LAN, koaksial kabel 10x2x0,5</t>
  </si>
  <si>
    <t xml:space="preserve">Paylayıcı telefon qutusu, tutumu 10x2 </t>
  </si>
  <si>
    <t>Divarda şaxəli qutular</t>
  </si>
  <si>
    <t>Qüllə (Torpaq işləri)</t>
  </si>
  <si>
    <t>Çalovunun tutumu 0,5 (0,5-0,63) m3 olan «əks çalovlu» və ya «draqlayn» tipli ekskavatorlarla qruntun kənara atılaraq qazılması, qruntun qrupu: 2</t>
  </si>
  <si>
    <t>Qüllə (Bünövrə)</t>
  </si>
  <si>
    <t>Beton hazırlıq qatının düzəldilməsi. (b7.5)</t>
  </si>
  <si>
    <t>Dəmir-beton bünövrə tavalarının qurulması: yastı (b25)</t>
  </si>
  <si>
    <t>A-1 sinifli armatur (Düyünlərlə birlikdə)</t>
  </si>
  <si>
    <t>A-3 sinifli armatur (Düyünlərlə birlikdə)</t>
  </si>
  <si>
    <t>Beton və daş səthlərin sement-əhəng və ya sement məhlulu ilə suvanması: divarların, sadə (Torpaqla təmasda olan daş hissənin )</t>
  </si>
  <si>
    <t>Qüllə (D/b kostruksiyalar)</t>
  </si>
  <si>
    <t>Taxta qəlibdə dəmir-beton sütunların qurulması, hündürlüyü: 4 m-ə qədər, perimetri 2 m-ə qədər (b25)</t>
  </si>
  <si>
    <t>Örtüklər üçün tirlərin, dayaq meydançasından 6 m-ə qədər hündürlükdə olan kranaltı və bağlayıcı tirlərin qurulması, tirlərin hündürlüyü: 500 mm-ə qədər (b25)</t>
  </si>
  <si>
    <t>Örtüklər üçün tirlərin, dayaq meydançasından 6 m-ə qədər hündürlükdə olan kranaltı və bağlayıcı tirlərin qurulması, tirlərin hündürlüyü: 500 mm-ə qədər (b25, T-1 , T-1a tirlər)</t>
  </si>
  <si>
    <t>Tirsiz örtüklərin qurulması, qalınlığı: 200 mm-ə qədər, dayaq meydançasından 6 m-ə qədər hündürlükdə (b25)</t>
  </si>
  <si>
    <t>Qabırğalı örtüklərin qurulması, dayaq meydançasından hündürlüyü: 6 m-ə qədər (b25)</t>
  </si>
  <si>
    <t>Kəmərlərin qurulması: qəlibdə (b25)</t>
  </si>
  <si>
    <t>Atmaların qurulması (b25)</t>
  </si>
  <si>
    <t>Dəmir-beton dayaqlar üzərində, 25 m-ə qədər hündürlükdə olan telferlər üçün, əyrixətli asma yolların və monorelslərin quraşdırılması, tirlərin nömrəsi: 24 M (15.2 səv-də)</t>
  </si>
  <si>
    <t>«M» tipli ikitavrlı prokatdan asma kranlar üçün yollar, hissələri düzxətlidir</t>
  </si>
  <si>
    <t>Kəmərlərin qurulması: qəlibdə (b25, 14.55səv-də,parapetdə K1 )</t>
  </si>
  <si>
    <t>390x190x188 mm ölçülərində mişarlanmış əhəng daşından yaşayış və ictimai binaların xarici divarlarının hörgüsü: 19 sm qalınlığında</t>
  </si>
  <si>
    <t>Kəmərlərin qurulması: qəlibdə (b25, 16.2səv-də)</t>
  </si>
  <si>
    <t>Qüllə (Divar və arakəsmələr)</t>
  </si>
  <si>
    <t xml:space="preserve">Daxili kərpic divar hörgüsü: mərtəbənin hündürlüyü 4 m-ə qədər olduqda </t>
  </si>
  <si>
    <t>Qüllə (Dam örtüyü)</t>
  </si>
  <si>
    <t>Yapışdırılan buxar izolyasiyasının düzəldilməsi: bir qat (Tip1-32m² Tol qatı)</t>
  </si>
  <si>
    <t xml:space="preserve">Dam örtüyu tol </t>
  </si>
  <si>
    <t>Örtüyün isidilməsi: keramzitlə (qal.80mm)</t>
  </si>
  <si>
    <t>Sement-qum düzləndirici qatın hazırlanması:  (əlavə-10mm)</t>
  </si>
  <si>
    <t>Metal su axıdıcı sistemin qurulması: düz boru bağlantıları</t>
  </si>
  <si>
    <t>Qıflar</t>
  </si>
  <si>
    <t>Metal səthlərin yağlı boya ilə rənglənməsi: böyük səthlərin (dam örtüyündən başqa), rənglənmənin sayı 2 dəfə</t>
  </si>
  <si>
    <t>Yapışdırılan buxar izolyasiyasının düzəldilməsi: bir qat (Tip2-13.5m²)</t>
  </si>
  <si>
    <t>Sement-qum düzləndirici qatın hazırlanması:  (əlavə 10mm)</t>
  </si>
  <si>
    <t>Qüllə (Qapı və pəncərələr)</t>
  </si>
  <si>
    <t>Yaşayış və ictimai binalarda PVX profildən pəncərə bloklarının qoyulması: dönən (açılan, dönən-açılan), boşluğun sahəsi 2 m²-dən artıq, üç laylı, o cümlədən açılmıyan şüşə layları (Metal plastik vitrajların quraşdırılması ilə birlikdə)</t>
  </si>
  <si>
    <t>Qüllə (Döşəmələr)</t>
  </si>
  <si>
    <t>Mozaik örtüklərin düzəldilməsi: terraso, qalınlığı 20 mm, şəkilsiz (Tip1-29.71m², 1-ci mərtəbə)</t>
  </si>
  <si>
    <t>Mozaik örtüklərin düzəldilməsi:  (əlavə 30mm)</t>
  </si>
  <si>
    <t>Birləşdirici qatın düzəldilməsi: sement, qalınlığı 20 mm (TİP2-118.76m²)</t>
  </si>
  <si>
    <t xml:space="preserve">Sement məhlulunda tavalardan örtüklərin düzəldilməsi: keramik,döşəmələr üçün bir rəngli boya ilə </t>
  </si>
  <si>
    <t>Mozaik örtüklərin düzəldilməsi: terraso, qalınlığı 20 mm, şəkilsiz (Tip3-9.0m²)</t>
  </si>
  <si>
    <t>Qüllə (Bəzək işləri)</t>
  </si>
  <si>
    <t>Divarların üzlənməsi</t>
  </si>
  <si>
    <t>Rənglənən və astarlanan döşəmələrin lakla örtülməsi: 2 dəfə</t>
  </si>
  <si>
    <t>Hündürlüyü 16 m-ə qədər olan xarici inventar taxtabəndlərin qurulması və sökülməsi: üzləmə hörgüsü üçün, borulu</t>
  </si>
  <si>
    <t>Qüllə (Müxtəlif işlər)</t>
  </si>
  <si>
    <t>Quraşdırma: İstilik izolyasiya örtüklü panel və qapılar, pilləkənlər, meydançalar, məhəccərlər</t>
  </si>
  <si>
    <t>Qüllə.Su kəməri və kanalizasiya (K3 itehsalat kanalizasiyası)</t>
  </si>
  <si>
    <t>Qüllə (Elektrik işqılanması)</t>
  </si>
  <si>
    <t>Daxili elektrik təchizatı üçün paylayıcı lövhə (Metal şkaf ölçüsü (600x400x250)mm İL)</t>
  </si>
  <si>
    <t>Led panel 60x60 70watt daxil üçün Led (LED lampalı çıraq 220V, 20Vt, )</t>
  </si>
  <si>
    <t>İkiqütblü rubilnik 25A (Kəsən açar 380V, 25A)</t>
  </si>
  <si>
    <t>Elektrik açarları + Rozetka qapaqlı, (Bir qütblü bir səmtli mühafizəli açar 220V, 6A )</t>
  </si>
  <si>
    <t>Paylayıcı qutu</t>
  </si>
  <si>
    <t xml:space="preserve"> Naqil üçün Qırçınlı PLASTİK yanmaz Boru (   d= 25mm) t-50m (PVC-25 HF)</t>
  </si>
  <si>
    <t>0,6/1,0 kV-luq güc kabeli  4x2,5</t>
  </si>
  <si>
    <t>Nəzarət kabeli 4x2,5 (elastik kabel en kəsiyi 4x2.5mm²)</t>
  </si>
  <si>
    <t>Qüllə (Yanğın siqnalizasiyası)</t>
  </si>
  <si>
    <t xml:space="preserve">İdarəetmə pultu </t>
  </si>
  <si>
    <t>Avtomatik OS bildiriciləri: şüşədə quraşdırılan zərbə- kontaktlı, kontaktsız elektromaqnit və ya pyezoelektrik</t>
  </si>
  <si>
    <t>Yanğın siqnalizasiya sistemi üçün, akkumlyator  (Akkumulyator batareyası)</t>
  </si>
  <si>
    <t>Yanğın siqnalizasiya sistemi üçün,baza  (Baza)</t>
  </si>
  <si>
    <t>Naqil PV1 en kəsiyi 2,5mm² (Naqil PV1 3x2,5mm² )</t>
  </si>
  <si>
    <t xml:space="preserve"> Naqil üçün Qırçınlı PLASTİK yanmaz Boru (   d= 25mm) t-50m (Boru PVX D25mm)</t>
  </si>
  <si>
    <t>Qüllə (Texnoloji avadanlıqlar)</t>
  </si>
  <si>
    <t>Bucurqad (lebyotka) Q=0,25t 20m</t>
  </si>
  <si>
    <t>(0,4 kv-luq şəbəkə)</t>
  </si>
  <si>
    <t>Yüksək elastikliyə, geniş diapazonlu təzyiqə malik,  standartlara cavab verən polietilen su və qaz borusu: diametri 110 mm, divarının qalınlığı 2,7 mm, PN 4   (PVC boru D100mm)</t>
  </si>
  <si>
    <t xml:space="preserve">Bir kabelin qorunması üçün büzmələnmiş PVX borularının torpağın altından çəkilməsi, diametri: 110 mm </t>
  </si>
  <si>
    <t>Yüksək elastikliyə, geniş diapazonlu təzyiqə malik,  standartlara cavab verən polietilen su və qaz borusu: diametri 50 mm, divarının qalınlığı 3 mm, PN 10   (PVC boru D50mm)</t>
  </si>
  <si>
    <t xml:space="preserve">Bir kabelin qorunması üçün büzmələnmiş PVX borularının torpağın altından çəkilməsi, diametri: 50 mm </t>
  </si>
  <si>
    <t>0,6/1,0 kV-luq güc kabeli  3х95+1х50</t>
  </si>
  <si>
    <t>0,6/1,0 kV-luq güc kabeli  4х16</t>
  </si>
  <si>
    <t>0,6/1,0 kV-luq güc kabeli  4x4</t>
  </si>
  <si>
    <t>0,6/1,0 kV-luq güc kabeli  4x6</t>
  </si>
  <si>
    <t>0,6/1,0 kV-luq güc kabeli  3x4</t>
  </si>
  <si>
    <t>Çəkilmiş boru, blok və qutularda 35 kV-a qədər kabel, 1 m kabelin kütləsi, kq, qədər:1</t>
  </si>
  <si>
    <t>Xəndəkdə bir kabel olduğu zaman altlıqların qurulması</t>
  </si>
  <si>
    <t>Hazır xəndəklərdə 35kV-a qədər örtüksüz kabel 1 m-in kütləsi, kq, qədər: 1</t>
  </si>
  <si>
    <t>Kabel ucluğu 50mm (Kabel ucluğu)</t>
  </si>
  <si>
    <t>Kabel ucluğu 95mm (Kabel ucluğu)</t>
  </si>
  <si>
    <t>Plastmas və rezin izolyasiyalı 1 kV-a qədər gərginlikli 3-5 damarlı kabel üçün sonluqların quru bağlanılması, bir damarın en kəsiyi, mm² , qədər:120</t>
  </si>
  <si>
    <t>Eni 2 m-ə qədər, dərinliyi 2 m-ə qədər olan xəndəklərdə qruntun bərkitmələr tətbiq etməklə əl ilə qazılması, qruntun qrupu: 2</t>
  </si>
  <si>
    <t>Qruntun 10 m-ə qədər məsafəyə daşınmaqla buldozerlərlə qazılması, buldozerin gücü: 59 (80) kVt (a.g.), 2-ci qrup qrunt</t>
  </si>
  <si>
    <t>İkiqütblü rubilnik 25A (Kəsən açar 380V, 20A)</t>
  </si>
  <si>
    <t>(Dizel generatoru)</t>
  </si>
  <si>
    <t>40 kVt Dizel generatorları (Generator tipi 50kVA, 40kVt 380V, 50H (P=1180kq) avtomatik idarəetmə paneli ilə komplekt )</t>
  </si>
  <si>
    <t>Açıq meydançada maşınların və mexanizmlərin quraşdırılması, maşınların və mexanizmlərin kütləsi: 1,5 t</t>
  </si>
  <si>
    <t xml:space="preserve">Polad borular, 102/5mm </t>
  </si>
  <si>
    <t>Dəmir-beton bünövrə tavalarının qurulması: yastı</t>
  </si>
  <si>
    <t>(Sahədaxili yanğın siqnalizasiya xətti)</t>
  </si>
  <si>
    <t>Trassanın hərəkətli hissəsində yığılmış eyni tipli yığma dəmir-beton quyuların qurulması: (Telekomunikasiya quyu )</t>
  </si>
  <si>
    <t>Dəmir-beton kabel kanalizasiya quyusu yığılma (keçid-3ədəd, döngəli 1 ədəd)</t>
  </si>
  <si>
    <t xml:space="preserve">Telefon kanalizasiyasında kabel quyuları üçün yüngül tipli lyuk </t>
  </si>
  <si>
    <t>Telefon, LAN, koaksial kabel  Cat 6-PVC 4x2x0,57</t>
  </si>
  <si>
    <t>Yüksək elastikliyə, geniş diapazonlu təzyiqə malik,  standartlara cavab verən polietilen su və qaz borusu: diametri 63 mm, divarının qalınlığı 4,7 mm, PN 12,5   (Polietilen boru D63mm)</t>
  </si>
  <si>
    <t xml:space="preserve">Bir kabelin qorunması üçün büzmələnmiş PVX borularının torpağın altından çəkilməsi, diametri: 63 mm </t>
  </si>
  <si>
    <t>Çalovunun tutumu 0,5 (0,5-0,63) m3 olan ekskavatorlarla qruntun özüboşaldan avtomobillərə yüklənməklə qazılması, qruntun qrupu: 2</t>
  </si>
  <si>
    <t>(Sahədaxili videomüşahidə)</t>
  </si>
  <si>
    <t xml:space="preserve">Server şkafolçüləri 1000x800 mm,çəkisi 75 kq </t>
  </si>
  <si>
    <t xml:space="preserve">Videomüşahidə sistemi üçün xarici İP 2MP kamera </t>
  </si>
  <si>
    <t>Rəqəmsal media konvertor, 16-V2</t>
  </si>
  <si>
    <t>Optik kabel 6x8FO 12kN</t>
  </si>
  <si>
    <t>Telefon, LAN, koaksial kabel  Cat 6-PVC 4x2x0,57 (Kabel HD-SDI)</t>
  </si>
  <si>
    <t xml:space="preserve">Videonəzarət kamerası üçün kronşteyn </t>
  </si>
  <si>
    <t xml:space="preserve">Adaptor desktop, 12V5A,60W,4P DVR </t>
  </si>
  <si>
    <t>Fiber optik sonlanma paneli panel 24 port (Optik panel 8 port)</t>
  </si>
  <si>
    <t>Qida bloku +3fazlı (63x125,2x113,5)mm,  (Elektrik qida bloku )</t>
  </si>
  <si>
    <t>Gücləndirici qurğulu dispetçer yaxud direktor rabitə kommutatorları, nömrə tutumu 5</t>
  </si>
  <si>
    <t>Videomüşahidə sistemi üçün videoqeydiyyat cihazı (Qeydiyyat qurğusu)</t>
  </si>
  <si>
    <t>POE Switch 16-Port (Yaddaş qurğusu 18 Switch)</t>
  </si>
  <si>
    <t>Videomüşahidə sistemi üçün videoqeydiyyat cihazı (Videoreqistrator (Videoserver))</t>
  </si>
  <si>
    <t xml:space="preserve">Monitor </t>
  </si>
  <si>
    <t>Videomaqnitafon (monitorun quraşdırılması )</t>
  </si>
  <si>
    <t>Faxverkin quraşdırılması (Metal dayaq (D127x4mm) h=7m)</t>
  </si>
  <si>
    <t>Bünövrə-dirəklərin qurulması: beton (Dayaq özülü üçün beton B15)</t>
  </si>
  <si>
    <t>İstilik məntəqəsi (Torpaq işləri)</t>
  </si>
  <si>
    <t>Çalovunun tutumu 0,5 (0,5-0,63) m3 olan ekskavatorlarla qruntun özüboşaldan avtomobillərə yüklənməklə qazılması, qruntun qrupu: 2 (artıq torpaq)</t>
  </si>
  <si>
    <t>İstilik məntəqəsi (Bünövrə)</t>
  </si>
  <si>
    <t>Dəmir-beton bünövrə tavalarının qurulması: yastı (b20)</t>
  </si>
  <si>
    <t>Beton və daş səthlərin sement-əhəng və ya sement məhlulu ilə suvanması: divarların, sadə (Torpaqla təmasda olan daş hissənin)</t>
  </si>
  <si>
    <t>Divar və bünövrələrin hidroizolyasiyası: yandan, kərpic, beton və but hörgüsünün düzləndirilmiş səthi üzrə yapışdırıcılı 2 qat</t>
  </si>
  <si>
    <t>Bünövrə altı əsasların qurulması:qırmadaşlı (monalit döşəmə)</t>
  </si>
  <si>
    <t>Betondan yastı bünövrə tavalarının qurulması (b20, Beton döşəmə)</t>
  </si>
  <si>
    <t>Ümumi təyinatlı dəmir-beton bünövrələrin qurulması, həcmi: 5 m3-a qədər (b12.5)</t>
  </si>
  <si>
    <t>İstilik məntəqəsi (D/b konstruksiyalar)</t>
  </si>
  <si>
    <t>İstilik məntəqəsi (Divar və arakəsmələr)</t>
  </si>
  <si>
    <t>Qapı-pəncərə üstü atma</t>
  </si>
  <si>
    <t>İstilik məntəqəsi (Dam örtüyü)</t>
  </si>
  <si>
    <t>Pastalarla antiseptikləşdirmə: baş tirlərin, tirlərin, astar qatının örtüklərinin</t>
  </si>
  <si>
    <t>Metal su axıdıcı sistemin qurulması: qıflar</t>
  </si>
  <si>
    <t>İstilik məntəqəsi (Qapı və pəncərələr)</t>
  </si>
  <si>
    <t>Yaşayış və ictimai binalarda PVX profildən pəncərə bloklarının qoyulması: açılmıyan, boşluğun sahəsi 2 m²-ə qədər</t>
  </si>
  <si>
    <t>İstilik məntəqəsi (Döşəmələr)</t>
  </si>
  <si>
    <t>Birləşdirici qatın düzəldilməsi: (əlavə 10mm)</t>
  </si>
  <si>
    <t>Birləşdirici qatın düzəldilməsi: sement, qalınlığı 20 mm (Artırma-3.9m²)</t>
  </si>
  <si>
    <t>Sement məhlulunda tavalardan örtüklərin düzəldilməsi: keramik,döşəmələr üçün bir rəngli boya ilə (sürüşməyən)</t>
  </si>
  <si>
    <t>İstilik məntəqəsi (Bəzək işləri)</t>
  </si>
  <si>
    <t>İstilik məntəqəsi.Daxili su kəməri və kanalizasiya (S1-soyuq su şəbəkəsi)</t>
  </si>
  <si>
    <t>Polad borulardan olan boru kəmərlərinə ventillərin, siyirtmələrin, sürgülərin, əks klapanların, keçid kranlarının qoyulması, boruların diametri: 50 mm-ə qədər (D50mm siyirtmənin quraşdırılması)</t>
  </si>
  <si>
    <t>Paraşoklu yanğın söndürən aparat 6kq (Paraşoklu yanğın söndürən (səyyar tipli) V=50L)</t>
  </si>
  <si>
    <t>İstilik məntəqəsi.Daxili su kəməri və kanalizasiya (İS3-İsti su şəbəkəsi)</t>
  </si>
  <si>
    <t>Elektrik qaynaqlı polad borulardan istilik və su təchizatı boru kəmərlərinin çəkilməsi, diametri: 40 mm-ə qədər (D38x2.5mm)</t>
  </si>
  <si>
    <t>Diametri 15 mm olan 1,6 MPa (16 kqq/sm²) təzyiqli su üçün ı, muftalı keçid ventilləri</t>
  </si>
  <si>
    <t>İstilik məntəqəsi.Daxili su kəməri və kanalizasiya (K3-istehsalat kanalizasiyası)</t>
  </si>
  <si>
    <t>Santexnika (yoxlama) lyuklarının qoyulması: özü kəsən şuruplarla bərkidilməsi (Yoxlayıcı D110mm )</t>
  </si>
  <si>
    <t>Əlüzyuyanların quraşdırılması: isti və soyuq su çəkilməklə (Əlüzyuyan qarışdırıcı və sifonla)</t>
  </si>
  <si>
    <t>Keramik çanaq,   (sifonlu, su qarışdırıcılı)</t>
  </si>
  <si>
    <t>İstilik məntəqəsi (Avadanlıq və boru kəməri)</t>
  </si>
  <si>
    <t>Birseksiyalı sürətli su qızdırıcılarının qoyulması, bir seksiyanın qızdırma səthi: 4 m²-ə qədər (Divar tipli qaz işləyən Yoğuşmalı qazanın (86000kkal/saat))</t>
  </si>
  <si>
    <t>Divar tipli yoğuşmalı su qızdırıcı qazan  86000kkal/saat (Q=107kvt (92020kkal/s))</t>
  </si>
  <si>
    <t>Elektrik mühərrikli mərkəzdənqaçma nasoslarının qoyulması, aqreqatın kütləsi: 0,1 tona qədər (İsti su təchizatının şəbəkə nasosları N=3.0kvt 1işlək 1ehtiyat)</t>
  </si>
  <si>
    <t>Dövriyyə nasosu 65/160</t>
  </si>
  <si>
    <t>Elektrik mühərrikli mərkəzdənqaçma nasoslarının qoyulması, aqreqatın kütləsi: 0,1 tona qədər (İsti su nasosu N=0.75kvt və N=0.25kvt)</t>
  </si>
  <si>
    <t>Sirkuliyasiya nasosu  H:20M Q:6m3/s kvt : 0,75</t>
  </si>
  <si>
    <t>Tutumlu su qızdırıcılarının qoyulması, tutumu: 1 m3-ə qədər (Həcimli su qızdırıcının quraşdırılması)</t>
  </si>
  <si>
    <t>Sürətli su qızdırıcı Boyler V=500l m=181kq "</t>
  </si>
  <si>
    <t>İonitlərin xarici regenerasiyası ilə qarışdırıcı süzgəc, süzücü yükləmə hündürlüyü 1 m, diametri, mm: 2000 (Su yumşaldıcının quraşdırılması)</t>
  </si>
  <si>
    <t>Axın sürətinin bərpası ilə avtomatik su sərtliyinin aradan qaldırılması üçün Su yumşaltma cihazı,Məhsuldarlıq: 1,5 m3/saata qədər,</t>
  </si>
  <si>
    <t>İonitlərin xarici regenerasiyası ilə qarışdırıcı süzgəc, süzücü yükləmə hündürlüyü 1 m, diametri, mm: 2000 (Mexaniki filtirin quraşdırılması)</t>
  </si>
  <si>
    <t>Suyumşaldıcı qurğu Q=1m3/saat (Mexaniki təmizləmə süzgəci)</t>
  </si>
  <si>
    <t>Düzbucaqlı və dairəvi genişlənmə baklarının qoyulması, tutumu: 0,3 m³-ə qədər</t>
  </si>
  <si>
    <t>Genişlənmə çənləri, dairəvi, tutumu 0,3 m3-ə qədər</t>
  </si>
  <si>
    <t>Süzgəclərin qoyulması, diametri: 100 mm (Pislik tutucu)</t>
  </si>
  <si>
    <t>Çirk və hava ayırıcı 10 bar, 100</t>
  </si>
  <si>
    <t>Şamandra (suyun səviyyəsinə nəzarət) (Dəngə qabı)</t>
  </si>
  <si>
    <t>Havaaparıcıların qoyulması (Avtomatik hava xaric edici kran)</t>
  </si>
  <si>
    <t>Diametri 25 mm olan 1,6 MPa (16 kqq/sm²) təzyiqli su üçün ı, muftalı keçid ventilləri</t>
  </si>
  <si>
    <t>Diametri 32 mm olan 1,6 MPa (16 kqq/sm²) təzyiqli su üçün ı, muftalı keçid ventilləri</t>
  </si>
  <si>
    <t>Diametri 40 mm olan 1,6 MPa (16 kqq/sm²) təzyiqli su üçün ı, muftalı keçid ventilləri</t>
  </si>
  <si>
    <t>Ventil 60mm (D70mm)</t>
  </si>
  <si>
    <t>Polad borulardan olan boru kəmərlərinə ventillərin, siyirtmələrin, sürgülərin, əks klapanların, keçid kranlarının qoyulması, boruların diametri: 100 mm-ə qədər (siyirtmənin quraşdırılması)</t>
  </si>
  <si>
    <t>Siyirtmələr, 100mm</t>
  </si>
  <si>
    <t>Polad borulardan olan boru kəmərlərinə ventillərin, siyirtmələrin, sürgülərin, əks klapanların, keçid kranlarının qoyulması, boruların diametri: 50 mm-ə qədər (Əks klapanların quraşdırılması)</t>
  </si>
  <si>
    <t>Əks klapan, bağlantı-flanşlı, temp-100°C, təzyiq-16bar, DN 25</t>
  </si>
  <si>
    <t>Əks klapan, bağlantı-flanşlı, temp-100°C, təzyiq-16bar, DN 32</t>
  </si>
  <si>
    <t>Əks klapan, bağlantı-flanşlı, temp-100°C, təzyiq-16bar, DN 40</t>
  </si>
  <si>
    <t>Süzgəclərin qoyulması, diametri: 32 mm</t>
  </si>
  <si>
    <t>Süzgəclərin qoyulması, diametri: 40 mm</t>
  </si>
  <si>
    <t>Süzgəclərin qoyulması, diametri: 100 mm</t>
  </si>
  <si>
    <t>Yivli, kürəvi kranlar (Kilidli kran D40mm)</t>
  </si>
  <si>
    <t>Qoruyucu klapanların quraşdırılması: 50 mm-ə qədər</t>
  </si>
  <si>
    <t>Qoruyucu klapan D=40mm 16bar (D20mm)</t>
  </si>
  <si>
    <t>Manometrlərin qoyulması: üç gedişli kranlı və boru-sifonlu</t>
  </si>
  <si>
    <t>Manometr gliserin dolğulu (0-16 Bar 63 mm)</t>
  </si>
  <si>
    <t>П şəkilli kompensatorların qoyulması, boruların diametri: 50 mm (kompensatorların quraşdırılması)</t>
  </si>
  <si>
    <t xml:space="preserve">Kompensator (borular üçün silfon tipli D=32mm </t>
  </si>
  <si>
    <t xml:space="preserve">Kompensator (borular üçün silfon tipli) D=40mm </t>
  </si>
  <si>
    <t>(Borular)</t>
  </si>
  <si>
    <t>Sinklənməmiş polad su-qaz borularından istilik boru kəmərlərinin çəkilməsi, diametri: 15 mm</t>
  </si>
  <si>
    <t>Polad boru d15x2,8mm</t>
  </si>
  <si>
    <t>Sinklənməmiş polad su-qaz borularından istilik boru kəmərlərinin çəkilməsi, diametri: 20 mm</t>
  </si>
  <si>
    <t xml:space="preserve">Borular, 20/2,5mm </t>
  </si>
  <si>
    <t>Sinklənməmiş polad su-qaz borularından istilik boru kəmərlərinin çəkilməsi, diametri: 25 mm</t>
  </si>
  <si>
    <t xml:space="preserve">Polad borular, 25mm </t>
  </si>
  <si>
    <t>Sinklənməmiş polad su-qaz borularından istilik boru kəmərlərinin çəkilməsi, diametri: 32 mm</t>
  </si>
  <si>
    <t>Su-qaz boru kəmərləri, 32/3,2mm</t>
  </si>
  <si>
    <t>Sinklənməmiş polad su-qaz borularından istilik boru kəmərlərinin çəkilməsi, diametri: 40 mm</t>
  </si>
  <si>
    <t xml:space="preserve">Su-qaz boru kəmərləri, 40/3,5mm </t>
  </si>
  <si>
    <t>Sinklənməmiş polad su-qaz borularından istilik boru kəmərlərinin çəkilməsi, diametri: 50 mm</t>
  </si>
  <si>
    <t xml:space="preserve">Su-qaz boru kəmərləri, 50/3,5mm </t>
  </si>
  <si>
    <t>Elektrik qaynaqlı polad borulardan istilik və su təchizatı boru kəmərlərinin çəkilməsi, diametri: 80 mm (və D76x2.8mm)</t>
  </si>
  <si>
    <t>Polad boru diametri 76mm.  B 20</t>
  </si>
  <si>
    <t>Elektrik qaynaqlı polad borulardan istilik və su təchizatı boru kəmərlərinin çəkilməsi, diametri: 100 mm</t>
  </si>
  <si>
    <t>Polad boru diametri 108mm.  B 20</t>
  </si>
  <si>
    <t>Polad borulardan buxar su paylayıcı daraqların qoyulması, korpusunun xarici diametri: 108 mm (-ə qədər)</t>
  </si>
  <si>
    <t>Kollektor Ø 57х3 L=0,7 m</t>
  </si>
  <si>
    <t>Kollektor metal boru 76mmx3,5mm-L2,2metr (D89x2.8 L=1.0m)</t>
  </si>
  <si>
    <t>Keçid 45x2,5-32x2mm</t>
  </si>
  <si>
    <t>Metal Keçid Ø 65 → Ø 100</t>
  </si>
  <si>
    <t xml:space="preserve">Metal dirsək 90° 108x5 mm </t>
  </si>
  <si>
    <t xml:space="preserve">Metal dirsək 90° d76x4 mm </t>
  </si>
  <si>
    <t>Tikişsiz polad borulardan istilik və qaz təchizatı boru kəmərlərinin çəkilməsi, diametri: 150 mm (Qaz yollarının boruları)</t>
  </si>
  <si>
    <t>Xarici diametri 159mm, divarının qalınlığı 6,0 mm olan, qaynar deformasiya olunmuş, faskası çıxarılmış, tikişsiz,  polad borular</t>
  </si>
  <si>
    <t>Polad jalüz qəfəslərin qoyulması: tənzimləyici 200x400 mm ölçülü</t>
  </si>
  <si>
    <t>Metal səthlərin yağlı boya ilə rənglənməsi: polad tirlərin, diametri 50 mm və ondan artıq boruların, rənglənmənin sayı 2 dəfə</t>
  </si>
  <si>
    <t xml:space="preserve">Metal səthlərin bir dəfə astarlanması </t>
  </si>
  <si>
    <t>İstilik məntəqəsi (Elektrik işıqlanması)</t>
  </si>
  <si>
    <t>Çıraqlar (Közərmə lampalı çıraq 220V, 100Vt)</t>
  </si>
  <si>
    <t xml:space="preserve"> LED  1200 MM (LED lampalı çıraq 220V, 10 Vt lampa ilə dəst )</t>
  </si>
  <si>
    <t>Közərmə lampası 100Vt</t>
  </si>
  <si>
    <t>LED lampası 54Vt, 220V</t>
  </si>
  <si>
    <t>Közərmə lampalı işiqlandırıcı (12metr ) (Səyyar LED lampalı çıraq 54Vt)</t>
  </si>
  <si>
    <t>Elektrik açarları + Rozetka qapaqlı (Bir qütblü bir səmtli açar, gizli qurğu üçün mühafizəli 220V, 6A )</t>
  </si>
  <si>
    <t>Elektrik açarları + Rozetka qapaqlı (Bir qütblü iki səmtli açar, gizli qurğu üçün mühafizəli 220V, 6A )</t>
  </si>
  <si>
    <t xml:space="preserve">Çıraq kronşteyni </t>
  </si>
  <si>
    <t xml:space="preserve"> Naqil üçün Qırçınlı PLASTİK yanmaz Boru (   d= 25mm) t-50m (PVC boru D25mm)</t>
  </si>
  <si>
    <t>Daxili elektrik təchizatı üçün paylayıcı lövhə (Yanmaya və partlayışa davamlı şkaf ölçüsü (600x500x125)mm)</t>
  </si>
  <si>
    <t>3FAZ C TİPİ 16A AVTOMAT AÇAR, (3FAZ C TİPİ 10A AVTOMAT AÇAR)</t>
  </si>
  <si>
    <t>Paket çevirgəci 380V, 20A</t>
  </si>
  <si>
    <t>Maqnit işəsalıcı  6A (Maqnit işə salıcı rele ilə 380V)</t>
  </si>
  <si>
    <t>Maqnit işəsalıcı 9A (Maqnit işə salıcı rele ilə 380V)</t>
  </si>
  <si>
    <t>Düyməli post "Start-Stop"  (İdarəetmə düyməsi)</t>
  </si>
  <si>
    <t xml:space="preserve"> Naqil üçün Qırçınlı PLASTİK yanmaz Boru (   d= 25mm) t-50m (PVC boru D25)</t>
  </si>
  <si>
    <t>1,0 kV-luq güc kabeli 4х2,5</t>
  </si>
  <si>
    <t>Dairəvi polad, 16mm (Polad dairə, diametri 16mm, L=3m, P=7,8kq)</t>
  </si>
  <si>
    <t>İstilik məntəqəsi (Yanğın siqnalizasiyası)</t>
  </si>
  <si>
    <t>Yanğın paneli  (Pult  04 zona)</t>
  </si>
  <si>
    <t>PS cihazı: 4 şualı</t>
  </si>
  <si>
    <t xml:space="preserve">Yanğın siqnalizasiya sistemi üçün, işıq-səsxəbərvericisi (İşıq səs verən yanğın xəbərvericisi </t>
  </si>
  <si>
    <t>Avtomatik PS bildiriciləri: partlayışdan mühafizəli istilik, tüstü, işıq (Quraşdırılması)</t>
  </si>
  <si>
    <t>Avtomatik OS bildiriciləri: şüşədə quraşdırılan zərbə- kontaktlı, kontaktsız elektromaqnit və ya pyezoelektrik (Quraşdırılması)</t>
  </si>
  <si>
    <t>Yanğın siqnalizasiya sistemi üçün, akkumlyator  (Akkumulyator batareyası 12v7.8A)</t>
  </si>
  <si>
    <t>Yanğın siqnalizasiya sistemi üçün,baza</t>
  </si>
  <si>
    <t>Naqil PV1 en kəsiyi 2,5mm² (Naqil tutumu 3x2.5 PV)</t>
  </si>
  <si>
    <t>Yüksək elastikliyə, geniş diapazonlu təzyiqə malik,  standartlara cavab verən polietilen su və qaz borusu: diametri 50 mm, divarının qalınlığı 3 mm, , PN 10   (Viniplast boru D50mm)</t>
  </si>
  <si>
    <t xml:space="preserve"> Naqil üçün Qırçınlı PLASTİK Yanmaz Boru (   d= 20mm) t-50m (PVX boru D20mm)</t>
  </si>
  <si>
    <t>İstilik məntəqəsi (Qaz təchizatı)</t>
  </si>
  <si>
    <t>Polad borulardan olan boru kəmərlərinə ventillərin, siyirtmələrin, sürgülərin, əks klapanların, keçid kranlarının qoyulması, boruların diametri: 100 mm-ə qədər (Siyirtmənin quraşdırılması)</t>
  </si>
  <si>
    <t>Çuqun siyirtmələr 100mm</t>
  </si>
  <si>
    <t>Qoruyucu klapan D=40mm 16bar</t>
  </si>
  <si>
    <t>Polad borulardan olan boru kəmərlərinə ventillərin, siyirtmələrin, sürgülərin, əks klapanların, keçid kranlarının qoyulması, boruların diametri: 50 mm-ə qədər (qaz kranlarının quraşdırılması)</t>
  </si>
  <si>
    <t>Muftalı, latun dartıcı qaz kranları diametri 20 mm</t>
  </si>
  <si>
    <t>Muftalı, çuqun dartıcı qaz kranları diametri 32 mm (D40mm)</t>
  </si>
  <si>
    <t>Qaz kranı, diametri 15 mm, içi şarlı, əl dəstəkli (Kran D20mm)</t>
  </si>
  <si>
    <t xml:space="preserve">Mexaniki qarışıqlardan qazı təmizləmək üçün filtrlərin quraşdırılması diametri: 100 mm-ə qədər </t>
  </si>
  <si>
    <t>Qaz təzyiq tənzimləyicilərin quraşdırılması, diametri: 50 mm-ə qədər (Tənzimləyici və sabitləyici)</t>
  </si>
  <si>
    <t xml:space="preserve">Tənzimləyici sabitləşdirici </t>
  </si>
  <si>
    <t>Elektrik qaynaqlı polad borulardan istilik və su təchizatı boru kəmərlərinin çəkilməsi, diametri: 125 mm (D127x4mm gilz üçün)</t>
  </si>
  <si>
    <t>Polad boru diametri 133mm.  B 20</t>
  </si>
  <si>
    <t>Elektrik qaynaqlı polad borulardan istilik və su təchizatı boru kəmərlərinin çəkilməsi, diametri: 40 mm-ə qədər (D45x3.2mm gilz üçün)</t>
  </si>
  <si>
    <t>Polad boru.  B20 (D45x3.2mm)</t>
  </si>
  <si>
    <t>Elektrik qaynaqlı polad borulardan istilik və su təchizatı boru kəmərlərinin çəkilməsi, diametri: 50 mm (-ə qədər)</t>
  </si>
  <si>
    <t>Polad boru, diametri 25x2,5 (d38x2.8mm)</t>
  </si>
  <si>
    <t>Qaz-su xətləri üçün şərti keçid diametri 20 mm, divarının qalınlığı 2,5 mm olan yüngül, yivli, qaynaq edilmiş polad borular (sinklənməmiş)</t>
  </si>
  <si>
    <t>Boru kəmərləri üçün bərkidicilər: kronşteynlər, plankalar, xamtlar (kronşteyn və asma)</t>
  </si>
  <si>
    <t>Metal səthlərin bir dəfə astarlanması</t>
  </si>
  <si>
    <t>Astarlanmış metal səthlərin rənglənməsi</t>
  </si>
  <si>
    <t>İstilik məntəqəsi (Qazanxananın avtomatikası)</t>
  </si>
  <si>
    <t>NÖC üçün polad lövhələrin quraşdırılması ölçüsü: 700 x 600 mm (Nəzarət paneli quraşdırılması )</t>
  </si>
  <si>
    <t xml:space="preserve">Nəzarət paneli,  </t>
  </si>
  <si>
    <t>Motor idarəetmə paneli 0,4 kV 50A (Nasosların uzaqdan idarə olunması-açıb qapatma)  (600x500x200 mm) (Nasosların idarə paneli)</t>
  </si>
  <si>
    <t>Lövhə və pultlar, kütləsi: 50 kq–a qədər (Nasosların idarə paneli)</t>
  </si>
  <si>
    <t>Nəzarət kabeli  4x2,5</t>
  </si>
  <si>
    <t>Qoruyucu örtükdə naqil və ya iki-beş damarlı kabel divarların və örtüklərin hazır kanallarında (Kabelin divarda quraşdırılması)</t>
  </si>
  <si>
    <t xml:space="preserve">Polad boru, diametri 25x2,5 </t>
  </si>
  <si>
    <t>İstilik məntəqəsi (Qazın avtomatikası)</t>
  </si>
  <si>
    <t>Qaz detektoru (Qaz detektoru )</t>
  </si>
  <si>
    <t>Üç girişli ventil, 220 V ,16 ATM,1 m-lik kabelli,yarım zqonlu,çöl diş yivli,ölçüləri 3/4" (servomotorlu) (Avtomatik ventil)</t>
  </si>
  <si>
    <t>300/500V  2x2,5 telefon, LAN, koaksial kabel (Siqnal kabeli)</t>
  </si>
  <si>
    <t>Qoruyucu örtükdə naqil və ya iki-beş damarlı kabel divarların və örtüklərin hazır kanallarında</t>
  </si>
  <si>
    <t>Rele modulu</t>
  </si>
  <si>
    <t>Pult və panellərdə əlavə quraşdırılma :rele (Rele)</t>
  </si>
  <si>
    <t>Metal konstruksiyalar</t>
  </si>
  <si>
    <t>İstilik şəbəkəsi (İstilik şəbəkəsinin boruları)</t>
  </si>
  <si>
    <t>Boru kəmərlərinin şərti təzyiq 1,6 MPa, temperatur 150° C olduqda keçilməz kanallarda çəkilməsi, boruların diametri: 50 mm (-ə qədər (drenaj üçün))</t>
  </si>
  <si>
    <t>km</t>
  </si>
  <si>
    <t>Penopoliuretan (PPU) izolyasiyalı boru kəmərlərinin birləşmə yerlərini penopoliuretanla izolyasiya etməklə, şərti təzyiq 1,6 MPa, temperatur 150 ° C olduqda kanalsız çəkilməsi, boruların diametri: 50 mm</t>
  </si>
  <si>
    <t>Geotermal polad boru, polietilen boru örtüklü (90 mm), poliuretan izolyasiyalı, daxili diametri 25 mm (İzolyasiyalı Boru 25/75)</t>
  </si>
  <si>
    <t>Penopoliuretan (PPU) izolyasiyalı boru kəmərlərinin birləşmə yerlərini penopoliuretanla izolyasiya etməklə, şərti təzyiq 1,6 MPa, temperatur 150 ° C olduqda kanalsız çəkilməsi, boruların diametri: 80 mm</t>
  </si>
  <si>
    <t>Geotermal polad boru, polietilen boru örtüklü (140 mm), poliuretan izolyasiyalı, daxili diametri 65 mm (İzolyasiyalı Boru 76/140)</t>
  </si>
  <si>
    <t>Geotermal polad boru, polietilen boru örtüklü (90 mm), poliuretan izolyasiyalı, daxili diametri 25 mm (Birləşmə parçaları L=0.5m 7əd)</t>
  </si>
  <si>
    <t>Geotermal polad boru, polietilen boru örtüklü (140 mm), poliuretan izolyasiyalı, daxili diametri 65 mm (D70mm Birləşmə parçaları L=0.5m 7əd)</t>
  </si>
  <si>
    <t>İsti su və buxar üçün siyirtmələrin və polad klapanların qoyulması, boruların diametri: 50 mm (polad bağlayıcıların quraşdırılması)</t>
  </si>
  <si>
    <t>Ventil, 25mm</t>
  </si>
  <si>
    <t>Flansların polad boru kəmərlərinə qaynaq edilməsi, diametri: 50 mm (-ə qədər)</t>
  </si>
  <si>
    <t>Poladdan, boru kəmərləri üçün, birləşmə çıxışlı flanslar, şərti təzyiqi Pş 1,0 Mpa (10 kqq/sm²), şərti keçid diametri 40 mm ( D25mm)</t>
  </si>
  <si>
    <t>Boru kəmərlərin altında əsasın düzəldilməsi: qumdan</t>
  </si>
  <si>
    <t>V=81 m3-luq yanğın əleyhinə 1-ci su anbarı (Tikinti işləri)</t>
  </si>
  <si>
    <t>Çalovun tutumu 0,65(0,5-1) m3 olan “əks çalov”lu ekskavatorlarla qruntun xəndəklərdən kənara atılaraq qazılması, qruntun qrupu:2 (çənin üstünün torpaqla örtülür)</t>
  </si>
  <si>
    <t xml:space="preserve">Divar və bünövrələrin hidroizolyasiyası: üfüqi, 2 qat yapışdırıcılı </t>
  </si>
  <si>
    <t>Divarların və yastı diblərin quraşdırılması, qalınlığı: 150 mm-dən artıq düzbucaqlı qurğuları (b25)</t>
  </si>
  <si>
    <t>Birləşdirici qatın düzəldilməsi: sement, qalınlığı 20 mm (maillik üzrə)</t>
  </si>
  <si>
    <t>Sement örtüklərin möhkəmləndirilməsi</t>
  </si>
  <si>
    <t>Örtü və örtüklərin, penoplastdan olan məmulatlarla tam quru izolyasiya edilməsi (Qoruyucu qat-qal.20mm)</t>
  </si>
  <si>
    <t>Boru kəmərləri bünövrə və zirzəmi divarlarından keçdikdə, kipgəclərin birləşmə yerlərinin doldurulması, boruların diametri: 100 mm-ə qədər</t>
  </si>
  <si>
    <t>Lyukun qurulması</t>
  </si>
  <si>
    <t>Sement-qum düzləndirici qatın hazırlanması: (5mm əlavə)</t>
  </si>
  <si>
    <t xml:space="preserve">Əridilən materiallardan maili dam örtüyünün düzəldilməsi: 2 qatlı </t>
  </si>
  <si>
    <t>Sement-qum düzləndirici qatın hazırlanması: (15mm əlavə)</t>
  </si>
  <si>
    <t xml:space="preserve">Tutumun suburaxma davamlılığına sınağı </t>
  </si>
  <si>
    <t>V=81 m3-luq yanğın əleyhinə 1-ci su anbarı (Borular)</t>
  </si>
  <si>
    <t>Elektrik qaynaqlı polad borulardan istilik və su təchizatı boru kəmərlərinin çəkilməsi, diametri: 125 mm (Doldurma borusu. Elektrik qaynaqlı polad boru D114x3.5mm)</t>
  </si>
  <si>
    <t xml:space="preserve">  Diametri 114x4.5mm polad boru (D114x3.5mm)</t>
  </si>
  <si>
    <t>Polad Əymə 108X5 (D114)</t>
  </si>
  <si>
    <t>V=81 m3-luq yanğın əleyhinə 2-ci su anbarı (Tikinti işləri)</t>
  </si>
  <si>
    <t>V=81 m3-luq yanğın əleyhinə 2-ci su anbarı (Borular)</t>
  </si>
  <si>
    <t>Metal səthlərin bir dəfə astarlanması astarı ilə</t>
  </si>
  <si>
    <t>V=27 m3-luq 1-ci içməli su anbarı (Tikinti işləri)</t>
  </si>
  <si>
    <t xml:space="preserve">Boru kəmərləri bünövrə və zirzəmi divarlarından keçdikdə, kipgəclərin birləşmə yerlərinin doldurulması, boruların diametri: 100 mm-ə qədər </t>
  </si>
  <si>
    <t>Boru kəmərləri bünövrə və zirzəmi divarlarından keçdikdə, kipgəclərin birləşmə yerlərinin doldurulması, boruların diametri: 200 mm-ə qədər</t>
  </si>
  <si>
    <t>V=27 m3-luq 1-ci içməli su anbarı (Borular)</t>
  </si>
  <si>
    <t>Elektrik qaynaqlı polad borulardan istilik və su təchizatı boru kəmərlərinin çəkilməsi, diametri: 65 mm (Doldurma borusu. Elektrik qaynaqlı polad boru D57x3.5mm)</t>
  </si>
  <si>
    <t>Polad Əymə 57X4</t>
  </si>
  <si>
    <t>Üzgəc klapanlar (D50mm)</t>
  </si>
  <si>
    <t>Elektrik qaynaqlı polad borulardan istilik və su təchizatı boru kəmərlərinin çəkilməsi, diametri: 100 mm (Paylayıcı boru. Elektrik qaynaqlı polad boru D108x3.0mm)</t>
  </si>
  <si>
    <t>Xarici diametri 108 mm, divarının qalınlığı 3,0 mm olan  poladdan diametri 20 –dən 377 mm–dək, faskası çıxarılmış, düztikişli elektrik qaynaqlı polad borular</t>
  </si>
  <si>
    <t>Boşaldıcı qıfların qoyulması, diametri: 150 mm (D108x190)</t>
  </si>
  <si>
    <t>Polad Əymə 108X5</t>
  </si>
  <si>
    <t>Elektrik qaynaqlı polad borulardan istilik və su təchizatı boru kəmərlərinin çəkilməsi, diametri: 200 mm (Boşalma borusu. Elektrik qaynaqlı polad boru D219x4.0mm)</t>
  </si>
  <si>
    <t>Düztikişli elektrik qaynaqlı, diametri 20-dən 377mm qədər, xarici diametri 219mm, divarın qalınlığı 4,5mm olan polad borular</t>
  </si>
  <si>
    <t>İstilik sistemi, su kəməri və isti su təchizatı boru kəmərlərinin hidravlik sınağı, boruların diametri: 200 mm-ə qədər</t>
  </si>
  <si>
    <t>Elektrik qaynaqlı polad borulardan istilik və su təchizatı boru kəmərlərinin çəkilməsi, diametri: 100 mm (Daşma borusu. Elektrik qaynaqlı polad boru D108x3.0mm)</t>
  </si>
  <si>
    <t>Fasonlu hissələr (Bucaq L=500. Metal xətt L=500)</t>
  </si>
  <si>
    <t>V=27 m3-luq 2-ci içməli su anbarı (Tikinti işləri)</t>
  </si>
  <si>
    <t>V=27 m3-luq 2-ci içməli su anbarı (Borular)</t>
  </si>
  <si>
    <t>Su nasos stansiyası (Torpaq işləri)</t>
  </si>
  <si>
    <t>Su nasos stansiyası (Bünövrə)</t>
  </si>
  <si>
    <t>İstinad divarlarının və zirzəmi divarlarının qurulması: betondan (b10)</t>
  </si>
  <si>
    <t>Qoyma detalların qurulması, çəkisi: 4 kq-a qədər (ÇUXUR Qoyma detal QD)</t>
  </si>
  <si>
    <t>Boru kəmərləri bünövrə və zirzəmi divarlarından keçdikdə, kipgəclərin birləşmə yerlərinin doldurulması, boruların diametri: 100 mm-ə qədər (d-100mm)</t>
  </si>
  <si>
    <t>Boru kəmərləri bünövrə və zirzəmi divarlarından keçdikdə, kipgəclərin birləşmə yerlərinin doldurulması, boruların diametri: 100 mm-ə qədər (D-80mm-(2ədəd, D-50mm-(1əd.))</t>
  </si>
  <si>
    <t>Su nasos stansiyası (D/b konstruksiyalar)</t>
  </si>
  <si>
    <t>Kəmərlərin qurulması: qəlibdə (b15)</t>
  </si>
  <si>
    <t>Tirsiz örtüklərin qurulması, qalınlığı: 200 mm-ə qədər, dayaq meydançasından 6 m-ə qədər hündürlükdə (b20)</t>
  </si>
  <si>
    <t>Su nasos stansiyası (Divar və arakəsmələr)</t>
  </si>
  <si>
    <t>Su nasos stansiyası (Dam örtüyü)</t>
  </si>
  <si>
    <t xml:space="preserve">Yapışdırılan buxar izolyasiyasının düzəldilməsi: bir qat </t>
  </si>
  <si>
    <t>Örtüyün isidilməsi: keramzitlə (qal.100mm)</t>
  </si>
  <si>
    <t>Sement-qum düzləndirici qatın hazırlanması: (əlavə 10mm)</t>
  </si>
  <si>
    <t>Metal su axıdıcı sistemin qurulması: qıf</t>
  </si>
  <si>
    <t>Su nasos stansiyası (Qapı və pəncərələr)</t>
  </si>
  <si>
    <t>Metal qapılara qapı bağlayıcılarının qoyulması</t>
  </si>
  <si>
    <t>Yaşayış və ictimai binalarda PVX profildən pəncərə bloklarının qoyulması: dönən (açılan, dönən-açılan), boşluğun sahəsi 2 m²-ə qədər, bir laylı</t>
  </si>
  <si>
    <t>Su nasos stansiyası (Döşəmələr)</t>
  </si>
  <si>
    <t>Birləşdirici qatın düzəldilməsi: sement, qalınlığı 20 mm (TİP1-16m²)</t>
  </si>
  <si>
    <t>Su nasos stansiyası (Bəzək işləri)</t>
  </si>
  <si>
    <t>Qapı və pəncərələrin mail səthlərinin daş və beton üzrə suvanması: yastı (daxili-2.91m² və xarici -1.45m² yamaclar)</t>
  </si>
  <si>
    <t>Polivinilasetatlı suemulsiya tərkiblərlə yaxşılaşdırılmış rəngləmə: suvaq üzrə divarları (Daxili yamacla birlikdə)</t>
  </si>
  <si>
    <t>Səthləri hazırlamaqla fasadların tərkiblərlə taxtabəndlərdən rənglənməsi: perxlorvinilli (xarici yamacla birlikdə)</t>
  </si>
  <si>
    <t>Su nasos stansiyası (Müxtəlif işlər)</t>
  </si>
  <si>
    <t>Çəpərləmə ilə düzxətli və əyrixətli yanğın pilləkənlərinin quraşdırılması (Məhəccərlə birlikdə)</t>
  </si>
  <si>
    <t>Kəmərlərin qurulması: qəlibdə (b12.5,Metal hissənin divara bərkidilməsi)</t>
  </si>
  <si>
    <t>Səthin tozdan təmizlənməsi</t>
  </si>
  <si>
    <t>Astarlanmış metal səthlərin rənglənməsi emalı ilə</t>
  </si>
  <si>
    <t>Ümumi təyinatlı beton bünövrələrin qurulması, həcmi: 5 m3-a qədər (avadanlıq altı)</t>
  </si>
  <si>
    <t>Su nasos stansiyası (Avadanlıq boruları)</t>
  </si>
  <si>
    <t>Yanğınsöndürmə su nasosu  Q=18,0 m3/ / saaat H=32 m, N=3 kVt 1 ədəd işçi və 1 ədəd ehtiyyat. Avtomatika dolabı ilə birlikdə. ( Q=m3/h 18 \ H=m 32 \ N=kW 3 ) + 500 LT  PN10 (İçməli və yanğın əleyhinə su nasosları elektrik pano ilə Q=10m3/saat. H=25m. N=1.5kw (2 işlək, 1 ehtiyyat ))</t>
  </si>
  <si>
    <t>Dalğıc tipli drenaj su nasosu: Q=2.5 l/san= 9 m³/saat, H=3-5 m, N=1.0 kVt (Dalğıc nasos Q=8.0m3/saat H=10.0m N=0.55kw)</t>
  </si>
  <si>
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 (Elektrik mühərrikinin elektrik şəbəkəsinə birləşdirilməsi)</t>
  </si>
  <si>
    <t>Düzbucaqlı və dairəvi genişlənmə baklarının qoyulması, tutumu: 0,1 m3-ə qədər (Genləndirici çən V=100L)</t>
  </si>
  <si>
    <t>Genişlənmə çənləri, dairəvi, tutumu 0,1 m3-ə qədər</t>
  </si>
  <si>
    <t>Elektrik qaynaqlı polad borulardan istilik və su təchizatı boru kəmərlərinin çəkilməsi, diametri: 100 mm (D108x3.0mm)</t>
  </si>
  <si>
    <t>Elektrik qaynaqlı polad borulardan istilik və su təchizatı boru kəmərlərinin çəkilməsi, diametri: 80 mm (D76x3.5mm)</t>
  </si>
  <si>
    <t>Elektriklə qaynaq edilmiş borular, 40/2,5mm  (D38x2.5mm)</t>
  </si>
  <si>
    <t>Polad borulardan olan boru kəmərlərinə ventillərin, siyirtmələrin, sürgülərin, əks klapanların, keçid kranlarının qoyulması, boruların diametri: 100 mm-ə qədər (Siyirtmə D100mm quraşdırma)</t>
  </si>
  <si>
    <t>Polad siyirtmələr, 130mm (D100mm)</t>
  </si>
  <si>
    <t>Polad borulardan olan boru kəmərlərinə ventillərin, siyirtmələrin, sürgülərin, əks klapanların, keçid kranlarının qoyulması, boruların diametri: 100 mm-ə qədər (Siyirtmə D65mm quraşdırma)</t>
  </si>
  <si>
    <t>Siyirtmə diametri 76mm* (D65mm)</t>
  </si>
  <si>
    <t>Poladdan qaynaq olunmuş yastı polad flanslar; təzyiqi 0,6 MPa (6 kqq/sm²), diametri 100 mm</t>
  </si>
  <si>
    <t>Poladdan qaynaq olunmuş yastı polad flanslar; təzyiqi 0,6 MPa (6 kqq/sm²), 50 mm diametrli (D65mm)</t>
  </si>
  <si>
    <t>Əks klapan D=50mm 16kq/sm² (D65mm)</t>
  </si>
  <si>
    <t>Təzyiqi 1,6 MPa olan nasoslara vibroizolyasiya taxmalarının qoyulması, diametri: 100 mm (Elastik geydirmə D100mm)</t>
  </si>
  <si>
    <t>Təzyiqi 1,6 MPa olan nasoslara vibroizolyasiya taxmalarının qoyulması, diametri: 65 mm (Elastik geydirmə D65mm)</t>
  </si>
  <si>
    <t>Su təmizləmək üçün süzgəclər (D100mm)</t>
  </si>
  <si>
    <t>Konsentrik polad keçidlər (Ekssentrik keçid D100/D60)</t>
  </si>
  <si>
    <t>Su nasos stansiyası (Elektrik işıqlanması)</t>
  </si>
  <si>
    <t>Çıraqlar, (Közərmə lampalı çıraq 220V, 100Vt)</t>
  </si>
  <si>
    <t>Közərmə lampalı işiqlandırıcı (12metr )</t>
  </si>
  <si>
    <t>şəffaf kolbada qazla doldurulmuş közərmə lampaları (Közərmə lampası 60Vt)</t>
  </si>
  <si>
    <t>Paylayıcı qutu, ELEKTRIK MONTAJ QUTUSU 100x100mm  (Budaqlanma qutusu)</t>
  </si>
  <si>
    <t>1,0 kV-luq güc kabeli 3х1,5</t>
  </si>
  <si>
    <t>Su nasos stansiyası (Elektrik güc avadanlığı)</t>
  </si>
  <si>
    <t xml:space="preserve">Daxili elektrik təchizatı üçün paylayıcı lövhə (Yanmaya və partlayışa davamlı şkaf ölçüsü (300x300x125)mm </t>
  </si>
  <si>
    <t>3FAZ C TİPİ 16A AVTOMAT AÇAR,   (3FAZ C TİPİ 10A AVTOMAT AÇAR,  )</t>
  </si>
  <si>
    <t xml:space="preserve">Ehtiyatın avtomatik qoşulması 20A-ə qədər </t>
  </si>
  <si>
    <t>Divar və ya sütunda konstruksiya üzərində quraşdırılan bir-, iki-, üçpolyuslu avtomat, cərəyan, A, qədər:25 (Ehtiyatın avtomatik qoşulması EAQ-in quraşdırılması )</t>
  </si>
  <si>
    <t>Maqnit işəsalıcı 6A (Maqnit işə salıcısı rele ilə 380V , Mİ-İn=3.5A)</t>
  </si>
  <si>
    <t xml:space="preserve">Düyməli post  </t>
  </si>
  <si>
    <t>Ştepsel rozetkası-yerlə birləşdirmə,  1 - Lİ DƏRİN RAZETKA (İki qütblü açıq qurğu ştepsel rozetkası 10A , 380V yerləbirləşdiricisi olan )</t>
  </si>
  <si>
    <t>Avtoyuma (Torpaq işləri)</t>
  </si>
  <si>
    <t>Avtoyuma (Müxtəlif işlər)</t>
  </si>
  <si>
    <t>Dəmir-beton bünövrə tavalarının qurulması: yastı (b20,Döşəmə tavası)</t>
  </si>
  <si>
    <t>390x190x188 mm ölçülərində mişarlanmış əhəng daşlarından sütunların hörgüsü: 99x99 sm qalınlığında (Tumbalar)</t>
  </si>
  <si>
    <t>Beton hazırlıq qatının qurulması (Çuxur, B10)</t>
  </si>
  <si>
    <t>Boşluğun metal şəbəkələrinin quraşdırılması</t>
  </si>
  <si>
    <t>Avtoyuma.Daxili su kəməri və kanalizasiya (SO- ümumi təyinatlı su şəbəkəsi)</t>
  </si>
  <si>
    <t>Polipropilen borulardan daxili su təchizatı və istilik sistemlərinin boru kəmərlərinin çəkilməsi: 32mm (Yüksək təzyiqə davamlı polietilen boru D25(32x2.0))</t>
  </si>
  <si>
    <t xml:space="preserve">Yüksək elastikliyə, geniş diapazonlu təzyiqə malik,  standartlara cavab verən polietilen su və qaz borusu: diametri 32 mm, divarının qalınlığı 2 mm, , PN 10  </t>
  </si>
  <si>
    <t>Avtoyuma.Daxili su kəməri və kanalizasiya (K3-istehsalat kanalizasiyası)</t>
  </si>
  <si>
    <t>Polipropilen borulardan daxili kanalizasiya boru kəmərlərin çəkilməsi, diametri: 110mm (Polivinilxlorid kanalizasiya borusu D200mm)</t>
  </si>
  <si>
    <t xml:space="preserve">Yüksək elastikliyə və mexaniki zərbələrə davamlı, xarici qatındakı büzmələr sayəsində ağır tonlu yük avtomobillərinə qarşı dözümlülük xüsusiyyətinə malik  bir tərəfi muftalı yüksək sıxlıqlı qofralı polietilen kanalizasiya borusu: DN 200, , SN8  </t>
  </si>
  <si>
    <t>Polipropilen borulardan daxili kanalizasiya boru kəmərlərin çəkilməsi, diametri: 110mm (Polivinilxlorid kanalizasiya borusu D160mm)</t>
  </si>
  <si>
    <t xml:space="preserve">Yüksək elastikliyə və mexaniki zərbələrə davamlı, xarici qatındakı büzmələr sayəsində ağır tonlu yük avtomobillərinə qarşı dözümlülük xüsusiyyətinə malik  bir tərəfi muftalı yüksək sıxlıqlı qofralı polietilen kanalizasiya borusu: DN 150, , SN8  </t>
  </si>
  <si>
    <t>Trapların quraşdırılması diametri: 100 mm (D150mm)</t>
  </si>
  <si>
    <t>Avtoyuma (Texnoloji avadanlıqlar)</t>
  </si>
  <si>
    <t>Yüksək təziqli yuma apparatı,su həcmi 760litr/saat ,təziqi 175 bar,Dəstə şlanq və tapança daxildir</t>
  </si>
  <si>
    <t>2 yerlik ayaqyolu (Tikinti işləri)</t>
  </si>
  <si>
    <t>Beton hazırlıq qatının düzəldilməsi.</t>
  </si>
  <si>
    <t>A-1 sinifli armatur (Düyun ilə birlikdə)</t>
  </si>
  <si>
    <t>A-3 sinifli armatur (Düyün ilə birlikdə)</t>
  </si>
  <si>
    <t>Beton və daş səthlərin sement-əhəng və ya sement məhlulu ilə suvanması: divarların, sadə (torpaqla təmasda olan daş hissənin suvanması)</t>
  </si>
  <si>
    <t>Döşənək qatlarının düzəldilməsi: betonlu (b10)</t>
  </si>
  <si>
    <t>Sinklənmiş poladdan dam örtüyünün düzəldilməsi: divar novları ilə</t>
  </si>
  <si>
    <t>Örtüklərin düzəldilməsi: sement, qalınlığı 20 mm</t>
  </si>
  <si>
    <t>Tavanların qurulması: məsaməli plitələrdən, sinklənmiş profildən karkas üzrə</t>
  </si>
  <si>
    <t>Beton və daş səthlərin sement-əhəng və ya sement məhlulu ilə suvanması: divarların, sadə (kafel altı)</t>
  </si>
  <si>
    <t>Divar, dirək, pilyastr və mail səthlərin sement məhlulu əsasında (karniz, plintus və künc tavacıqlarından başqa) tualet qarnituru tavacıqları qoyulmadan, hamar üzlənməsi: kərpic və beton üzrə</t>
  </si>
  <si>
    <t>2 yerlik ayaqyolu. Daxili su kəməri və kanalizasiya (SO-Ümumi təyinatlı su şəbəkəsi)</t>
  </si>
  <si>
    <t>Polipropilen borulardan daxili su təchizatı və istilik sistemlərinin boru kəmərlərinin çəkilməsi: 32mm (Yüksək təzyiqə davamlı polietilen boru (PN10) D25(32x2.0))</t>
  </si>
  <si>
    <t>Polipropilen borulardan daxili su təchizatı və istilik sistemlərinin boru kəmərlərinin çəkilməsi: 20mm (Yüksək təzyiqə davamlı polietilen boru (PN10) D15(20x2.0))</t>
  </si>
  <si>
    <t xml:space="preserve">Yüksək elastikliyə, geniş diapazonlu təzyiqə malik,  standartlara cavab verən polietilen su və qaz borusu: diametri 20 mm, divarının qalınlığı 2 mm, , PN 16  </t>
  </si>
  <si>
    <t>2 yerlik ayaqyolu. Daxili su kəməri və kanalizasiya (K3-İstehsalat kanalizasiyası)</t>
  </si>
  <si>
    <t>Daxili kanalizasiya üçün  olan polietilen borulardan boru kəmərləri, diametri 100 mm</t>
  </si>
  <si>
    <t>Santexnika (yoxlama) lyuklarının qoyulması: özü kəsən şuruplarla bərkidilməsi (Yoxlayıcı D100)</t>
  </si>
  <si>
    <t>Çanaqların quraşdırılması (döşəmə unitazları): baçokla yüksək yerlərdə (Klozet kasa. yuyucu bak və sifonla quraşdırma)</t>
  </si>
  <si>
    <t xml:space="preserve">Unitaz azyat </t>
  </si>
  <si>
    <t>Çanaq üçün sifon boru (Klozet üçün)</t>
  </si>
  <si>
    <t>2 yerliq ayaqyolu (Ventilyasiya)</t>
  </si>
  <si>
    <t>Polad jalüz qəfəslərin qoyulması: tərpənməz, birseksiyalı, 150x490 mm ölçülü (Şəbəkə 150x200)</t>
  </si>
  <si>
    <t>Tənzimlənməyən qəfəslər (şəbəkələr), 200x200 mm ölçülü</t>
  </si>
  <si>
    <t>2 yerliq ayaqyolu (Elektrik işıqlanması)</t>
  </si>
  <si>
    <t>AVTOMAT AÇAR (Avtomat açar 220V , 16A)</t>
  </si>
  <si>
    <t>Çıraqlar, NBO06x100/P2 (Közərmə lampalı çıraq 220V , 1x60Vt)</t>
  </si>
  <si>
    <t>Közərmə lampası 60Vt</t>
  </si>
  <si>
    <t>Elektrik açarları + Rozetka qapaqlı, (Bir qütblü bir səmtli açar ,açıq qurğu üçün (mühafizəli) 220V 10A ,  )</t>
  </si>
  <si>
    <t>Elektrik açarları + Rozetka qapaqlı, (İki qütblü iki səmtli açar, açıq qurğu üçün (mühafizəli) 220V , 10A)</t>
  </si>
  <si>
    <t>0,6/1,0kV-luq nəzarət kabeli  3x2,5</t>
  </si>
  <si>
    <t>Ümumisahə materialları. (S0-Ümumi təyinatlı su şəbəkəsi)</t>
  </si>
  <si>
    <t>Çalovun tutumu 0,5 (0,5-0,63) m3 olan ekskavatorlarla qruntun kənara atılaraq qazılması, qruntun qrupu: 2</t>
  </si>
  <si>
    <t>Polad su boru kəmərlərinin, hidravlik sınaqdan çıxarmaqla çəkilməsi, boruların diametri: 200 mm (D219x4.0)</t>
  </si>
  <si>
    <t>Polad su boru kəmərlərinin, hidravlik sınaqdan çıxarmaqla çəkilməsi, boruların diametri: 100 mm (D108x3.0)</t>
  </si>
  <si>
    <t>Polietilen borulardan boru kəmərlərinin çəkilməsi, diametri: 63 mm (Yüksək təzyiqə davamlı polietilen su borusu D75x4.5mm)</t>
  </si>
  <si>
    <t xml:space="preserve">Yüksək elastikliyə, geniş diapazonlu təzyiqə malik,  standartlara cavab verən polietilen su və qaz borusu: diametri 75 mm, divarının qalınlığı 4,5 mm, , PN 10  </t>
  </si>
  <si>
    <t>Polietilen borulardan boru kəmərlərinin çəkilməsi, diametri: 63 mm (Yüksək təzyiqə davamlı polietilen su borusu D63x3.8mm)</t>
  </si>
  <si>
    <t xml:space="preserve">Yüksək elastikliyə, geniş diapazonlu təzyiqə malik,  standartlara cavab verən polietilen su və qaz borusu: diametri 63 mm, divarının qalınlığı 3,8 mm, , PN 10  </t>
  </si>
  <si>
    <t>Polietilen borulardan boru kəmərlərinin çəkilməsi, diametri: 50 mm (Yüksək təzyiqə davamlı polietilen su borusu D32x2.0mm)</t>
  </si>
  <si>
    <t>Boru kəmərlərinin dezinfeksiya olunmaqla yuyulması, boruların diametri: 50-65 mm</t>
  </si>
  <si>
    <t>Çuqun siyirtmələrin və ya əks klapanların qoyulması, diametri: 200 mm (D200mm siyirtmə quraşdırılması)</t>
  </si>
  <si>
    <t>Çuqun siyirtmələr 150mm (D200mm)</t>
  </si>
  <si>
    <t>Çuqun siyirtmələrin və ya əks klapanların qoyulması, diametri: 80 mm (D65mm siyirtmə quraşdırılması)</t>
  </si>
  <si>
    <t>Çuqun siyirtmələr, 64mm</t>
  </si>
  <si>
    <t>Poladdan qaynaq olunmuş yastı polad flanslar; təzyiqi 0,6 MPa (6 kqq/sm²), diametri 200 mm</t>
  </si>
  <si>
    <t>Suvarma kranının qoyulması, diametri: 25 mm</t>
  </si>
  <si>
    <t>Rezin şlanq (rukav), 25mm</t>
  </si>
  <si>
    <t>Yığma dəmir-betondan dairəvi quyuların qurulması, qruntlar: quru</t>
  </si>
  <si>
    <t>Yığma beton konstruksiyalar</t>
  </si>
  <si>
    <t>Çuqun lyuklar(diametri 70 sm)</t>
  </si>
  <si>
    <t>Ümumisahə materialları. (K1-məişət kanalizasiyası)</t>
  </si>
  <si>
    <t>Polietilen borulardan boru kəmərlərinin çəkilməsi, diametri: 160 mm (Polietilen -polipropilen kanalizasiya borusu (korrige) D150mm)</t>
  </si>
  <si>
    <t>Yüksək elastikliyə və mexaniki zərbələrə davamlı, xarici qatındakı büzmələr sayəsində ağır tonlu yük avtomobillərinə qarşı dözümlülük xüsusiyyətinə malik bir tərəfi muftalı yüksək sıxlıqlı qofralı polietilen kanalizasiya borusu: DN 150, (D150mm)</t>
  </si>
  <si>
    <t>Dairəvi yığma dəmir-beton kanalizasiya quyularının qurulması, diametri: 1,5 m quru qruntlarda</t>
  </si>
  <si>
    <t>Dairəvi yığma dəmir-beton kanalizasiya quyularının qurulması, diametri: 1 m quru qruntlarda</t>
  </si>
  <si>
    <t>Polietilen yağ tutucu qurğu (Benzin -yağ tutan)</t>
  </si>
  <si>
    <t>(Şaquli planlaşdırma)</t>
  </si>
  <si>
    <t>Qruntun hər növbəti 10 m əlavə etmək</t>
  </si>
  <si>
    <t>Çalovunun tutumu 0,5 (0,5-0,63) m3 olan ekskavatorlarla qruntun özüboşaldan avtomobillərə yüklənməklə qazılması, qruntun qrupu: 2 (Çatışmayan qrunt)</t>
  </si>
  <si>
    <t xml:space="preserve">əlavə 5 m </t>
  </si>
  <si>
    <t>8 t-luq yumruqcuqlu qoşqulu vərdənə ilə bir iz üzrə birinci gedişdə qruntun sıxlaşdırılması, qatın qalınlığı: 20 sm</t>
  </si>
  <si>
    <t>Bir iz üzrə hər növbəti gediş zamanı(əlavə 6 gediş)</t>
  </si>
  <si>
    <t>Çalovunun tutumu 0,5 (0,5-0,63) m3 olan ekskavatorlarla qruntun özüboşaldan avtomobillərə yüklənməklə qazılması, qruntun qrupu: 1 (Münbit torpaq qatının gətirilməsi)</t>
  </si>
  <si>
    <t>Yollar. (Sahədaxili asfaltbeton yollar 383,7 m²)</t>
  </si>
  <si>
    <t>Əsasların döşənək və hamarlayıcı qatlarının qurulması: qum-çınqıl qatışığından, iri qumdan (250 mm)</t>
  </si>
  <si>
    <t xml:space="preserve">Çınqıl </t>
  </si>
  <si>
    <t>70-120 mm fraksiyalı qırmadaşdan qalınlığı 12 sm olan əsasların qurulması: birqat</t>
  </si>
  <si>
    <t>Qatın qalınlığı hər 1 sm dəyişdikdə (əlavə 3 sm)</t>
  </si>
  <si>
    <t>Sıx iri-dənəvər AB tipli qaynar asfalt-beton qatışığından qalınlığı 4 sm olan örtüyün qurulması, daş materiallarının sıxlığı: 2,5-2,9 t/m3</t>
  </si>
  <si>
    <t>Örtüyün qalınlığı 0,5 sm dəyişdikdə (əlavə 3 sm)</t>
  </si>
  <si>
    <t>Sıx xırda-dənəvər ABV tipli qaynar asfalt-beton qatışığından qalınlığı 4 sm olan örtüyün qurulması, daş materiallarının sıxlığı: 2,5-2,9 t/m3</t>
  </si>
  <si>
    <t>Örtüyün qalınlığı 0,5 sm dəyişdikdə (əlavə 1 sm)</t>
  </si>
  <si>
    <t>Beton bort daşlarının quraşdırılması: sement-beton örtüklərdə</t>
  </si>
  <si>
    <t>Yollar (Ərazidən kənar asfaltbeton yollar 216 m²)</t>
  </si>
  <si>
    <t>Yollar (Dəmirbeton yollar 1021 m²)</t>
  </si>
  <si>
    <t>Döşənək qatlarının düzəldilməsi: betonlu</t>
  </si>
  <si>
    <t>Səki (meydançalar) 1437,8 m²)</t>
  </si>
  <si>
    <t>Əsasların döşənək və hamarlayıcı qatlarının qurulması: qum-çınqıl qatışığından, iri qumdan (100 mm)</t>
  </si>
  <si>
    <t>Tökmə xırda dənəvər asfalt-beton qatışığından cığır və səkilərin qalınlığı 3 sm olan birqat asfalt-beton örtüklərinin qurulması</t>
  </si>
  <si>
    <t>Örtüyün qalınlığının 0,5 sm dəyişməsi zamanı (əlavə 1 sm)</t>
  </si>
  <si>
    <t>(Yaşıllaşdırma)</t>
  </si>
  <si>
    <t>Sahənin planlaşdırılması:mexaniki üsulla</t>
  </si>
  <si>
    <t>Sahənin bölünməsi</t>
  </si>
  <si>
    <t>Bitki torpağını əlavə etməklə, ölçüləri 1,0x1,0x0,6 m olan kvadrat topa torpaqla ağac və kollar üçün standart əkin yerlərinin əl ilə hazırlanması: 75 %-ə qədər</t>
  </si>
  <si>
    <t>1,0x1,0x0,6 m ölçülərdə topa torpaqla ağac və kolların əkilməsi</t>
  </si>
  <si>
    <t>Bitki torpağını əlavə etməklə, ölçüləri 0,5x0,5x0,4 m olan kvadrat topa torpaqla ağac və kollar üçün standart əkin yerlərinin əl ilə hazırlanması: 75 %-ə qədər</t>
  </si>
  <si>
    <t>0,5x0,5x0,4 m ölçülərdə topa torpaqla ağac və kolların əkilməsi</t>
  </si>
  <si>
    <t xml:space="preserve">Qalınlığı 15 sm olan bitki torpağını verməklə, parterşəkilli və adi qazonları düzəltmək üçün torpağın hazırlanması: mexaniki üsulla </t>
  </si>
  <si>
    <t>Parterşəkilli, mavritanşəkilli və adi qazonların əl ilə əkilməsi</t>
  </si>
  <si>
    <t>(Qum meydançası)</t>
  </si>
  <si>
    <t>Bir lay fanerdan döşəmələrin əsasının qurulması: sahəsi 20m² qədər (faner 18 mm)</t>
  </si>
  <si>
    <t xml:space="preserve">Bakelitlənmiş faner, qalınlığı 14 - 18 mm </t>
  </si>
  <si>
    <t>Döşənək qatlarının düzəldilməsi: qumlu</t>
  </si>
  <si>
    <t>(İstinad divarı və daş hasar (Torpaq işləri)</t>
  </si>
  <si>
    <t>25,1,1</t>
  </si>
  <si>
    <t>İstinad divarı və daş hasar (İstinad divarı İD-1)</t>
  </si>
  <si>
    <t>Beton hazırlıq qatının qurulması (b7.5)</t>
  </si>
  <si>
    <t>Lentvari bünövrələrin qurulması: dəmir-beton, yuxarı tərəfinin eni 1000 mm-ə qədər olduqda (b25)</t>
  </si>
  <si>
    <t>Dəmir-beton istinad divarlarının və zirzəmi divarlarının qurulması, hündürlüyü: 3 m-ə qədər, qalınlığı 500 mm-ə qədər (b25)</t>
  </si>
  <si>
    <t>25,1,2</t>
  </si>
  <si>
    <t>İstinad divarı və daş hasar (İstinad divarı İD-2)</t>
  </si>
  <si>
    <t>25,1,3</t>
  </si>
  <si>
    <t>İstinad divarı və daş hasar (İstinad divarı İD-3)</t>
  </si>
  <si>
    <t>25,1,4</t>
  </si>
  <si>
    <t>İstinad divarı və daş hasar (İstinad divarı İD-4)</t>
  </si>
  <si>
    <t>25,1,5</t>
  </si>
  <si>
    <t>İstinad divarı və daş hasar (İstinad divarı İD-5)</t>
  </si>
  <si>
    <t>25,1,6</t>
  </si>
  <si>
    <t>İstinad divarı və daş hasar (İstinad divarı İD-6)</t>
  </si>
  <si>
    <t>25,1,7</t>
  </si>
  <si>
    <t>İstinad divarı və daş hasar (İstinad divarı İD-7)</t>
  </si>
  <si>
    <t>25,1,8</t>
  </si>
  <si>
    <t>İstinad divarı və daş hasar (İstinad divarı İD-8)</t>
  </si>
  <si>
    <t>25,1,9</t>
  </si>
  <si>
    <t>İstinad divarı və daş hasar (İstinad divarı İD-9)</t>
  </si>
  <si>
    <t>25,1,10</t>
  </si>
  <si>
    <t>İstinad divarı və daş hasar (İstinad divarı İD-10)</t>
  </si>
  <si>
    <t>25,1,11</t>
  </si>
  <si>
    <t>İstinad divarı və daş hasar (İstinad divarı İD-11)</t>
  </si>
  <si>
    <t>25,1,12</t>
  </si>
  <si>
    <t>İstinad divarı və daş hasar (İstinad divarı İD-12)</t>
  </si>
  <si>
    <t>25,1,13</t>
  </si>
  <si>
    <t>İstinad divarı və daş hasar (İstinad divarı İD-13)</t>
  </si>
  <si>
    <t>İstinad divarı və daş hasar ("B"-"C" nöktələr arası daş hasar)</t>
  </si>
  <si>
    <t>Lentvari bünövrələrin qurulması:dəmir-beton, yuxarı tərəfinin eni 1000 mm-ə qədər olduqda ( b25, Daş və beton dirək üçün)</t>
  </si>
  <si>
    <t>390x190x188 mm ölçülərində mişarlanmış əhəng daşından bina və qurğuların bütöv divarlarının hörgüsü: 59 sm qalınlığında (kəsiklər)</t>
  </si>
  <si>
    <t>Taxta qəlibdə dəmir-beton sütunların qurulması, hündürlüyü: 4 m-ə qədər, perimetri 2 m-ə qədər (b25, dirək)</t>
  </si>
  <si>
    <t>Sement-əhəng məhlulu ilə daş üzrə yaxşılaşdırılmış suvama: divarları (Hasarın)</t>
  </si>
  <si>
    <t>Səthləri hazırlamaqla fasadların tərkiblərlə taxtabəndlərdən rənglənməsi: polivinilasetatlı (hasarın)</t>
  </si>
  <si>
    <t>İstinad divarı və daş hasar ("F"-"G" nöktələr arası daş hasar)</t>
  </si>
  <si>
    <t>Lentvari bünövrələrin qurulması:dəmir-beton, yuxarı tərəfinin eni 1000 mm-ə qədər olduqda ( b25)</t>
  </si>
  <si>
    <t>390x190x188 mm ölçülərində mişarlanmış əhəng daşından bina və qurğuların bütöv divarlarının hörgüsü: 39 sm qalınlığında (kəsiklər)</t>
  </si>
  <si>
    <t>İstinad divarı və daş hasar ("G"-"A" nöktələr arası daş hasar)</t>
  </si>
  <si>
    <t>İstinad divarı və daş hasar (Müxtəlif işlər)</t>
  </si>
  <si>
    <t>Gedişin yoxlanması üçün avtomotik yol şlaqbaumun quraşdırılması, eni 8 m-ə qədər</t>
  </si>
  <si>
    <t>Şlaqbaum - Açılış vaxtı 6, Qolun uzunluğu, 6 metr, Mühafizə sinfi IP44, Mühərrik növü, V 24/220, Ölçülər (UxGxH) 1080х360х380 мм, İşləmə temperaturu diapazonu -20…+50</t>
  </si>
  <si>
    <t>Söhbətgah (Torpaq işləri)</t>
  </si>
  <si>
    <t>Söhbətgah (Bünövrələr)</t>
  </si>
  <si>
    <t>Asfaltbeton örtüklərin düzəldilməsi: tökmə, qalınlığı 25 mm</t>
  </si>
  <si>
    <t>Asfaltbeton örtüklərin düzəldilməsi: (əlavə 35mm)</t>
  </si>
  <si>
    <t>Lentvari bünövrələrin qurulması: dəmir-beton, yuxarı tərəfinin eni 1000 mm-ə qədər olduqda (b15)</t>
  </si>
  <si>
    <t>Qoyma detalların qurulması, çəkisi: 4 kq-a qədər</t>
  </si>
  <si>
    <t>Sütunların altı üçün ümumi təyinatlı beton bünövrələrin qurulması, həcmi: 3 m3-a qədər (b7.5, beton tumba)</t>
  </si>
  <si>
    <t>Qruntun sıxlaşdırılması: qırmadaş ilə</t>
  </si>
  <si>
    <t>Dəmir-beton bünövrə tavalarının qurulması: yastı (b15, monolit döşəmə)</t>
  </si>
  <si>
    <t>Söhbətgah (Karkas)</t>
  </si>
  <si>
    <t>Müxtəlif təyinatlı çoxmərtəbəli binaların sütunlarının quraşdırılması, binaların hündürlüyü: 25 m-ə qədər</t>
  </si>
  <si>
    <t>Fermaların addımı 12 m-ə qədər olduqda, baş tirlərin quraşdırılması, binanın hündürlüyü: 25 m-ə qədər (Metal tirlərin quraşdırılması)</t>
  </si>
  <si>
    <t>Pilləkən boşluqlarının məhəccəri, pilləkən marşları, yanğın pilləkənləri</t>
  </si>
  <si>
    <t>Metal səthlərin yağlı boya ilə rənglənməsi: qəfəslərin, layların, diametri 50 mm və ondan az olan boruların, rənglənmənin sayı 2 dəfə</t>
  </si>
  <si>
    <t>Quraşdırma: zolaqlşəkilli və nazikvərəqli poladdan nov, qəfəslər, cəftələr (Metal otracaq altının quraşdırılması)</t>
  </si>
  <si>
    <t xml:space="preserve">Astarlanmış metal səthlərin rənglənməsi </t>
  </si>
  <si>
    <t>Söhbətgah (Örtük)</t>
  </si>
  <si>
    <t>Hazır dayaq tirlər üzrə metal keramitdən dam örtüklərinin düzəldilməsi: sadə dam örtüyü</t>
  </si>
  <si>
    <t>Dam örtüyü üçün yəhər (Metal bel kəməri)</t>
  </si>
  <si>
    <t>Novalça (dam örtüyü aksesuarı)</t>
  </si>
  <si>
    <t xml:space="preserve">Anker boltlarının qoyulması: hazır yuvacıqlara qoyulmaqla və bərkidilməklə, uzunluğu 1 m-ə qədər </t>
  </si>
  <si>
    <t>Tavanların qurulması: məsaməli plitələrdən, sinklənmiş profildən karkas üzrə (Lambrin asma tavanın quraşdırılması)</t>
  </si>
  <si>
    <t>Söhbətgah (Oturacaqlar)</t>
  </si>
  <si>
    <t>Karkas elementlərinin qoyulması: tirlərdən</t>
  </si>
  <si>
    <t>Söhbətgah (Döşəmələr)</t>
  </si>
  <si>
    <t>Səki plitələrdən örtüklərin qurulması, 1m²-ə qoyulan plitələrin sayı: 55 ədəd</t>
  </si>
  <si>
    <t>Xarici işıqlanma)</t>
  </si>
  <si>
    <t>Faxverkin quraşdırılması (Xarici işıqlanma üçün bir lampalı park dirəyi H=6m (P=72 kq) (8 ədəd))</t>
  </si>
  <si>
    <t>Bünövrə-dirəklərin qurulması: beton</t>
  </si>
  <si>
    <t>Çıraq LED, (Xarici işıqlanma üçün  LED çıraq )</t>
  </si>
  <si>
    <t>Binadan kənarda quraşdırılan lampalarla çıraq: civəli</t>
  </si>
  <si>
    <t>Lampa Led, Silindr tipli, (LED lampa 110Vt, 5000K)</t>
  </si>
  <si>
    <t>Qoruyucu 220V 4A (Qoruyucu 220V , 6A)</t>
  </si>
  <si>
    <t>Birləşdirici sıxaclar</t>
  </si>
  <si>
    <t>Quraşdırma kabelləri 3x2,5</t>
  </si>
  <si>
    <t>Ümumi hörmədə birdamarlı və ya çoxdamarlı birinci naqil, ümumi en kəsiyi, mm², qədər: 2,5</t>
  </si>
  <si>
    <t>Yüksək elastikliyə, geniş diapazonlu təzyiqə malik,  standartlara cavab verən polietilen su və qaz borusu: diametri 110 mm, divarının qalınlığı 3,4 mm, , (PVC boru D100mm)</t>
  </si>
  <si>
    <t>0,6/1,0 kV-luq güc kabeli  5x4</t>
  </si>
  <si>
    <t>FF</t>
  </si>
  <si>
    <t>Müvəqqəti bina və qurğular 1,8% (mütləq nəzərə alınmalıdır)</t>
  </si>
  <si>
    <t>Nəzərdə tutulmayan xərclər 2% (mütləq nəzərə alınmalıdır)</t>
  </si>
  <si>
    <t>Cəmi:</t>
  </si>
  <si>
    <t>ƏDV18%:</t>
  </si>
  <si>
    <t>Yekun:</t>
  </si>
  <si>
    <t>Employer / Sifarişçi</t>
  </si>
  <si>
    <t>Contractor / Podratçı</t>
  </si>
  <si>
    <t>Line</t>
  </si>
  <si>
    <t>Row</t>
  </si>
  <si>
    <t>Status</t>
  </si>
  <si>
    <t>Our quantity</t>
  </si>
  <si>
    <t>Bill quantity</t>
  </si>
  <si>
    <t>Unit</t>
  </si>
  <si>
    <t>Method</t>
  </si>
  <si>
    <t>Source</t>
  </si>
  <si>
    <t>Reason</t>
  </si>
  <si>
    <t>1.1.1</t>
  </si>
  <si>
    <t>matched</t>
  </si>
  <si>
    <t>m³</t>
  </si>
  <si>
    <t>stated</t>
  </si>
  <si>
    <t>demolition_volume</t>
  </si>
  <si>
    <t>equals Demolition volume</t>
  </si>
  <si>
    <t>1.1.2</t>
  </si>
  <si>
    <t>not_found</t>
  </si>
  <si>
    <t>t</t>
  </si>
  <si>
    <t>no measured item and the quantity is not printed on any drawing of this building</t>
  </si>
  <si>
    <t>1.1.3</t>
  </si>
  <si>
    <t>1.1.4</t>
  </si>
  <si>
    <t>2.1.1</t>
  </si>
  <si>
    <t>2.1.2</t>
  </si>
  <si>
    <t>2.1.3</t>
  </si>
  <si>
    <t>2.1.4</t>
  </si>
  <si>
    <t>review</t>
  </si>
  <si>
    <t>only weak candidates: the number appears on a drawing of this building without a unit or with too few digits</t>
  </si>
  <si>
    <t>2.1.5</t>
  </si>
  <si>
    <t>2.1.6</t>
  </si>
  <si>
    <t>2.1.7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</si>
  <si>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</si>
  <si>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</si>
  <si>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</si>
  <si>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</si>
  <si>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</si>
  <si>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</si>
  <si>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</si>
  <si>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</si>
  <si>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</si>
  <si>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</si>
  <si>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</si>
  <si>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</si>
  <si>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</si>
  <si>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m²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</si>
  <si>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</si>
  <si>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</si>
  <si>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</si>
  <si>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</si>
  <si>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</si>
  <si>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</si>
  <si>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</si>
  <si>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</si>
  <si>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</si>
  <si>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</si>
  <si>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</si>
  <si>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</si>
  <si>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</si>
  <si>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</si>
  <si>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</si>
  <si>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</si>
  <si>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</si>
  <si>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</si>
  <si>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</si>
  <si>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</si>
  <si>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2.3.13</t>
  </si>
  <si>
    <t>2.3.14</t>
  </si>
  <si>
    <t>2.3.15</t>
  </si>
  <si>
    <t>2.3.16</t>
  </si>
  <si>
    <t>2.3.17</t>
  </si>
  <si>
    <t>2.3.18</t>
  </si>
  <si>
    <t>2.3.19</t>
  </si>
  <si>
    <t>2.3.20</t>
  </si>
  <si>
    <t>2.3.21</t>
  </si>
  <si>
    <t>2.3.22</t>
  </si>
  <si>
    <t>2.3.23</t>
  </si>
  <si>
    <t>2.3.24</t>
  </si>
  <si>
    <t>2.3.25</t>
  </si>
  <si>
    <t>2.3.26</t>
  </si>
  <si>
    <t>2.4.1</t>
  </si>
  <si>
    <t>blocked</t>
  </si>
  <si>
    <t>derived</t>
  </si>
  <si>
    <t>basement_wall_area</t>
  </si>
  <si>
    <t>Basement limestone wall area is blocked: missing external_wall_length_m</t>
  </si>
  <si>
    <t>2.4.2</t>
  </si>
  <si>
    <t>2.4.3</t>
  </si>
  <si>
    <t>2.4.4</t>
  </si>
  <si>
    <t>2.4.5</t>
  </si>
  <si>
    <t>2.4.6</t>
  </si>
  <si>
    <t>2.4.7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</si>
  <si>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</si>
  <si>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</si>
  <si>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</si>
  <si>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</si>
  <si>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</si>
  <si>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</si>
  <si>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</si>
  <si>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</si>
  <si>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</si>
  <si>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2.5.10</t>
  </si>
  <si>
    <t>printed</t>
  </si>
  <si>
    <t>Hadrut DEPO/9335/9335 MH.pdf</t>
  </si>
  <si>
    <t>1660 m² is printed on 9335 MH.pdf sheet 9335- 01- MH, written with its unit m²</t>
  </si>
  <si>
    <t>2.5.11</t>
  </si>
  <si>
    <t>2.5.12</t>
  </si>
  <si>
    <t>230.5 m² is printed on 9335 MH.pdf sheet 9335- 01- MH, written with its unit m²</t>
  </si>
  <si>
    <t>2.5.13</t>
  </si>
  <si>
    <t>154.2 m is printed on 9335 MH.pdf sheet 9335- 01- MH, written with its unit m</t>
  </si>
  <si>
    <t>2.5.14</t>
  </si>
  <si>
    <t>190.5 m is printed on 9335 MH.pdf sheet 9335- 01- MH, written with its unit m</t>
  </si>
  <si>
    <t>2.5.15</t>
  </si>
  <si>
    <t>2.5.16</t>
  </si>
  <si>
    <t>2.5.17</t>
  </si>
  <si>
    <t>2.5.18</t>
  </si>
  <si>
    <t>145.7 m is printed on 9335 MH.pdf sheet 9335- 01- MH, next to the words mehecc</t>
  </si>
  <si>
    <t>2.5.19</t>
  </si>
  <si>
    <t>each</t>
  </si>
  <si>
    <t>2.5.20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</si>
  <si>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</si>
  <si>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</si>
  <si>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</si>
  <si>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</si>
  <si>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</si>
  <si>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</si>
  <si>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</si>
  <si>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</si>
  <si>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</si>
  <si>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2.6.10</t>
  </si>
  <si>
    <t>2.6.11</t>
  </si>
  <si>
    <t>2.6.12</t>
  </si>
  <si>
    <t>2.6.13</t>
  </si>
  <si>
    <t>2.6.14</t>
  </si>
  <si>
    <t>2.6.15</t>
  </si>
  <si>
    <t>2.7.1</t>
  </si>
  <si>
    <t>1344 m² is printed on 9335 MH.pdf sheet 9335- 01- MH, next to the words beton</t>
  </si>
  <si>
    <t>2.7.2</t>
  </si>
  <si>
    <t>repeats line 2.7.1 (1344 m²)</t>
  </si>
  <si>
    <t>2.7.3</t>
  </si>
  <si>
    <t>2.7.4</t>
  </si>
  <si>
    <t>2.7.5</t>
  </si>
  <si>
    <t>2.7.6</t>
  </si>
  <si>
    <t>43.8 m² is printed on 9335 MH.pdf sheet 9335- 01- MH, next to the words sement</t>
  </si>
  <si>
    <t>2.7.7</t>
  </si>
  <si>
    <t>2.7.8</t>
  </si>
  <si>
    <t>same quantity as line 2.7.7 (43.8 m²)</t>
  </si>
  <si>
    <t>2.7.9</t>
  </si>
  <si>
    <t>same quantity as line 2.7.8 (43.8 m²)</t>
  </si>
  <si>
    <t>2.7.10</t>
  </si>
  <si>
    <t>2.7.11</t>
  </si>
  <si>
    <t>43.8 m² is printed on 9335 MH.pdf sheet 9335- 01- MH, next to the words mehlul, sement</t>
  </si>
  <si>
    <t>2.7.12</t>
  </si>
  <si>
    <t>2.7.13</t>
  </si>
  <si>
    <t>2.7.14</t>
  </si>
  <si>
    <t>2.7.15</t>
  </si>
  <si>
    <t>2.7.16</t>
  </si>
  <si>
    <t>2.7.17</t>
  </si>
  <si>
    <t>2.7.18</t>
  </si>
  <si>
    <t>2.7.19</t>
  </si>
  <si>
    <t>2.7.20</t>
  </si>
  <si>
    <t>2.7.21</t>
  </si>
  <si>
    <t>2.7.22</t>
  </si>
  <si>
    <t>230.6 m² is printed on 9335 MH.pdf sheet 9335- 01- MH, next to the words istili, izolya</t>
  </si>
  <si>
    <t>2.7.23</t>
  </si>
  <si>
    <t>2.7.24</t>
  </si>
  <si>
    <t>2.7.25</t>
  </si>
  <si>
    <t>same quantity as line 2.7.22 (230.6 m²)</t>
  </si>
  <si>
    <t>2.7.26</t>
  </si>
  <si>
    <t>same quantity as line 2.7.25 (230.6 m²)</t>
  </si>
  <si>
    <t>2.7.27</t>
  </si>
  <si>
    <t>2.7.28</t>
  </si>
  <si>
    <t>same quantity as line 2.7.26 (230.6 m²)</t>
  </si>
  <si>
    <t>2.7.29</t>
  </si>
  <si>
    <t>2.7.30</t>
  </si>
  <si>
    <t>2.7.31</t>
  </si>
  <si>
    <t>2.7.32</t>
  </si>
  <si>
    <t>2.7.33</t>
  </si>
  <si>
    <t>2.7.34</t>
  </si>
  <si>
    <t>2.7.35</t>
  </si>
  <si>
    <t>2.7.36</t>
  </si>
  <si>
    <t>2.7.37</t>
  </si>
  <si>
    <t>2.7.38</t>
  </si>
  <si>
    <t>2.7.39</t>
  </si>
  <si>
    <t>2.7.40</t>
  </si>
  <si>
    <t>188.2 m² is printed on 9335 MH.pdf sheet 9335- 01- MH, next to the words sement</t>
  </si>
  <si>
    <t>2.7.41</t>
  </si>
  <si>
    <t>2.7.42</t>
  </si>
  <si>
    <t>same quantity as line 2.7.41 (188.2 m²)</t>
  </si>
  <si>
    <t>2.7.43</t>
  </si>
  <si>
    <t>same quantity as line 2.7.42 (188.2 m²)</t>
  </si>
  <si>
    <t>2.7.44</t>
  </si>
  <si>
    <t>2.7.45</t>
  </si>
  <si>
    <t>188.2 m² is printed on 9335 MH.pdf sheet 9335- 01- MH, next to the words mehlul, sement</t>
  </si>
  <si>
    <t>2.7.46</t>
  </si>
  <si>
    <t>2.7.47</t>
  </si>
  <si>
    <t>2.7.48</t>
  </si>
  <si>
    <t>2.7.49</t>
  </si>
  <si>
    <t>2.7.50</t>
  </si>
  <si>
    <t>2.7.51</t>
  </si>
  <si>
    <t>2.7.52</t>
  </si>
  <si>
    <t>2.7.53</t>
  </si>
  <si>
    <t>2.7.54</t>
  </si>
  <si>
    <t>2.7.55</t>
  </si>
  <si>
    <t>2.7.56</t>
  </si>
  <si>
    <t>2.7.57</t>
  </si>
  <si>
    <t>2.7.58</t>
  </si>
  <si>
    <t>2.7.59</t>
  </si>
  <si>
    <t>538.4 m² is printed on 9335 MH.pdf sheet 9335- 01- MH, next to the words beton</t>
  </si>
  <si>
    <t>2.7.60</t>
  </si>
  <si>
    <t>2.7.61</t>
  </si>
  <si>
    <t>same quantity as line 2.7.60 (538.4 m²)</t>
  </si>
  <si>
    <t>2.7.62</t>
  </si>
  <si>
    <t>2.7.63</t>
  </si>
  <si>
    <t>2.7.64</t>
  </si>
  <si>
    <t>2.7.65</t>
  </si>
  <si>
    <t>2.7.66</t>
  </si>
  <si>
    <t>2.7.67</t>
  </si>
  <si>
    <t>2.7.68</t>
  </si>
  <si>
    <t>2.7.69</t>
  </si>
  <si>
    <t>2.7.70</t>
  </si>
  <si>
    <t>2.7.71</t>
  </si>
  <si>
    <t>39 m² is printed on 9335 MH.pdf sheet 9335- 01- MH, next to the words mehlul, sement</t>
  </si>
  <si>
    <t>2.7.72</t>
  </si>
  <si>
    <t>2.7.73</t>
  </si>
  <si>
    <t>2.7.74</t>
  </si>
  <si>
    <t>2.7.75</t>
  </si>
  <si>
    <t>2.7.76</t>
  </si>
  <si>
    <t>2.7.77</t>
  </si>
  <si>
    <t>2.7.78</t>
  </si>
  <si>
    <t>2.7.79</t>
  </si>
  <si>
    <t>2.7.80</t>
  </si>
  <si>
    <t>35.4 m² is printed on 9335 MH.pdf sheet 9335- 01- MH, next to the words merteb</t>
  </si>
  <si>
    <t>2.8.1</t>
  </si>
  <si>
    <t>2.8.2</t>
  </si>
  <si>
    <t>2.8.3</t>
  </si>
  <si>
    <t>2.8.4</t>
  </si>
  <si>
    <t>2.8.5</t>
  </si>
  <si>
    <t>2.8.6</t>
  </si>
  <si>
    <t>2.8.7</t>
  </si>
  <si>
    <t>2.8.8</t>
  </si>
  <si>
    <t>2.8.9</t>
  </si>
  <si>
    <t>2.8.10</t>
  </si>
  <si>
    <t>2.8.11</t>
  </si>
  <si>
    <t>2.8.12</t>
  </si>
  <si>
    <t>2.9.1</t>
  </si>
  <si>
    <t>860 m² is printed on 9335 MH.pdf sheet 9335- 01- MH, next to the words divarl</t>
  </si>
  <si>
    <t>2.9.2</t>
  </si>
  <si>
    <t>860 m² is printed on 9335 MH.pdf sheet 9335- 01- MH, next to the words fasad, istili, izolya</t>
  </si>
  <si>
    <t>2.9.3</t>
  </si>
  <si>
    <t>2.9.4</t>
  </si>
  <si>
    <t>2.9.5</t>
  </si>
  <si>
    <t>2.10.1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</si>
  <si>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</si>
  <si>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</si>
  <si>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</si>
  <si>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</si>
  <si>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</si>
  <si>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</si>
  <si>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</si>
  <si>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</si>
  <si>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2.10.10</t>
  </si>
  <si>
    <t>2.10.11</t>
  </si>
  <si>
    <t>2.10.12</t>
  </si>
  <si>
    <t>2.10.13</t>
  </si>
  <si>
    <t>2.10.14</t>
  </si>
  <si>
    <t>2.10.15</t>
  </si>
  <si>
    <t>2.10.16</t>
  </si>
  <si>
    <t>2.10.17</t>
  </si>
  <si>
    <t>2.10.18</t>
  </si>
  <si>
    <t>2.10.19</t>
  </si>
  <si>
    <t>2.11.1</t>
  </si>
  <si>
    <t>2.11.2</t>
  </si>
  <si>
    <t>2.11.3</t>
  </si>
  <si>
    <t>2.11.4</t>
  </si>
  <si>
    <t>2.11.5</t>
  </si>
  <si>
    <t>2.11.6</t>
  </si>
  <si>
    <t>2.11.7</t>
  </si>
  <si>
    <t>2.11.8</t>
  </si>
  <si>
    <t>13.2 m is printed on 9335 MH.pdf sheet 9335- 01- MH, next to the words metal</t>
  </si>
  <si>
    <t>2.11.9</t>
  </si>
  <si>
    <t>2.12.1</t>
  </si>
  <si>
    <t>2.12.2</t>
  </si>
  <si>
    <t>2.12.3</t>
  </si>
  <si>
    <t>2.12.4</t>
  </si>
  <si>
    <t>2.12.5</t>
  </si>
  <si>
    <t>2.12.6</t>
  </si>
  <si>
    <t>2.12.7</t>
  </si>
  <si>
    <t>2.12.8</t>
  </si>
  <si>
    <t>2.12.9</t>
  </si>
  <si>
    <t>2.12.10</t>
  </si>
  <si>
    <t>2.12.11</t>
  </si>
  <si>
    <t>24.6 m² is printed on 9335 MH.pdf sheet 9335- 01- MH, next to the words tavala</t>
  </si>
  <si>
    <t>2.13.1</t>
  </si>
  <si>
    <t>2.13.2</t>
  </si>
  <si>
    <t>2.13.3</t>
  </si>
  <si>
    <t>2.13.4</t>
  </si>
  <si>
    <t>2.13.5</t>
  </si>
  <si>
    <t>2.13.6</t>
  </si>
  <si>
    <t>2.13.7</t>
  </si>
  <si>
    <t>2.13.8</t>
  </si>
  <si>
    <t>2.13.9</t>
  </si>
  <si>
    <t>2.13.10</t>
  </si>
  <si>
    <t>2.13.11</t>
  </si>
  <si>
    <t>2.13.12</t>
  </si>
  <si>
    <t>2.13.13</t>
  </si>
  <si>
    <t>2.13.14</t>
  </si>
  <si>
    <t>2.13.15</t>
  </si>
  <si>
    <t>2.13.16</t>
  </si>
  <si>
    <t>2.13.17</t>
  </si>
  <si>
    <t>2.13.18</t>
  </si>
  <si>
    <t>2.13.19</t>
  </si>
  <si>
    <t>2.13.20</t>
  </si>
  <si>
    <t>2.13.21</t>
  </si>
  <si>
    <t>2.13.22</t>
  </si>
  <si>
    <t>2.13.23</t>
  </si>
  <si>
    <t>2.13.24</t>
  </si>
  <si>
    <t>2.13.25</t>
  </si>
  <si>
    <t>2.13.26</t>
  </si>
  <si>
    <t>2.13.27</t>
  </si>
  <si>
    <t>2.13.28</t>
  </si>
  <si>
    <t>2.13.29</t>
  </si>
  <si>
    <t>2.13.30</t>
  </si>
  <si>
    <t>2.13.31</t>
  </si>
  <si>
    <t>2.13.32</t>
  </si>
  <si>
    <t>2.13.33</t>
  </si>
  <si>
    <t>2.13.34</t>
  </si>
  <si>
    <t>2.13.35</t>
  </si>
  <si>
    <t>2.13.36</t>
  </si>
  <si>
    <t>2.13.37</t>
  </si>
  <si>
    <t>2.13.38</t>
  </si>
  <si>
    <t>2.13.39</t>
  </si>
  <si>
    <t>2.13.40</t>
  </si>
  <si>
    <t>2.13.41</t>
  </si>
  <si>
    <t>2.13.42</t>
  </si>
  <si>
    <t>2.14.1</t>
  </si>
  <si>
    <t>2.14.2</t>
  </si>
  <si>
    <t>2.14.3</t>
  </si>
  <si>
    <t>2.14.4</t>
  </si>
  <si>
    <t>2.14.5</t>
  </si>
  <si>
    <t>2.14.6</t>
  </si>
  <si>
    <t>2.14.7</t>
  </si>
  <si>
    <t>2.14.8</t>
  </si>
  <si>
    <t>2.14.9</t>
  </si>
  <si>
    <t>2.14.10</t>
  </si>
  <si>
    <t>2.14.11</t>
  </si>
  <si>
    <t>2.14.12</t>
  </si>
  <si>
    <t>2.14.13</t>
  </si>
  <si>
    <t>2.14.14</t>
  </si>
  <si>
    <t>2.14.15</t>
  </si>
  <si>
    <t>2.14.16</t>
  </si>
  <si>
    <t>2.14.17</t>
  </si>
  <si>
    <t>2.14.18</t>
  </si>
  <si>
    <t>2.14.19</t>
  </si>
  <si>
    <t>2.14.20</t>
  </si>
  <si>
    <t>2.14.21</t>
  </si>
  <si>
    <t>set</t>
  </si>
  <si>
    <t>2.14.22</t>
  </si>
  <si>
    <t>2.14.23</t>
  </si>
  <si>
    <t>2.14.24</t>
  </si>
  <si>
    <t>2.14.25</t>
  </si>
  <si>
    <t>2.14.26</t>
  </si>
  <si>
    <t>2.15.1</t>
  </si>
  <si>
    <t>2.15.2</t>
  </si>
  <si>
    <t>2.15.3</t>
  </si>
  <si>
    <t>2.15.4</t>
  </si>
  <si>
    <t>2.15.5</t>
  </si>
  <si>
    <t>2.15.6</t>
  </si>
  <si>
    <t>2.15.7</t>
  </si>
  <si>
    <t>2.15.8</t>
  </si>
  <si>
    <t>2.15.9</t>
  </si>
  <si>
    <t>2.15.10</t>
  </si>
  <si>
    <t>2.15.11</t>
  </si>
  <si>
    <t>2.15.12</t>
  </si>
  <si>
    <t>2.15.13</t>
  </si>
  <si>
    <t>2.15.14</t>
  </si>
  <si>
    <t>2.15.15</t>
  </si>
  <si>
    <t>2.15.16</t>
  </si>
  <si>
    <t>2.15.17</t>
  </si>
  <si>
    <t>2.16.1</t>
  </si>
  <si>
    <t>2.16.2</t>
  </si>
  <si>
    <t>2.16.3</t>
  </si>
  <si>
    <t>2.16.4</t>
  </si>
  <si>
    <t>2.16.5</t>
  </si>
  <si>
    <t>2.16.6</t>
  </si>
  <si>
    <t>2.16.7</t>
  </si>
  <si>
    <t>2.16.8</t>
  </si>
  <si>
    <t>2.16.9</t>
  </si>
  <si>
    <t>2.16.10</t>
  </si>
  <si>
    <t>2.16.11</t>
  </si>
  <si>
    <t>2.16.12</t>
  </si>
  <si>
    <t>2.16.13</t>
  </si>
  <si>
    <t>2.16.14</t>
  </si>
  <si>
    <t>2.16.15</t>
  </si>
  <si>
    <t>2.16.16</t>
  </si>
  <si>
    <t>2.16.17</t>
  </si>
  <si>
    <t>2.16.18</t>
  </si>
  <si>
    <t>2.16.19</t>
  </si>
  <si>
    <t>2.16.20</t>
  </si>
  <si>
    <t>2.17.1</t>
  </si>
  <si>
    <t>2.17.2</t>
  </si>
  <si>
    <t>2.17.3</t>
  </si>
  <si>
    <t>2.17.4</t>
  </si>
  <si>
    <t>2.17.5</t>
  </si>
  <si>
    <t>2.17.6</t>
  </si>
  <si>
    <t>2.17.7</t>
  </si>
  <si>
    <t>2.17.8</t>
  </si>
  <si>
    <t>2.17.9</t>
  </si>
  <si>
    <t>2.17.10</t>
  </si>
  <si>
    <t>2.17.11</t>
  </si>
  <si>
    <t>2.17.12</t>
  </si>
  <si>
    <t>2.17.13</t>
  </si>
  <si>
    <t>2.18.1</t>
  </si>
  <si>
    <t>2.18.2</t>
  </si>
  <si>
    <t>2.18.3</t>
  </si>
  <si>
    <t>2.18.4</t>
  </si>
  <si>
    <t>2.18.5</t>
  </si>
  <si>
    <t>2.18.6</t>
  </si>
  <si>
    <t>2.18.7</t>
  </si>
  <si>
    <t>2.18.8</t>
  </si>
  <si>
    <t>2.18.9</t>
  </si>
  <si>
    <t>2.18.10</t>
  </si>
  <si>
    <t>2.18.11</t>
  </si>
  <si>
    <t>2.18.12</t>
  </si>
  <si>
    <t>2.18.13</t>
  </si>
  <si>
    <t>2.18.14</t>
  </si>
  <si>
    <t>2.19.1</t>
  </si>
  <si>
    <t>2.19.2</t>
  </si>
  <si>
    <t>2.19.3</t>
  </si>
  <si>
    <t>2.19.4</t>
  </si>
  <si>
    <t>2.19.5</t>
  </si>
  <si>
    <t>2.19.6</t>
  </si>
  <si>
    <t>2.19.7</t>
  </si>
  <si>
    <t>2.19.8</t>
  </si>
  <si>
    <t>2.19.9</t>
  </si>
  <si>
    <t>2.19.10</t>
  </si>
  <si>
    <t>2.19.11</t>
  </si>
  <si>
    <t>2.19.12</t>
  </si>
  <si>
    <t>2.19.13</t>
  </si>
  <si>
    <t>2.19.14</t>
  </si>
  <si>
    <t>2.19.15</t>
  </si>
  <si>
    <t>2.19.16</t>
  </si>
  <si>
    <t>2.19.17</t>
  </si>
  <si>
    <t>2.19.18</t>
  </si>
  <si>
    <t>2.19.19</t>
  </si>
  <si>
    <t>2.19.20</t>
  </si>
  <si>
    <t>2.19.21</t>
  </si>
  <si>
    <t>2.19.22</t>
  </si>
  <si>
    <t>2.19.23</t>
  </si>
  <si>
    <t>2.19.24</t>
  </si>
  <si>
    <t>2.19.25</t>
  </si>
  <si>
    <t>2.19.26</t>
  </si>
  <si>
    <t>2.19.27</t>
  </si>
  <si>
    <t>2.19.28</t>
  </si>
  <si>
    <t>2.19.29</t>
  </si>
  <si>
    <t>2.19.30</t>
  </si>
  <si>
    <t>2.19.31</t>
  </si>
  <si>
    <t>2.19.32</t>
  </si>
  <si>
    <t>2.19.33</t>
  </si>
  <si>
    <t>2.19.34</t>
  </si>
  <si>
    <t>2.19.35</t>
  </si>
  <si>
    <t>2.19.36</t>
  </si>
  <si>
    <t>2.19.37</t>
  </si>
  <si>
    <t>2.19.38</t>
  </si>
  <si>
    <t>2.19.39</t>
  </si>
  <si>
    <t>2.19.40</t>
  </si>
  <si>
    <t>2.19.41</t>
  </si>
  <si>
    <t>2.19.42</t>
  </si>
  <si>
    <t>2.19.43</t>
  </si>
  <si>
    <t>2.19.44</t>
  </si>
  <si>
    <t>2.19.45</t>
  </si>
  <si>
    <t>2.19.46</t>
  </si>
  <si>
    <t>2.19.47</t>
  </si>
  <si>
    <t>2.19.48</t>
  </si>
  <si>
    <t>2.19.49</t>
  </si>
  <si>
    <t>2.19.50</t>
  </si>
  <si>
    <t>Hadrut DEPO/9335 Xocavənd  Hadrut Depo İV/9335 -01- IV. Xocavənd.dwg</t>
  </si>
  <si>
    <t>2.92 m³ is printed on 9335 -01- IV. Xocavənd.dwg, next to the words izolya</t>
  </si>
  <si>
    <t>2.20.1</t>
  </si>
  <si>
    <t>2.20.2</t>
  </si>
  <si>
    <t>2.20.3</t>
  </si>
  <si>
    <t>2.20.4</t>
  </si>
  <si>
    <t>2.20.5</t>
  </si>
  <si>
    <t>2.20.6</t>
  </si>
  <si>
    <t>2.20.7</t>
  </si>
  <si>
    <t>2.20.8</t>
  </si>
  <si>
    <t>2.20.9</t>
  </si>
  <si>
    <t>2.20.10</t>
  </si>
  <si>
    <t>2.20.11</t>
  </si>
  <si>
    <t>2.20.12</t>
  </si>
  <si>
    <t>2.20.13</t>
  </si>
  <si>
    <t>2.20.14</t>
  </si>
  <si>
    <t>2.20.15</t>
  </si>
  <si>
    <t>2.20.16</t>
  </si>
  <si>
    <t>2.20.17</t>
  </si>
  <si>
    <t>geometry</t>
  </si>
  <si>
    <t>bay_module</t>
  </si>
  <si>
    <t>equals Bay module (found automatically)</t>
  </si>
  <si>
    <t>2.21.18</t>
  </si>
  <si>
    <t>2.21.19</t>
  </si>
  <si>
    <t>2.21.20</t>
  </si>
  <si>
    <t>2.21.21</t>
  </si>
  <si>
    <t>2.21.22</t>
  </si>
  <si>
    <t>2.22.1</t>
  </si>
  <si>
    <t>2.22.2</t>
  </si>
  <si>
    <t>2.22.3</t>
  </si>
  <si>
    <t>2.22.4</t>
  </si>
  <si>
    <t>2.22.5</t>
  </si>
  <si>
    <t>2.22.6</t>
  </si>
  <si>
    <t>2.22.7</t>
  </si>
  <si>
    <t>2.22.8</t>
  </si>
  <si>
    <t>2.22.9</t>
  </si>
  <si>
    <t>2.22.10</t>
  </si>
  <si>
    <t>2.22.11</t>
  </si>
  <si>
    <t>2.22.12</t>
  </si>
  <si>
    <t>2.22.13</t>
  </si>
  <si>
    <t>2.22.14</t>
  </si>
  <si>
    <t>2.22.15</t>
  </si>
  <si>
    <t>2.22.16</t>
  </si>
  <si>
    <t>2.22.17</t>
  </si>
  <si>
    <t>2.22.18</t>
  </si>
  <si>
    <t>2.22.19</t>
  </si>
  <si>
    <t>2.22.20</t>
  </si>
  <si>
    <t>2.22.21</t>
  </si>
  <si>
    <t>2.22.22</t>
  </si>
  <si>
    <t>2.22.23</t>
  </si>
  <si>
    <t>2.22.24</t>
  </si>
  <si>
    <t>2.22.25</t>
  </si>
  <si>
    <t>2.22.26</t>
  </si>
  <si>
    <t>2.22.27</t>
  </si>
  <si>
    <t>2.22.28</t>
  </si>
  <si>
    <t>2.22.29</t>
  </si>
  <si>
    <t>2.22.30</t>
  </si>
  <si>
    <t>2.22.31</t>
  </si>
  <si>
    <t>2.22.32</t>
  </si>
  <si>
    <t>2.22.33</t>
  </si>
  <si>
    <t>2.22.34</t>
  </si>
  <si>
    <t>2.22.35</t>
  </si>
  <si>
    <t>2.22.36</t>
  </si>
  <si>
    <t>2.22.37</t>
  </si>
  <si>
    <t>2.22.38</t>
  </si>
  <si>
    <t>2.22.39</t>
  </si>
  <si>
    <t>2.22.40</t>
  </si>
  <si>
    <t>2.22.41</t>
  </si>
  <si>
    <t>2.22.42</t>
  </si>
  <si>
    <t>2.22.43</t>
  </si>
  <si>
    <t>2.22.44</t>
  </si>
  <si>
    <t>2.22.45</t>
  </si>
  <si>
    <t>2.22.46</t>
  </si>
  <si>
    <t>2.22.47</t>
  </si>
  <si>
    <t>2.22.48</t>
  </si>
  <si>
    <t>2.22.49</t>
  </si>
  <si>
    <t>2.22.50</t>
  </si>
  <si>
    <t>2.22.51</t>
  </si>
  <si>
    <t>2.22.52</t>
  </si>
  <si>
    <t>2.22.53</t>
  </si>
  <si>
    <t>2.22.54</t>
  </si>
  <si>
    <t>2.22.55</t>
  </si>
  <si>
    <t>2.22.56</t>
  </si>
  <si>
    <t>2.22.57</t>
  </si>
  <si>
    <t>2.22.58</t>
  </si>
  <si>
    <t>2.22.59</t>
  </si>
  <si>
    <t>2.22.60</t>
  </si>
  <si>
    <t>2.22.61</t>
  </si>
  <si>
    <t>2.22.62</t>
  </si>
  <si>
    <t>2.22.63</t>
  </si>
  <si>
    <t>2.22.64</t>
  </si>
  <si>
    <t>2.22.65</t>
  </si>
  <si>
    <t>2.22.66</t>
  </si>
  <si>
    <t>2.22.67</t>
  </si>
  <si>
    <t>2.22.68</t>
  </si>
  <si>
    <t>2.22.69</t>
  </si>
  <si>
    <t>2.22.70</t>
  </si>
  <si>
    <t>2.22.71</t>
  </si>
  <si>
    <t>2.22.72</t>
  </si>
  <si>
    <t>2.22.73</t>
  </si>
  <si>
    <t>2.22.74</t>
  </si>
  <si>
    <t>2.22.75</t>
  </si>
  <si>
    <t>2.22.76</t>
  </si>
  <si>
    <t>2.22.77</t>
  </si>
  <si>
    <t>2.22.78</t>
  </si>
  <si>
    <t>2.22.79</t>
  </si>
  <si>
    <t>2.22.80</t>
  </si>
  <si>
    <t>2.22.81</t>
  </si>
  <si>
    <t>2.22.82</t>
  </si>
  <si>
    <t>2.22.83</t>
  </si>
  <si>
    <t>2.22.84</t>
  </si>
  <si>
    <t>2.22.85</t>
  </si>
  <si>
    <t>2.22.86</t>
  </si>
  <si>
    <t>2.22.87</t>
  </si>
  <si>
    <t>2.22.88</t>
  </si>
  <si>
    <t>2.22.89</t>
  </si>
  <si>
    <t>2.22.90</t>
  </si>
  <si>
    <t>2.22.91</t>
  </si>
  <si>
    <t>2.22.92</t>
  </si>
  <si>
    <t>2.22.93</t>
  </si>
  <si>
    <t>2.22.94</t>
  </si>
  <si>
    <t>2.22.95</t>
  </si>
  <si>
    <t>2.22.96</t>
  </si>
  <si>
    <t>2.22.97</t>
  </si>
  <si>
    <t>2.22.98</t>
  </si>
  <si>
    <t>2.22.99</t>
  </si>
  <si>
    <t>2.22.100</t>
  </si>
  <si>
    <t>2.22.101</t>
  </si>
  <si>
    <t>2.22.102</t>
  </si>
  <si>
    <t>2.22.103</t>
  </si>
  <si>
    <t>2.22.104</t>
  </si>
  <si>
    <t>2.22.105</t>
  </si>
  <si>
    <t>2.22.106</t>
  </si>
  <si>
    <t>2.22.107</t>
  </si>
  <si>
    <t>2.22.108</t>
  </si>
  <si>
    <t>2.22.109</t>
  </si>
  <si>
    <t>2.22.110</t>
  </si>
  <si>
    <t>2.22.111</t>
  </si>
  <si>
    <t>2.22.112</t>
  </si>
  <si>
    <t>2.22.113</t>
  </si>
  <si>
    <t>Hadrut DEPO/Elektrik/9335 hadrut xocevend elektrik.dwg</t>
  </si>
  <si>
    <t>2510 m is printed on 9335 hadrut xocevend elektrik.dwg sheet 9335- 01-EİA, written with its unit m</t>
  </si>
  <si>
    <t>2.22.114</t>
  </si>
  <si>
    <t>2.22.115</t>
  </si>
  <si>
    <t>2.22.116</t>
  </si>
  <si>
    <t>2.22.117</t>
  </si>
  <si>
    <t>2.22.118</t>
  </si>
  <si>
    <t>2.22.119</t>
  </si>
  <si>
    <t>2.22.120</t>
  </si>
  <si>
    <t>2.22.121</t>
  </si>
  <si>
    <t>2140 m is printed on 9335 hadrut xocevend elektrik.dwg sheet 9335- 01-EİA, written with its unit m</t>
  </si>
  <si>
    <t>2.22.122</t>
  </si>
  <si>
    <t>2.22.123</t>
  </si>
  <si>
    <t>2.22.124</t>
  </si>
  <si>
    <t>2.22.125</t>
  </si>
  <si>
    <t>2.22.126</t>
  </si>
  <si>
    <t>2.22.127</t>
  </si>
  <si>
    <t>2.22.128</t>
  </si>
  <si>
    <t>2.22.129</t>
  </si>
  <si>
    <t>2.22.130</t>
  </si>
  <si>
    <t>2.22.131</t>
  </si>
  <si>
    <t>2.22.132</t>
  </si>
  <si>
    <t>2.22.133</t>
  </si>
  <si>
    <t>2.22.134</t>
  </si>
  <si>
    <t>2.22.135</t>
  </si>
  <si>
    <t>2.22.136</t>
  </si>
  <si>
    <t>2.22.137</t>
  </si>
  <si>
    <t>2.22.138</t>
  </si>
  <si>
    <t>2.22.139</t>
  </si>
  <si>
    <t>2.23.1</t>
  </si>
  <si>
    <t>2.23.2</t>
  </si>
  <si>
    <t>2.23.3</t>
  </si>
  <si>
    <t>2.23.4</t>
  </si>
  <si>
    <t>2.23.5</t>
  </si>
  <si>
    <t>2.23.6</t>
  </si>
  <si>
    <t>2.23.7</t>
  </si>
  <si>
    <t>2.23.8</t>
  </si>
  <si>
    <t>2.23.9</t>
  </si>
  <si>
    <t>2.23.10</t>
  </si>
  <si>
    <t>2.23.11</t>
  </si>
  <si>
    <t>2.23.12</t>
  </si>
  <si>
    <t>2.23.13</t>
  </si>
  <si>
    <t>2.23.14</t>
  </si>
  <si>
    <t>2.23.15</t>
  </si>
  <si>
    <t>2.23.16</t>
  </si>
  <si>
    <t>2.23.17</t>
  </si>
  <si>
    <t>2.23.18</t>
  </si>
  <si>
    <t>2.23.19</t>
  </si>
  <si>
    <t>2.23.20</t>
  </si>
  <si>
    <t>2.23.21</t>
  </si>
  <si>
    <t>2.23.22</t>
  </si>
  <si>
    <t>2.23.23</t>
  </si>
  <si>
    <t>2.23.24</t>
  </si>
  <si>
    <t>2.23.25</t>
  </si>
  <si>
    <t>2.23.26</t>
  </si>
  <si>
    <t>2.23.27</t>
  </si>
  <si>
    <t>2.23.28</t>
  </si>
  <si>
    <t>2.23.29</t>
  </si>
  <si>
    <t>2.23.30</t>
  </si>
  <si>
    <t>2.23.31</t>
  </si>
  <si>
    <t>2.23.32</t>
  </si>
  <si>
    <t>2.23.33</t>
  </si>
  <si>
    <t>2.23.34</t>
  </si>
  <si>
    <t>2.23.35</t>
  </si>
  <si>
    <t>2.23.36</t>
  </si>
  <si>
    <t>2.23.37</t>
  </si>
  <si>
    <t>2.23.38</t>
  </si>
  <si>
    <t>2.23.39</t>
  </si>
  <si>
    <t>2.23.40</t>
  </si>
  <si>
    <t>2.23.41</t>
  </si>
  <si>
    <t>2.24.1</t>
  </si>
  <si>
    <t>2.24.2</t>
  </si>
  <si>
    <t>2.24.3</t>
  </si>
  <si>
    <t>2.24.4</t>
  </si>
  <si>
    <t>2.24.5</t>
  </si>
  <si>
    <t>2.24.6</t>
  </si>
  <si>
    <t>2.24.7</t>
  </si>
  <si>
    <t>2.24.8</t>
  </si>
  <si>
    <t>2.24.9</t>
  </si>
  <si>
    <t>2.24.10</t>
  </si>
  <si>
    <t>2.24.11</t>
  </si>
  <si>
    <t>2.24.12</t>
  </si>
  <si>
    <t>2.24.13</t>
  </si>
  <si>
    <t>2.24.14</t>
  </si>
  <si>
    <t>2.24.15</t>
  </si>
  <si>
    <t>2.24.16</t>
  </si>
  <si>
    <t>2.24.17</t>
  </si>
  <si>
    <t>2.24.18</t>
  </si>
  <si>
    <t>2.24.19</t>
  </si>
  <si>
    <t>2.24.20</t>
  </si>
  <si>
    <t>2.24.21</t>
  </si>
  <si>
    <t>2.24.22</t>
  </si>
  <si>
    <t>2.25.1</t>
  </si>
  <si>
    <t>2.25.2</t>
  </si>
  <si>
    <t>2.25.3</t>
  </si>
  <si>
    <t>2.25.4</t>
  </si>
  <si>
    <t>2.25.5</t>
  </si>
  <si>
    <t>2.25.6</t>
  </si>
  <si>
    <t>2.25.7</t>
  </si>
  <si>
    <t>2.25.8</t>
  </si>
  <si>
    <t>2.25.9</t>
  </si>
  <si>
    <t>2.25.10</t>
  </si>
  <si>
    <t>2.25.11</t>
  </si>
  <si>
    <t>2.25.12</t>
  </si>
  <si>
    <t>2.25.13</t>
  </si>
  <si>
    <t>2.25.14</t>
  </si>
  <si>
    <t>2.25.15</t>
  </si>
  <si>
    <t>2.25.16</t>
  </si>
  <si>
    <t>2.25.17</t>
  </si>
  <si>
    <t>2.25.18</t>
  </si>
  <si>
    <t>2.25.19</t>
  </si>
  <si>
    <t>2.25.20</t>
  </si>
  <si>
    <t>2.26.1</t>
  </si>
  <si>
    <t>2.26.2</t>
  </si>
  <si>
    <t>2.26.3</t>
  </si>
  <si>
    <t>2.26.4</t>
  </si>
  <si>
    <t>2.26.5</t>
  </si>
  <si>
    <t>2.26.6</t>
  </si>
  <si>
    <t>2.26.7</t>
  </si>
  <si>
    <t>2.26.8</t>
  </si>
  <si>
    <t>2.26.9</t>
  </si>
  <si>
    <t>2.26.10</t>
  </si>
  <si>
    <t>2.26.11</t>
  </si>
  <si>
    <t>2.26.12</t>
  </si>
  <si>
    <t>2.26.13</t>
  </si>
  <si>
    <t>2.26.14</t>
  </si>
  <si>
    <t>2.26.15</t>
  </si>
  <si>
    <t>2.26.16</t>
  </si>
  <si>
    <t>2.26.17</t>
  </si>
  <si>
    <t>2.26.18</t>
  </si>
  <si>
    <t>2.26.19</t>
  </si>
  <si>
    <t>2.26.20</t>
  </si>
  <si>
    <t>2.26.21</t>
  </si>
  <si>
    <t>2.27.1</t>
  </si>
  <si>
    <t>2.27.2</t>
  </si>
  <si>
    <t>2.27.3</t>
  </si>
  <si>
    <t>2.27.4</t>
  </si>
  <si>
    <t>2.27.5</t>
  </si>
  <si>
    <t>2.27.6</t>
  </si>
  <si>
    <t>2.27.7</t>
  </si>
  <si>
    <t>2.27.8</t>
  </si>
  <si>
    <t>2.27.9</t>
  </si>
  <si>
    <t>2.27.10</t>
  </si>
  <si>
    <t>2.27.11</t>
  </si>
  <si>
    <t>2.27.12</t>
  </si>
  <si>
    <t>2.27.13</t>
  </si>
  <si>
    <t>2.27.14</t>
  </si>
  <si>
    <t>2.27.15</t>
  </si>
  <si>
    <t>2.27.16</t>
  </si>
  <si>
    <t>2.27.17</t>
  </si>
  <si>
    <t>2.27.18</t>
  </si>
  <si>
    <t>2.27.19</t>
  </si>
  <si>
    <t>2.27.20</t>
  </si>
  <si>
    <t>Hadrut DEPO/YRS - VM - Xocavənd/YRS - VN -9335 hadrut xocevend (SON).dwg</t>
  </si>
  <si>
    <t>1580 m is printed on YRS - VN -9335 hadrut xocevend (SON).dwg sheet 9337- 1- RS, next to the words kabel</t>
  </si>
  <si>
    <t>2.27.21</t>
  </si>
  <si>
    <t>2.27.22</t>
  </si>
  <si>
    <t>2.27.23</t>
  </si>
  <si>
    <t>2.27.24</t>
  </si>
  <si>
    <t>2.28.1</t>
  </si>
  <si>
    <t>2.28.2</t>
  </si>
  <si>
    <t>2.28.3</t>
  </si>
  <si>
    <t>2.28.4</t>
  </si>
  <si>
    <t>2.28.5</t>
  </si>
  <si>
    <t>2.28.6</t>
  </si>
  <si>
    <t>2.28.7</t>
  </si>
  <si>
    <t>2.28.8</t>
  </si>
  <si>
    <t>2.28.9</t>
  </si>
  <si>
    <t>2.28.10</t>
  </si>
  <si>
    <t>2.28.11</t>
  </si>
  <si>
    <t>2.28.12</t>
  </si>
  <si>
    <t>2.28.13</t>
  </si>
  <si>
    <t>2.28.14</t>
  </si>
  <si>
    <t>2.28.15</t>
  </si>
  <si>
    <t>2.28.16</t>
  </si>
  <si>
    <t>2.28.17</t>
  </si>
  <si>
    <t>2.28.18</t>
  </si>
  <si>
    <t>2.28.19</t>
  </si>
  <si>
    <t>2.29.1</t>
  </si>
  <si>
    <t>2.29.2</t>
  </si>
  <si>
    <t>2.29.3</t>
  </si>
  <si>
    <t>2.29.4</t>
  </si>
  <si>
    <t>2.29.5</t>
  </si>
  <si>
    <t>2.29.6</t>
  </si>
  <si>
    <t>2.29.7</t>
  </si>
  <si>
    <t>2.29.8</t>
  </si>
  <si>
    <t>2.29.9</t>
  </si>
  <si>
    <t>2.29.10</t>
  </si>
  <si>
    <t>2.29.11</t>
  </si>
  <si>
    <t>2.29.12</t>
  </si>
  <si>
    <t>2.29.13</t>
  </si>
  <si>
    <t>2.29.14</t>
  </si>
  <si>
    <t>2.29.15</t>
  </si>
  <si>
    <t>2.29.16</t>
  </si>
  <si>
    <t>2.29.17</t>
  </si>
  <si>
    <t>2.30.1</t>
  </si>
  <si>
    <t>2.30.2</t>
  </si>
  <si>
    <t>2.30.3</t>
  </si>
  <si>
    <t>2.30.4</t>
  </si>
  <si>
    <t>2.30.5</t>
  </si>
  <si>
    <t>2.30.6</t>
  </si>
  <si>
    <t>2.30.7</t>
  </si>
  <si>
    <t>2.30.8</t>
  </si>
  <si>
    <t>2.30.9</t>
  </si>
  <si>
    <t>2.30.10</t>
  </si>
  <si>
    <t>2.30.11</t>
  </si>
  <si>
    <t>2.30.12</t>
  </si>
  <si>
    <t>2.30.13</t>
  </si>
  <si>
    <t>2.30.14</t>
  </si>
  <si>
    <t>2.30.15</t>
  </si>
  <si>
    <t>2.30.16</t>
  </si>
  <si>
    <t>2.30.17</t>
  </si>
  <si>
    <t>2.30.18</t>
  </si>
  <si>
    <t>2.30.19</t>
  </si>
  <si>
    <t>2.30.20</t>
  </si>
  <si>
    <t>2.30.21</t>
  </si>
  <si>
    <t>2.30.22</t>
  </si>
  <si>
    <t>2.30.23</t>
  </si>
  <si>
    <t>2.30.24</t>
  </si>
  <si>
    <t>2.30.25</t>
  </si>
  <si>
    <t>2.30.26</t>
  </si>
  <si>
    <t>2.30.27</t>
  </si>
  <si>
    <t>2.30.28</t>
  </si>
  <si>
    <t>2.30.29</t>
  </si>
  <si>
    <t>2.30.30</t>
  </si>
  <si>
    <t>2.30.31</t>
  </si>
  <si>
    <t>2.30.32</t>
  </si>
  <si>
    <t>2.30.33</t>
  </si>
  <si>
    <t>2.30.34</t>
  </si>
  <si>
    <t>2.30.35</t>
  </si>
  <si>
    <t>2.30.36</t>
  </si>
  <si>
    <t>2.30.37</t>
  </si>
  <si>
    <t>2.30.38</t>
  </si>
  <si>
    <t>2.30.39</t>
  </si>
  <si>
    <t>2.30.40</t>
  </si>
  <si>
    <t>2.30.41</t>
  </si>
  <si>
    <t>2.30.42</t>
  </si>
  <si>
    <t>2.30.43</t>
  </si>
  <si>
    <t>2.30.44</t>
  </si>
  <si>
    <t>2.30.45</t>
  </si>
  <si>
    <t>2.30.46</t>
  </si>
  <si>
    <t>2.30.47</t>
  </si>
  <si>
    <t>2.30.48</t>
  </si>
  <si>
    <t>2.30.49</t>
  </si>
  <si>
    <t>2.30.50</t>
  </si>
  <si>
    <t>2.30.51</t>
  </si>
  <si>
    <t>2.30.52</t>
  </si>
  <si>
    <t>2.31.1</t>
  </si>
  <si>
    <t>2.31.2</t>
  </si>
  <si>
    <t>2.31.3</t>
  </si>
  <si>
    <t>2.31.4</t>
  </si>
  <si>
    <t>2.31.5</t>
  </si>
  <si>
    <t>2.31.6</t>
  </si>
  <si>
    <t>2.31.7</t>
  </si>
  <si>
    <t>2.31.8</t>
  </si>
  <si>
    <t>2.31.9</t>
  </si>
  <si>
    <t>2.31.10</t>
  </si>
  <si>
    <t>2.31.11</t>
  </si>
  <si>
    <t>2.31.12</t>
  </si>
  <si>
    <t>2.31.13</t>
  </si>
  <si>
    <t>2.31.14</t>
  </si>
  <si>
    <t>2.31.15</t>
  </si>
  <si>
    <t>2.31.16</t>
  </si>
  <si>
    <t>2.31.17</t>
  </si>
  <si>
    <t>2.31.18</t>
  </si>
  <si>
    <t>2.31.19</t>
  </si>
  <si>
    <t>2.31.20</t>
  </si>
  <si>
    <t>2.31.21</t>
  </si>
  <si>
    <t>2.31.22</t>
  </si>
  <si>
    <t>2.31.23</t>
  </si>
  <si>
    <t>2.31.24</t>
  </si>
  <si>
    <t>2.31.25</t>
  </si>
  <si>
    <t>2.31.26</t>
  </si>
  <si>
    <t>2.31.27</t>
  </si>
  <si>
    <t>2.31.28</t>
  </si>
  <si>
    <t>2.31.29</t>
  </si>
  <si>
    <t>2.31.30</t>
  </si>
  <si>
    <t>2.31.31</t>
  </si>
  <si>
    <t>2.31.32</t>
  </si>
  <si>
    <t>2.31.33</t>
  </si>
  <si>
    <t>2.31.34</t>
  </si>
  <si>
    <t>2.31.35</t>
  </si>
  <si>
    <t>3.1.1</t>
  </si>
  <si>
    <t>3.1.2</t>
  </si>
  <si>
    <t>3.1.3</t>
  </si>
  <si>
    <t>3.1.4</t>
  </si>
  <si>
    <t>3.1.5</t>
  </si>
  <si>
    <t>3.2.1</t>
  </si>
  <si>
    <t>3.2.2</t>
  </si>
  <si>
    <t>3.2.3</t>
  </si>
  <si>
    <t>3.2.4</t>
  </si>
  <si>
    <t>Hadrut DEPO/Xocavend dk/9335 Xocavend nezaretci otagi dk.dwg</t>
  </si>
  <si>
    <t>1.92 m³ is printed on 9335 Xocavend nezaretci otagi dk.dwg sheet 9335 - 8 - MT, next to the words beton</t>
  </si>
  <si>
    <t>3.2.5</t>
  </si>
  <si>
    <t>3.2.6</t>
  </si>
  <si>
    <t>3.2.7</t>
  </si>
  <si>
    <t>3.2.8</t>
  </si>
  <si>
    <t>3.2.9</t>
  </si>
  <si>
    <t>3.2.10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</si>
  <si>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</si>
  <si>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</si>
  <si>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</si>
  <si>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</si>
  <si>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</si>
  <si>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</si>
  <si>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</si>
  <si>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</si>
  <si>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</si>
  <si>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</si>
  <si>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</si>
  <si>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</si>
  <si>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</si>
  <si>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</si>
  <si>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3.3.15</t>
  </si>
  <si>
    <t>3.4.1</t>
  </si>
  <si>
    <t>3.4.2</t>
  </si>
  <si>
    <t>3.5.1</t>
  </si>
  <si>
    <t>3.5.2</t>
  </si>
  <si>
    <t>3.5.3</t>
  </si>
  <si>
    <t>3.5.4</t>
  </si>
  <si>
    <t>3.5.5</t>
  </si>
  <si>
    <t>schedule</t>
  </si>
  <si>
    <t>guard_roof_timber</t>
  </si>
  <si>
    <t>equals Guard room, roof timber total</t>
  </si>
  <si>
    <t>3.5.6</t>
  </si>
  <si>
    <t>guard_roof_tile</t>
  </si>
  <si>
    <t>equals Guard room, metal roof tile area</t>
  </si>
  <si>
    <t>3.5.7</t>
  </si>
  <si>
    <t>Hadrut DEPO/YRS - VM - Xocavənd/YRS - VM - XOCAVEND-NƏZARƏT.dwg</t>
  </si>
  <si>
    <t>12.8 m is printed on YRS - VM - XOCAVEND-NƏZARƏT.dwg sheet 9336-08-MT, written with its unit m</t>
  </si>
  <si>
    <t>3.5.8</t>
  </si>
  <si>
    <t>3.5.9</t>
  </si>
  <si>
    <t>3.6.1</t>
  </si>
  <si>
    <t>3.6.2</t>
  </si>
  <si>
    <t>3.6.3</t>
  </si>
  <si>
    <t>3.6.4</t>
  </si>
  <si>
    <t>3.7.1</t>
  </si>
  <si>
    <t>3.7.2</t>
  </si>
  <si>
    <t>3.7.3</t>
  </si>
  <si>
    <t>3.8.1</t>
  </si>
  <si>
    <t>3.8.2</t>
  </si>
  <si>
    <t>3.9.1</t>
  </si>
  <si>
    <t>3.9.2</t>
  </si>
  <si>
    <t>3.9.3</t>
  </si>
  <si>
    <t>3.9.4</t>
  </si>
  <si>
    <t>3.10.1</t>
  </si>
  <si>
    <t>Hadrut DEPO/9335/9335 nəzarətçi otağı.pdf</t>
  </si>
  <si>
    <t>33.2 m² is printed on 9335 nəzarətçi otağı.pdf, next to the words mehlul, sement</t>
  </si>
  <si>
    <t>3.10.2</t>
  </si>
  <si>
    <t>33.2 m² is printed on 9335 nəzarətçi otağı.pdf, next to the words fasadl, rengle</t>
  </si>
  <si>
    <t>3.11.1</t>
  </si>
  <si>
    <t>3.11.2</t>
  </si>
  <si>
    <t>3.11.3</t>
  </si>
  <si>
    <t>3.11.4</t>
  </si>
  <si>
    <t>3.11.5</t>
  </si>
  <si>
    <t>3.11.6</t>
  </si>
  <si>
    <t>3.11.7</t>
  </si>
  <si>
    <t>3.11.8</t>
  </si>
  <si>
    <t>3.11.9</t>
  </si>
  <si>
    <t>3.11.10</t>
  </si>
  <si>
    <t>3.11.11</t>
  </si>
  <si>
    <t>3.11.12</t>
  </si>
  <si>
    <t>3.11.13</t>
  </si>
  <si>
    <t>3.11.14</t>
  </si>
  <si>
    <t>3.11.15</t>
  </si>
  <si>
    <t>3.11.16</t>
  </si>
  <si>
    <t>3.11.17</t>
  </si>
  <si>
    <t>3.11.18</t>
  </si>
  <si>
    <t>3.11.19</t>
  </si>
  <si>
    <t>3.11.20</t>
  </si>
  <si>
    <t>3.11.21</t>
  </si>
  <si>
    <t>3.11.22</t>
  </si>
  <si>
    <t>3.11.23</t>
  </si>
  <si>
    <t>3.11.24</t>
  </si>
  <si>
    <t>3.11.25</t>
  </si>
  <si>
    <t>3.11.26</t>
  </si>
  <si>
    <t>3.11.27</t>
  </si>
  <si>
    <t>3.11.28</t>
  </si>
  <si>
    <t>3.11.29</t>
  </si>
  <si>
    <t>3.11.30</t>
  </si>
  <si>
    <t>3.11.31</t>
  </si>
  <si>
    <t>3.12.1</t>
  </si>
  <si>
    <t>3.12.2</t>
  </si>
  <si>
    <t>3.12.3</t>
  </si>
  <si>
    <t>3.12.4</t>
  </si>
  <si>
    <t>3.12.5</t>
  </si>
  <si>
    <t>3.12.6</t>
  </si>
  <si>
    <t>3.12.7</t>
  </si>
  <si>
    <t>3.12.8</t>
  </si>
  <si>
    <t>3.12.9</t>
  </si>
  <si>
    <t>3.12.10</t>
  </si>
  <si>
    <t>3.12.11</t>
  </si>
  <si>
    <t>3.13.1</t>
  </si>
  <si>
    <t>3.13.2</t>
  </si>
  <si>
    <t>3.13.3</t>
  </si>
  <si>
    <t>3.13.4</t>
  </si>
  <si>
    <t>3.13.5</t>
  </si>
  <si>
    <t>3.13.6</t>
  </si>
  <si>
    <t>3.13.7</t>
  </si>
  <si>
    <t>3.13.8</t>
  </si>
  <si>
    <t>3.13.9</t>
  </si>
  <si>
    <t>4.1.1</t>
  </si>
  <si>
    <t>4.1.2</t>
  </si>
  <si>
    <t>4.1.3</t>
  </si>
  <si>
    <t>4.1.4</t>
  </si>
  <si>
    <t>4.1.5</t>
  </si>
  <si>
    <t>4.1.6</t>
  </si>
  <si>
    <t>4.2.1</t>
  </si>
  <si>
    <t>Hadrut DEPO/Xocavend dk/9335 Xocevend-telim qullesi dk.dwg</t>
  </si>
  <si>
    <t>0.42 + 13.44 = 13.86, both printed on 9335 Xocevend-telim qullesi dk.dwg</t>
  </si>
  <si>
    <t>4.2.2</t>
  </si>
  <si>
    <t>4.2.3</t>
  </si>
  <si>
    <t>52.67 m³ is printed on 9335 Xocevend-telim qullesi dk.dwg sheet 9335- 06 - DK, next to the words beton</t>
  </si>
  <si>
    <t>4.2.4</t>
  </si>
  <si>
    <t>4.2.5</t>
  </si>
  <si>
    <t>4.2.6</t>
  </si>
  <si>
    <t>132.36 − 5.2 = 127.2, both printed on 9335 Xocevend-telim qullesi dk.dwg</t>
  </si>
  <si>
    <t>4.2.7</t>
  </si>
  <si>
    <t>4.2.8</t>
  </si>
  <si>
    <t>0.76 + 156.16 = 156.9, both printed on 9335 Xocevend-telim qullesi dk.dwg</t>
  </si>
  <si>
    <t>4.3.1</t>
  </si>
  <si>
    <t>27.16 − 0.32 = 26.84, both printed on 9335 Xocevend-telim qullesi dk.dwg</t>
  </si>
  <si>
    <t>4.3.2</t>
  </si>
  <si>
    <t>4.3.3</t>
  </si>
  <si>
    <t>4.3.4</t>
  </si>
  <si>
    <t>4.3.5</t>
  </si>
  <si>
    <t>18.92 − 1.08 = 17.84, both printed on 9335 Xocevend-telim qullesi dk.dwg</t>
  </si>
  <si>
    <t>4.3.6</t>
  </si>
  <si>
    <t>4.3.7</t>
  </si>
  <si>
    <t>4.3.8</t>
  </si>
  <si>
    <t>4.3.9</t>
  </si>
  <si>
    <t>4.3.10</t>
  </si>
  <si>
    <t>4.3.11</t>
  </si>
  <si>
    <t>0.42 + 27.16 = 27.58, both printed on 9335 Xocevend-telim qullesi dk.dwg</t>
  </si>
  <si>
    <t>4.3.12</t>
  </si>
  <si>
    <t>4.3.13</t>
  </si>
  <si>
    <t>4.3.14</t>
  </si>
  <si>
    <t>4.3.15</t>
  </si>
  <si>
    <t>4.3.16</t>
  </si>
  <si>
    <t>4.3.17</t>
  </si>
  <si>
    <t>4.3.18</t>
  </si>
  <si>
    <t>4.3.19</t>
  </si>
  <si>
    <t>4.3.20</t>
  </si>
  <si>
    <t>4.3.21</t>
  </si>
  <si>
    <t>4.3.22</t>
  </si>
  <si>
    <t>4.3.23</t>
  </si>
  <si>
    <t>4.3.24</t>
  </si>
  <si>
    <t>4.3.25</t>
  </si>
  <si>
    <t>4.3.26</t>
  </si>
  <si>
    <t>4.3.27</t>
  </si>
  <si>
    <t>4.3.28</t>
  </si>
  <si>
    <t>0.256 m³ is printed on 9335 Xocevend-telim qullesi dk.dwg sheet 9335- 06 - DK, written with its unit m³</t>
  </si>
  <si>
    <t>4.3.29</t>
  </si>
  <si>
    <t>4.3.30</t>
  </si>
  <si>
    <t>4.3.31</t>
  </si>
  <si>
    <t>24.32 − 0.8 = 23.52, both printed on 9335 Xocevend-telim qullesi dk.dwg</t>
  </si>
  <si>
    <t>4.3.32</t>
  </si>
  <si>
    <t>4.3.33</t>
  </si>
  <si>
    <t>4.3.34</t>
  </si>
  <si>
    <t>4.3.35</t>
  </si>
  <si>
    <t>4.3.36</t>
  </si>
  <si>
    <t>4.3.37</t>
  </si>
  <si>
    <t>4.3.38</t>
  </si>
  <si>
    <t>2.66 + 21.78 = 24.44, both printed on 9335 Xocevend-telim qullesi dk.dwg</t>
  </si>
  <si>
    <t>4.4.1</t>
  </si>
  <si>
    <t>4.4.2</t>
  </si>
  <si>
    <t>4.4.3</t>
  </si>
  <si>
    <t>4.4.4</t>
  </si>
  <si>
    <t>4.4.5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</si>
  <si>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</si>
  <si>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</si>
  <si>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</si>
  <si>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</si>
  <si>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</si>
  <si>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</si>
  <si>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</si>
  <si>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</si>
  <si>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</si>
  <si>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</si>
  <si>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Hadrut DEPO/9335/9335 Qüllə.pdf</t>
  </si>
  <si>
    <t>16.3 m is printed on 9335 Qüllə.pdf, written with its unit m</t>
  </si>
  <si>
    <t>4.5.11</t>
  </si>
  <si>
    <t>4.5.12</t>
  </si>
  <si>
    <t>4.5.13</t>
  </si>
  <si>
    <t>4.5.14</t>
  </si>
  <si>
    <t>4.5.15</t>
  </si>
  <si>
    <t>4.5.16</t>
  </si>
  <si>
    <t>4.5.17</t>
  </si>
  <si>
    <t>4.5.18</t>
  </si>
  <si>
    <t>4.5.19</t>
  </si>
  <si>
    <t>1.08 m³ is printed on 9335 Xocevend-telim qullesi dk.dwg sheet 9335- 06 - DK, written with its unit m³</t>
  </si>
  <si>
    <t>4.5.20</t>
  </si>
  <si>
    <t>4.5.21</t>
  </si>
  <si>
    <t>4.5.22</t>
  </si>
  <si>
    <t>4.6.1</t>
  </si>
  <si>
    <t>4.6.2</t>
  </si>
  <si>
    <t>4.6.3</t>
  </si>
  <si>
    <t>4.6.4</t>
  </si>
  <si>
    <t>4.7.1</t>
  </si>
  <si>
    <t>4.7.2</t>
  </si>
  <si>
    <t>4.7.3</t>
  </si>
  <si>
    <t>4.7.4</t>
  </si>
  <si>
    <t>4.7.5</t>
  </si>
  <si>
    <t>4.7.6</t>
  </si>
  <si>
    <t>4.8.1</t>
  </si>
  <si>
    <t>4.8.2</t>
  </si>
  <si>
    <t>4.8.3</t>
  </si>
  <si>
    <t>4.8.4</t>
  </si>
  <si>
    <t>4.8.5</t>
  </si>
  <si>
    <t>4.8.6</t>
  </si>
  <si>
    <t>4.8.7</t>
  </si>
  <si>
    <t>4.8.8</t>
  </si>
  <si>
    <t>4.8.9</t>
  </si>
  <si>
    <t>4.9.1</t>
  </si>
  <si>
    <t>4.9.2</t>
  </si>
  <si>
    <t>4.10.1</t>
  </si>
  <si>
    <t>4.10.2</t>
  </si>
  <si>
    <t>4.10.3</t>
  </si>
  <si>
    <t>4.11.1</t>
  </si>
  <si>
    <t>4.11.2</t>
  </si>
  <si>
    <t>4.11.3</t>
  </si>
  <si>
    <t>4.11.4</t>
  </si>
  <si>
    <t>4.11.5</t>
  </si>
  <si>
    <t>4.11.6</t>
  </si>
  <si>
    <t>4.11.7</t>
  </si>
  <si>
    <t>4.11.8</t>
  </si>
  <si>
    <t>4.11.9</t>
  </si>
  <si>
    <t>4.11.10</t>
  </si>
  <si>
    <t>4.11.11</t>
  </si>
  <si>
    <t>4.11.12</t>
  </si>
  <si>
    <t>4.11.13</t>
  </si>
  <si>
    <t>4.11.14</t>
  </si>
  <si>
    <t>4.11.15</t>
  </si>
  <si>
    <t>4.11.16</t>
  </si>
  <si>
    <t>4.11.17</t>
  </si>
  <si>
    <t>4.11.18</t>
  </si>
  <si>
    <t>4.11.19</t>
  </si>
  <si>
    <t>4.11.20</t>
  </si>
  <si>
    <t>4.11.21</t>
  </si>
  <si>
    <t>4.11.22</t>
  </si>
  <si>
    <t>4.11.23</t>
  </si>
  <si>
    <t>4.12.1</t>
  </si>
  <si>
    <t>4.12.2</t>
  </si>
  <si>
    <t>4.12.3</t>
  </si>
  <si>
    <t>tower_smoke_detectors</t>
  </si>
  <si>
    <t>equals Tower, smoke detectors</t>
  </si>
  <si>
    <t>4.12.4</t>
  </si>
  <si>
    <t>4.12.5</t>
  </si>
  <si>
    <t>different</t>
  </si>
  <si>
    <t>tower_manual_call</t>
  </si>
  <si>
    <t>bill 6 vs drawing 5 each</t>
  </si>
  <si>
    <t>4.12.6</t>
  </si>
  <si>
    <t>4.12.7</t>
  </si>
  <si>
    <t>4.12.8</t>
  </si>
  <si>
    <t>4.12.9</t>
  </si>
  <si>
    <t>4.12.10</t>
  </si>
  <si>
    <t>4.12.11</t>
  </si>
  <si>
    <t>4.12.12</t>
  </si>
  <si>
    <t>4.12.13</t>
  </si>
  <si>
    <t>4.12.14</t>
  </si>
  <si>
    <t>4.12.15</t>
  </si>
  <si>
    <t>4.12.16</t>
  </si>
  <si>
    <t>4.12.17</t>
  </si>
  <si>
    <t>4.13.1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</si>
  <si>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</si>
  <si>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</si>
  <si>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</si>
  <si>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</si>
  <si>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</si>
  <si>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</si>
  <si>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</si>
  <si>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</si>
  <si>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</si>
  <si>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</si>
  <si>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</si>
  <si>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</si>
  <si>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</si>
  <si>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</si>
  <si>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</si>
  <si>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</si>
  <si>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</si>
  <si>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</si>
  <si>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</si>
  <si>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5.1.20</t>
  </si>
  <si>
    <t>5.1.21</t>
  </si>
  <si>
    <t>5.1.22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</si>
  <si>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</si>
  <si>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</si>
  <si>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</si>
  <si>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</si>
  <si>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</si>
  <si>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</si>
  <si>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</si>
  <si>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</si>
  <si>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</si>
  <si>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Hadrut DEPO/Xocavend dk/9335 Xocavend generator altliq dk.dwg</t>
  </si>
  <si>
    <t>3.05 m³ is printed on 9335 Xocavend generator altliq dk.dwg sheet 9335 - 14 - DK, next to the words beton</t>
  </si>
  <si>
    <t>6.1.10</t>
  </si>
  <si>
    <t>6.1.11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</si>
  <si>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</si>
  <si>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</si>
  <si>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</si>
  <si>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</si>
  <si>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</si>
  <si>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</si>
  <si>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</si>
  <si>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</si>
  <si>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</si>
  <si>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</si>
  <si>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</si>
  <si>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</si>
  <si>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</si>
  <si>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</si>
  <si>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7.1.15</t>
  </si>
  <si>
    <t>7.1.16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</si>
  <si>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</si>
  <si>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</si>
  <si>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</si>
  <si>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</si>
  <si>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</si>
  <si>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</si>
  <si>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</si>
  <si>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</si>
  <si>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</si>
  <si>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</si>
  <si>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8.1.11</t>
  </si>
  <si>
    <t>8.1.12</t>
  </si>
  <si>
    <t>8.1.13</t>
  </si>
  <si>
    <t>8.1.14</t>
  </si>
  <si>
    <t>8.1.15</t>
  </si>
  <si>
    <t>8.1.16</t>
  </si>
  <si>
    <t>8.1.17</t>
  </si>
  <si>
    <t>8.1.18</t>
  </si>
  <si>
    <t>8.1.19</t>
  </si>
  <si>
    <t>8.1.20</t>
  </si>
  <si>
    <t>8.1.21</t>
  </si>
  <si>
    <t>8.1.22</t>
  </si>
  <si>
    <t>8.1.23</t>
  </si>
  <si>
    <t>8.1.24</t>
  </si>
  <si>
    <t>8.1.25</t>
  </si>
  <si>
    <t>8.1.26</t>
  </si>
  <si>
    <t>8.1.27</t>
  </si>
  <si>
    <t>8.1.28</t>
  </si>
  <si>
    <t>8.1.29</t>
  </si>
  <si>
    <t>8.1.30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</si>
  <si>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</si>
  <si>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</si>
  <si>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</si>
  <si>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</si>
  <si>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</si>
  <si>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</si>
  <si>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</si>
  <si>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</si>
  <si>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9.2.1</t>
  </si>
  <si>
    <t>9.2.2</t>
  </si>
  <si>
    <t>9.2.3</t>
  </si>
  <si>
    <t>9.2.4</t>
  </si>
  <si>
    <t>9.2.5</t>
  </si>
  <si>
    <t>9.2.6</t>
  </si>
  <si>
    <t>9.2.7</t>
  </si>
  <si>
    <t>9.2.8</t>
  </si>
  <si>
    <t>9.2.9</t>
  </si>
  <si>
    <t>9.2.10</t>
  </si>
  <si>
    <t>9.2.11</t>
  </si>
  <si>
    <t>9.2.12</t>
  </si>
  <si>
    <t>9.3.1</t>
  </si>
  <si>
    <t>9.3.2</t>
  </si>
  <si>
    <t>9.3.3</t>
  </si>
  <si>
    <t>9.3.4</t>
  </si>
  <si>
    <t>Hadrut DEPO/Xocavend dk/9335 Xocavend istilik menteqesi.dwg</t>
  </si>
  <si>
    <t>4.23 m³ is printed on 9335 Xocavend istilik menteqesi.dwg sheet 9335 -2- DK, written with its unit m³</t>
  </si>
  <si>
    <t>9.3.5</t>
  </si>
  <si>
    <t>9.3.6</t>
  </si>
  <si>
    <t>9.3.7</t>
  </si>
  <si>
    <t>9.3.8</t>
  </si>
  <si>
    <t>9.3.9</t>
  </si>
  <si>
    <t>9.4.1</t>
  </si>
  <si>
    <t>9.4.2</t>
  </si>
  <si>
    <t>9.4.3</t>
  </si>
  <si>
    <t>9.4.4</t>
  </si>
  <si>
    <t>9.4.5</t>
  </si>
  <si>
    <t>9.5.1</t>
  </si>
  <si>
    <t>Hadrut DEPO/9335/9335 İSTİLİK MƏNTƏQƏSİ.pdf</t>
  </si>
  <si>
    <t>1.259 m³ is printed on 9335 İSTİLİK MƏNTƏQƏSİ.pdf, written with its unit m³</t>
  </si>
  <si>
    <t>9.5.2</t>
  </si>
  <si>
    <t>9.5.3</t>
  </si>
  <si>
    <t>9.5.4</t>
  </si>
  <si>
    <t>9.5.5</t>
  </si>
  <si>
    <t>9.5.6</t>
  </si>
  <si>
    <t>9.5.7</t>
  </si>
  <si>
    <t>9.6.1</t>
  </si>
  <si>
    <t>2.16 m² is printed on 9335 İSTİLİK MƏNTƏQƏSİ.pdf, next to the words sahesi</t>
  </si>
  <si>
    <t>9.6.2</t>
  </si>
  <si>
    <t>9.6.3</t>
  </si>
  <si>
    <t>9.7.1</t>
  </si>
  <si>
    <t>9.7.2</t>
  </si>
  <si>
    <t>9.7.3</t>
  </si>
  <si>
    <t>9.7.4</t>
  </si>
  <si>
    <t>9.7.5</t>
  </si>
  <si>
    <t>9.7.6</t>
  </si>
  <si>
    <t>9.8.1</t>
  </si>
  <si>
    <t>20.16 m² is printed on 9335 İSTİLİK MƏNTƏQƏSİ.pdf sheet 9335 - 2 - İV, written with its unit m²</t>
  </si>
  <si>
    <t>9.8.2</t>
  </si>
  <si>
    <t>9.8.3</t>
  </si>
  <si>
    <t>9.8.4</t>
  </si>
  <si>
    <t>9.8.5</t>
  </si>
  <si>
    <t>85 m² is printed on 9335 İSTİLİK MƏNTƏQƏSİ.pdf, next to the words mehlul, sement</t>
  </si>
  <si>
    <t>9.8.6</t>
  </si>
  <si>
    <t>same quantity as line 9.8.5 (85 m²)</t>
  </si>
  <si>
    <t>9.9.1</t>
  </si>
  <si>
    <t>9.9.2</t>
  </si>
  <si>
    <t>9.9.3</t>
  </si>
  <si>
    <t>9.9.4</t>
  </si>
  <si>
    <t>9.9.5</t>
  </si>
  <si>
    <t>9.9.6</t>
  </si>
  <si>
    <t>9.9.7</t>
  </si>
  <si>
    <t>9.9.8</t>
  </si>
  <si>
    <t>9.9.9</t>
  </si>
  <si>
    <t>9.10.1</t>
  </si>
  <si>
    <t>9.10.2</t>
  </si>
  <si>
    <t>9.10.3</t>
  </si>
  <si>
    <t>9.10.4</t>
  </si>
  <si>
    <t>9.10.5</t>
  </si>
  <si>
    <t>9.10.6</t>
  </si>
  <si>
    <t>9.11.1</t>
  </si>
  <si>
    <t>9.11.2</t>
  </si>
  <si>
    <t>9.11.3</t>
  </si>
  <si>
    <t>9.11.4</t>
  </si>
  <si>
    <t>9.11.5</t>
  </si>
  <si>
    <t>9.11.6</t>
  </si>
  <si>
    <t>9.11.7</t>
  </si>
  <si>
    <t>9.11.8</t>
  </si>
  <si>
    <t>9.12.1</t>
  </si>
  <si>
    <t>9.12.2</t>
  </si>
  <si>
    <t>9.12.3</t>
  </si>
  <si>
    <t>9.12.4</t>
  </si>
  <si>
    <t>9.12.5</t>
  </si>
  <si>
    <t>9.12.6</t>
  </si>
  <si>
    <t>9.12.7</t>
  </si>
  <si>
    <t>9.12.8</t>
  </si>
  <si>
    <t>9.12.9</t>
  </si>
  <si>
    <t>9.12.10</t>
  </si>
  <si>
    <t>9.12.11</t>
  </si>
  <si>
    <t>9.12.12</t>
  </si>
  <si>
    <t>9.12.13</t>
  </si>
  <si>
    <t>9.12.14</t>
  </si>
  <si>
    <t>9.12.15</t>
  </si>
  <si>
    <t>9.12.16</t>
  </si>
  <si>
    <t>9.12.17</t>
  </si>
  <si>
    <t>9.12.18</t>
  </si>
  <si>
    <t>9.12.19</t>
  </si>
  <si>
    <t>9.12.20</t>
  </si>
  <si>
    <t>9.12.21</t>
  </si>
  <si>
    <t>9.12.22</t>
  </si>
  <si>
    <t>9.12.23</t>
  </si>
  <si>
    <t>9.12.24</t>
  </si>
  <si>
    <t>9.12.25</t>
  </si>
  <si>
    <t>9.12.26</t>
  </si>
  <si>
    <t>9.12.27</t>
  </si>
  <si>
    <t>9.12.28</t>
  </si>
  <si>
    <t>9.12.29</t>
  </si>
  <si>
    <t>9.12.30</t>
  </si>
  <si>
    <t>9.12.31</t>
  </si>
  <si>
    <t>9.12.32</t>
  </si>
  <si>
    <t>9.12.33</t>
  </si>
  <si>
    <t>9.12.34</t>
  </si>
  <si>
    <t>9.12.35</t>
  </si>
  <si>
    <t>9.12.36</t>
  </si>
  <si>
    <t>9.12.37</t>
  </si>
  <si>
    <t>9.12.38</t>
  </si>
  <si>
    <t>9.12.39</t>
  </si>
  <si>
    <t>9.12.40</t>
  </si>
  <si>
    <t>9.12.41</t>
  </si>
  <si>
    <t>9.12.42</t>
  </si>
  <si>
    <t>9.12.43</t>
  </si>
  <si>
    <t>9.12.44</t>
  </si>
  <si>
    <t>9.13.1</t>
  </si>
  <si>
    <t>9.13.2</t>
  </si>
  <si>
    <t>9.13.3</t>
  </si>
  <si>
    <t>9.13.4</t>
  </si>
  <si>
    <t>9.13.5</t>
  </si>
  <si>
    <t>9.13.6</t>
  </si>
  <si>
    <t>9.13.7</t>
  </si>
  <si>
    <t>9.13.8</t>
  </si>
  <si>
    <t>9.13.9</t>
  </si>
  <si>
    <t>9.13.10</t>
  </si>
  <si>
    <t>9.13.11</t>
  </si>
  <si>
    <t>9.13.12</t>
  </si>
  <si>
    <t>9.13.13</t>
  </si>
  <si>
    <t>9.13.14</t>
  </si>
  <si>
    <t>9.13.15</t>
  </si>
  <si>
    <t>9.13.16</t>
  </si>
  <si>
    <t>9.13.17</t>
  </si>
  <si>
    <t>9.13.18</t>
  </si>
  <si>
    <t>9.13.19</t>
  </si>
  <si>
    <t>9.13.20</t>
  </si>
  <si>
    <t>9.13.21</t>
  </si>
  <si>
    <t>9.13.22</t>
  </si>
  <si>
    <t>9.13.23</t>
  </si>
  <si>
    <t>9.13.24</t>
  </si>
  <si>
    <t>9.13.25</t>
  </si>
  <si>
    <t>9.13.26</t>
  </si>
  <si>
    <t>9.13.27</t>
  </si>
  <si>
    <t>9.13.28</t>
  </si>
  <si>
    <t>9.13.29</t>
  </si>
  <si>
    <t>9.13.30</t>
  </si>
  <si>
    <t>9.14.1</t>
  </si>
  <si>
    <t>9.14.2</t>
  </si>
  <si>
    <t>9.14.3</t>
  </si>
  <si>
    <t>9.14.4</t>
  </si>
  <si>
    <t>9.14.5</t>
  </si>
  <si>
    <t>9.14.6</t>
  </si>
  <si>
    <t>9.14.7</t>
  </si>
  <si>
    <t>9.14.8</t>
  </si>
  <si>
    <t>9.14.9</t>
  </si>
  <si>
    <t>9.14.10</t>
  </si>
  <si>
    <t>9.14.11</t>
  </si>
  <si>
    <t>9.14.12</t>
  </si>
  <si>
    <t>9.14.13</t>
  </si>
  <si>
    <t>9.14.14</t>
  </si>
  <si>
    <t>9.14.15</t>
  </si>
  <si>
    <t>9.14.16</t>
  </si>
  <si>
    <t>9.14.17</t>
  </si>
  <si>
    <t>9.14.18</t>
  </si>
  <si>
    <t>9.14.19</t>
  </si>
  <si>
    <t>9.14.20</t>
  </si>
  <si>
    <t>9.14.21</t>
  </si>
  <si>
    <t>9.14.22</t>
  </si>
  <si>
    <t>9.14.23</t>
  </si>
  <si>
    <t>9.14.24</t>
  </si>
  <si>
    <t>9.14.25</t>
  </si>
  <si>
    <t>9.14.26</t>
  </si>
  <si>
    <t>9.14.27</t>
  </si>
  <si>
    <t>9.14.28</t>
  </si>
  <si>
    <t>9.14.29</t>
  </si>
  <si>
    <t>9.14.30</t>
  </si>
  <si>
    <t>9.14.31</t>
  </si>
  <si>
    <t>9.14.32</t>
  </si>
  <si>
    <t>9.14.33</t>
  </si>
  <si>
    <t>9.14.34</t>
  </si>
  <si>
    <t>9.14.35</t>
  </si>
  <si>
    <t>9.14.36</t>
  </si>
  <si>
    <t>9.14.37</t>
  </si>
  <si>
    <t>9.14.38</t>
  </si>
  <si>
    <t>9.14.39</t>
  </si>
  <si>
    <t>9.14.40</t>
  </si>
  <si>
    <t>9.14.41</t>
  </si>
  <si>
    <t>9.14.42</t>
  </si>
  <si>
    <t>9.14.43</t>
  </si>
  <si>
    <t>9.14.44</t>
  </si>
  <si>
    <t>9.14.45</t>
  </si>
  <si>
    <t>9.14.46</t>
  </si>
  <si>
    <t>9.14.47</t>
  </si>
  <si>
    <t>9.14.48</t>
  </si>
  <si>
    <t>9.14.49</t>
  </si>
  <si>
    <t>9.14.50</t>
  </si>
  <si>
    <t>9.15.1</t>
  </si>
  <si>
    <t>9.15.2</t>
  </si>
  <si>
    <t>9.15.3</t>
  </si>
  <si>
    <t>9.15.4</t>
  </si>
  <si>
    <t>9.15.5</t>
  </si>
  <si>
    <t>9.15.6</t>
  </si>
  <si>
    <t>9.15.7</t>
  </si>
  <si>
    <t>9.15.8</t>
  </si>
  <si>
    <t>9.15.9</t>
  </si>
  <si>
    <t>9.15.10</t>
  </si>
  <si>
    <t>9.15.11</t>
  </si>
  <si>
    <t>9.15.12</t>
  </si>
  <si>
    <t>9.15.13</t>
  </si>
  <si>
    <t>9.15.14</t>
  </si>
  <si>
    <t>9.15.15</t>
  </si>
  <si>
    <t>9.15.16</t>
  </si>
  <si>
    <t>9.15.17</t>
  </si>
  <si>
    <t>9.15.18</t>
  </si>
  <si>
    <t>9.16.1</t>
  </si>
  <si>
    <t>9.16.2</t>
  </si>
  <si>
    <t>9.16.3</t>
  </si>
  <si>
    <t>9.16.4</t>
  </si>
  <si>
    <t>9.16.5</t>
  </si>
  <si>
    <t>9.16.6</t>
  </si>
  <si>
    <t>9.16.7</t>
  </si>
  <si>
    <t>9.16.8</t>
  </si>
  <si>
    <t>9.16.9</t>
  </si>
  <si>
    <t>9.16.10</t>
  </si>
  <si>
    <t>9.16.11</t>
  </si>
  <si>
    <t>9.16.12</t>
  </si>
  <si>
    <t>9.16.13</t>
  </si>
  <si>
    <t>9.16.14</t>
  </si>
  <si>
    <t>9.16.15</t>
  </si>
  <si>
    <t>9.16.16</t>
  </si>
  <si>
    <t>9.16.17</t>
  </si>
  <si>
    <t>9.16.18</t>
  </si>
  <si>
    <t>9.16.19</t>
  </si>
  <si>
    <t>9.16.20</t>
  </si>
  <si>
    <t>9.16.21</t>
  </si>
  <si>
    <t>9.16.22</t>
  </si>
  <si>
    <t>9.16.23</t>
  </si>
  <si>
    <t>9.16.24</t>
  </si>
  <si>
    <t>9.16.25</t>
  </si>
  <si>
    <t>9.17.1</t>
  </si>
  <si>
    <t>9.17.2</t>
  </si>
  <si>
    <t>9.17.3</t>
  </si>
  <si>
    <t>9.17.4</t>
  </si>
  <si>
    <t>9.17.5</t>
  </si>
  <si>
    <t>9.17.6</t>
  </si>
  <si>
    <t>9.17.7</t>
  </si>
  <si>
    <t>9.17.8</t>
  </si>
  <si>
    <t>9.17.9</t>
  </si>
  <si>
    <t>9.18.1</t>
  </si>
  <si>
    <t>9.18.2</t>
  </si>
  <si>
    <t>9.18.3</t>
  </si>
  <si>
    <t>9.18.4</t>
  </si>
  <si>
    <t>9.18.5</t>
  </si>
  <si>
    <t>9.18.6</t>
  </si>
  <si>
    <t>9.18.7</t>
  </si>
  <si>
    <t>9.18.8</t>
  </si>
  <si>
    <t>9.19.1</t>
  </si>
  <si>
    <t>9.19.2</t>
  </si>
  <si>
    <t>9.19.3</t>
  </si>
  <si>
    <t>9.19.4</t>
  </si>
  <si>
    <t>9.19.5</t>
  </si>
  <si>
    <t>9.19.6</t>
  </si>
  <si>
    <t>9.19.7</t>
  </si>
  <si>
    <t>9.19.8</t>
  </si>
  <si>
    <t>9.19.9</t>
  </si>
  <si>
    <t>9.19.10</t>
  </si>
  <si>
    <t>9.19.11</t>
  </si>
  <si>
    <t>9.19.12</t>
  </si>
  <si>
    <t>9.19.13</t>
  </si>
  <si>
    <t>9.19.14</t>
  </si>
  <si>
    <t>9.19.15</t>
  </si>
  <si>
    <t>9.19.16</t>
  </si>
  <si>
    <t>9.19.17</t>
  </si>
  <si>
    <t>9.19.18</t>
  </si>
  <si>
    <t>9.19.19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</si>
  <si>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</si>
  <si>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</si>
  <si>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</si>
  <si>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</si>
  <si>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</si>
  <si>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</si>
  <si>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</si>
  <si>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</si>
  <si>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10.1.9</t>
  </si>
  <si>
    <t>10.1.10</t>
  </si>
  <si>
    <t>10.1.11</t>
  </si>
  <si>
    <t>10.1.12</t>
  </si>
  <si>
    <t>10.1.13</t>
  </si>
  <si>
    <t>10.1.14</t>
  </si>
  <si>
    <t>10.1.15</t>
  </si>
  <si>
    <t>10.1.16</t>
  </si>
  <si>
    <t>10.1.17</t>
  </si>
  <si>
    <t>10.1.18</t>
  </si>
  <si>
    <t>10.1.19</t>
  </si>
  <si>
    <t>10.1.20</t>
  </si>
  <si>
    <t>10.1.21</t>
  </si>
  <si>
    <t>10.1.22</t>
  </si>
  <si>
    <t>10.1.23</t>
  </si>
  <si>
    <t>10.1.24</t>
  </si>
  <si>
    <t>Hadrut DEPO/Xocavend dk/9335 Xocevend yangin su anbari dk.dwg</t>
  </si>
  <si>
    <t>4.13 m³ is printed on 9335 Xocevend yangin su anbari dk.dwg sheet 9335 - 3,3a - DK, written with its unit m³</t>
  </si>
  <si>
    <t>10.1.25</t>
  </si>
  <si>
    <t>10.1.26</t>
  </si>
  <si>
    <t>10.1.27</t>
  </si>
  <si>
    <t>10.1.28</t>
  </si>
  <si>
    <t>10.1.29</t>
  </si>
  <si>
    <t>10.1.30</t>
  </si>
  <si>
    <t>10.1.31</t>
  </si>
  <si>
    <t>10.1.32</t>
  </si>
  <si>
    <t>10.1.33</t>
  </si>
  <si>
    <t>10.1.34</t>
  </si>
  <si>
    <t>10.1.35</t>
  </si>
  <si>
    <t>10.1.36</t>
  </si>
  <si>
    <t>10.1.37</t>
  </si>
  <si>
    <t>10.2.1</t>
  </si>
  <si>
    <t>10.2.2</t>
  </si>
  <si>
    <t>10.2.3</t>
  </si>
  <si>
    <t>10.2.4</t>
  </si>
  <si>
    <t>10.2.5</t>
  </si>
  <si>
    <t>10.2.6</t>
  </si>
  <si>
    <t>11.1.1</t>
  </si>
  <si>
    <t>11.1.2</t>
  </si>
  <si>
    <t>11.1.3</t>
  </si>
  <si>
    <t>11.1.4</t>
  </si>
  <si>
    <t>11.1.5</t>
  </si>
  <si>
    <t>11.1.6</t>
  </si>
  <si>
    <t>11.1.7</t>
  </si>
  <si>
    <t>11.1.8</t>
  </si>
  <si>
    <t>11.1.9</t>
  </si>
  <si>
    <t>11.1.10</t>
  </si>
  <si>
    <t>11.1.11</t>
  </si>
  <si>
    <t>11.1.12</t>
  </si>
  <si>
    <t>11.1.13</t>
  </si>
  <si>
    <t>11.1.14</t>
  </si>
  <si>
    <t>11.1.15</t>
  </si>
  <si>
    <t>11.1.16</t>
  </si>
  <si>
    <t>11.1.17</t>
  </si>
  <si>
    <t>11.1.18</t>
  </si>
  <si>
    <t>11.1.19</t>
  </si>
  <si>
    <t>11.1.20</t>
  </si>
  <si>
    <t>11.1.21</t>
  </si>
  <si>
    <t>11.1.22</t>
  </si>
  <si>
    <t>11.1.23</t>
  </si>
  <si>
    <t>11.1.24</t>
  </si>
  <si>
    <t>11.1.25</t>
  </si>
  <si>
    <t>11.1.26</t>
  </si>
  <si>
    <t>11.1.27</t>
  </si>
  <si>
    <t>11.1.28</t>
  </si>
  <si>
    <t>11.1.29</t>
  </si>
  <si>
    <t>11.1.30</t>
  </si>
  <si>
    <t>11.1.31</t>
  </si>
  <si>
    <t>11.1.32</t>
  </si>
  <si>
    <t>11.1.33</t>
  </si>
  <si>
    <t>11.1.34</t>
  </si>
  <si>
    <t>11.1.35</t>
  </si>
  <si>
    <t>11.1.36</t>
  </si>
  <si>
    <t>11.1.37</t>
  </si>
  <si>
    <t>11.2.1</t>
  </si>
  <si>
    <t>11.2.2</t>
  </si>
  <si>
    <t>11.2.3</t>
  </si>
  <si>
    <t>11.2.4</t>
  </si>
  <si>
    <t>11.2.5</t>
  </si>
  <si>
    <t>11.2.6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</si>
  <si>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</si>
  <si>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</si>
  <si>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</si>
  <si>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</si>
  <si>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</si>
  <si>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</si>
  <si>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</si>
  <si>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</si>
  <si>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</si>
  <si>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</si>
  <si>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12.1.11</t>
  </si>
  <si>
    <t>12.1.12</t>
  </si>
  <si>
    <t>12.1.13</t>
  </si>
  <si>
    <t>Hadrut DEPO/Xocavend dk/9335 Xocavend icmeli su anbari dk.dwg</t>
  </si>
  <si>
    <t>3.89 + 10.6 = 14.49, both printed on 9335 Xocavend icmeli su anbari dk.dwg</t>
  </si>
  <si>
    <t>12.1.14</t>
  </si>
  <si>
    <t>12.1.15</t>
  </si>
  <si>
    <t>12.1.16</t>
  </si>
  <si>
    <t>12.1.17</t>
  </si>
  <si>
    <t>12.1.18</t>
  </si>
  <si>
    <t>12.1.19</t>
  </si>
  <si>
    <t>12.1.20</t>
  </si>
  <si>
    <t>12.1.21</t>
  </si>
  <si>
    <t>12.1.22</t>
  </si>
  <si>
    <t>1.58 m³ is printed on 9335 Xocavend icmeli su anbari dk.dwg sheet 9335 - 5,5a - DK, written with its unit m³</t>
  </si>
  <si>
    <t>12.1.23</t>
  </si>
  <si>
    <t>12.1.24</t>
  </si>
  <si>
    <t>12.1.25</t>
  </si>
  <si>
    <t>Hadrut DEPO/9335/Xocavend yangi ve icmeli su anbari .pdf</t>
  </si>
  <si>
    <t>3 each is printed on Xocavend yangi ve icmeli su anbari .pdf, next to the words bunovr, divarl</t>
  </si>
  <si>
    <t>12.1.26</t>
  </si>
  <si>
    <t>12.1.27</t>
  </si>
  <si>
    <t>12.1.28</t>
  </si>
  <si>
    <t>12.1.29</t>
  </si>
  <si>
    <t>12.1.30</t>
  </si>
  <si>
    <t>12.1.31</t>
  </si>
  <si>
    <t>12.1.32</t>
  </si>
  <si>
    <t>12.1.33</t>
  </si>
  <si>
    <t>12.1.34</t>
  </si>
  <si>
    <t>12.1.35</t>
  </si>
  <si>
    <t>12.1.36</t>
  </si>
  <si>
    <t>12.2.1</t>
  </si>
  <si>
    <t>12.2.2</t>
  </si>
  <si>
    <t>12.2.3</t>
  </si>
  <si>
    <t>12.2.4</t>
  </si>
  <si>
    <t>12.2.5</t>
  </si>
  <si>
    <t>12.2.6</t>
  </si>
  <si>
    <t>12.2.7</t>
  </si>
  <si>
    <t>12.2.8</t>
  </si>
  <si>
    <t>12.2.9</t>
  </si>
  <si>
    <t>12.2.10</t>
  </si>
  <si>
    <t>12.2.11</t>
  </si>
  <si>
    <t>12.2.12</t>
  </si>
  <si>
    <t>12.2.13</t>
  </si>
  <si>
    <t>12.2.14</t>
  </si>
  <si>
    <t>12.2.15</t>
  </si>
  <si>
    <t>12.2.16</t>
  </si>
  <si>
    <t>12.2.17</t>
  </si>
  <si>
    <t>12.2.18</t>
  </si>
  <si>
    <t>12.2.19</t>
  </si>
  <si>
    <t>12.2.20</t>
  </si>
  <si>
    <t>12.2.21</t>
  </si>
  <si>
    <t>13.1.1</t>
  </si>
  <si>
    <t>13.1.2</t>
  </si>
  <si>
    <t>13.1.3</t>
  </si>
  <si>
    <t>13.1.4</t>
  </si>
  <si>
    <t>13.1.5</t>
  </si>
  <si>
    <t>13.1.6</t>
  </si>
  <si>
    <t>13.1.7</t>
  </si>
  <si>
    <t>13.1.8</t>
  </si>
  <si>
    <t>13.1.9</t>
  </si>
  <si>
    <t>13.1.10</t>
  </si>
  <si>
    <t>13.1.11</t>
  </si>
  <si>
    <t>13.1.12</t>
  </si>
  <si>
    <t>13.1.13</t>
  </si>
  <si>
    <t>13.1.14</t>
  </si>
  <si>
    <t>13.1.15</t>
  </si>
  <si>
    <t>13.1.16</t>
  </si>
  <si>
    <t>13.1.17</t>
  </si>
  <si>
    <t>13.1.18</t>
  </si>
  <si>
    <t>13.1.19</t>
  </si>
  <si>
    <t>13.1.20</t>
  </si>
  <si>
    <t>13.1.21</t>
  </si>
  <si>
    <t>13.1.22</t>
  </si>
  <si>
    <t>13.1.23</t>
  </si>
  <si>
    <t>13.1.24</t>
  </si>
  <si>
    <t>13.1.25</t>
  </si>
  <si>
    <t>13.1.26</t>
  </si>
  <si>
    <t>13.1.27</t>
  </si>
  <si>
    <t>13.1.28</t>
  </si>
  <si>
    <t>13.1.29</t>
  </si>
  <si>
    <t>13.1.30</t>
  </si>
  <si>
    <t>13.1.31</t>
  </si>
  <si>
    <t>13.1.32</t>
  </si>
  <si>
    <t>13.1.33</t>
  </si>
  <si>
    <t>13.1.34</t>
  </si>
  <si>
    <t>13.1.35</t>
  </si>
  <si>
    <t>13.1.36</t>
  </si>
  <si>
    <t>13.2.1</t>
  </si>
  <si>
    <t>13.2.2</t>
  </si>
  <si>
    <t>13.2.3</t>
  </si>
  <si>
    <t>13.2.4</t>
  </si>
  <si>
    <t>13.2.5</t>
  </si>
  <si>
    <t>13.2.6</t>
  </si>
  <si>
    <t>13.2.7</t>
  </si>
  <si>
    <t>13.2.8</t>
  </si>
  <si>
    <t>13.2.9</t>
  </si>
  <si>
    <t>13.2.10</t>
  </si>
  <si>
    <t>13.2.11</t>
  </si>
  <si>
    <t>13.2.12</t>
  </si>
  <si>
    <t>13.2.13</t>
  </si>
  <si>
    <t>13.2.14</t>
  </si>
  <si>
    <t>13.2.15</t>
  </si>
  <si>
    <t>13.2.16</t>
  </si>
  <si>
    <t>13.2.17</t>
  </si>
  <si>
    <t>13.2.18</t>
  </si>
  <si>
    <t>13.2.19</t>
  </si>
  <si>
    <t>13.2.20</t>
  </si>
  <si>
    <t>13.2.21</t>
  </si>
  <si>
    <t>14.1.1</t>
  </si>
  <si>
    <t>14.1.2</t>
  </si>
  <si>
    <t>14.1.3</t>
  </si>
  <si>
    <t>14.1.4</t>
  </si>
  <si>
    <t>14.1.5</t>
  </si>
  <si>
    <t>14.2.1</t>
  </si>
  <si>
    <t>14.2.2</t>
  </si>
  <si>
    <t>14.2.3</t>
  </si>
  <si>
    <t>Hadrut DEPO/Xocavend dk/9335 Xocavend su nasos stansiyasi dk.dwg</t>
  </si>
  <si>
    <t>8.46 m³ is printed on 9335 Xocavend su nasos stansiyasi dk.dwg sheet 9335 - 4 - MT, next to the words beton</t>
  </si>
  <si>
    <t>14.2.4</t>
  </si>
  <si>
    <t>14.2.5</t>
  </si>
  <si>
    <t>14.2.6</t>
  </si>
  <si>
    <t>14.2.7</t>
  </si>
  <si>
    <t>14.2.8</t>
  </si>
  <si>
    <t>14.2.9</t>
  </si>
  <si>
    <t>14.2.10</t>
  </si>
  <si>
    <t>14.2.11</t>
  </si>
  <si>
    <t>14.2.12</t>
  </si>
  <si>
    <t>14.3.1</t>
  </si>
  <si>
    <t>14.3.2</t>
  </si>
  <si>
    <t>14.3.3</t>
  </si>
  <si>
    <t>14.3.4</t>
  </si>
  <si>
    <t>2.91 m³ is printed on 9335 Xocavend su nasos stansiyasi dk.dwg sheet 9335 - 4 - MT, written with its unit m³</t>
  </si>
  <si>
    <t>14.3.5</t>
  </si>
  <si>
    <t>14.3.r1767</t>
  </si>
  <si>
    <t>14.4.1</t>
  </si>
  <si>
    <t>14.4.2</t>
  </si>
  <si>
    <t>14.4.3</t>
  </si>
  <si>
    <t>14.4.4</t>
  </si>
  <si>
    <t>14.5.1</t>
  </si>
  <si>
    <t>14.5.2</t>
  </si>
  <si>
    <t>14.5.3</t>
  </si>
  <si>
    <t>14.5.4</t>
  </si>
  <si>
    <t>14.5.5</t>
  </si>
  <si>
    <t>pump_roof_timber</t>
  </si>
  <si>
    <t>equals Pump station, roof timber total</t>
  </si>
  <si>
    <t>14.5.6</t>
  </si>
  <si>
    <t>pump_roof_tile</t>
  </si>
  <si>
    <t>equals Pump station, metal roof tile area</t>
  </si>
  <si>
    <t>14.5.7</t>
  </si>
  <si>
    <t>17.6 m is printed on YRS - VM - XOCAVEND-NƏZARƏT.dwg sheet 9336-04-MT, written with its unit m</t>
  </si>
  <si>
    <t>14.5.8</t>
  </si>
  <si>
    <t>14.5.9</t>
  </si>
  <si>
    <t>14.6.1</t>
  </si>
  <si>
    <t>14.6.2</t>
  </si>
  <si>
    <t>14.6.3</t>
  </si>
  <si>
    <t>14.6.4</t>
  </si>
  <si>
    <t>14.7.1</t>
  </si>
  <si>
    <t>14.7.2</t>
  </si>
  <si>
    <t>14.7.3</t>
  </si>
  <si>
    <t>16 m² is printed on YRS - VM - XOCAVEND-NƏZARƏT.dwg sheet 9336-04-MT, next to the words mehlul, sement</t>
  </si>
  <si>
    <t>14.8.1</t>
  </si>
  <si>
    <t>14.8.2</t>
  </si>
  <si>
    <t>14.8.3</t>
  </si>
  <si>
    <t>14.8.4</t>
  </si>
  <si>
    <t>14.8.5</t>
  </si>
  <si>
    <t>14.8.6</t>
  </si>
  <si>
    <t>Hadrut DEPO/9335/9335 su nasos stansiyası.pdf</t>
  </si>
  <si>
    <t>63.4 m² is printed on 9335 su nasos stansiyası.pdf, next to the words divarl</t>
  </si>
  <si>
    <t>14.8.7</t>
  </si>
  <si>
    <t>14.9.1</t>
  </si>
  <si>
    <t>14.9.2</t>
  </si>
  <si>
    <t>14.9.3</t>
  </si>
  <si>
    <t>14.9.4</t>
  </si>
  <si>
    <t>14.9.5</t>
  </si>
  <si>
    <t>14.10.1</t>
  </si>
  <si>
    <t>14.10.2</t>
  </si>
  <si>
    <t>14.10.3</t>
  </si>
  <si>
    <t>14.10.4</t>
  </si>
  <si>
    <t>14.10.5</t>
  </si>
  <si>
    <t>14.10.6</t>
  </si>
  <si>
    <t>14.10.7</t>
  </si>
  <si>
    <t>14.10.8</t>
  </si>
  <si>
    <t>14.10.9</t>
  </si>
  <si>
    <t>14.10.10</t>
  </si>
  <si>
    <t>14.10.11</t>
  </si>
  <si>
    <t>14.10.12</t>
  </si>
  <si>
    <t>14.10.13</t>
  </si>
  <si>
    <t>14.10.14</t>
  </si>
  <si>
    <t>14.10.15</t>
  </si>
  <si>
    <t>14.10.16</t>
  </si>
  <si>
    <t>14.10.17</t>
  </si>
  <si>
    <t>14.10.18</t>
  </si>
  <si>
    <t>14.10.19</t>
  </si>
  <si>
    <t>14.10.20</t>
  </si>
  <si>
    <t>14.10.21</t>
  </si>
  <si>
    <t>14.10.22</t>
  </si>
  <si>
    <t>14.10.23</t>
  </si>
  <si>
    <t>14.10.24</t>
  </si>
  <si>
    <t>14.10.25</t>
  </si>
  <si>
    <t>14.10.26</t>
  </si>
  <si>
    <t>14.10.27</t>
  </si>
  <si>
    <t>14.10.28</t>
  </si>
  <si>
    <t>14.11.1</t>
  </si>
  <si>
    <t>14.11.2</t>
  </si>
  <si>
    <t>14.11.3</t>
  </si>
  <si>
    <t>14.11.4</t>
  </si>
  <si>
    <t>14.11.5</t>
  </si>
  <si>
    <t>14.11.6</t>
  </si>
  <si>
    <t>14.11.7</t>
  </si>
  <si>
    <t>14.11.8</t>
  </si>
  <si>
    <t>14.11.9</t>
  </si>
  <si>
    <t>14.11.10</t>
  </si>
  <si>
    <t>14.11.11</t>
  </si>
  <si>
    <t>14.11.12</t>
  </si>
  <si>
    <t>14.11.13</t>
  </si>
  <si>
    <t>14.11.14</t>
  </si>
  <si>
    <t>14.11.15</t>
  </si>
  <si>
    <t>14.11.16</t>
  </si>
  <si>
    <t>14.11.17</t>
  </si>
  <si>
    <t>14.11.18</t>
  </si>
  <si>
    <t>14.11.19</t>
  </si>
  <si>
    <t>14.11.20</t>
  </si>
  <si>
    <t>14.11.21</t>
  </si>
  <si>
    <t>14.12.1</t>
  </si>
  <si>
    <t>14.12.2</t>
  </si>
  <si>
    <t>14.12.3</t>
  </si>
  <si>
    <t>14.12.4</t>
  </si>
  <si>
    <t>14.12.5</t>
  </si>
  <si>
    <t>14.12.6</t>
  </si>
  <si>
    <t>14.12.7</t>
  </si>
  <si>
    <t>14.12.8</t>
  </si>
  <si>
    <t>14.12.9</t>
  </si>
  <si>
    <t>14.12.10</t>
  </si>
  <si>
    <t>14.12.11</t>
  </si>
  <si>
    <t>14.12.12</t>
  </si>
  <si>
    <t>14.12.13</t>
  </si>
  <si>
    <t>14.12.14</t>
  </si>
  <si>
    <t>14.12.15</t>
  </si>
  <si>
    <t>14.12.16</t>
  </si>
  <si>
    <t>14.12.17</t>
  </si>
  <si>
    <t>14.12.18</t>
  </si>
  <si>
    <t>14.12.19</t>
  </si>
  <si>
    <t>14.12.20</t>
  </si>
  <si>
    <t>14.12.21</t>
  </si>
  <si>
    <t>14.12.22</t>
  </si>
  <si>
    <t>14.12.23</t>
  </si>
  <si>
    <t>14.12.24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</si>
  <si>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</si>
  <si>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</si>
  <si>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</si>
  <si>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</si>
  <si>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</si>
  <si>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</si>
  <si>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</si>
  <si>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</si>
  <si>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15.2.1</t>
  </si>
  <si>
    <t>Hadrut DEPO/Xocavend dk/9335 Xocavend avtoyuma dk.dwg</t>
  </si>
  <si>
    <t>18.5 m³ is printed on 9335 Xocavend avtoyuma dk.dwg sheet 9335 - 9 - DK, next to the words beton</t>
  </si>
  <si>
    <t>15.2.2</t>
  </si>
  <si>
    <t>15.2.3</t>
  </si>
  <si>
    <t>14.6 m³ is printed on 9335 Xocavend avtoyuma dk.dwg sheet 9335 - 9 - DK, next to the words beton</t>
  </si>
  <si>
    <t>15.2.4</t>
  </si>
  <si>
    <t>15.2.5</t>
  </si>
  <si>
    <t>15.2.6</t>
  </si>
  <si>
    <t>15.2.7</t>
  </si>
  <si>
    <t>15.2.8</t>
  </si>
  <si>
    <t>15.2.9</t>
  </si>
  <si>
    <t>15.3.1</t>
  </si>
  <si>
    <t>15.3.2</t>
  </si>
  <si>
    <t>15.3.3</t>
  </si>
  <si>
    <t>15.4.1</t>
  </si>
  <si>
    <t>15.4.2</t>
  </si>
  <si>
    <t>15.4.3</t>
  </si>
  <si>
    <t>15.4.4</t>
  </si>
  <si>
    <t>15.4.5</t>
  </si>
  <si>
    <t>15.5.1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</si>
  <si>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</si>
  <si>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</si>
  <si>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</si>
  <si>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</si>
  <si>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</si>
  <si>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</si>
  <si>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</si>
  <si>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</si>
  <si>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Hadrut DEPO/Xocavend dk/9335 Xocavənd ayaqyolu dk.dwg</t>
  </si>
  <si>
    <t>3.35 m³ is printed on 9335 Xocavənd ayaqyolu dk.dwg sheet 9335 - 13 - MT, next to the words beton</t>
  </si>
  <si>
    <t>16.1.9</t>
  </si>
  <si>
    <t>16.1.10</t>
  </si>
  <si>
    <t>16.1.11</t>
  </si>
  <si>
    <t>16.1.12</t>
  </si>
  <si>
    <t>16.1.13</t>
  </si>
  <si>
    <t>16.1.14</t>
  </si>
  <si>
    <t>16.1.15</t>
  </si>
  <si>
    <t>16.1.16</t>
  </si>
  <si>
    <t>16.1.17</t>
  </si>
  <si>
    <t>16.1.18</t>
  </si>
  <si>
    <t>16.1.19</t>
  </si>
  <si>
    <t>16.1.20</t>
  </si>
  <si>
    <t>16.1.21</t>
  </si>
  <si>
    <t>16.1.22</t>
  </si>
  <si>
    <t>16.1.23</t>
  </si>
  <si>
    <t>16.1.24</t>
  </si>
  <si>
    <t>Hadrut DEPO/9335/9335 2 yerlik ayaqyolu.pdf</t>
  </si>
  <si>
    <t>12.5 m² is printed on 9335 2 yerlik ayaqyolu.pdf, next to the words ortuyu, sinkle</t>
  </si>
  <si>
    <t>16.1.25</t>
  </si>
  <si>
    <t>16.1.26</t>
  </si>
  <si>
    <t>16.1.27</t>
  </si>
  <si>
    <t>5.14 m² is printed on 9335 2 yerlik ayaqyolu.pdf, written with its unit m²</t>
  </si>
  <si>
    <t>16.1.28</t>
  </si>
  <si>
    <t>5.14 m² is printed on 9335 2 yerlik ayaqyolu.pdf, next to the words doseme</t>
  </si>
  <si>
    <t>16.1.29</t>
  </si>
  <si>
    <t>5.46 m² is printed on 9335 2 yerlik ayaqyolu.pdf, written with its unit m²</t>
  </si>
  <si>
    <t>16.1.30</t>
  </si>
  <si>
    <t>34 m² is printed on 9335 2 yerlik ayaqyolu.pdf, next to the words divarl, kafel</t>
  </si>
  <si>
    <t>16.1.31</t>
  </si>
  <si>
    <t>same quantity as line 16.1.30 (34 m²)</t>
  </si>
  <si>
    <t>16.1.32</t>
  </si>
  <si>
    <t>16.1.33</t>
  </si>
  <si>
    <t>16.2.1</t>
  </si>
  <si>
    <t>16.2.2</t>
  </si>
  <si>
    <t>16.2.3</t>
  </si>
  <si>
    <t>16.2.4</t>
  </si>
  <si>
    <t>16.2.5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</si>
  <si>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</si>
  <si>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</si>
  <si>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</si>
  <si>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</si>
  <si>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</si>
  <si>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</si>
  <si>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</si>
  <si>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</si>
  <si>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</si>
  <si>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</si>
  <si>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16.3.11</t>
  </si>
  <si>
    <t>16.4.1</t>
  </si>
  <si>
    <t>16.4.2</t>
  </si>
  <si>
    <t>16.5.1</t>
  </si>
  <si>
    <t>16.5.2</t>
  </si>
  <si>
    <t>16.5.3</t>
  </si>
  <si>
    <t>16.5.4</t>
  </si>
  <si>
    <t>16.5.5</t>
  </si>
  <si>
    <t>16.5.6</t>
  </si>
  <si>
    <t>16.5.7</t>
  </si>
  <si>
    <t>16.5.8</t>
  </si>
  <si>
    <t>16.5.9</t>
  </si>
  <si>
    <t>16.5.10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</si>
  <si>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</si>
  <si>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</si>
  <si>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</si>
  <si>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</si>
  <si>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</si>
  <si>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</si>
  <si>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</si>
  <si>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</si>
  <si>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</si>
  <si>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</si>
  <si>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17.1.11</t>
  </si>
  <si>
    <t>17.1.12</t>
  </si>
  <si>
    <t>17.1.13</t>
  </si>
  <si>
    <t>17.1.14</t>
  </si>
  <si>
    <t>17.1.15</t>
  </si>
  <si>
    <t>17.1.16</t>
  </si>
  <si>
    <t>17.1.17</t>
  </si>
  <si>
    <t>17.1.18</t>
  </si>
  <si>
    <t>17.1.19</t>
  </si>
  <si>
    <t>17.1.20</t>
  </si>
  <si>
    <t>17.1.21</t>
  </si>
  <si>
    <t>17.1.22</t>
  </si>
  <si>
    <t>17.1.23</t>
  </si>
  <si>
    <t>17.1.24</t>
  </si>
  <si>
    <t>17.1.25</t>
  </si>
  <si>
    <t>17.1.26</t>
  </si>
  <si>
    <t>17.1.27</t>
  </si>
  <si>
    <t>17.1.28</t>
  </si>
  <si>
    <t>17.1.29</t>
  </si>
  <si>
    <t>17.2.1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</si>
  <si>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</si>
  <si>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</si>
  <si>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</si>
  <si>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</si>
  <si>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</si>
  <si>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</si>
  <si>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</si>
  <si>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</si>
  <si>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17.2.10</t>
  </si>
  <si>
    <t>17.2.11</t>
  </si>
  <si>
    <t>17.2.12</t>
  </si>
  <si>
    <t>17.2.13</t>
  </si>
  <si>
    <t>17.2.14</t>
  </si>
  <si>
    <t>18.1.1</t>
  </si>
  <si>
    <t>18.1.2</t>
  </si>
  <si>
    <t>18.1.3</t>
  </si>
  <si>
    <t>earth_shortfall</t>
  </si>
  <si>
    <t>equals Suitable soil shortfall</t>
  </si>
  <si>
    <t>18.1.4</t>
  </si>
  <si>
    <t>8683 m³ × 1.75 t/m³ from line 18.1.3; the density is the estimator's choice, not on a drawing</t>
  </si>
  <si>
    <t>18.1.5</t>
  </si>
  <si>
    <t>earth_fill</t>
  </si>
  <si>
    <t>equals Site fill</t>
  </si>
  <si>
    <t>18.1.6</t>
  </si>
  <si>
    <t>18.1.7</t>
  </si>
  <si>
    <t>18.1.8</t>
  </si>
  <si>
    <t>18.1.9</t>
  </si>
  <si>
    <t>topsoil</t>
  </si>
  <si>
    <t>equals Topsoil to landscaped area</t>
  </si>
  <si>
    <t>18.1.10</t>
  </si>
  <si>
    <t>522 m³ × 1.2 t/m³ from line 18.1.9; the density is the estimator's choice, not on a drawing</t>
  </si>
  <si>
    <t>19.1.1</t>
  </si>
  <si>
    <t>19.1.2</t>
  </si>
  <si>
    <t>19.1.3</t>
  </si>
  <si>
    <t>area_asphalt_roads</t>
  </si>
  <si>
    <t>lines 19.1.3 + 20.1.3 = 599.7 equals the printed 599.7 m²</t>
  </si>
  <si>
    <t>19.1.4</t>
  </si>
  <si>
    <t>repeats line 19.1.3 (383.7 m²)</t>
  </si>
  <si>
    <t>19.1.5</t>
  </si>
  <si>
    <t>same quantity as line 19.1.4 (383.7 m²)</t>
  </si>
  <si>
    <t>19.1.6</t>
  </si>
  <si>
    <t>repeats line 19.1.5 (383.7 m²)</t>
  </si>
  <si>
    <t>19.1.7</t>
  </si>
  <si>
    <t>same quantity as line 19.1.6 (383.7 m²)</t>
  </si>
  <si>
    <t>19.1.8</t>
  </si>
  <si>
    <t>repeats line 19.1.7 (383.7 m²)</t>
  </si>
  <si>
    <t>19.1.9</t>
  </si>
  <si>
    <t>20.1.1</t>
  </si>
  <si>
    <t>20.1.2</t>
  </si>
  <si>
    <t>20.1.3</t>
  </si>
  <si>
    <t>20.1.4</t>
  </si>
  <si>
    <t>Hadrut DEPO/Depo  Hadrut BP/9335 Xocavənd  rayon   DYNX.dwg</t>
  </si>
  <si>
    <t>216 m² is printed on 9335 Xocavənd  rayon   DYNX.dwg sheet 9335 - 0 - BP, written with its unit m²</t>
  </si>
  <si>
    <t>20.1.5</t>
  </si>
  <si>
    <t>20.1.6</t>
  </si>
  <si>
    <t>20.1.7</t>
  </si>
  <si>
    <t>20.1.8</t>
  </si>
  <si>
    <t>20.1.9</t>
  </si>
  <si>
    <t>21.1.1</t>
  </si>
  <si>
    <t>21.1.2</t>
  </si>
  <si>
    <t>21.1.3</t>
  </si>
  <si>
    <t>area_rc_roads</t>
  </si>
  <si>
    <t>equals Reinforced-concrete roads</t>
  </si>
  <si>
    <t>21.1.4</t>
  </si>
  <si>
    <t>21.1.5</t>
  </si>
  <si>
    <t>21.1.6</t>
  </si>
  <si>
    <t>21.1.7</t>
  </si>
  <si>
    <t>21.1.8</t>
  </si>
  <si>
    <t>21.1.9</t>
  </si>
  <si>
    <t>21.1.10</t>
  </si>
  <si>
    <t>21.1.r2066</t>
  </si>
  <si>
    <t>repeats line 21.1.10 (1021 m²)</t>
  </si>
  <si>
    <t>22.1.1</t>
  </si>
  <si>
    <t>22.1.2</t>
  </si>
  <si>
    <t>22.1.3</t>
  </si>
  <si>
    <t>area_pavements</t>
  </si>
  <si>
    <t>equals Pavements and yards</t>
  </si>
  <si>
    <t>22.1.4</t>
  </si>
  <si>
    <t>22.1.5</t>
  </si>
  <si>
    <t>23.1.1</t>
  </si>
  <si>
    <t>area_greenery</t>
  </si>
  <si>
    <t>equals Landscaped area</t>
  </si>
  <si>
    <t>23.1.2</t>
  </si>
  <si>
    <t>23.1.3</t>
  </si>
  <si>
    <t>23.1.4</t>
  </si>
  <si>
    <t>23.1.5</t>
  </si>
  <si>
    <t>23.1.6</t>
  </si>
  <si>
    <t>23.1.7</t>
  </si>
  <si>
    <t>23.1.8</t>
  </si>
  <si>
    <t>24.1.1</t>
  </si>
  <si>
    <t>24 m³ is printed on 9335 Xocavənd  rayon   DYNX.dwg, next to the words qazilm, qruntu</t>
  </si>
  <si>
    <t>24.1.2</t>
  </si>
  <si>
    <t>46 t is printed on 9335 Xocavənd  rayon   DYNX.dwg, next to the words dasinm, mesafe</t>
  </si>
  <si>
    <t>24.1.3</t>
  </si>
  <si>
    <t>24.1.4</t>
  </si>
  <si>
    <t>0.7 m³ is printed on 9335 Xocavənd  rayon   DYNX.dwg, next to the words hazirl, qatini</t>
  </si>
  <si>
    <t>24.1.5</t>
  </si>
  <si>
    <t>10.5 m² is printed on 9335 Xocavənd  rayon   DYNX.dwg, next to the words dasind</t>
  </si>
  <si>
    <t>24.1.6</t>
  </si>
  <si>
    <t>26 m² is printed on 9335 Xocavənd  rayon   DYNX.dwg, next to the words beton, mehlul, sade</t>
  </si>
  <si>
    <t>24.1.7</t>
  </si>
  <si>
    <t>21 m² is printed on 9335 Xocavənd  rayon   DYNX.dwg, next to the words bunovr, yapisd</t>
  </si>
  <si>
    <t>24.1.8</t>
  </si>
  <si>
    <t>same quantity as line 24.1.7 (21 m²)</t>
  </si>
  <si>
    <t>24.1.9</t>
  </si>
  <si>
    <t>24.1.10</t>
  </si>
  <si>
    <t>25.1.1</t>
  </si>
  <si>
    <t>25.1.2</t>
  </si>
  <si>
    <t>25.1.3</t>
  </si>
  <si>
    <t>25.1.4</t>
  </si>
  <si>
    <t>25.1.5</t>
  </si>
  <si>
    <t>25.1.r2100</t>
  </si>
  <si>
    <t>25.1.r2101</t>
  </si>
  <si>
    <t>25.1.r2102</t>
  </si>
  <si>
    <t>25.1.r2103</t>
  </si>
  <si>
    <t>25.1.r2104</t>
  </si>
  <si>
    <t>25.1.6</t>
  </si>
  <si>
    <t>25.1.7</t>
  </si>
  <si>
    <t>25.1.r2108</t>
  </si>
  <si>
    <t>25.1.r2109</t>
  </si>
  <si>
    <t>25.1.r2110</t>
  </si>
  <si>
    <t>25.1.r2111</t>
  </si>
  <si>
    <t>25.1.r2112</t>
  </si>
  <si>
    <t>25.1.r2113</t>
  </si>
  <si>
    <t>25.1.r2114</t>
  </si>
  <si>
    <t>25.1.r2116</t>
  </si>
  <si>
    <t>25.1.r2117</t>
  </si>
  <si>
    <t>25.1.r2118</t>
  </si>
  <si>
    <t>25.1.r2119</t>
  </si>
  <si>
    <t>25.1.r2120</t>
  </si>
  <si>
    <t>25.1.r2121</t>
  </si>
  <si>
    <t>25.1.r2122</t>
  </si>
  <si>
    <t>25.1.r2124</t>
  </si>
  <si>
    <t>25.1.r2125</t>
  </si>
  <si>
    <t>25.1.r2126</t>
  </si>
  <si>
    <t>25.1.r2127</t>
  </si>
  <si>
    <t>25.1.r2128</t>
  </si>
  <si>
    <t>25.1.r2129</t>
  </si>
  <si>
    <t>25.1.r2130</t>
  </si>
  <si>
    <t>25.1.r2132</t>
  </si>
  <si>
    <t>25.1.r2133</t>
  </si>
  <si>
    <t>25.1.r2134</t>
  </si>
  <si>
    <t>25.1.r2135</t>
  </si>
  <si>
    <t>25.1.r2136</t>
  </si>
  <si>
    <t>25.1.r2137</t>
  </si>
  <si>
    <t>25.1.r2138</t>
  </si>
  <si>
    <t>25.1.r2140</t>
  </si>
  <si>
    <t>25.1.r2141</t>
  </si>
  <si>
    <t>25.1.r2142</t>
  </si>
  <si>
    <t>25.1.r2143</t>
  </si>
  <si>
    <t>25.1.r2144</t>
  </si>
  <si>
    <t>25.1.r2145</t>
  </si>
  <si>
    <t>25.1.r2146</t>
  </si>
  <si>
    <t>25.1.r2148</t>
  </si>
  <si>
    <t>25.1.r2149</t>
  </si>
  <si>
    <t>25.1.r2150</t>
  </si>
  <si>
    <t>25.1.r2151</t>
  </si>
  <si>
    <t>25.1.r2152</t>
  </si>
  <si>
    <t>25.1.r2153</t>
  </si>
  <si>
    <t>25.1.r2154</t>
  </si>
  <si>
    <t>25.1.r2156</t>
  </si>
  <si>
    <t>25.1.r2157</t>
  </si>
  <si>
    <t>25.1.r2158</t>
  </si>
  <si>
    <t>25.1.r2159</t>
  </si>
  <si>
    <t>25.1.r2160</t>
  </si>
  <si>
    <t>25.1.r2161</t>
  </si>
  <si>
    <t>25.1.r2162</t>
  </si>
  <si>
    <t>25.1.r2164</t>
  </si>
  <si>
    <t>25.1.r2165</t>
  </si>
  <si>
    <t>25.1.r2166</t>
  </si>
  <si>
    <t>25.1.r2167</t>
  </si>
  <si>
    <t>25.1.r2168</t>
  </si>
  <si>
    <t>25.1.r2169</t>
  </si>
  <si>
    <t>25.1.r2170</t>
  </si>
  <si>
    <t>25.1.r2172</t>
  </si>
  <si>
    <t>25.1.r2173</t>
  </si>
  <si>
    <t>25.1.r2174</t>
  </si>
  <si>
    <t>25.1.r2175</t>
  </si>
  <si>
    <t>25.1.r2176</t>
  </si>
  <si>
    <t>25.1.r2177</t>
  </si>
  <si>
    <t>25.1.r2178</t>
  </si>
  <si>
    <t>25.1.r2180</t>
  </si>
  <si>
    <t>25.1.r2181</t>
  </si>
  <si>
    <t>25.1.r2182</t>
  </si>
  <si>
    <t>25.1.r2183</t>
  </si>
  <si>
    <t>25.1.r2184</t>
  </si>
  <si>
    <t>25.1.r2185</t>
  </si>
  <si>
    <t>25.1.r2186</t>
  </si>
  <si>
    <t>25.1.r2188</t>
  </si>
  <si>
    <t>25.1.r2189</t>
  </si>
  <si>
    <t>25.1.r2190</t>
  </si>
  <si>
    <t>25.1.r2191</t>
  </si>
  <si>
    <t>25.1.r2192</t>
  </si>
  <si>
    <t>25.1.r2193</t>
  </si>
  <si>
    <t>25.1.r2194</t>
  </si>
  <si>
    <t>25.1.r2196</t>
  </si>
  <si>
    <t>25.1.r2197</t>
  </si>
  <si>
    <t>25.1.r2198</t>
  </si>
  <si>
    <t>25.1.r2199</t>
  </si>
  <si>
    <t>25.1.r2200</t>
  </si>
  <si>
    <t>25.1.r2201</t>
  </si>
  <si>
    <t>25.1.r2202</t>
  </si>
  <si>
    <t>25.2.1</t>
  </si>
  <si>
    <t>25.2.2</t>
  </si>
  <si>
    <t>25.2.3</t>
  </si>
  <si>
    <t>25.2.4</t>
  </si>
  <si>
    <t>25.2.5</t>
  </si>
  <si>
    <t>25.2.6</t>
  </si>
  <si>
    <t>25.2.7</t>
  </si>
  <si>
    <t>25.2.8</t>
  </si>
  <si>
    <t>25.2.9</t>
  </si>
  <si>
    <t>25.2.10</t>
  </si>
  <si>
    <t>25.2.11</t>
  </si>
  <si>
    <t>25.2.12</t>
  </si>
  <si>
    <t>25.2.13</t>
  </si>
  <si>
    <t>25.2.14</t>
  </si>
  <si>
    <t>25.2.15</t>
  </si>
  <si>
    <t>25.2.16</t>
  </si>
  <si>
    <t>25.2.17</t>
  </si>
  <si>
    <t>25.3.1</t>
  </si>
  <si>
    <t>25.3.2</t>
  </si>
  <si>
    <t>25.3.3</t>
  </si>
  <si>
    <t>25.3.4</t>
  </si>
  <si>
    <t>25.3.5</t>
  </si>
  <si>
    <t>25.3.6</t>
  </si>
  <si>
    <t>25.3.7</t>
  </si>
  <si>
    <t>25.3.8</t>
  </si>
  <si>
    <t>25.3.9</t>
  </si>
  <si>
    <t>25.3.10</t>
  </si>
  <si>
    <t>25.3.11</t>
  </si>
  <si>
    <t>25.3.12</t>
  </si>
  <si>
    <t>25.3.13</t>
  </si>
  <si>
    <t>25.3.14</t>
  </si>
  <si>
    <t>25.3.15</t>
  </si>
  <si>
    <t>25.3.16</t>
  </si>
  <si>
    <t>25.3.17</t>
  </si>
  <si>
    <t>25.3.18</t>
  </si>
  <si>
    <t>25.4.1</t>
  </si>
  <si>
    <t>25.4.2</t>
  </si>
  <si>
    <t>25.4.3</t>
  </si>
  <si>
    <t>25.4.4</t>
  </si>
  <si>
    <t>25.4.5</t>
  </si>
  <si>
    <t>25.4.6</t>
  </si>
  <si>
    <t>25.4.7</t>
  </si>
  <si>
    <t>25.4.8</t>
  </si>
  <si>
    <t>25.4.9</t>
  </si>
  <si>
    <t>25.4.10</t>
  </si>
  <si>
    <t>25.4.11</t>
  </si>
  <si>
    <t>25.4.12</t>
  </si>
  <si>
    <t>25.4.13</t>
  </si>
  <si>
    <t>25.4.14</t>
  </si>
  <si>
    <t>25.4.15</t>
  </si>
  <si>
    <t>25.4.16</t>
  </si>
  <si>
    <t>25.4.17</t>
  </si>
  <si>
    <t>25.5.1</t>
  </si>
  <si>
    <t>25.5.2</t>
  </si>
  <si>
    <t>26.1.1</t>
  </si>
  <si>
    <t>26.1.2</t>
  </si>
  <si>
    <t>26.1.3</t>
  </si>
  <si>
    <t>26.1.4</t>
  </si>
  <si>
    <t>26.1.5</t>
  </si>
  <si>
    <t>26.2.1</t>
  </si>
  <si>
    <t>26.2.2</t>
  </si>
  <si>
    <t>26.2.3</t>
  </si>
  <si>
    <t>26.2.4</t>
  </si>
  <si>
    <t>26.2.5</t>
  </si>
  <si>
    <t>26.2.6</t>
  </si>
  <si>
    <t>26.2.7</t>
  </si>
  <si>
    <t>26.2.8</t>
  </si>
  <si>
    <t>Hadrut DEPO/Xocavend dk/9335 Xocavend sohbetgah dk.dwg</t>
  </si>
  <si>
    <t>0.32 m³ is printed on 9335 Xocavend sohbetgah dk.dwg sheet 9335 -16- MT, next to the words beton, tumba</t>
  </si>
  <si>
    <t>26.2.9</t>
  </si>
  <si>
    <t>26.2.10</t>
  </si>
  <si>
    <t>26.2.11</t>
  </si>
  <si>
    <t>26.2.12</t>
  </si>
  <si>
    <t>26.2.13</t>
  </si>
  <si>
    <t>26.3.1</t>
  </si>
  <si>
    <t>26.3.2</t>
  </si>
  <si>
    <t>26.3.3</t>
  </si>
  <si>
    <t>26.3.4</t>
  </si>
  <si>
    <t>26.3.5</t>
  </si>
  <si>
    <t>26.3.6</t>
  </si>
  <si>
    <t>26.3.7</t>
  </si>
  <si>
    <t>26.3.8</t>
  </si>
  <si>
    <t>26.4.1</t>
  </si>
  <si>
    <t>26.4.2</t>
  </si>
  <si>
    <t>26.4.3</t>
  </si>
  <si>
    <t>26.4.4</t>
  </si>
  <si>
    <t>26.4.5</t>
  </si>
  <si>
    <t>26.4.6</t>
  </si>
  <si>
    <t>26.4.7</t>
  </si>
  <si>
    <t>26.4.8</t>
  </si>
  <si>
    <t>26.4.9</t>
  </si>
  <si>
    <t>26.4.10</t>
  </si>
  <si>
    <t>26.4.11</t>
  </si>
  <si>
    <t>26.5.1</t>
  </si>
  <si>
    <t>26.5.2</t>
  </si>
  <si>
    <t>26.6.1</t>
  </si>
  <si>
    <t>17.66 m² is printed on 9335 Xocavend sohbetgah dk.dwg sheet 9335 -16- MT, written with its unit m²</t>
  </si>
  <si>
    <t>26.6.2</t>
  </si>
  <si>
    <t>26.6.3</t>
  </si>
  <si>
    <t>27.1.1</t>
  </si>
  <si>
    <t>27.1.2</t>
  </si>
  <si>
    <t>27.1.3</t>
  </si>
  <si>
    <t>27.1.4</t>
  </si>
  <si>
    <t>27.1.5</t>
  </si>
  <si>
    <t>27.1.6</t>
  </si>
  <si>
    <t>27.1.7</t>
  </si>
  <si>
    <t>27.1.8</t>
  </si>
  <si>
    <t>27.1.9</t>
  </si>
  <si>
    <t>27.1.10</t>
  </si>
  <si>
    <t>27.1.11</t>
  </si>
  <si>
    <t>27.1.12</t>
  </si>
  <si>
    <t>27.1.13</t>
  </si>
  <si>
    <t>27.1.14</t>
  </si>
  <si>
    <t>27.1.15</t>
  </si>
  <si>
    <t>27.1.16</t>
  </si>
  <si>
    <t>27.1.17</t>
  </si>
  <si>
    <t>27.1.18</t>
  </si>
  <si>
    <t>27.1.19</t>
  </si>
  <si>
    <t>27.1.20</t>
  </si>
  <si>
    <t>27.1.21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</si>
</sst>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000"/>
    <numFmt numFmtId="165" formatCode="0.00000"/>
    <numFmt numFmtId="166" formatCode="_-&quot;AZN&quot;* #,##0.00_-;\-&quot;AZN&quot;* #,##0.00_-;_-&quot;AZN&quot;* &quot;-&quot;??_-;_-@_-"/>
    <numFmt numFmtId="167" formatCode="0.0"/>
    <numFmt numFmtId="168" formatCode="_-* #,##0.0\ _м_а_н_._-;\-* #,##0.0\ _м_а_н_._-;_-* &quot;-&quot;?\ _м_а_н_._-;_-@_-"/>
    <numFmt numFmtId="169" formatCode="_-* #,##0.00\ _м_а_н_._-;\-* #,##0.00\ _м_а_н_._-;_-* &quot;-&quot;??\ _м_а_н_._-;_-@_-"/>
    <numFmt numFmtId="170" formatCode="_-* #,##0.00_-;\-* #,##0.00_-;_-* &quot;-&quot;??_-;_-@_-"/>
  </numFmts>
  <fonts count="3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162"/>
      <scheme val="minor"/>
    </font>
    <font>
      <sz val="11"/>
      <color indexed="8"/>
      <name val="Tahoma"/>
      <family val="2"/>
      <charset val="204"/>
    </font>
    <font>
      <b/>
      <sz val="14"/>
      <color indexed="8"/>
      <name val="Tahoma"/>
      <family val="2"/>
    </font>
    <font>
      <sz val="12"/>
      <color indexed="8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0"/>
      <name val="Arial Tur"/>
      <charset val="162"/>
    </font>
    <font>
      <sz val="11"/>
      <name val="Calibri"/>
      <family val="2"/>
      <charset val="204"/>
    </font>
    <font>
      <b/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  <charset val="204"/>
    </font>
    <font>
      <b/>
      <sz val="10"/>
      <name val="Times New Roman"/>
      <family val="1"/>
    </font>
    <font>
      <b/>
      <sz val="14"/>
      <name val="Times New Roman"/>
      <family val="1"/>
      <charset val="204"/>
    </font>
    <font>
      <b/>
      <u/>
      <sz val="14"/>
      <name val="Times New Roman"/>
      <family val="1"/>
      <charset val="204"/>
    </font>
    <font>
      <u/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162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70" fontId="9" fillId="0" borderId="0"/>
    <xf numFmtId="0" fontId="1" fillId="0" borderId="0"/>
    <xf numFmtId="43" fontId="5" fillId="0" borderId="0"/>
    <xf numFmtId="9" fontId="5" fillId="0" borderId="0"/>
    <xf numFmtId="0" fontId="8" fillId="0" borderId="0"/>
    <xf numFmtId="0" fontId="11" fillId="0" borderId="0"/>
    <xf numFmtId="0" fontId="27" fillId="0" borderId="0"/>
    <xf numFmtId="0" fontId="5" fillId="0" borderId="0"/>
  </cellStyleXfs>
  <cellXfs count="148">
    <xf numFmtId="0" fontId="0" fillId="0" borderId="0" xfId="0"/>
    <xf numFmtId="0" fontId="2" fillId="0" borderId="0" xfId="2" applyFont="1"/>
    <xf numFmtId="0" fontId="3" fillId="0" borderId="0" xfId="2" applyFont="1"/>
    <xf numFmtId="43" fontId="6" fillId="0" borderId="0" xfId="3" applyFont="1"/>
    <xf numFmtId="0" fontId="4" fillId="0" borderId="0" xfId="2" applyFont="1"/>
    <xf numFmtId="164" fontId="4" fillId="0" borderId="0" xfId="2" applyNumberFormat="1" applyFont="1"/>
    <xf numFmtId="165" fontId="4" fillId="0" borderId="0" xfId="2" applyNumberFormat="1" applyFont="1"/>
    <xf numFmtId="0" fontId="4" fillId="0" borderId="0" xfId="2" applyFont="1" applyAlignment="1">
      <alignment horizontal="right"/>
    </xf>
    <xf numFmtId="10" fontId="4" fillId="0" borderId="0" xfId="2" applyNumberFormat="1" applyFont="1"/>
    <xf numFmtId="43" fontId="4" fillId="0" borderId="0" xfId="3" applyFont="1"/>
    <xf numFmtId="10" fontId="4" fillId="0" borderId="0" xfId="4" applyNumberFormat="1" applyFont="1"/>
    <xf numFmtId="4" fontId="4" fillId="0" borderId="0" xfId="3" applyNumberFormat="1" applyFont="1" applyAlignment="1">
      <alignment horizontal="right"/>
    </xf>
    <xf numFmtId="4" fontId="7" fillId="0" borderId="0" xfId="3" applyNumberFormat="1" applyFont="1" applyAlignment="1">
      <alignment horizontal="right" vertical="center"/>
    </xf>
    <xf numFmtId="1" fontId="7" fillId="0" borderId="0" xfId="5" applyNumberFormat="1" applyFont="1" applyAlignment="1">
      <alignment horizontal="left" vertical="center"/>
    </xf>
    <xf numFmtId="166" fontId="10" fillId="2" borderId="0" xfId="1" applyNumberFormat="1" applyFont="1" applyFill="1"/>
    <xf numFmtId="0" fontId="12" fillId="0" borderId="0" xfId="6" applyFont="1" applyAlignment="1">
      <alignment horizontal="center" vertical="center"/>
    </xf>
    <xf numFmtId="49" fontId="13" fillId="0" borderId="0" xfId="6" applyNumberFormat="1" applyFont="1" applyAlignment="1">
      <alignment vertical="center" wrapText="1"/>
    </xf>
    <xf numFmtId="49" fontId="13" fillId="0" borderId="0" xfId="6" applyNumberFormat="1" applyFont="1" applyAlignment="1">
      <alignment horizontal="center" vertical="center" wrapText="1"/>
    </xf>
    <xf numFmtId="2" fontId="13" fillId="0" borderId="0" xfId="6" applyNumberFormat="1" applyFont="1" applyAlignment="1">
      <alignment horizontal="right" vertical="center"/>
    </xf>
    <xf numFmtId="10" fontId="13" fillId="0" borderId="0" xfId="4" applyNumberFormat="1" applyFont="1" applyAlignment="1">
      <alignment horizontal="center"/>
    </xf>
    <xf numFmtId="43" fontId="13" fillId="0" borderId="0" xfId="3" applyFont="1" applyAlignment="1">
      <alignment horizontal="center"/>
    </xf>
    <xf numFmtId="10" fontId="13" fillId="0" borderId="0" xfId="6" applyNumberFormat="1" applyFont="1" applyAlignment="1">
      <alignment horizontal="center"/>
    </xf>
    <xf numFmtId="0" fontId="15" fillId="0" borderId="0" xfId="6" applyFont="1"/>
    <xf numFmtId="164" fontId="15" fillId="0" borderId="0" xfId="6" applyNumberFormat="1" applyFont="1"/>
    <xf numFmtId="165" fontId="15" fillId="0" borderId="0" xfId="6" applyNumberFormat="1" applyFont="1"/>
    <xf numFmtId="0" fontId="17" fillId="0" borderId="0" xfId="6" applyFont="1"/>
    <xf numFmtId="164" fontId="17" fillId="0" borderId="0" xfId="6" applyNumberFormat="1" applyFont="1"/>
    <xf numFmtId="165" fontId="17" fillId="0" borderId="0" xfId="6" applyNumberFormat="1" applyFont="1"/>
    <xf numFmtId="10" fontId="14" fillId="4" borderId="2" xfId="4" applyNumberFormat="1" applyFont="1" applyFill="1" applyBorder="1" applyAlignment="1">
      <alignment horizontal="right" vertical="center" wrapText="1"/>
    </xf>
    <xf numFmtId="43" fontId="14" fillId="4" borderId="2" xfId="3" applyFont="1" applyFill="1" applyBorder="1" applyAlignment="1">
      <alignment horizontal="right" vertical="center" wrapText="1"/>
    </xf>
    <xf numFmtId="4" fontId="14" fillId="4" borderId="2" xfId="3" applyNumberFormat="1" applyFont="1" applyFill="1" applyBorder="1" applyAlignment="1">
      <alignment horizontal="right" vertical="center" wrapText="1"/>
    </xf>
    <xf numFmtId="167" fontId="18" fillId="5" borderId="2" xfId="6" applyNumberFormat="1" applyFont="1" applyFill="1" applyBorder="1" applyAlignment="1">
      <alignment horizontal="center" vertical="center"/>
    </xf>
    <xf numFmtId="0" fontId="19" fillId="5" borderId="2" xfId="6" quotePrefix="1" applyFont="1" applyFill="1" applyBorder="1" applyAlignment="1">
      <alignment horizontal="left" vertical="top" wrapText="1"/>
    </xf>
    <xf numFmtId="0" fontId="18" fillId="5" borderId="2" xfId="6" applyFont="1" applyFill="1" applyBorder="1" applyAlignment="1">
      <alignment horizontal="center" vertical="center" wrapText="1"/>
    </xf>
    <xf numFmtId="4" fontId="18" fillId="5" borderId="2" xfId="6" applyNumberFormat="1" applyFont="1" applyFill="1" applyBorder="1" applyAlignment="1">
      <alignment horizontal="right" vertical="center"/>
    </xf>
    <xf numFmtId="10" fontId="18" fillId="5" borderId="2" xfId="4" applyNumberFormat="1" applyFont="1" applyFill="1" applyBorder="1" applyAlignment="1">
      <alignment horizontal="center" vertical="center"/>
    </xf>
    <xf numFmtId="43" fontId="18" fillId="5" borderId="2" xfId="3" applyFont="1" applyFill="1" applyBorder="1" applyAlignment="1">
      <alignment horizontal="center" vertical="center"/>
    </xf>
    <xf numFmtId="10" fontId="18" fillId="5" borderId="2" xfId="3" applyNumberFormat="1" applyFont="1" applyFill="1" applyBorder="1" applyAlignment="1">
      <alignment horizontal="center" vertical="center"/>
    </xf>
    <xf numFmtId="4" fontId="18" fillId="5" borderId="2" xfId="3" applyNumberFormat="1" applyFont="1" applyFill="1" applyBorder="1" applyAlignment="1">
      <alignment horizontal="right" vertical="center"/>
    </xf>
    <xf numFmtId="0" fontId="18" fillId="5" borderId="0" xfId="6" applyFont="1" applyFill="1"/>
    <xf numFmtId="164" fontId="18" fillId="5" borderId="0" xfId="6" applyNumberFormat="1" applyFont="1" applyFill="1"/>
    <xf numFmtId="165" fontId="18" fillId="5" borderId="0" xfId="6" applyNumberFormat="1" applyFont="1" applyFill="1"/>
    <xf numFmtId="167" fontId="12" fillId="5" borderId="2" xfId="6" applyNumberFormat="1" applyFont="1" applyFill="1" applyBorder="1" applyAlignment="1">
      <alignment horizontal="center" vertical="center"/>
    </xf>
    <xf numFmtId="0" fontId="20" fillId="6" borderId="2" xfId="6" quotePrefix="1" applyFont="1" applyFill="1" applyBorder="1" applyAlignment="1">
      <alignment horizontal="left" vertical="top" wrapText="1"/>
    </xf>
    <xf numFmtId="0" fontId="21" fillId="6" borderId="2" xfId="6" applyFont="1" applyFill="1" applyBorder="1" applyAlignment="1">
      <alignment horizontal="center" vertical="center" wrapText="1"/>
    </xf>
    <xf numFmtId="4" fontId="21" fillId="6" borderId="2" xfId="6" applyNumberFormat="1" applyFont="1" applyFill="1" applyBorder="1" applyAlignment="1">
      <alignment horizontal="right" vertical="center"/>
    </xf>
    <xf numFmtId="10" fontId="21" fillId="6" borderId="2" xfId="4" applyNumberFormat="1" applyFont="1" applyFill="1" applyBorder="1" applyAlignment="1">
      <alignment horizontal="center" vertical="center"/>
    </xf>
    <xf numFmtId="43" fontId="21" fillId="6" borderId="2" xfId="3" applyFont="1" applyFill="1" applyBorder="1" applyAlignment="1">
      <alignment horizontal="center" vertical="center"/>
    </xf>
    <xf numFmtId="0" fontId="22" fillId="6" borderId="0" xfId="6" applyFont="1" applyFill="1"/>
    <xf numFmtId="164" fontId="22" fillId="6" borderId="0" xfId="6" applyNumberFormat="1" applyFont="1" applyFill="1"/>
    <xf numFmtId="165" fontId="22" fillId="6" borderId="0" xfId="6" applyNumberFormat="1" applyFont="1" applyFill="1"/>
    <xf numFmtId="0" fontId="23" fillId="2" borderId="2" xfId="6" quotePrefix="1" applyFont="1" applyFill="1" applyBorder="1" applyAlignment="1">
      <alignment horizontal="left" vertical="top" wrapText="1"/>
    </xf>
    <xf numFmtId="0" fontId="16" fillId="2" borderId="2" xfId="6" applyFont="1" applyFill="1" applyBorder="1" applyAlignment="1">
      <alignment horizontal="center" vertical="center" wrapText="1"/>
    </xf>
    <xf numFmtId="4" fontId="16" fillId="2" borderId="2" xfId="6" applyNumberFormat="1" applyFont="1" applyFill="1" applyBorder="1" applyAlignment="1">
      <alignment horizontal="right" vertical="center"/>
    </xf>
    <xf numFmtId="10" fontId="21" fillId="2" borderId="2" xfId="4" applyNumberFormat="1" applyFont="1" applyFill="1" applyBorder="1" applyAlignment="1">
      <alignment horizontal="center" vertical="center"/>
    </xf>
    <xf numFmtId="43" fontId="21" fillId="2" borderId="2" xfId="3" applyFont="1" applyFill="1" applyBorder="1" applyAlignment="1">
      <alignment horizontal="center" vertical="center"/>
    </xf>
    <xf numFmtId="0" fontId="18" fillId="6" borderId="0" xfId="6" applyFont="1" applyFill="1"/>
    <xf numFmtId="164" fontId="18" fillId="6" borderId="0" xfId="6" applyNumberFormat="1" applyFont="1" applyFill="1"/>
    <xf numFmtId="165" fontId="18" fillId="6" borderId="0" xfId="6" applyNumberFormat="1" applyFont="1" applyFill="1"/>
    <xf numFmtId="0" fontId="24" fillId="6" borderId="0" xfId="6" applyFont="1" applyFill="1"/>
    <xf numFmtId="164" fontId="24" fillId="6" borderId="0" xfId="6" applyNumberFormat="1" applyFont="1" applyFill="1"/>
    <xf numFmtId="165" fontId="24" fillId="6" borderId="0" xfId="6" applyNumberFormat="1" applyFont="1" applyFill="1"/>
    <xf numFmtId="2" fontId="18" fillId="5" borderId="2" xfId="6" applyNumberFormat="1" applyFont="1" applyFill="1" applyBorder="1" applyAlignment="1">
      <alignment horizontal="center" vertical="center"/>
    </xf>
    <xf numFmtId="0" fontId="18" fillId="6" borderId="0" xfId="6" applyFont="1" applyFill="1" applyAlignment="1">
      <alignment vertical="center"/>
    </xf>
    <xf numFmtId="164" fontId="18" fillId="6" borderId="0" xfId="6" applyNumberFormat="1" applyFont="1" applyFill="1" applyAlignment="1">
      <alignment vertical="center"/>
    </xf>
    <xf numFmtId="165" fontId="18" fillId="6" borderId="0" xfId="6" applyNumberFormat="1" applyFont="1" applyFill="1" applyAlignment="1">
      <alignment vertical="center"/>
    </xf>
    <xf numFmtId="0" fontId="22" fillId="6" borderId="0" xfId="6" applyFont="1" applyFill="1" applyAlignment="1">
      <alignment vertical="center"/>
    </xf>
    <xf numFmtId="164" fontId="22" fillId="6" borderId="0" xfId="6" applyNumberFormat="1" applyFont="1" applyFill="1" applyAlignment="1">
      <alignment vertical="center"/>
    </xf>
    <xf numFmtId="165" fontId="22" fillId="6" borderId="0" xfId="6" applyNumberFormat="1" applyFont="1" applyFill="1" applyAlignment="1">
      <alignment vertical="center"/>
    </xf>
    <xf numFmtId="10" fontId="18" fillId="6" borderId="2" xfId="4" applyNumberFormat="1" applyFont="1" applyFill="1" applyBorder="1" applyAlignment="1">
      <alignment horizontal="center" vertical="center"/>
    </xf>
    <xf numFmtId="164" fontId="21" fillId="6" borderId="2" xfId="3" applyNumberFormat="1" applyFont="1" applyFill="1" applyBorder="1" applyAlignment="1">
      <alignment horizontal="center" vertical="center"/>
    </xf>
    <xf numFmtId="43" fontId="18" fillId="6" borderId="2" xfId="3" applyFont="1" applyFill="1" applyBorder="1" applyAlignment="1">
      <alignment horizontal="center" vertical="center"/>
    </xf>
    <xf numFmtId="164" fontId="18" fillId="6" borderId="2" xfId="3" applyNumberFormat="1" applyFont="1" applyFill="1" applyBorder="1" applyAlignment="1">
      <alignment horizontal="center" vertical="center"/>
    </xf>
    <xf numFmtId="10" fontId="24" fillId="6" borderId="2" xfId="4" applyNumberFormat="1" applyFont="1" applyFill="1" applyBorder="1" applyAlignment="1">
      <alignment horizontal="center" vertical="center"/>
    </xf>
    <xf numFmtId="43" fontId="24" fillId="6" borderId="2" xfId="3" applyFont="1" applyFill="1" applyBorder="1" applyAlignment="1">
      <alignment horizontal="center" vertical="center"/>
    </xf>
    <xf numFmtId="164" fontId="24" fillId="6" borderId="2" xfId="3" applyNumberFormat="1" applyFont="1" applyFill="1" applyBorder="1" applyAlignment="1">
      <alignment horizontal="center" vertical="center"/>
    </xf>
    <xf numFmtId="0" fontId="23" fillId="6" borderId="2" xfId="6" quotePrefix="1" applyFont="1" applyFill="1" applyBorder="1" applyAlignment="1">
      <alignment horizontal="left" vertical="top" wrapText="1"/>
    </xf>
    <xf numFmtId="0" fontId="16" fillId="6" borderId="2" xfId="6" applyFont="1" applyFill="1" applyBorder="1" applyAlignment="1">
      <alignment horizontal="center" vertical="center" wrapText="1"/>
    </xf>
    <xf numFmtId="4" fontId="16" fillId="6" borderId="2" xfId="6" applyNumberFormat="1" applyFont="1" applyFill="1" applyBorder="1" applyAlignment="1">
      <alignment horizontal="right" vertical="center"/>
    </xf>
    <xf numFmtId="0" fontId="23" fillId="7" borderId="2" xfId="6" quotePrefix="1" applyFont="1" applyFill="1" applyBorder="1" applyAlignment="1">
      <alignment horizontal="left" vertical="top" wrapText="1"/>
    </xf>
    <xf numFmtId="0" fontId="16" fillId="7" borderId="2" xfId="6" applyFont="1" applyFill="1" applyBorder="1" applyAlignment="1">
      <alignment horizontal="center" vertical="center" wrapText="1"/>
    </xf>
    <xf numFmtId="4" fontId="16" fillId="7" borderId="2" xfId="6" applyNumberFormat="1" applyFont="1" applyFill="1" applyBorder="1" applyAlignment="1">
      <alignment horizontal="right" vertical="center"/>
    </xf>
    <xf numFmtId="10" fontId="16" fillId="7" borderId="2" xfId="4" applyNumberFormat="1" applyFont="1" applyFill="1" applyBorder="1" applyAlignment="1">
      <alignment horizontal="center" vertical="center"/>
    </xf>
    <xf numFmtId="0" fontId="25" fillId="6" borderId="0" xfId="6" applyFont="1" applyFill="1"/>
    <xf numFmtId="10" fontId="16" fillId="6" borderId="2" xfId="4" applyNumberFormat="1" applyFont="1" applyFill="1" applyBorder="1" applyAlignment="1">
      <alignment horizontal="center" vertical="center"/>
    </xf>
    <xf numFmtId="43" fontId="16" fillId="6" borderId="2" xfId="3" applyFont="1" applyFill="1" applyBorder="1" applyAlignment="1">
      <alignment horizontal="center" vertical="center"/>
    </xf>
    <xf numFmtId="164" fontId="16" fillId="6" borderId="2" xfId="3" applyNumberFormat="1" applyFont="1" applyFill="1" applyBorder="1" applyAlignment="1">
      <alignment horizontal="center" vertical="center"/>
    </xf>
    <xf numFmtId="165" fontId="25" fillId="6" borderId="0" xfId="6" applyNumberFormat="1" applyFont="1" applyFill="1"/>
    <xf numFmtId="0" fontId="26" fillId="6" borderId="3" xfId="6" applyFont="1" applyFill="1" applyBorder="1" applyAlignment="1">
      <alignment horizontal="center" vertical="center"/>
    </xf>
    <xf numFmtId="0" fontId="14" fillId="6" borderId="4" xfId="7" applyFont="1" applyFill="1" applyBorder="1" applyAlignment="1">
      <alignment horizontal="left" vertical="center" wrapText="1"/>
    </xf>
    <xf numFmtId="0" fontId="13" fillId="6" borderId="0" xfId="8" applyFont="1" applyFill="1" applyAlignment="1" applyProtection="1">
      <alignment horizontal="center" vertical="center" wrapText="1"/>
      <protection locked="0"/>
    </xf>
    <xf numFmtId="4" fontId="13" fillId="6" borderId="0" xfId="3" applyNumberFormat="1" applyFont="1" applyFill="1" applyAlignment="1">
      <alignment horizontal="right" vertical="center"/>
    </xf>
    <xf numFmtId="4" fontId="14" fillId="6" borderId="0" xfId="6" applyNumberFormat="1" applyFont="1" applyFill="1" applyAlignment="1">
      <alignment horizontal="right" vertical="center"/>
    </xf>
    <xf numFmtId="10" fontId="13" fillId="6" borderId="0" xfId="4" applyNumberFormat="1" applyFont="1" applyFill="1" applyAlignment="1">
      <alignment horizontal="center" vertical="center"/>
    </xf>
    <xf numFmtId="43" fontId="14" fillId="6" borderId="0" xfId="3" applyFont="1" applyFill="1" applyAlignment="1">
      <alignment horizontal="center" vertical="center"/>
    </xf>
    <xf numFmtId="4" fontId="14" fillId="6" borderId="0" xfId="3" applyNumberFormat="1" applyFont="1" applyFill="1" applyAlignment="1">
      <alignment horizontal="right" vertical="center"/>
    </xf>
    <xf numFmtId="10" fontId="13" fillId="6" borderId="0" xfId="6" applyNumberFormat="1" applyFont="1" applyFill="1" applyAlignment="1">
      <alignment horizontal="center" vertical="center"/>
    </xf>
    <xf numFmtId="0" fontId="26" fillId="6" borderId="0" xfId="6" applyFont="1" applyFill="1" applyAlignment="1">
      <alignment horizontal="center" vertical="center"/>
    </xf>
    <xf numFmtId="49" fontId="14" fillId="6" borderId="0" xfId="6" applyNumberFormat="1" applyFont="1" applyFill="1" applyAlignment="1">
      <alignment horizontal="center" vertical="center" wrapText="1"/>
    </xf>
    <xf numFmtId="2" fontId="13" fillId="6" borderId="0" xfId="6" applyNumberFormat="1" applyFont="1" applyFill="1" applyAlignment="1">
      <alignment horizontal="right" vertical="center"/>
    </xf>
    <xf numFmtId="49" fontId="28" fillId="6" borderId="0" xfId="6" applyNumberFormat="1" applyFont="1" applyFill="1" applyAlignment="1">
      <alignment horizontal="center" vertical="center" wrapText="1"/>
    </xf>
    <xf numFmtId="49" fontId="28" fillId="6" borderId="0" xfId="6" applyNumberFormat="1" applyFont="1" applyFill="1" applyAlignment="1">
      <alignment horizontal="right" vertical="center" wrapText="1"/>
    </xf>
    <xf numFmtId="0" fontId="29" fillId="0" borderId="0" xfId="6" applyFont="1"/>
    <xf numFmtId="164" fontId="29" fillId="0" borderId="0" xfId="6" applyNumberFormat="1" applyFont="1"/>
    <xf numFmtId="165" fontId="29" fillId="0" borderId="0" xfId="6" applyNumberFormat="1" applyFont="1"/>
    <xf numFmtId="49" fontId="13" fillId="6" borderId="0" xfId="6" applyNumberFormat="1" applyFont="1" applyFill="1" applyAlignment="1">
      <alignment vertical="center" wrapText="1"/>
    </xf>
    <xf numFmtId="49" fontId="13" fillId="6" borderId="0" xfId="6" applyNumberFormat="1" applyFont="1" applyFill="1" applyAlignment="1">
      <alignment horizontal="center" vertical="center" wrapText="1"/>
    </xf>
    <xf numFmtId="10" fontId="13" fillId="6" borderId="0" xfId="4" applyNumberFormat="1" applyFont="1" applyFill="1" applyAlignment="1">
      <alignment horizontal="center"/>
    </xf>
    <xf numFmtId="43" fontId="13" fillId="6" borderId="0" xfId="3" applyFont="1" applyFill="1" applyAlignment="1">
      <alignment horizontal="center"/>
    </xf>
    <xf numFmtId="4" fontId="13" fillId="6" borderId="0" xfId="3" applyNumberFormat="1" applyFont="1" applyFill="1" applyAlignment="1">
      <alignment horizontal="right"/>
    </xf>
    <xf numFmtId="10" fontId="13" fillId="6" borderId="0" xfId="6" applyNumberFormat="1" applyFont="1" applyFill="1" applyAlignment="1">
      <alignment horizontal="center"/>
    </xf>
    <xf numFmtId="49" fontId="14" fillId="6" borderId="0" xfId="6" applyNumberFormat="1" applyFont="1" applyFill="1" applyAlignment="1">
      <alignment horizontal="left" vertical="center" wrapText="1"/>
    </xf>
    <xf numFmtId="49" fontId="14" fillId="6" borderId="0" xfId="6" applyNumberFormat="1" applyFont="1" applyFill="1" applyAlignment="1">
      <alignment horizontal="right" vertical="center" wrapText="1"/>
    </xf>
    <xf numFmtId="0" fontId="30" fillId="6" borderId="0" xfId="6" applyFont="1" applyFill="1" applyAlignment="1">
      <alignment horizontal="center"/>
    </xf>
    <xf numFmtId="0" fontId="26" fillId="0" borderId="0" xfId="6" applyFont="1" applyAlignment="1">
      <alignment horizontal="center" vertical="center"/>
    </xf>
    <xf numFmtId="0" fontId="30" fillId="0" borderId="0" xfId="6" applyFont="1"/>
    <xf numFmtId="49" fontId="30" fillId="0" borderId="0" xfId="6" applyNumberFormat="1" applyFont="1" applyAlignment="1">
      <alignment horizontal="center" vertical="center" wrapText="1"/>
    </xf>
    <xf numFmtId="49" fontId="30" fillId="0" borderId="0" xfId="6" applyNumberFormat="1" applyFont="1" applyAlignment="1">
      <alignment horizontal="right" vertical="center" wrapText="1"/>
    </xf>
    <xf numFmtId="10" fontId="30" fillId="0" borderId="0" xfId="4" applyNumberFormat="1" applyFont="1" applyAlignment="1">
      <alignment vertical="center" wrapText="1"/>
    </xf>
    <xf numFmtId="43" fontId="30" fillId="0" borderId="0" xfId="3" applyFont="1"/>
    <xf numFmtId="10" fontId="30" fillId="0" borderId="0" xfId="4" applyNumberFormat="1" applyFont="1"/>
    <xf numFmtId="4" fontId="30" fillId="0" borderId="0" xfId="3" applyNumberFormat="1" applyFont="1" applyAlignment="1">
      <alignment horizontal="right"/>
    </xf>
    <xf numFmtId="10" fontId="30" fillId="0" borderId="0" xfId="6" applyNumberFormat="1" applyFont="1"/>
    <xf numFmtId="4" fontId="13" fillId="0" borderId="0" xfId="3" applyNumberFormat="1" applyFont="1" applyAlignment="1">
      <alignment horizontal="right"/>
    </xf>
    <xf numFmtId="0" fontId="4" fillId="0" borderId="0" xfId="2" applyFont="1" applyAlignment="1">
      <alignment horizontal="center"/>
    </xf>
    <xf numFmtId="0" fontId="4" fillId="0" borderId="0" xfId="2" applyFont="1"/>
    <xf numFmtId="0" fontId="14" fillId="3" borderId="2" xfId="6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6" fillId="3" borderId="2" xfId="6" applyFont="1" applyFill="1" applyBorder="1" applyAlignment="1">
      <alignment horizontal="center" vertical="center" wrapText="1"/>
    </xf>
    <xf numFmtId="0" fontId="14" fillId="0" borderId="1" xfId="6" applyFont="1" applyBorder="1" applyAlignment="1">
      <alignment horizontal="center" wrapText="1"/>
    </xf>
    <xf numFmtId="0" fontId="0" fillId="0" borderId="1" xfId="0" applyBorder="1"/>
    <xf numFmtId="168" fontId="14" fillId="3" borderId="2" xfId="6" applyNumberFormat="1" applyFont="1" applyFill="1" applyBorder="1" applyAlignment="1">
      <alignment horizontal="right" vertical="center" wrapText="1"/>
    </xf>
    <xf numFmtId="0" fontId="14" fillId="4" borderId="2" xfId="6" applyFont="1" applyFill="1" applyBorder="1" applyAlignment="1">
      <alignment horizontal="center" vertical="center" wrapText="1"/>
    </xf>
    <xf numFmtId="0" fontId="0" fillId="0" borderId="8" xfId="0" applyBorder="1"/>
    <xf numFmtId="169" fontId="14" fillId="3" borderId="2" xfId="6" applyNumberFormat="1" applyFont="1" applyFill="1" applyBorder="1" applyAlignment="1">
      <alignment horizontal="right" vertical="center" wrapText="1"/>
    </xf>
    <xf numFmtId="2" fontId="14" fillId="3" borderId="2" xfId="6" applyNumberFormat="1" applyFont="1" applyFill="1" applyBorder="1" applyAlignment="1">
      <alignment horizontal="right" vertical="center" wrapText="1"/>
    </xf>
    <xf numFmtId="43" fontId="6" fillId="0" borderId="0" xfId="3" applyFont="1" applyAlignment="1">
      <alignment horizontal="center" vertical="center"/>
    </xf>
    <xf numFmtId="49" fontId="14" fillId="3" borderId="2" xfId="6" applyNumberFormat="1" applyFont="1" applyFill="1" applyBorder="1" applyAlignment="1">
      <alignment horizontal="center" vertical="center" wrapText="1"/>
    </xf>
    <xf numFmtId="14" fontId="7" fillId="0" borderId="0" xfId="5" applyNumberFormat="1" applyFont="1" applyAlignment="1">
      <alignment horizontal="left" vertical="center"/>
    </xf>
    <xf numFmtId="0" fontId="14" fillId="6" borderId="0" xfId="6" applyFont="1" applyFill="1" applyAlignment="1">
      <alignment horizontal="center" vertical="center"/>
    </xf>
    <xf numFmtId="10" fontId="13" fillId="0" borderId="0" xfId="4" applyNumberFormat="1" applyFont="1" applyAlignment="1">
      <alignment horizontal="center"/>
    </xf>
    <xf numFmtId="43" fontId="13" fillId="0" borderId="0" xfId="3" applyFont="1" applyAlignment="1">
      <alignment horizontal="center"/>
    </xf>
    <xf numFmtId="4" fontId="13" fillId="0" borderId="0" xfId="3" applyNumberFormat="1" applyFont="1" applyAlignment="1">
      <alignment horizontal="right"/>
    </xf>
    <xf numFmtId="10" fontId="13" fillId="0" borderId="0" xfId="6" applyNumberFormat="1" applyFont="1" applyAlignment="1">
      <alignment horizontal="center"/>
    </xf>
    <xf numFmtId="0" fontId="28" fillId="6" borderId="0" xfId="6" applyFont="1" applyFill="1" applyAlignment="1">
      <alignment horizontal="center" vertical="center"/>
    </xf>
    <xf numFmtId="0" fontId="29" fillId="0" borderId="0" xfId="6" applyFont="1"/>
    <xf numFmtId="0" fontId="0" fillId="0" borderId="7" xfId="0" applyBorder="1"/>
  </cellXfs>
  <cellStyles count="9">
    <cellStyle name="Comma" xfId="1" builtinId="3"/>
    <cellStyle name="Comma 2" xfId="3" xr:uid="{00000000-0005-0000-0000-000003000000}"/>
    <cellStyle name="Normal" xfId="0" builtinId="0"/>
    <cellStyle name="Normal 2 4" xfId="6" xr:uid="{00000000-0005-0000-0000-000006000000}"/>
    <cellStyle name="Normal 4" xfId="2" xr:uid="{00000000-0005-0000-0000-000002000000}"/>
    <cellStyle name="Normal 59" xfId="5" xr:uid="{00000000-0005-0000-0000-000005000000}"/>
    <cellStyle name="Normal_BOQ Volume II Rev1" xfId="8" xr:uid="{00000000-0005-0000-0000-000008000000}"/>
    <cellStyle name="Normal_Teklif_030404" xfId="7" xr:uid="{00000000-0005-0000-0000-000007000000}"/>
    <cellStyle name="Percent 2" xfId="4" xr:uid="{00000000-0005-0000-0000-000004000000}"/>
  </cellStyles>
  <dxfs count="2"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BC2342"/>
  <sheetViews>
    <sheetView tabSelected="1" view="pageBreakPreview" zoomScale="70" zoomScaleNormal="70" zoomScaleSheetLayoutView="70" workbookViewId="0">
      <pane ySplit="9" topLeftCell="A217" activePane="bottomLeft" state="frozen"/>
      <selection pane="bottomLeft" activeCell="D231" sqref="D231"/>
    </sheetView>
  </sheetViews>
  <sheetFormatPr defaultColWidth="8.88671875" defaultRowHeight="15.6" outlineLevelRow="1" x14ac:dyDescent="0.3"/>
  <cols>
    <col min="1" max="1" width="13" style="15" customWidth="1"/>
    <col min="2" max="2" width="60.77734375" style="16" customWidth="1"/>
    <col min="3" max="3" width="25.5546875" style="17" customWidth="1"/>
    <col min="4" max="4" width="15.5546875" style="18" customWidth="1"/>
    <col min="5" max="5" width="13.44140625" style="18" customWidth="1"/>
    <col min="6" max="6" width="17.6640625" style="18" customWidth="1"/>
    <col min="7" max="7" width="15.88671875" style="19" customWidth="1"/>
    <col min="8" max="8" width="18" style="20" customWidth="1"/>
    <col min="9" max="9" width="14.5546875" style="19" customWidth="1"/>
    <col min="10" max="10" width="17.6640625" style="123" customWidth="1"/>
    <col min="11" max="11" width="14.5546875" style="21" customWidth="1"/>
    <col min="12" max="12" width="16.109375" style="20" customWidth="1"/>
    <col min="13" max="49" width="8.88671875" style="22" customWidth="1"/>
    <col min="50" max="50" width="11.33203125" style="22" customWidth="1"/>
    <col min="51" max="51" width="18.44140625" style="22" customWidth="1"/>
    <col min="52" max="52" width="18.44140625" style="23" customWidth="1"/>
    <col min="53" max="54" width="8.88671875" style="22" customWidth="1"/>
    <col min="55" max="55" width="8.88671875" style="24" customWidth="1"/>
    <col min="56" max="56" width="8.88671875" style="22" customWidth="1"/>
    <col min="57" max="16384" width="8.88671875" style="22"/>
  </cols>
  <sheetData>
    <row r="1" spans="1:55" s="4" customFormat="1" ht="27.75" customHeight="1" x14ac:dyDescent="0.3">
      <c r="A1" s="1"/>
      <c r="B1" s="2" t="s">
        <v>0</v>
      </c>
      <c r="C1" s="124"/>
      <c r="D1" s="125"/>
      <c r="E1" s="125"/>
      <c r="F1" s="125"/>
      <c r="G1" s="125"/>
      <c r="H1" s="125"/>
      <c r="I1" s="125"/>
      <c r="J1" s="125"/>
      <c r="K1" s="125"/>
      <c r="L1" s="3"/>
      <c r="AZ1" s="5"/>
      <c r="BC1" s="6"/>
    </row>
    <row r="2" spans="1:55" s="4" customFormat="1" ht="27.75" customHeight="1" x14ac:dyDescent="0.3">
      <c r="A2" s="1"/>
      <c r="B2" s="2" t="s">
        <v>1</v>
      </c>
      <c r="D2" s="7"/>
      <c r="E2" s="7"/>
      <c r="F2" s="7"/>
      <c r="G2" s="8"/>
      <c r="H2" s="9"/>
      <c r="I2" s="10"/>
      <c r="J2" s="11"/>
      <c r="K2" s="8"/>
      <c r="L2" s="137" t="s">
        <v>2</v>
      </c>
      <c r="AZ2" s="5"/>
      <c r="BC2" s="6"/>
    </row>
    <row r="3" spans="1:55" s="4" customFormat="1" ht="27.75" customHeight="1" x14ac:dyDescent="0.3">
      <c r="A3" s="1"/>
      <c r="B3" s="2" t="s">
        <v>3</v>
      </c>
      <c r="D3" s="7"/>
      <c r="E3" s="7"/>
      <c r="F3" s="7"/>
      <c r="G3" s="8"/>
      <c r="H3" s="9"/>
      <c r="I3" s="10"/>
      <c r="J3" s="11"/>
      <c r="K3" s="8"/>
      <c r="L3" s="125"/>
      <c r="AZ3" s="5"/>
      <c r="BC3" s="6"/>
    </row>
    <row r="4" spans="1:55" s="4" customFormat="1" ht="27.75" customHeight="1" x14ac:dyDescent="0.3">
      <c r="A4" s="1"/>
      <c r="B4" s="2" t="s">
        <v>4</v>
      </c>
      <c r="D4" s="7"/>
      <c r="E4" s="7"/>
      <c r="F4" s="7"/>
      <c r="G4" s="8"/>
      <c r="H4" s="9"/>
      <c r="I4" s="10"/>
      <c r="J4" s="12" t="s">
        <v>5</v>
      </c>
      <c r="K4" s="13"/>
      <c r="L4" s="125"/>
      <c r="AZ4" s="5"/>
      <c r="BC4" s="6"/>
    </row>
    <row r="5" spans="1:55" s="4" customFormat="1" ht="27.75" customHeight="1" x14ac:dyDescent="0.3">
      <c r="A5" s="1"/>
      <c r="B5" s="2" t="s">
        <v>6</v>
      </c>
      <c r="C5" s="14">
        <f>F2335</f>
        <v>3811150.8592201383</v>
      </c>
      <c r="D5" s="7"/>
      <c r="E5" s="7"/>
      <c r="F5" s="7"/>
      <c r="G5" s="8"/>
      <c r="H5" s="9"/>
      <c r="I5" s="10"/>
      <c r="J5" s="12" t="s">
        <v>7</v>
      </c>
      <c r="K5" s="139"/>
      <c r="L5" s="125"/>
      <c r="AZ5" s="5"/>
      <c r="BC5" s="6"/>
    </row>
    <row r="6" spans="1:55" ht="19.5" customHeight="1" x14ac:dyDescent="0.3">
      <c r="I6" s="130"/>
      <c r="J6" s="131"/>
    </row>
    <row r="7" spans="1:55" s="25" customFormat="1" ht="31.5" customHeight="1" x14ac:dyDescent="0.3">
      <c r="A7" s="129" t="s">
        <v>8</v>
      </c>
      <c r="B7" s="138" t="s">
        <v>9</v>
      </c>
      <c r="C7" s="126" t="s">
        <v>10</v>
      </c>
      <c r="D7" s="136" t="s">
        <v>11</v>
      </c>
      <c r="E7" s="132" t="s">
        <v>12</v>
      </c>
      <c r="F7" s="135" t="s">
        <v>13</v>
      </c>
      <c r="G7" s="133" t="s">
        <v>14</v>
      </c>
      <c r="H7" s="147"/>
      <c r="I7" s="147"/>
      <c r="J7" s="147"/>
      <c r="K7" s="147"/>
      <c r="L7" s="134"/>
      <c r="AZ7" s="26"/>
      <c r="BC7" s="27"/>
    </row>
    <row r="8" spans="1:55" s="25" customFormat="1" ht="56.25" customHeight="1" x14ac:dyDescent="0.3">
      <c r="A8" s="127"/>
      <c r="B8" s="127"/>
      <c r="C8" s="127"/>
      <c r="D8" s="127"/>
      <c r="E8" s="127"/>
      <c r="F8" s="127"/>
      <c r="G8" s="133" t="s">
        <v>15</v>
      </c>
      <c r="H8" s="134"/>
      <c r="I8" s="133" t="s">
        <v>16</v>
      </c>
      <c r="J8" s="134"/>
      <c r="K8" s="133" t="s">
        <v>17</v>
      </c>
      <c r="L8" s="134"/>
      <c r="AZ8" s="26"/>
      <c r="BC8" s="27"/>
    </row>
    <row r="9" spans="1:55" s="25" customFormat="1" ht="72.75" customHeight="1" x14ac:dyDescent="0.25">
      <c r="A9" s="128"/>
      <c r="B9" s="128"/>
      <c r="C9" s="128"/>
      <c r="D9" s="128"/>
      <c r="E9" s="128"/>
      <c r="F9" s="128"/>
      <c r="G9" s="28" t="s">
        <v>18</v>
      </c>
      <c r="H9" s="29" t="s">
        <v>19</v>
      </c>
      <c r="I9" s="28" t="s">
        <v>20</v>
      </c>
      <c r="J9" s="30" t="s">
        <v>21</v>
      </c>
      <c r="K9" s="30" t="s">
        <v>22</v>
      </c>
      <c r="L9" s="29" t="s">
        <v>23</v>
      </c>
      <c r="AZ9" s="26"/>
      <c r="BC9" s="27"/>
    </row>
    <row r="10" spans="1:55" s="39" customFormat="1" ht="17.25" customHeight="1" x14ac:dyDescent="0.3">
      <c r="A10" s="31">
        <v>1.1000000000000001</v>
      </c>
      <c r="B10" s="32" t="s">
        <v>24</v>
      </c>
      <c r="C10" s="33">
        <v>0</v>
      </c>
      <c r="D10" s="34">
        <v>0</v>
      </c>
      <c r="E10" s="34">
        <v>0</v>
      </c>
      <c r="F10" s="34">
        <f>+E10*D10</f>
        <v>0</v>
      </c>
      <c r="G10" s="35"/>
      <c r="H10" s="36"/>
      <c r="I10" s="37"/>
      <c r="J10" s="38"/>
      <c r="K10" s="36"/>
      <c r="L10" s="36"/>
      <c r="AZ10" s="40"/>
      <c r="BC10" s="41"/>
    </row>
    <row r="11" spans="1:55" s="48" customFormat="1" ht="31.2" customHeight="1" outlineLevel="1" x14ac:dyDescent="0.25">
      <c r="A11" s="42">
        <v>1</v>
      </c>
      <c r="B11" s="43" t="s">
        <v>25</v>
      </c>
      <c r="C11" s="44" t="s">
        <v>26</v>
      </c>
      <c r="D11" s="45">
        <v>7625.4</v>
      </c>
      <c r="E11" s="45">
        <v>7.5</v>
      </c>
      <c r="F11" s="45">
        <f>+E11*D11</f>
        <v>57190.5</v>
      </c>
      <c r="G11" s="46">
        <f t="shared" ref="G11:H14" si="0">I11+K11</f>
        <v>0</v>
      </c>
      <c r="H11" s="47">
        <f t="shared" si="0"/>
        <v>0</v>
      </c>
      <c r="I11" s="46">
        <f>J11/F11</f>
        <v>0</v>
      </c>
      <c r="J11" s="47">
        <v>0</v>
      </c>
      <c r="K11" s="46">
        <f>L11/F11</f>
        <v>0</v>
      </c>
      <c r="L11" s="47">
        <v>0</v>
      </c>
      <c r="AZ11" s="49"/>
      <c r="BC11" s="50"/>
    </row>
    <row r="12" spans="1:55" s="48" customFormat="1" ht="27.75" customHeight="1" outlineLevel="1" x14ac:dyDescent="0.25">
      <c r="A12" s="42">
        <v>2</v>
      </c>
      <c r="B12" s="43" t="s">
        <v>27</v>
      </c>
      <c r="C12" s="44" t="s">
        <v>28</v>
      </c>
      <c r="D12" s="45">
        <v>2501</v>
      </c>
      <c r="E12" s="45">
        <v>1.63</v>
      </c>
      <c r="F12" s="45">
        <f>+E12*D12</f>
        <v>4076.6299999999997</v>
      </c>
      <c r="G12" s="46">
        <f t="shared" si="0"/>
        <v>0</v>
      </c>
      <c r="H12" s="47">
        <f t="shared" si="0"/>
        <v>0</v>
      </c>
      <c r="I12" s="46">
        <f>J12/F12</f>
        <v>0</v>
      </c>
      <c r="J12" s="47">
        <v>0</v>
      </c>
      <c r="K12" s="46">
        <f>L12/F12</f>
        <v>0</v>
      </c>
      <c r="L12" s="47">
        <v>0</v>
      </c>
      <c r="AZ12" s="49"/>
      <c r="BC12" s="50"/>
    </row>
    <row r="13" spans="1:55" s="48" customFormat="1" ht="15.45" customHeight="1" outlineLevel="1" x14ac:dyDescent="0.25">
      <c r="A13" s="42">
        <v>3</v>
      </c>
      <c r="B13" s="43" t="s">
        <v>29</v>
      </c>
      <c r="C13" s="44" t="s">
        <v>28</v>
      </c>
      <c r="D13" s="45">
        <v>2501</v>
      </c>
      <c r="E13" s="45">
        <v>2.14</v>
      </c>
      <c r="F13" s="45">
        <f>+E13*D13</f>
        <v>5352.14</v>
      </c>
      <c r="G13" s="46">
        <f t="shared" si="0"/>
        <v>0</v>
      </c>
      <c r="H13" s="47">
        <f t="shared" si="0"/>
        <v>0</v>
      </c>
      <c r="I13" s="46">
        <f>J13/F13</f>
        <v>0</v>
      </c>
      <c r="J13" s="47">
        <v>0</v>
      </c>
      <c r="K13" s="46">
        <f>L13/F13</f>
        <v>0</v>
      </c>
      <c r="L13" s="47">
        <v>0</v>
      </c>
      <c r="AZ13" s="49"/>
      <c r="BC13" s="50"/>
    </row>
    <row r="14" spans="1:55" s="48" customFormat="1" ht="40.200000000000003" customHeight="1" outlineLevel="1" x14ac:dyDescent="0.25">
      <c r="A14" s="42">
        <v>4</v>
      </c>
      <c r="B14" s="43" t="s">
        <v>30</v>
      </c>
      <c r="C14" s="44" t="s">
        <v>26</v>
      </c>
      <c r="D14" s="45">
        <v>1389.4</v>
      </c>
      <c r="E14" s="45">
        <v>1.31</v>
      </c>
      <c r="F14" s="45">
        <f>+E14*D14</f>
        <v>1820.1140000000003</v>
      </c>
      <c r="G14" s="46">
        <f t="shared" si="0"/>
        <v>0</v>
      </c>
      <c r="H14" s="47">
        <f t="shared" si="0"/>
        <v>0</v>
      </c>
      <c r="I14" s="46">
        <f>J14/F14</f>
        <v>0</v>
      </c>
      <c r="J14" s="47">
        <v>0</v>
      </c>
      <c r="K14" s="46">
        <f>L14/F14</f>
        <v>0</v>
      </c>
      <c r="L14" s="47">
        <v>0</v>
      </c>
      <c r="AZ14" s="49"/>
      <c r="BC14" s="50"/>
    </row>
    <row r="15" spans="1:55" s="56" customFormat="1" ht="17.25" customHeight="1" x14ac:dyDescent="0.3">
      <c r="A15" s="31">
        <v>2.1</v>
      </c>
      <c r="B15" s="51" t="s">
        <v>31</v>
      </c>
      <c r="C15" s="52">
        <v>0</v>
      </c>
      <c r="D15" s="53"/>
      <c r="E15" s="53"/>
      <c r="F15" s="53"/>
      <c r="G15" s="54"/>
      <c r="H15" s="55"/>
      <c r="I15" s="54"/>
      <c r="J15" s="55"/>
      <c r="K15" s="54"/>
      <c r="L15" s="55">
        <v>0</v>
      </c>
      <c r="AZ15" s="57"/>
      <c r="BC15" s="58"/>
    </row>
    <row r="16" spans="1:55" s="48" customFormat="1" ht="27.75" customHeight="1" outlineLevel="1" x14ac:dyDescent="0.25">
      <c r="A16" s="42">
        <v>1</v>
      </c>
      <c r="B16" s="43" t="s">
        <v>32</v>
      </c>
      <c r="C16" s="44" t="s">
        <v>26</v>
      </c>
      <c r="D16" s="45">
        <v>4453</v>
      </c>
      <c r="E16" s="45">
        <v>2.65</v>
      </c>
      <c r="F16" s="45">
        <f t="shared" ref="F16:F22" si="1">+E16*D16</f>
        <v>11800.449999999999</v>
      </c>
      <c r="G16" s="46">
        <f t="shared" ref="G16:H22" si="2">I16+K16</f>
        <v>0</v>
      </c>
      <c r="H16" s="47">
        <f t="shared" si="2"/>
        <v>0</v>
      </c>
      <c r="I16" s="46">
        <f t="shared" ref="I16:I22" si="3">J16/F16</f>
        <v>0</v>
      </c>
      <c r="J16" s="47">
        <v>0</v>
      </c>
      <c r="K16" s="46">
        <f t="shared" ref="K16:K22" si="4">L16/F16</f>
        <v>0</v>
      </c>
      <c r="L16" s="47">
        <v>0</v>
      </c>
      <c r="AZ16" s="49"/>
      <c r="BC16" s="50"/>
    </row>
    <row r="17" spans="1:55" s="48" customFormat="1" ht="15.45" customHeight="1" outlineLevel="1" x14ac:dyDescent="0.25">
      <c r="A17" s="42">
        <v>2</v>
      </c>
      <c r="B17" s="43" t="s">
        <v>29</v>
      </c>
      <c r="C17" s="44" t="s">
        <v>28</v>
      </c>
      <c r="D17" s="45">
        <v>7792.75</v>
      </c>
      <c r="E17" s="45">
        <v>2.14</v>
      </c>
      <c r="F17" s="45">
        <f t="shared" si="1"/>
        <v>16676.485000000001</v>
      </c>
      <c r="G17" s="46">
        <f t="shared" si="2"/>
        <v>0</v>
      </c>
      <c r="H17" s="47">
        <f t="shared" si="2"/>
        <v>0</v>
      </c>
      <c r="I17" s="46">
        <f t="shared" si="3"/>
        <v>0</v>
      </c>
      <c r="J17" s="47">
        <v>0</v>
      </c>
      <c r="K17" s="46">
        <f t="shared" si="4"/>
        <v>0</v>
      </c>
      <c r="L17" s="47">
        <v>0</v>
      </c>
      <c r="AZ17" s="49"/>
      <c r="BC17" s="50"/>
    </row>
    <row r="18" spans="1:55" s="48" customFormat="1" ht="27.75" customHeight="1" outlineLevel="1" x14ac:dyDescent="0.25">
      <c r="A18" s="42">
        <v>3</v>
      </c>
      <c r="B18" s="43" t="s">
        <v>33</v>
      </c>
      <c r="C18" s="44" t="s">
        <v>26</v>
      </c>
      <c r="D18" s="45">
        <v>3657</v>
      </c>
      <c r="E18" s="45">
        <v>1.63</v>
      </c>
      <c r="F18" s="45">
        <f t="shared" si="1"/>
        <v>5960.91</v>
      </c>
      <c r="G18" s="46">
        <f t="shared" si="2"/>
        <v>0</v>
      </c>
      <c r="H18" s="47">
        <f t="shared" si="2"/>
        <v>0</v>
      </c>
      <c r="I18" s="46">
        <f t="shared" si="3"/>
        <v>0</v>
      </c>
      <c r="J18" s="47">
        <v>0</v>
      </c>
      <c r="K18" s="46">
        <f t="shared" si="4"/>
        <v>0</v>
      </c>
      <c r="L18" s="47">
        <v>0</v>
      </c>
      <c r="AZ18" s="49"/>
      <c r="BC18" s="50"/>
    </row>
    <row r="19" spans="1:55" s="48" customFormat="1" ht="27.75" customHeight="1" outlineLevel="1" x14ac:dyDescent="0.25">
      <c r="A19" s="42">
        <v>4</v>
      </c>
      <c r="B19" s="43" t="s">
        <v>34</v>
      </c>
      <c r="C19" s="44" t="s">
        <v>26</v>
      </c>
      <c r="D19" s="45">
        <v>110</v>
      </c>
      <c r="E19" s="45">
        <v>8.9600000000000009</v>
      </c>
      <c r="F19" s="45">
        <f t="shared" si="1"/>
        <v>985.60000000000014</v>
      </c>
      <c r="G19" s="46">
        <f t="shared" si="2"/>
        <v>0</v>
      </c>
      <c r="H19" s="47">
        <f t="shared" si="2"/>
        <v>0</v>
      </c>
      <c r="I19" s="46">
        <f t="shared" si="3"/>
        <v>0</v>
      </c>
      <c r="J19" s="47">
        <v>0</v>
      </c>
      <c r="K19" s="46">
        <f t="shared" si="4"/>
        <v>0</v>
      </c>
      <c r="L19" s="47">
        <v>0</v>
      </c>
      <c r="AZ19" s="49"/>
      <c r="BC19" s="50"/>
    </row>
    <row r="20" spans="1:55" s="48" customFormat="1" ht="27.75" customHeight="1" outlineLevel="1" x14ac:dyDescent="0.25">
      <c r="A20" s="42">
        <v>5</v>
      </c>
      <c r="B20" s="43" t="s">
        <v>35</v>
      </c>
      <c r="C20" s="44" t="s">
        <v>26</v>
      </c>
      <c r="D20" s="45">
        <v>3579</v>
      </c>
      <c r="E20" s="45">
        <v>1.004</v>
      </c>
      <c r="F20" s="45">
        <f t="shared" si="1"/>
        <v>3593.3159999999998</v>
      </c>
      <c r="G20" s="46">
        <f t="shared" si="2"/>
        <v>0</v>
      </c>
      <c r="H20" s="47">
        <f t="shared" si="2"/>
        <v>0</v>
      </c>
      <c r="I20" s="46">
        <f t="shared" si="3"/>
        <v>0</v>
      </c>
      <c r="J20" s="47">
        <v>0</v>
      </c>
      <c r="K20" s="46">
        <f t="shared" si="4"/>
        <v>0</v>
      </c>
      <c r="L20" s="47">
        <v>0</v>
      </c>
      <c r="AZ20" s="49"/>
      <c r="BC20" s="50"/>
    </row>
    <row r="21" spans="1:55" s="48" customFormat="1" ht="15.45" customHeight="1" outlineLevel="1" x14ac:dyDescent="0.25">
      <c r="A21" s="42">
        <v>6</v>
      </c>
      <c r="B21" s="43" t="s">
        <v>36</v>
      </c>
      <c r="C21" s="44" t="s">
        <v>26</v>
      </c>
      <c r="D21" s="45">
        <v>188</v>
      </c>
      <c r="E21" s="45">
        <v>8.9600000000000009</v>
      </c>
      <c r="F21" s="45">
        <f t="shared" si="1"/>
        <v>1684.4800000000002</v>
      </c>
      <c r="G21" s="46">
        <f t="shared" si="2"/>
        <v>0</v>
      </c>
      <c r="H21" s="47">
        <f t="shared" si="2"/>
        <v>0</v>
      </c>
      <c r="I21" s="46">
        <f t="shared" si="3"/>
        <v>0</v>
      </c>
      <c r="J21" s="47">
        <v>0</v>
      </c>
      <c r="K21" s="46">
        <f t="shared" si="4"/>
        <v>0</v>
      </c>
      <c r="L21" s="47">
        <v>0</v>
      </c>
      <c r="AZ21" s="49"/>
      <c r="BC21" s="50"/>
    </row>
    <row r="22" spans="1:55" s="48" customFormat="1" ht="15.45" customHeight="1" outlineLevel="1" x14ac:dyDescent="0.25">
      <c r="A22" s="42">
        <v>7</v>
      </c>
      <c r="B22" s="43" t="s">
        <v>37</v>
      </c>
      <c r="C22" s="44" t="s">
        <v>26</v>
      </c>
      <c r="D22" s="45">
        <v>3579</v>
      </c>
      <c r="E22" s="45">
        <v>2</v>
      </c>
      <c r="F22" s="45">
        <f t="shared" si="1"/>
        <v>7158</v>
      </c>
      <c r="G22" s="46">
        <f t="shared" si="2"/>
        <v>0</v>
      </c>
      <c r="H22" s="47">
        <f t="shared" si="2"/>
        <v>0</v>
      </c>
      <c r="I22" s="46">
        <f t="shared" si="3"/>
        <v>0</v>
      </c>
      <c r="J22" s="47">
        <v>0</v>
      </c>
      <c r="K22" s="46">
        <f t="shared" si="4"/>
        <v>0</v>
      </c>
      <c r="L22" s="47">
        <v>0</v>
      </c>
      <c r="AZ22" s="49"/>
      <c r="BC22" s="50"/>
    </row>
    <row r="23" spans="1:55" s="56" customFormat="1" ht="17.25" customHeight="1" x14ac:dyDescent="0.3">
      <c r="A23" s="31">
        <v>2.2000000000000002</v>
      </c>
      <c r="B23" s="51" t="s">
        <v>38</v>
      </c>
      <c r="C23" s="52">
        <v>0</v>
      </c>
      <c r="D23" s="53"/>
      <c r="E23" s="53"/>
      <c r="F23" s="53"/>
      <c r="G23" s="54"/>
      <c r="H23" s="55"/>
      <c r="I23" s="54"/>
      <c r="J23" s="55"/>
      <c r="K23" s="54"/>
      <c r="L23" s="55">
        <v>0</v>
      </c>
      <c r="AZ23" s="57"/>
      <c r="BC23" s="58"/>
    </row>
    <row r="24" spans="1:55" s="48" customFormat="1" ht="15.45" customHeight="1" outlineLevel="1" x14ac:dyDescent="0.25">
      <c r="A24" s="42">
        <v>1</v>
      </c>
      <c r="B24" s="43" t="s">
        <v>39</v>
      </c>
      <c r="C24" s="44" t="s">
        <v>26</v>
      </c>
      <c r="D24" s="45">
        <v>544</v>
      </c>
      <c r="E24" s="45">
        <v>36.5</v>
      </c>
      <c r="F24" s="45">
        <f t="shared" ref="F24:F44" si="5">+E24*D24</f>
        <v>19856</v>
      </c>
      <c r="G24" s="46">
        <f t="shared" ref="G24:G44" si="6">I24+K24</f>
        <v>0</v>
      </c>
      <c r="H24" s="47">
        <f t="shared" ref="H24:H44" si="7">J24+L24</f>
        <v>0</v>
      </c>
      <c r="I24" s="46">
        <f t="shared" ref="I24:I44" si="8">J24/F24</f>
        <v>0</v>
      </c>
      <c r="J24" s="47">
        <v>0</v>
      </c>
      <c r="K24" s="46">
        <f t="shared" ref="K24:K44" si="9">L24/F24</f>
        <v>0</v>
      </c>
      <c r="L24" s="47">
        <v>0</v>
      </c>
      <c r="AZ24" s="49"/>
      <c r="BC24" s="50"/>
    </row>
    <row r="25" spans="1:55" s="48" customFormat="1" ht="15.45" customHeight="1" outlineLevel="1" x14ac:dyDescent="0.25">
      <c r="A25" s="42">
        <v>2</v>
      </c>
      <c r="B25" s="43" t="s">
        <v>40</v>
      </c>
      <c r="C25" s="44" t="s">
        <v>26</v>
      </c>
      <c r="D25" s="45">
        <v>67.66</v>
      </c>
      <c r="E25" s="45">
        <v>124.1</v>
      </c>
      <c r="F25" s="45">
        <f t="shared" si="5"/>
        <v>8396.6059999999998</v>
      </c>
      <c r="G25" s="46">
        <f t="shared" si="6"/>
        <v>0</v>
      </c>
      <c r="H25" s="47">
        <f t="shared" si="7"/>
        <v>0</v>
      </c>
      <c r="I25" s="46">
        <f t="shared" si="8"/>
        <v>0</v>
      </c>
      <c r="J25" s="47">
        <v>0</v>
      </c>
      <c r="K25" s="46">
        <f t="shared" si="9"/>
        <v>0</v>
      </c>
      <c r="L25" s="47">
        <v>0</v>
      </c>
      <c r="AZ25" s="49"/>
      <c r="BC25" s="50"/>
    </row>
    <row r="26" spans="1:55" s="48" customFormat="1" ht="27.75" customHeight="1" outlineLevel="1" x14ac:dyDescent="0.25">
      <c r="A26" s="42">
        <v>3</v>
      </c>
      <c r="B26" s="43" t="s">
        <v>41</v>
      </c>
      <c r="C26" s="44" t="s">
        <v>26</v>
      </c>
      <c r="D26" s="45">
        <v>279.74</v>
      </c>
      <c r="E26" s="45">
        <v>177.7</v>
      </c>
      <c r="F26" s="45">
        <f t="shared" si="5"/>
        <v>49709.797999999995</v>
      </c>
      <c r="G26" s="46">
        <f t="shared" si="6"/>
        <v>0</v>
      </c>
      <c r="H26" s="47">
        <f t="shared" si="7"/>
        <v>0</v>
      </c>
      <c r="I26" s="46">
        <f t="shared" si="8"/>
        <v>0</v>
      </c>
      <c r="J26" s="47">
        <v>0</v>
      </c>
      <c r="K26" s="46">
        <f t="shared" si="9"/>
        <v>0</v>
      </c>
      <c r="L26" s="47">
        <v>0</v>
      </c>
      <c r="AZ26" s="49"/>
      <c r="BC26" s="50"/>
    </row>
    <row r="27" spans="1:55" s="48" customFormat="1" ht="15.45" customHeight="1" outlineLevel="1" x14ac:dyDescent="0.25">
      <c r="A27" s="42">
        <v>4</v>
      </c>
      <c r="B27" s="43" t="s">
        <v>42</v>
      </c>
      <c r="C27" s="44" t="s">
        <v>28</v>
      </c>
      <c r="D27" s="45">
        <v>4.7830000000000004</v>
      </c>
      <c r="E27" s="45">
        <v>1325.1</v>
      </c>
      <c r="F27" s="45">
        <f t="shared" si="5"/>
        <v>6337.9533000000001</v>
      </c>
      <c r="G27" s="46">
        <f t="shared" si="6"/>
        <v>0</v>
      </c>
      <c r="H27" s="47">
        <f t="shared" si="7"/>
        <v>0</v>
      </c>
      <c r="I27" s="46">
        <f t="shared" si="8"/>
        <v>0</v>
      </c>
      <c r="J27" s="47">
        <v>0</v>
      </c>
      <c r="K27" s="46">
        <f t="shared" si="9"/>
        <v>0</v>
      </c>
      <c r="L27" s="47">
        <v>0</v>
      </c>
      <c r="AZ27" s="49"/>
      <c r="BC27" s="50"/>
    </row>
    <row r="28" spans="1:55" s="48" customFormat="1" ht="15.45" customHeight="1" outlineLevel="1" x14ac:dyDescent="0.25">
      <c r="A28" s="42">
        <v>5</v>
      </c>
      <c r="B28" s="43" t="s">
        <v>43</v>
      </c>
      <c r="C28" s="44" t="s">
        <v>28</v>
      </c>
      <c r="D28" s="45">
        <v>14.262</v>
      </c>
      <c r="E28" s="45">
        <v>1200.0999999999999</v>
      </c>
      <c r="F28" s="45">
        <f t="shared" si="5"/>
        <v>17115.8262</v>
      </c>
      <c r="G28" s="46">
        <f t="shared" si="6"/>
        <v>0</v>
      </c>
      <c r="H28" s="47">
        <f t="shared" si="7"/>
        <v>0</v>
      </c>
      <c r="I28" s="46">
        <f t="shared" si="8"/>
        <v>0</v>
      </c>
      <c r="J28" s="47">
        <v>0</v>
      </c>
      <c r="K28" s="46">
        <f t="shared" si="9"/>
        <v>0</v>
      </c>
      <c r="L28" s="47">
        <v>0</v>
      </c>
      <c r="AZ28" s="49"/>
      <c r="BC28" s="50"/>
    </row>
    <row r="29" spans="1:55" s="48" customFormat="1" ht="27.75" customHeight="1" outlineLevel="1" x14ac:dyDescent="0.25">
      <c r="A29" s="42">
        <v>6</v>
      </c>
      <c r="B29" s="43" t="s">
        <v>44</v>
      </c>
      <c r="C29" s="44" t="s">
        <v>28</v>
      </c>
      <c r="D29" s="45">
        <v>2.9820000000000002</v>
      </c>
      <c r="E29" s="45">
        <v>447.25</v>
      </c>
      <c r="F29" s="45">
        <f t="shared" si="5"/>
        <v>1333.6995000000002</v>
      </c>
      <c r="G29" s="46">
        <f t="shared" si="6"/>
        <v>0</v>
      </c>
      <c r="H29" s="47">
        <f t="shared" si="7"/>
        <v>0</v>
      </c>
      <c r="I29" s="46">
        <f t="shared" si="8"/>
        <v>0</v>
      </c>
      <c r="J29" s="47">
        <v>0</v>
      </c>
      <c r="K29" s="46">
        <f t="shared" si="9"/>
        <v>0</v>
      </c>
      <c r="L29" s="47">
        <v>0</v>
      </c>
      <c r="AZ29" s="49"/>
      <c r="BC29" s="50"/>
    </row>
    <row r="30" spans="1:55" s="48" customFormat="1" ht="15.45" customHeight="1" outlineLevel="1" x14ac:dyDescent="0.25">
      <c r="A30" s="42">
        <v>7</v>
      </c>
      <c r="B30" s="43" t="s">
        <v>42</v>
      </c>
      <c r="C30" s="44" t="s">
        <v>28</v>
      </c>
      <c r="D30" s="45">
        <v>0.14199999999999999</v>
      </c>
      <c r="E30" s="45">
        <v>1325.1</v>
      </c>
      <c r="F30" s="45">
        <f t="shared" si="5"/>
        <v>188.16419999999997</v>
      </c>
      <c r="G30" s="46">
        <f t="shared" si="6"/>
        <v>0</v>
      </c>
      <c r="H30" s="47">
        <f t="shared" si="7"/>
        <v>0</v>
      </c>
      <c r="I30" s="46">
        <f t="shared" si="8"/>
        <v>0</v>
      </c>
      <c r="J30" s="47">
        <v>0</v>
      </c>
      <c r="K30" s="46">
        <f t="shared" si="9"/>
        <v>0</v>
      </c>
      <c r="L30" s="47">
        <v>0</v>
      </c>
      <c r="AZ30" s="49"/>
      <c r="BC30" s="50"/>
    </row>
    <row r="31" spans="1:55" s="48" customFormat="1" ht="15.45" customHeight="1" outlineLevel="1" x14ac:dyDescent="0.25">
      <c r="A31" s="42">
        <v>8</v>
      </c>
      <c r="B31" s="43" t="s">
        <v>43</v>
      </c>
      <c r="C31" s="44" t="s">
        <v>28</v>
      </c>
      <c r="D31" s="45">
        <v>2.84</v>
      </c>
      <c r="E31" s="45">
        <v>1200.0999999999999</v>
      </c>
      <c r="F31" s="45">
        <f t="shared" si="5"/>
        <v>3408.2839999999997</v>
      </c>
      <c r="G31" s="46">
        <f t="shared" si="6"/>
        <v>0</v>
      </c>
      <c r="H31" s="47">
        <f t="shared" si="7"/>
        <v>0</v>
      </c>
      <c r="I31" s="46">
        <f t="shared" si="8"/>
        <v>0</v>
      </c>
      <c r="J31" s="47">
        <v>0</v>
      </c>
      <c r="K31" s="46">
        <f t="shared" si="9"/>
        <v>0</v>
      </c>
      <c r="L31" s="47">
        <v>0</v>
      </c>
      <c r="AZ31" s="49"/>
      <c r="BC31" s="50"/>
    </row>
    <row r="32" spans="1:55" s="48" customFormat="1" ht="27.75" customHeight="1" outlineLevel="1" x14ac:dyDescent="0.25">
      <c r="A32" s="42">
        <v>9</v>
      </c>
      <c r="B32" s="43" t="s">
        <v>45</v>
      </c>
      <c r="C32" s="44" t="s">
        <v>26</v>
      </c>
      <c r="D32" s="45">
        <v>133.52000000000001</v>
      </c>
      <c r="E32" s="45">
        <v>201.24</v>
      </c>
      <c r="F32" s="45">
        <f t="shared" si="5"/>
        <v>26869.564800000004</v>
      </c>
      <c r="G32" s="46">
        <f t="shared" si="6"/>
        <v>0</v>
      </c>
      <c r="H32" s="47">
        <f t="shared" si="7"/>
        <v>0</v>
      </c>
      <c r="I32" s="46">
        <f t="shared" si="8"/>
        <v>0</v>
      </c>
      <c r="J32" s="47">
        <v>0</v>
      </c>
      <c r="K32" s="46">
        <f t="shared" si="9"/>
        <v>0</v>
      </c>
      <c r="L32" s="47">
        <v>0</v>
      </c>
      <c r="AZ32" s="49"/>
      <c r="BC32" s="50"/>
    </row>
    <row r="33" spans="1:55" s="48" customFormat="1" ht="27.75" customHeight="1" outlineLevel="1" x14ac:dyDescent="0.25">
      <c r="A33" s="42">
        <v>10</v>
      </c>
      <c r="B33" s="43" t="s">
        <v>46</v>
      </c>
      <c r="C33" s="44" t="s">
        <v>26</v>
      </c>
      <c r="D33" s="45">
        <v>8.4700000000000006</v>
      </c>
      <c r="E33" s="45">
        <v>272.01</v>
      </c>
      <c r="F33" s="45">
        <f t="shared" si="5"/>
        <v>2303.9247</v>
      </c>
      <c r="G33" s="46">
        <f t="shared" si="6"/>
        <v>0</v>
      </c>
      <c r="H33" s="47">
        <f t="shared" si="7"/>
        <v>0</v>
      </c>
      <c r="I33" s="46">
        <f t="shared" si="8"/>
        <v>0</v>
      </c>
      <c r="J33" s="47">
        <v>0</v>
      </c>
      <c r="K33" s="46">
        <f t="shared" si="9"/>
        <v>0</v>
      </c>
      <c r="L33" s="47">
        <v>0</v>
      </c>
      <c r="AZ33" s="49"/>
      <c r="BC33" s="50"/>
    </row>
    <row r="34" spans="1:55" s="48" customFormat="1" ht="15.45" customHeight="1" outlineLevel="1" x14ac:dyDescent="0.25">
      <c r="A34" s="42">
        <v>11</v>
      </c>
      <c r="B34" s="43" t="s">
        <v>42</v>
      </c>
      <c r="C34" s="44" t="s">
        <v>28</v>
      </c>
      <c r="D34" s="45">
        <v>0.20100000000000001</v>
      </c>
      <c r="E34" s="45">
        <v>1325.1</v>
      </c>
      <c r="F34" s="45">
        <f t="shared" si="5"/>
        <v>266.3451</v>
      </c>
      <c r="G34" s="46">
        <f t="shared" si="6"/>
        <v>0</v>
      </c>
      <c r="H34" s="47">
        <f t="shared" si="7"/>
        <v>0</v>
      </c>
      <c r="I34" s="46">
        <f t="shared" si="8"/>
        <v>0</v>
      </c>
      <c r="J34" s="47">
        <v>0</v>
      </c>
      <c r="K34" s="46">
        <f t="shared" si="9"/>
        <v>0</v>
      </c>
      <c r="L34" s="47">
        <v>0</v>
      </c>
      <c r="AZ34" s="49"/>
      <c r="BC34" s="50"/>
    </row>
    <row r="35" spans="1:55" s="48" customFormat="1" ht="15.45" customHeight="1" outlineLevel="1" x14ac:dyDescent="0.25">
      <c r="A35" s="42">
        <v>12</v>
      </c>
      <c r="B35" s="43" t="s">
        <v>43</v>
      </c>
      <c r="C35" s="44" t="s">
        <v>28</v>
      </c>
      <c r="D35" s="45">
        <v>8.0440000000000005</v>
      </c>
      <c r="E35" s="45">
        <v>1200.0999999999999</v>
      </c>
      <c r="F35" s="45">
        <f t="shared" si="5"/>
        <v>9653.6044000000002</v>
      </c>
      <c r="G35" s="46">
        <f t="shared" si="6"/>
        <v>0</v>
      </c>
      <c r="H35" s="47">
        <f t="shared" si="7"/>
        <v>0</v>
      </c>
      <c r="I35" s="46">
        <f t="shared" si="8"/>
        <v>0</v>
      </c>
      <c r="J35" s="47">
        <v>0</v>
      </c>
      <c r="K35" s="46">
        <f t="shared" si="9"/>
        <v>0</v>
      </c>
      <c r="L35" s="47">
        <v>0</v>
      </c>
      <c r="AZ35" s="49"/>
      <c r="BC35" s="50"/>
    </row>
    <row r="36" spans="1:55" s="48" customFormat="1" ht="41.7" customHeight="1" outlineLevel="1" x14ac:dyDescent="0.25">
      <c r="A36" s="42">
        <v>13</v>
      </c>
      <c r="B36" s="43" t="s">
        <v>47</v>
      </c>
      <c r="C36" s="44" t="s">
        <v>48</v>
      </c>
      <c r="D36" s="45">
        <v>110</v>
      </c>
      <c r="E36" s="45">
        <v>59.996000000000002</v>
      </c>
      <c r="F36" s="45">
        <f t="shared" si="5"/>
        <v>6599.56</v>
      </c>
      <c r="G36" s="46">
        <f t="shared" si="6"/>
        <v>0</v>
      </c>
      <c r="H36" s="47">
        <f t="shared" si="7"/>
        <v>0</v>
      </c>
      <c r="I36" s="46">
        <f t="shared" si="8"/>
        <v>0</v>
      </c>
      <c r="J36" s="47">
        <v>0</v>
      </c>
      <c r="K36" s="46">
        <f t="shared" si="9"/>
        <v>0</v>
      </c>
      <c r="L36" s="47">
        <v>0</v>
      </c>
      <c r="AZ36" s="49"/>
      <c r="BC36" s="50"/>
    </row>
    <row r="37" spans="1:55" s="48" customFormat="1" ht="27.75" customHeight="1" outlineLevel="1" x14ac:dyDescent="0.25">
      <c r="A37" s="42">
        <v>14</v>
      </c>
      <c r="B37" s="43" t="s">
        <v>49</v>
      </c>
      <c r="C37" s="44" t="s">
        <v>48</v>
      </c>
      <c r="D37" s="45">
        <v>1557</v>
      </c>
      <c r="E37" s="45">
        <v>3.67</v>
      </c>
      <c r="F37" s="45">
        <f t="shared" si="5"/>
        <v>5714.19</v>
      </c>
      <c r="G37" s="46">
        <f t="shared" si="6"/>
        <v>0</v>
      </c>
      <c r="H37" s="47">
        <f t="shared" si="7"/>
        <v>0</v>
      </c>
      <c r="I37" s="46">
        <f t="shared" si="8"/>
        <v>0</v>
      </c>
      <c r="J37" s="47">
        <v>0</v>
      </c>
      <c r="K37" s="46">
        <f t="shared" si="9"/>
        <v>0</v>
      </c>
      <c r="L37" s="47">
        <v>0</v>
      </c>
      <c r="AZ37" s="49"/>
      <c r="BC37" s="50"/>
    </row>
    <row r="38" spans="1:55" s="48" customFormat="1" ht="15.45" customHeight="1" outlineLevel="1" x14ac:dyDescent="0.25">
      <c r="A38" s="42">
        <v>15</v>
      </c>
      <c r="B38" s="43" t="s">
        <v>50</v>
      </c>
      <c r="C38" s="44" t="s">
        <v>26</v>
      </c>
      <c r="D38" s="45">
        <v>102.5</v>
      </c>
      <c r="E38" s="45">
        <v>41.92</v>
      </c>
      <c r="F38" s="45">
        <f t="shared" si="5"/>
        <v>4296.8</v>
      </c>
      <c r="G38" s="46">
        <f t="shared" si="6"/>
        <v>0</v>
      </c>
      <c r="H38" s="47">
        <f t="shared" si="7"/>
        <v>0</v>
      </c>
      <c r="I38" s="46">
        <f t="shared" si="8"/>
        <v>0</v>
      </c>
      <c r="J38" s="47">
        <v>0</v>
      </c>
      <c r="K38" s="46">
        <f t="shared" si="9"/>
        <v>0</v>
      </c>
      <c r="L38" s="47">
        <v>0</v>
      </c>
      <c r="AZ38" s="49"/>
      <c r="BC38" s="50"/>
    </row>
    <row r="39" spans="1:55" s="48" customFormat="1" ht="15.45" customHeight="1" outlineLevel="1" x14ac:dyDescent="0.25">
      <c r="A39" s="42">
        <v>16</v>
      </c>
      <c r="B39" s="43" t="s">
        <v>51</v>
      </c>
      <c r="C39" s="44" t="s">
        <v>26</v>
      </c>
      <c r="D39" s="45">
        <v>102.5</v>
      </c>
      <c r="E39" s="45">
        <v>163.30000000000001</v>
      </c>
      <c r="F39" s="45">
        <f t="shared" si="5"/>
        <v>16738.25</v>
      </c>
      <c r="G39" s="46">
        <f t="shared" si="6"/>
        <v>0</v>
      </c>
      <c r="H39" s="47">
        <f t="shared" si="7"/>
        <v>0</v>
      </c>
      <c r="I39" s="46">
        <f t="shared" si="8"/>
        <v>0</v>
      </c>
      <c r="J39" s="47">
        <v>0</v>
      </c>
      <c r="K39" s="46">
        <f t="shared" si="9"/>
        <v>0</v>
      </c>
      <c r="L39" s="47">
        <v>0</v>
      </c>
      <c r="AZ39" s="49"/>
      <c r="BC39" s="50"/>
    </row>
    <row r="40" spans="1:55" s="48" customFormat="1" ht="15.45" customHeight="1" outlineLevel="1" x14ac:dyDescent="0.25">
      <c r="A40" s="42">
        <v>17</v>
      </c>
      <c r="B40" s="43" t="s">
        <v>40</v>
      </c>
      <c r="C40" s="44" t="s">
        <v>26</v>
      </c>
      <c r="D40" s="45">
        <v>1.39</v>
      </c>
      <c r="E40" s="45">
        <v>124.1</v>
      </c>
      <c r="F40" s="45">
        <f t="shared" si="5"/>
        <v>172.49899999999997</v>
      </c>
      <c r="G40" s="46">
        <f t="shared" si="6"/>
        <v>0</v>
      </c>
      <c r="H40" s="47">
        <f t="shared" si="7"/>
        <v>0</v>
      </c>
      <c r="I40" s="46">
        <f t="shared" si="8"/>
        <v>0</v>
      </c>
      <c r="J40" s="47">
        <v>0</v>
      </c>
      <c r="K40" s="46">
        <f t="shared" si="9"/>
        <v>0</v>
      </c>
      <c r="L40" s="47">
        <v>0</v>
      </c>
      <c r="AZ40" s="49"/>
      <c r="BC40" s="50"/>
    </row>
    <row r="41" spans="1:55" s="48" customFormat="1" ht="27.75" customHeight="1" outlineLevel="1" x14ac:dyDescent="0.25">
      <c r="A41" s="42">
        <v>18</v>
      </c>
      <c r="B41" s="43" t="s">
        <v>52</v>
      </c>
      <c r="C41" s="44" t="s">
        <v>26</v>
      </c>
      <c r="D41" s="45">
        <v>8.5399999999999991</v>
      </c>
      <c r="E41" s="45">
        <v>271.39999999999998</v>
      </c>
      <c r="F41" s="45">
        <f t="shared" si="5"/>
        <v>2317.7559999999994</v>
      </c>
      <c r="G41" s="46">
        <f t="shared" si="6"/>
        <v>0</v>
      </c>
      <c r="H41" s="47">
        <f t="shared" si="7"/>
        <v>0</v>
      </c>
      <c r="I41" s="46">
        <f t="shared" si="8"/>
        <v>0</v>
      </c>
      <c r="J41" s="47">
        <v>0</v>
      </c>
      <c r="K41" s="46">
        <f t="shared" si="9"/>
        <v>0</v>
      </c>
      <c r="L41" s="47">
        <v>0</v>
      </c>
      <c r="AZ41" s="49"/>
      <c r="BC41" s="50"/>
    </row>
    <row r="42" spans="1:55" s="48" customFormat="1" ht="36" customHeight="1" outlineLevel="1" x14ac:dyDescent="0.25">
      <c r="A42" s="42">
        <v>19</v>
      </c>
      <c r="B42" s="43" t="s">
        <v>42</v>
      </c>
      <c r="C42" s="44" t="s">
        <v>28</v>
      </c>
      <c r="D42" s="45">
        <v>1.2999999999999999E-2</v>
      </c>
      <c r="E42" s="45">
        <v>1325.1</v>
      </c>
      <c r="F42" s="45">
        <f t="shared" si="5"/>
        <v>17.226299999999998</v>
      </c>
      <c r="G42" s="46">
        <f t="shared" si="6"/>
        <v>0</v>
      </c>
      <c r="H42" s="47">
        <f t="shared" si="7"/>
        <v>0</v>
      </c>
      <c r="I42" s="46">
        <f t="shared" si="8"/>
        <v>0</v>
      </c>
      <c r="J42" s="47">
        <v>0</v>
      </c>
      <c r="K42" s="46">
        <f t="shared" si="9"/>
        <v>0</v>
      </c>
      <c r="L42" s="47">
        <v>0</v>
      </c>
      <c r="AZ42" s="49"/>
      <c r="BC42" s="50"/>
    </row>
    <row r="43" spans="1:55" s="48" customFormat="1" ht="15.45" customHeight="1" outlineLevel="1" x14ac:dyDescent="0.25">
      <c r="A43" s="42">
        <v>20</v>
      </c>
      <c r="B43" s="43" t="s">
        <v>43</v>
      </c>
      <c r="C43" s="44" t="s">
        <v>28</v>
      </c>
      <c r="D43" s="45">
        <v>0.61299999999999999</v>
      </c>
      <c r="E43" s="45">
        <v>1200.0999999999999</v>
      </c>
      <c r="F43" s="45">
        <f t="shared" si="5"/>
        <v>735.66129999999998</v>
      </c>
      <c r="G43" s="46">
        <f t="shared" si="6"/>
        <v>0</v>
      </c>
      <c r="H43" s="47">
        <f t="shared" si="7"/>
        <v>0</v>
      </c>
      <c r="I43" s="46">
        <f t="shared" si="8"/>
        <v>0</v>
      </c>
      <c r="J43" s="47">
        <v>0</v>
      </c>
      <c r="K43" s="46">
        <f t="shared" si="9"/>
        <v>0</v>
      </c>
      <c r="L43" s="47">
        <v>0</v>
      </c>
      <c r="AZ43" s="49"/>
      <c r="BC43" s="50"/>
    </row>
    <row r="44" spans="1:55" s="48" customFormat="1" ht="27.75" customHeight="1" outlineLevel="1" x14ac:dyDescent="0.25">
      <c r="A44" s="42">
        <v>21</v>
      </c>
      <c r="B44" s="43" t="s">
        <v>53</v>
      </c>
      <c r="C44" s="44" t="s">
        <v>28</v>
      </c>
      <c r="D44" s="45">
        <v>0.249</v>
      </c>
      <c r="E44" s="45">
        <v>3306</v>
      </c>
      <c r="F44" s="45">
        <f t="shared" si="5"/>
        <v>823.19399999999996</v>
      </c>
      <c r="G44" s="46">
        <f t="shared" si="6"/>
        <v>0</v>
      </c>
      <c r="H44" s="47">
        <f t="shared" si="7"/>
        <v>0</v>
      </c>
      <c r="I44" s="46">
        <f t="shared" si="8"/>
        <v>0</v>
      </c>
      <c r="J44" s="47">
        <v>0</v>
      </c>
      <c r="K44" s="46">
        <f t="shared" si="9"/>
        <v>0</v>
      </c>
      <c r="L44" s="47">
        <v>0</v>
      </c>
      <c r="AZ44" s="49"/>
      <c r="BC44" s="50"/>
    </row>
    <row r="45" spans="1:55" s="56" customFormat="1" ht="17.25" customHeight="1" x14ac:dyDescent="0.3">
      <c r="A45" s="31">
        <v>2.2999999999999998</v>
      </c>
      <c r="B45" s="51" t="s">
        <v>54</v>
      </c>
      <c r="C45" s="52">
        <v>0</v>
      </c>
      <c r="D45" s="53"/>
      <c r="E45" s="53"/>
      <c r="F45" s="53"/>
      <c r="G45" s="54"/>
      <c r="H45" s="55"/>
      <c r="I45" s="54"/>
      <c r="J45" s="55"/>
      <c r="K45" s="54"/>
      <c r="L45" s="55">
        <v>0</v>
      </c>
      <c r="AZ45" s="57"/>
      <c r="BC45" s="58"/>
    </row>
    <row r="46" spans="1:55" s="48" customFormat="1" ht="27.75" customHeight="1" outlineLevel="1" x14ac:dyDescent="0.25">
      <c r="A46" s="42">
        <v>1</v>
      </c>
      <c r="B46" s="43" t="s">
        <v>55</v>
      </c>
      <c r="C46" s="44" t="s">
        <v>26</v>
      </c>
      <c r="D46" s="45">
        <v>137.28</v>
      </c>
      <c r="E46" s="45">
        <v>231.5</v>
      </c>
      <c r="F46" s="45">
        <f t="shared" ref="F46:F71" si="10">+E46*D46</f>
        <v>31780.32</v>
      </c>
      <c r="G46" s="46">
        <f t="shared" ref="G46:G71" si="11">I46+K46</f>
        <v>0</v>
      </c>
      <c r="H46" s="47">
        <f t="shared" ref="H46:H71" si="12">J46+L46</f>
        <v>0</v>
      </c>
      <c r="I46" s="46">
        <f t="shared" ref="I46:I71" si="13">J46/F46</f>
        <v>0</v>
      </c>
      <c r="J46" s="47">
        <v>0</v>
      </c>
      <c r="K46" s="46">
        <f t="shared" ref="K46:K71" si="14">L46/F46</f>
        <v>0</v>
      </c>
      <c r="L46" s="47">
        <v>0</v>
      </c>
      <c r="AZ46" s="49"/>
      <c r="BC46" s="50"/>
    </row>
    <row r="47" spans="1:55" s="48" customFormat="1" ht="15.45" customHeight="1" outlineLevel="1" x14ac:dyDescent="0.25">
      <c r="A47" s="42">
        <v>2</v>
      </c>
      <c r="B47" s="43" t="s">
        <v>42</v>
      </c>
      <c r="C47" s="44" t="s">
        <v>28</v>
      </c>
      <c r="D47" s="45">
        <v>4.0190000000000001</v>
      </c>
      <c r="E47" s="45">
        <v>1325.1</v>
      </c>
      <c r="F47" s="45">
        <f t="shared" si="10"/>
        <v>5325.5769</v>
      </c>
      <c r="G47" s="46">
        <f t="shared" si="11"/>
        <v>0</v>
      </c>
      <c r="H47" s="47">
        <f t="shared" si="12"/>
        <v>0</v>
      </c>
      <c r="I47" s="46">
        <f t="shared" si="13"/>
        <v>0</v>
      </c>
      <c r="J47" s="47">
        <v>0</v>
      </c>
      <c r="K47" s="46">
        <f t="shared" si="14"/>
        <v>0</v>
      </c>
      <c r="L47" s="47">
        <v>0</v>
      </c>
      <c r="AZ47" s="49"/>
      <c r="BC47" s="50"/>
    </row>
    <row r="48" spans="1:55" s="48" customFormat="1" ht="15.45" customHeight="1" outlineLevel="1" x14ac:dyDescent="0.25">
      <c r="A48" s="42">
        <v>3</v>
      </c>
      <c r="B48" s="43" t="s">
        <v>43</v>
      </c>
      <c r="C48" s="44" t="s">
        <v>28</v>
      </c>
      <c r="D48" s="45">
        <v>13.645</v>
      </c>
      <c r="E48" s="45">
        <v>1200.0999999999999</v>
      </c>
      <c r="F48" s="45">
        <f t="shared" si="10"/>
        <v>16375.364499999998</v>
      </c>
      <c r="G48" s="46">
        <f t="shared" si="11"/>
        <v>0</v>
      </c>
      <c r="H48" s="47">
        <f t="shared" si="12"/>
        <v>0</v>
      </c>
      <c r="I48" s="46">
        <f t="shared" si="13"/>
        <v>0</v>
      </c>
      <c r="J48" s="47">
        <v>0</v>
      </c>
      <c r="K48" s="46">
        <f t="shared" si="14"/>
        <v>0</v>
      </c>
      <c r="L48" s="47">
        <v>0</v>
      </c>
      <c r="AZ48" s="49"/>
      <c r="BC48" s="50"/>
    </row>
    <row r="49" spans="1:55" s="48" customFormat="1" ht="27.75" customHeight="1" outlineLevel="1" x14ac:dyDescent="0.25">
      <c r="A49" s="42">
        <v>4</v>
      </c>
      <c r="B49" s="43" t="s">
        <v>56</v>
      </c>
      <c r="C49" s="44" t="s">
        <v>26</v>
      </c>
      <c r="D49" s="45">
        <v>146.87</v>
      </c>
      <c r="E49" s="45">
        <v>301</v>
      </c>
      <c r="F49" s="45">
        <f t="shared" si="10"/>
        <v>44207.87</v>
      </c>
      <c r="G49" s="46">
        <f t="shared" si="11"/>
        <v>0</v>
      </c>
      <c r="H49" s="47">
        <f t="shared" si="12"/>
        <v>0</v>
      </c>
      <c r="I49" s="46">
        <f t="shared" si="13"/>
        <v>0</v>
      </c>
      <c r="J49" s="47">
        <v>0</v>
      </c>
      <c r="K49" s="46">
        <f t="shared" si="14"/>
        <v>0</v>
      </c>
      <c r="L49" s="47">
        <v>0</v>
      </c>
      <c r="AZ49" s="49"/>
      <c r="BC49" s="50"/>
    </row>
    <row r="50" spans="1:55" s="48" customFormat="1" ht="15.45" customHeight="1" outlineLevel="1" x14ac:dyDescent="0.25">
      <c r="A50" s="42">
        <v>5</v>
      </c>
      <c r="B50" s="43" t="s">
        <v>42</v>
      </c>
      <c r="C50" s="44" t="s">
        <v>28</v>
      </c>
      <c r="D50" s="45">
        <v>10.250999999999999</v>
      </c>
      <c r="E50" s="45">
        <v>1325.1</v>
      </c>
      <c r="F50" s="45">
        <f t="shared" si="10"/>
        <v>13583.600099999998</v>
      </c>
      <c r="G50" s="46">
        <f t="shared" si="11"/>
        <v>0</v>
      </c>
      <c r="H50" s="47">
        <f t="shared" si="12"/>
        <v>0</v>
      </c>
      <c r="I50" s="46">
        <f t="shared" si="13"/>
        <v>0</v>
      </c>
      <c r="J50" s="47">
        <v>0</v>
      </c>
      <c r="K50" s="46">
        <f t="shared" si="14"/>
        <v>0</v>
      </c>
      <c r="L50" s="47">
        <v>0</v>
      </c>
      <c r="AZ50" s="49"/>
      <c r="BC50" s="50"/>
    </row>
    <row r="51" spans="1:55" s="48" customFormat="1" ht="15.45" customHeight="1" outlineLevel="1" x14ac:dyDescent="0.25">
      <c r="A51" s="42">
        <v>6</v>
      </c>
      <c r="B51" s="43" t="s">
        <v>43</v>
      </c>
      <c r="C51" s="44" t="s">
        <v>28</v>
      </c>
      <c r="D51" s="45">
        <v>30.648</v>
      </c>
      <c r="E51" s="45">
        <v>1200.0999999999999</v>
      </c>
      <c r="F51" s="45">
        <f t="shared" si="10"/>
        <v>36780.664799999999</v>
      </c>
      <c r="G51" s="46">
        <f t="shared" si="11"/>
        <v>0</v>
      </c>
      <c r="H51" s="47">
        <f t="shared" si="12"/>
        <v>0</v>
      </c>
      <c r="I51" s="46">
        <f t="shared" si="13"/>
        <v>0</v>
      </c>
      <c r="J51" s="47">
        <v>0</v>
      </c>
      <c r="K51" s="46">
        <f t="shared" si="14"/>
        <v>0</v>
      </c>
      <c r="L51" s="47">
        <v>0</v>
      </c>
      <c r="AZ51" s="49"/>
      <c r="BC51" s="50"/>
    </row>
    <row r="52" spans="1:55" s="48" customFormat="1" ht="15.45" customHeight="1" outlineLevel="1" x14ac:dyDescent="0.25">
      <c r="A52" s="42">
        <v>7</v>
      </c>
      <c r="B52" s="43" t="s">
        <v>57</v>
      </c>
      <c r="C52" s="44" t="s">
        <v>26</v>
      </c>
      <c r="D52" s="45">
        <v>20.55</v>
      </c>
      <c r="E52" s="45">
        <v>204.1</v>
      </c>
      <c r="F52" s="45">
        <f t="shared" si="10"/>
        <v>4194.2550000000001</v>
      </c>
      <c r="G52" s="46">
        <f t="shared" si="11"/>
        <v>0</v>
      </c>
      <c r="H52" s="47">
        <f t="shared" si="12"/>
        <v>0</v>
      </c>
      <c r="I52" s="46">
        <f t="shared" si="13"/>
        <v>0</v>
      </c>
      <c r="J52" s="47">
        <v>0</v>
      </c>
      <c r="K52" s="46">
        <f t="shared" si="14"/>
        <v>0</v>
      </c>
      <c r="L52" s="47">
        <v>0</v>
      </c>
      <c r="AZ52" s="49"/>
      <c r="BC52" s="50"/>
    </row>
    <row r="53" spans="1:55" s="48" customFormat="1" ht="15.45" customHeight="1" outlineLevel="1" x14ac:dyDescent="0.25">
      <c r="A53" s="42">
        <v>8</v>
      </c>
      <c r="B53" s="43" t="s">
        <v>42</v>
      </c>
      <c r="C53" s="44" t="s">
        <v>28</v>
      </c>
      <c r="D53" s="45">
        <v>0.81200000000000006</v>
      </c>
      <c r="E53" s="45">
        <v>1325.1</v>
      </c>
      <c r="F53" s="45">
        <f t="shared" si="10"/>
        <v>1075.9811999999999</v>
      </c>
      <c r="G53" s="46">
        <f t="shared" si="11"/>
        <v>0</v>
      </c>
      <c r="H53" s="47">
        <f t="shared" si="12"/>
        <v>0</v>
      </c>
      <c r="I53" s="46">
        <f t="shared" si="13"/>
        <v>0</v>
      </c>
      <c r="J53" s="47">
        <v>0</v>
      </c>
      <c r="K53" s="46">
        <f t="shared" si="14"/>
        <v>0</v>
      </c>
      <c r="L53" s="47">
        <v>0</v>
      </c>
      <c r="AZ53" s="49"/>
      <c r="BC53" s="50"/>
    </row>
    <row r="54" spans="1:55" s="48" customFormat="1" ht="15.45" customHeight="1" outlineLevel="1" x14ac:dyDescent="0.25">
      <c r="A54" s="42">
        <v>9</v>
      </c>
      <c r="B54" s="43" t="s">
        <v>43</v>
      </c>
      <c r="C54" s="44" t="s">
        <v>28</v>
      </c>
      <c r="D54" s="45">
        <v>2.1179999999999999</v>
      </c>
      <c r="E54" s="45">
        <v>1200.0999999999999</v>
      </c>
      <c r="F54" s="45">
        <f t="shared" si="10"/>
        <v>2541.8117999999995</v>
      </c>
      <c r="G54" s="46">
        <f t="shared" si="11"/>
        <v>0</v>
      </c>
      <c r="H54" s="47">
        <f t="shared" si="12"/>
        <v>0</v>
      </c>
      <c r="I54" s="46">
        <f t="shared" si="13"/>
        <v>0</v>
      </c>
      <c r="J54" s="47">
        <v>0</v>
      </c>
      <c r="K54" s="46">
        <f t="shared" si="14"/>
        <v>0</v>
      </c>
      <c r="L54" s="47">
        <v>0</v>
      </c>
      <c r="AZ54" s="49"/>
      <c r="BC54" s="50"/>
    </row>
    <row r="55" spans="1:55" s="48" customFormat="1" ht="27.75" customHeight="1" outlineLevel="1" x14ac:dyDescent="0.25">
      <c r="A55" s="42">
        <v>10</v>
      </c>
      <c r="B55" s="43" t="s">
        <v>58</v>
      </c>
      <c r="C55" s="44" t="s">
        <v>26</v>
      </c>
      <c r="D55" s="45">
        <v>676.97</v>
      </c>
      <c r="E55" s="45">
        <v>235</v>
      </c>
      <c r="F55" s="45">
        <f t="shared" si="10"/>
        <v>159087.95000000001</v>
      </c>
      <c r="G55" s="46">
        <f t="shared" si="11"/>
        <v>0</v>
      </c>
      <c r="H55" s="47">
        <f t="shared" si="12"/>
        <v>0</v>
      </c>
      <c r="I55" s="46">
        <f t="shared" si="13"/>
        <v>0</v>
      </c>
      <c r="J55" s="47">
        <v>0</v>
      </c>
      <c r="K55" s="46">
        <f t="shared" si="14"/>
        <v>0</v>
      </c>
      <c r="L55" s="47">
        <v>0</v>
      </c>
      <c r="AZ55" s="49"/>
      <c r="BC55" s="50"/>
    </row>
    <row r="56" spans="1:55" s="48" customFormat="1" ht="15.45" customHeight="1" outlineLevel="1" x14ac:dyDescent="0.25">
      <c r="A56" s="42">
        <v>11</v>
      </c>
      <c r="B56" s="43" t="s">
        <v>42</v>
      </c>
      <c r="C56" s="44" t="s">
        <v>28</v>
      </c>
      <c r="D56" s="45">
        <v>4.6749999999999998</v>
      </c>
      <c r="E56" s="45">
        <v>1325.1</v>
      </c>
      <c r="F56" s="45">
        <f t="shared" si="10"/>
        <v>6194.8424999999997</v>
      </c>
      <c r="G56" s="46">
        <f t="shared" si="11"/>
        <v>0</v>
      </c>
      <c r="H56" s="47">
        <f t="shared" si="12"/>
        <v>0</v>
      </c>
      <c r="I56" s="46">
        <f t="shared" si="13"/>
        <v>0</v>
      </c>
      <c r="J56" s="47">
        <v>0</v>
      </c>
      <c r="K56" s="46">
        <f t="shared" si="14"/>
        <v>0</v>
      </c>
      <c r="L56" s="47">
        <v>0</v>
      </c>
      <c r="AZ56" s="49"/>
      <c r="BC56" s="50"/>
    </row>
    <row r="57" spans="1:55" s="48" customFormat="1" ht="15.45" customHeight="1" outlineLevel="1" x14ac:dyDescent="0.25">
      <c r="A57" s="42">
        <v>12</v>
      </c>
      <c r="B57" s="43" t="s">
        <v>43</v>
      </c>
      <c r="C57" s="44" t="s">
        <v>28</v>
      </c>
      <c r="D57" s="45">
        <v>69.402000000000001</v>
      </c>
      <c r="E57" s="45">
        <v>1200.0999999999999</v>
      </c>
      <c r="F57" s="45">
        <f t="shared" si="10"/>
        <v>83289.340199999991</v>
      </c>
      <c r="G57" s="46">
        <f t="shared" si="11"/>
        <v>0</v>
      </c>
      <c r="H57" s="47">
        <f t="shared" si="12"/>
        <v>0</v>
      </c>
      <c r="I57" s="46">
        <f t="shared" si="13"/>
        <v>0</v>
      </c>
      <c r="J57" s="47">
        <v>0</v>
      </c>
      <c r="K57" s="46">
        <f t="shared" si="14"/>
        <v>0</v>
      </c>
      <c r="L57" s="47">
        <v>0</v>
      </c>
      <c r="AZ57" s="49"/>
      <c r="BC57" s="50"/>
    </row>
    <row r="58" spans="1:55" s="48" customFormat="1" ht="27.75" customHeight="1" outlineLevel="1" x14ac:dyDescent="0.25">
      <c r="A58" s="42">
        <v>13</v>
      </c>
      <c r="B58" s="43" t="s">
        <v>59</v>
      </c>
      <c r="C58" s="44" t="s">
        <v>26</v>
      </c>
      <c r="D58" s="45">
        <v>7.88</v>
      </c>
      <c r="E58" s="45">
        <v>285.7</v>
      </c>
      <c r="F58" s="45">
        <f t="shared" si="10"/>
        <v>2251.3159999999998</v>
      </c>
      <c r="G58" s="46">
        <f t="shared" si="11"/>
        <v>0</v>
      </c>
      <c r="H58" s="47">
        <f t="shared" si="12"/>
        <v>0</v>
      </c>
      <c r="I58" s="46">
        <f t="shared" si="13"/>
        <v>0</v>
      </c>
      <c r="J58" s="47">
        <v>0</v>
      </c>
      <c r="K58" s="46">
        <f t="shared" si="14"/>
        <v>0</v>
      </c>
      <c r="L58" s="47">
        <v>0</v>
      </c>
      <c r="AZ58" s="49"/>
      <c r="BC58" s="50"/>
    </row>
    <row r="59" spans="1:55" s="48" customFormat="1" ht="15.45" customHeight="1" outlineLevel="1" x14ac:dyDescent="0.25">
      <c r="A59" s="42">
        <v>14</v>
      </c>
      <c r="B59" s="43" t="s">
        <v>42</v>
      </c>
      <c r="C59" s="44" t="s">
        <v>28</v>
      </c>
      <c r="D59" s="45">
        <v>0.183</v>
      </c>
      <c r="E59" s="45">
        <v>1325.1</v>
      </c>
      <c r="F59" s="45">
        <f t="shared" si="10"/>
        <v>242.49329999999998</v>
      </c>
      <c r="G59" s="46">
        <f t="shared" si="11"/>
        <v>0</v>
      </c>
      <c r="H59" s="47">
        <f t="shared" si="12"/>
        <v>0</v>
      </c>
      <c r="I59" s="46">
        <f t="shared" si="13"/>
        <v>0</v>
      </c>
      <c r="J59" s="47">
        <v>0</v>
      </c>
      <c r="K59" s="46">
        <f t="shared" si="14"/>
        <v>0</v>
      </c>
      <c r="L59" s="47">
        <v>0</v>
      </c>
      <c r="AZ59" s="49"/>
      <c r="BC59" s="50"/>
    </row>
    <row r="60" spans="1:55" s="48" customFormat="1" ht="15.45" customHeight="1" outlineLevel="1" x14ac:dyDescent="0.25">
      <c r="A60" s="42">
        <v>15</v>
      </c>
      <c r="B60" s="43" t="s">
        <v>43</v>
      </c>
      <c r="C60" s="44" t="s">
        <v>28</v>
      </c>
      <c r="D60" s="45">
        <v>1.611</v>
      </c>
      <c r="E60" s="45">
        <v>1200.0999999999999</v>
      </c>
      <c r="F60" s="45">
        <f t="shared" si="10"/>
        <v>1933.3610999999999</v>
      </c>
      <c r="G60" s="46">
        <f t="shared" si="11"/>
        <v>0</v>
      </c>
      <c r="H60" s="47">
        <f t="shared" si="12"/>
        <v>0</v>
      </c>
      <c r="I60" s="46">
        <f t="shared" si="13"/>
        <v>0</v>
      </c>
      <c r="J60" s="47">
        <v>0</v>
      </c>
      <c r="K60" s="46">
        <f t="shared" si="14"/>
        <v>0</v>
      </c>
      <c r="L60" s="47">
        <v>0</v>
      </c>
      <c r="AZ60" s="49"/>
      <c r="BC60" s="50"/>
    </row>
    <row r="61" spans="1:55" s="48" customFormat="1" ht="15.45" customHeight="1" outlineLevel="1" x14ac:dyDescent="0.25">
      <c r="A61" s="42">
        <v>16</v>
      </c>
      <c r="B61" s="43" t="s">
        <v>60</v>
      </c>
      <c r="C61" s="44" t="s">
        <v>61</v>
      </c>
      <c r="D61" s="45">
        <v>22</v>
      </c>
      <c r="E61" s="45">
        <v>40.9</v>
      </c>
      <c r="F61" s="45">
        <f t="shared" si="10"/>
        <v>899.8</v>
      </c>
      <c r="G61" s="46">
        <f t="shared" si="11"/>
        <v>0</v>
      </c>
      <c r="H61" s="47">
        <f t="shared" si="12"/>
        <v>0</v>
      </c>
      <c r="I61" s="46">
        <f t="shared" si="13"/>
        <v>0</v>
      </c>
      <c r="J61" s="47">
        <v>0</v>
      </c>
      <c r="K61" s="46">
        <f t="shared" si="14"/>
        <v>0</v>
      </c>
      <c r="L61" s="47">
        <v>0</v>
      </c>
      <c r="AZ61" s="49"/>
      <c r="BC61" s="50"/>
    </row>
    <row r="62" spans="1:55" s="48" customFormat="1" ht="15.45" customHeight="1" outlineLevel="1" x14ac:dyDescent="0.25">
      <c r="A62" s="42">
        <v>17</v>
      </c>
      <c r="B62" s="43" t="s">
        <v>62</v>
      </c>
      <c r="C62" s="44" t="s">
        <v>28</v>
      </c>
      <c r="D62" s="45">
        <v>0.182</v>
      </c>
      <c r="E62" s="45">
        <v>1887.2</v>
      </c>
      <c r="F62" s="45">
        <f t="shared" si="10"/>
        <v>343.47039999999998</v>
      </c>
      <c r="G62" s="46">
        <f t="shared" si="11"/>
        <v>0</v>
      </c>
      <c r="H62" s="47">
        <f t="shared" si="12"/>
        <v>0</v>
      </c>
      <c r="I62" s="46">
        <f t="shared" si="13"/>
        <v>0</v>
      </c>
      <c r="J62" s="47">
        <v>0</v>
      </c>
      <c r="K62" s="46">
        <f t="shared" si="14"/>
        <v>0</v>
      </c>
      <c r="L62" s="47">
        <v>0</v>
      </c>
      <c r="AZ62" s="49"/>
      <c r="BC62" s="50"/>
    </row>
    <row r="63" spans="1:55" s="48" customFormat="1" ht="27.75" customHeight="1" outlineLevel="1" x14ac:dyDescent="0.25">
      <c r="A63" s="42">
        <v>18</v>
      </c>
      <c r="B63" s="43" t="s">
        <v>63</v>
      </c>
      <c r="C63" s="44" t="s">
        <v>26</v>
      </c>
      <c r="D63" s="45">
        <v>1.3</v>
      </c>
      <c r="E63" s="45">
        <v>235</v>
      </c>
      <c r="F63" s="45">
        <f t="shared" si="10"/>
        <v>305.5</v>
      </c>
      <c r="G63" s="46">
        <f t="shared" si="11"/>
        <v>0</v>
      </c>
      <c r="H63" s="47">
        <f t="shared" si="12"/>
        <v>0</v>
      </c>
      <c r="I63" s="46">
        <f t="shared" si="13"/>
        <v>0</v>
      </c>
      <c r="J63" s="47">
        <v>0</v>
      </c>
      <c r="K63" s="46">
        <f t="shared" si="14"/>
        <v>0</v>
      </c>
      <c r="L63" s="47">
        <v>0</v>
      </c>
      <c r="AZ63" s="49"/>
      <c r="BC63" s="50"/>
    </row>
    <row r="64" spans="1:55" s="48" customFormat="1" ht="15.45" customHeight="1" outlineLevel="1" x14ac:dyDescent="0.25">
      <c r="A64" s="42">
        <v>19</v>
      </c>
      <c r="B64" s="43" t="s">
        <v>42</v>
      </c>
      <c r="C64" s="44" t="s">
        <v>28</v>
      </c>
      <c r="D64" s="45">
        <v>3.0000000000000001E-3</v>
      </c>
      <c r="E64" s="45">
        <v>1325.1</v>
      </c>
      <c r="F64" s="45">
        <f t="shared" si="10"/>
        <v>3.9752999999999998</v>
      </c>
      <c r="G64" s="46">
        <f t="shared" si="11"/>
        <v>0</v>
      </c>
      <c r="H64" s="47">
        <f t="shared" si="12"/>
        <v>0</v>
      </c>
      <c r="I64" s="46">
        <f t="shared" si="13"/>
        <v>0</v>
      </c>
      <c r="J64" s="47">
        <v>0</v>
      </c>
      <c r="K64" s="46">
        <f t="shared" si="14"/>
        <v>0</v>
      </c>
      <c r="L64" s="47">
        <v>0</v>
      </c>
      <c r="AZ64" s="49"/>
      <c r="BC64" s="50"/>
    </row>
    <row r="65" spans="1:55" s="48" customFormat="1" ht="15.45" customHeight="1" outlineLevel="1" x14ac:dyDescent="0.25">
      <c r="A65" s="42">
        <v>20</v>
      </c>
      <c r="B65" s="43" t="s">
        <v>43</v>
      </c>
      <c r="C65" s="44" t="s">
        <v>28</v>
      </c>
      <c r="D65" s="45">
        <v>0.255</v>
      </c>
      <c r="E65" s="45">
        <v>1200.0999999999999</v>
      </c>
      <c r="F65" s="45">
        <f t="shared" si="10"/>
        <v>306.02549999999997</v>
      </c>
      <c r="G65" s="46">
        <f t="shared" si="11"/>
        <v>0</v>
      </c>
      <c r="H65" s="47">
        <f t="shared" si="12"/>
        <v>0</v>
      </c>
      <c r="I65" s="46">
        <f t="shared" si="13"/>
        <v>0</v>
      </c>
      <c r="J65" s="47">
        <v>0</v>
      </c>
      <c r="K65" s="46">
        <f t="shared" si="14"/>
        <v>0</v>
      </c>
      <c r="L65" s="47">
        <v>0</v>
      </c>
      <c r="AZ65" s="49"/>
      <c r="BC65" s="50"/>
    </row>
    <row r="66" spans="1:55" s="48" customFormat="1" ht="27.75" customHeight="1" outlineLevel="1" x14ac:dyDescent="0.25">
      <c r="A66" s="42">
        <v>21</v>
      </c>
      <c r="B66" s="43" t="s">
        <v>64</v>
      </c>
      <c r="C66" s="44" t="s">
        <v>26</v>
      </c>
      <c r="D66" s="45">
        <v>9.75</v>
      </c>
      <c r="E66" s="45">
        <v>226.4</v>
      </c>
      <c r="F66" s="45">
        <f t="shared" si="10"/>
        <v>2207.4</v>
      </c>
      <c r="G66" s="46">
        <f t="shared" si="11"/>
        <v>0</v>
      </c>
      <c r="H66" s="47">
        <f t="shared" si="12"/>
        <v>0</v>
      </c>
      <c r="I66" s="46">
        <f t="shared" si="13"/>
        <v>0</v>
      </c>
      <c r="J66" s="47">
        <v>0</v>
      </c>
      <c r="K66" s="46">
        <f t="shared" si="14"/>
        <v>0</v>
      </c>
      <c r="L66" s="47">
        <v>0</v>
      </c>
      <c r="AZ66" s="49"/>
      <c r="BC66" s="50"/>
    </row>
    <row r="67" spans="1:55" s="48" customFormat="1" ht="15.45" customHeight="1" outlineLevel="1" x14ac:dyDescent="0.25">
      <c r="A67" s="42">
        <v>22</v>
      </c>
      <c r="B67" s="43" t="s">
        <v>42</v>
      </c>
      <c r="C67" s="44" t="s">
        <v>28</v>
      </c>
      <c r="D67" s="45">
        <v>0.30599999999999999</v>
      </c>
      <c r="E67" s="45">
        <v>1325.1</v>
      </c>
      <c r="F67" s="45">
        <f t="shared" si="10"/>
        <v>405.48059999999998</v>
      </c>
      <c r="G67" s="46">
        <f t="shared" si="11"/>
        <v>0</v>
      </c>
      <c r="H67" s="47">
        <f t="shared" si="12"/>
        <v>0</v>
      </c>
      <c r="I67" s="46">
        <f t="shared" si="13"/>
        <v>0</v>
      </c>
      <c r="J67" s="47">
        <v>0</v>
      </c>
      <c r="K67" s="46">
        <f t="shared" si="14"/>
        <v>0</v>
      </c>
      <c r="L67" s="47">
        <v>0</v>
      </c>
      <c r="AZ67" s="49"/>
      <c r="BC67" s="50"/>
    </row>
    <row r="68" spans="1:55" s="48" customFormat="1" ht="15.45" customHeight="1" outlineLevel="1" x14ac:dyDescent="0.25">
      <c r="A68" s="42">
        <v>23</v>
      </c>
      <c r="B68" s="43" t="s">
        <v>43</v>
      </c>
      <c r="C68" s="44" t="s">
        <v>28</v>
      </c>
      <c r="D68" s="45">
        <v>0.66900000000000004</v>
      </c>
      <c r="E68" s="45">
        <v>1200.0999999999999</v>
      </c>
      <c r="F68" s="45">
        <f t="shared" si="10"/>
        <v>802.86689999999999</v>
      </c>
      <c r="G68" s="46">
        <f t="shared" si="11"/>
        <v>0</v>
      </c>
      <c r="H68" s="47">
        <f t="shared" si="12"/>
        <v>0</v>
      </c>
      <c r="I68" s="46">
        <f t="shared" si="13"/>
        <v>0</v>
      </c>
      <c r="J68" s="47">
        <v>0</v>
      </c>
      <c r="K68" s="46">
        <f t="shared" si="14"/>
        <v>0</v>
      </c>
      <c r="L68" s="47">
        <v>0</v>
      </c>
      <c r="AZ68" s="49"/>
      <c r="BC68" s="50"/>
    </row>
    <row r="69" spans="1:55" s="48" customFormat="1" ht="39.75" customHeight="1" outlineLevel="1" x14ac:dyDescent="0.25">
      <c r="A69" s="42">
        <v>24</v>
      </c>
      <c r="B69" s="43" t="s">
        <v>65</v>
      </c>
      <c r="C69" s="44" t="s">
        <v>26</v>
      </c>
      <c r="D69" s="45">
        <v>21.93</v>
      </c>
      <c r="E69" s="45">
        <v>204.1</v>
      </c>
      <c r="F69" s="45">
        <f t="shared" si="10"/>
        <v>4475.9129999999996</v>
      </c>
      <c r="G69" s="46">
        <f t="shared" si="11"/>
        <v>0</v>
      </c>
      <c r="H69" s="47">
        <f t="shared" si="12"/>
        <v>0</v>
      </c>
      <c r="I69" s="46">
        <f t="shared" si="13"/>
        <v>0</v>
      </c>
      <c r="J69" s="47">
        <v>0</v>
      </c>
      <c r="K69" s="46">
        <f t="shared" si="14"/>
        <v>0</v>
      </c>
      <c r="L69" s="47">
        <v>0</v>
      </c>
      <c r="AZ69" s="49"/>
      <c r="BC69" s="50"/>
    </row>
    <row r="70" spans="1:55" s="48" customFormat="1" ht="15.45" customHeight="1" outlineLevel="1" x14ac:dyDescent="0.25">
      <c r="A70" s="42">
        <v>25</v>
      </c>
      <c r="B70" s="43" t="s">
        <v>42</v>
      </c>
      <c r="C70" s="44" t="s">
        <v>28</v>
      </c>
      <c r="D70" s="45">
        <v>0.79800000000000004</v>
      </c>
      <c r="E70" s="45">
        <v>1325.1</v>
      </c>
      <c r="F70" s="45">
        <f t="shared" si="10"/>
        <v>1057.4297999999999</v>
      </c>
      <c r="G70" s="46">
        <f t="shared" si="11"/>
        <v>0</v>
      </c>
      <c r="H70" s="47">
        <f t="shared" si="12"/>
        <v>0</v>
      </c>
      <c r="I70" s="46">
        <f t="shared" si="13"/>
        <v>0</v>
      </c>
      <c r="J70" s="47">
        <v>0</v>
      </c>
      <c r="K70" s="46">
        <f t="shared" si="14"/>
        <v>0</v>
      </c>
      <c r="L70" s="47">
        <v>0</v>
      </c>
      <c r="AZ70" s="49"/>
      <c r="BC70" s="50"/>
    </row>
    <row r="71" spans="1:55" s="48" customFormat="1" ht="15.45" customHeight="1" outlineLevel="1" x14ac:dyDescent="0.25">
      <c r="A71" s="42">
        <v>26</v>
      </c>
      <c r="B71" s="43" t="s">
        <v>43</v>
      </c>
      <c r="C71" s="44" t="s">
        <v>28</v>
      </c>
      <c r="D71" s="45">
        <v>0.74399999999999999</v>
      </c>
      <c r="E71" s="45">
        <v>1200.0999999999999</v>
      </c>
      <c r="F71" s="45">
        <f t="shared" si="10"/>
        <v>892.87439999999992</v>
      </c>
      <c r="G71" s="46">
        <f t="shared" si="11"/>
        <v>0</v>
      </c>
      <c r="H71" s="47">
        <f t="shared" si="12"/>
        <v>0</v>
      </c>
      <c r="I71" s="46">
        <f t="shared" si="13"/>
        <v>0</v>
      </c>
      <c r="J71" s="47">
        <v>0</v>
      </c>
      <c r="K71" s="46">
        <f t="shared" si="14"/>
        <v>0</v>
      </c>
      <c r="L71" s="47">
        <v>0</v>
      </c>
      <c r="AZ71" s="49"/>
      <c r="BC71" s="50"/>
    </row>
    <row r="72" spans="1:55" s="56" customFormat="1" ht="17.25" customHeight="1" x14ac:dyDescent="0.3">
      <c r="A72" s="31">
        <v>2.4</v>
      </c>
      <c r="B72" s="51" t="s">
        <v>66</v>
      </c>
      <c r="C72" s="52">
        <v>0</v>
      </c>
      <c r="D72" s="53"/>
      <c r="E72" s="53"/>
      <c r="F72" s="53"/>
      <c r="G72" s="54"/>
      <c r="H72" s="55"/>
      <c r="I72" s="54"/>
      <c r="J72" s="55"/>
      <c r="K72" s="54"/>
      <c r="L72" s="55">
        <v>0</v>
      </c>
      <c r="AZ72" s="57"/>
      <c r="BC72" s="58"/>
    </row>
    <row r="73" spans="1:55" s="48" customFormat="1" ht="27.75" customHeight="1" outlineLevel="1" x14ac:dyDescent="0.25">
      <c r="A73" s="42">
        <v>1</v>
      </c>
      <c r="B73" s="43" t="s">
        <v>67</v>
      </c>
      <c r="C73" s="44" t="s">
        <v>48</v>
      </c>
      <c r="D73" s="45">
        <v>628.29999999999995</v>
      </c>
      <c r="E73" s="45">
        <v>41.92</v>
      </c>
      <c r="F73" s="45">
        <f t="shared" ref="F73:F79" si="15">+E73*D73</f>
        <v>26338.335999999999</v>
      </c>
      <c r="G73" s="46">
        <f t="shared" ref="G73:H79" si="16">I73+K73</f>
        <v>0</v>
      </c>
      <c r="H73" s="47">
        <f t="shared" si="16"/>
        <v>0</v>
      </c>
      <c r="I73" s="46">
        <f t="shared" ref="I73:I79" si="17">J73/F73</f>
        <v>0</v>
      </c>
      <c r="J73" s="47">
        <v>0</v>
      </c>
      <c r="K73" s="46">
        <f t="shared" ref="K73:K79" si="18">L73/F73</f>
        <v>0</v>
      </c>
      <c r="L73" s="47">
        <v>0</v>
      </c>
      <c r="AZ73" s="49"/>
      <c r="BC73" s="50"/>
    </row>
    <row r="74" spans="1:55" s="48" customFormat="1" ht="27.75" customHeight="1" outlineLevel="1" x14ac:dyDescent="0.25">
      <c r="A74" s="42">
        <v>2</v>
      </c>
      <c r="B74" s="43" t="s">
        <v>68</v>
      </c>
      <c r="C74" s="44" t="s">
        <v>48</v>
      </c>
      <c r="D74" s="45">
        <v>223</v>
      </c>
      <c r="E74" s="45">
        <v>41.92</v>
      </c>
      <c r="F74" s="45">
        <f t="shared" si="15"/>
        <v>9348.16</v>
      </c>
      <c r="G74" s="46">
        <f t="shared" si="16"/>
        <v>0</v>
      </c>
      <c r="H74" s="47">
        <f t="shared" si="16"/>
        <v>0</v>
      </c>
      <c r="I74" s="46">
        <f t="shared" si="17"/>
        <v>0</v>
      </c>
      <c r="J74" s="47">
        <v>0</v>
      </c>
      <c r="K74" s="46">
        <f t="shared" si="18"/>
        <v>0</v>
      </c>
      <c r="L74" s="47">
        <v>0</v>
      </c>
      <c r="AZ74" s="49"/>
      <c r="BC74" s="50"/>
    </row>
    <row r="75" spans="1:55" s="48" customFormat="1" ht="27.75" customHeight="1" outlineLevel="1" x14ac:dyDescent="0.25">
      <c r="A75" s="42">
        <v>3</v>
      </c>
      <c r="B75" s="43" t="s">
        <v>69</v>
      </c>
      <c r="C75" s="44" t="s">
        <v>48</v>
      </c>
      <c r="D75" s="45">
        <v>551</v>
      </c>
      <c r="E75" s="45">
        <v>41.92</v>
      </c>
      <c r="F75" s="45">
        <f t="shared" si="15"/>
        <v>23097.920000000002</v>
      </c>
      <c r="G75" s="46">
        <f t="shared" si="16"/>
        <v>0</v>
      </c>
      <c r="H75" s="47">
        <f t="shared" si="16"/>
        <v>0</v>
      </c>
      <c r="I75" s="46">
        <f t="shared" si="17"/>
        <v>0</v>
      </c>
      <c r="J75" s="47">
        <v>0</v>
      </c>
      <c r="K75" s="46">
        <f t="shared" si="18"/>
        <v>0</v>
      </c>
      <c r="L75" s="47">
        <v>0</v>
      </c>
      <c r="AZ75" s="49"/>
      <c r="BC75" s="50"/>
    </row>
    <row r="76" spans="1:55" s="48" customFormat="1" ht="27.75" customHeight="1" outlineLevel="1" x14ac:dyDescent="0.25">
      <c r="A76" s="42">
        <v>4</v>
      </c>
      <c r="B76" s="43" t="s">
        <v>70</v>
      </c>
      <c r="C76" s="44" t="s">
        <v>26</v>
      </c>
      <c r="D76" s="45">
        <v>240.34</v>
      </c>
      <c r="E76" s="45">
        <v>183.7</v>
      </c>
      <c r="F76" s="45">
        <f t="shared" si="15"/>
        <v>44150.457999999999</v>
      </c>
      <c r="G76" s="46">
        <f t="shared" si="16"/>
        <v>0</v>
      </c>
      <c r="H76" s="47">
        <f t="shared" si="16"/>
        <v>0</v>
      </c>
      <c r="I76" s="46">
        <f t="shared" si="17"/>
        <v>0</v>
      </c>
      <c r="J76" s="47">
        <v>0</v>
      </c>
      <c r="K76" s="46">
        <f t="shared" si="18"/>
        <v>0</v>
      </c>
      <c r="L76" s="47">
        <v>0</v>
      </c>
      <c r="AZ76" s="49"/>
      <c r="BC76" s="50"/>
    </row>
    <row r="77" spans="1:55" s="48" customFormat="1" ht="15.45" customHeight="1" outlineLevel="1" x14ac:dyDescent="0.25">
      <c r="A77" s="42">
        <v>5</v>
      </c>
      <c r="B77" s="43" t="s">
        <v>71</v>
      </c>
      <c r="C77" s="44" t="s">
        <v>28</v>
      </c>
      <c r="D77" s="45">
        <v>0.28199999999999997</v>
      </c>
      <c r="E77" s="45">
        <v>2150</v>
      </c>
      <c r="F77" s="45">
        <f t="shared" si="15"/>
        <v>606.29999999999995</v>
      </c>
      <c r="G77" s="46">
        <f t="shared" si="16"/>
        <v>0</v>
      </c>
      <c r="H77" s="47">
        <f t="shared" si="16"/>
        <v>0</v>
      </c>
      <c r="I77" s="46">
        <f t="shared" si="17"/>
        <v>0</v>
      </c>
      <c r="J77" s="47">
        <v>0</v>
      </c>
      <c r="K77" s="46">
        <f t="shared" si="18"/>
        <v>0</v>
      </c>
      <c r="L77" s="47">
        <v>0</v>
      </c>
      <c r="AZ77" s="49"/>
      <c r="BC77" s="50"/>
    </row>
    <row r="78" spans="1:55" s="48" customFormat="1" ht="27.75" customHeight="1" outlineLevel="1" x14ac:dyDescent="0.25">
      <c r="A78" s="42">
        <v>6</v>
      </c>
      <c r="B78" s="43" t="s">
        <v>72</v>
      </c>
      <c r="C78" s="44" t="s">
        <v>48</v>
      </c>
      <c r="D78" s="45">
        <v>196.8</v>
      </c>
      <c r="E78" s="45">
        <v>28.66</v>
      </c>
      <c r="F78" s="45">
        <f t="shared" si="15"/>
        <v>5640.2880000000005</v>
      </c>
      <c r="G78" s="46">
        <f t="shared" si="16"/>
        <v>0</v>
      </c>
      <c r="H78" s="47">
        <f t="shared" si="16"/>
        <v>0</v>
      </c>
      <c r="I78" s="46">
        <f t="shared" si="17"/>
        <v>0</v>
      </c>
      <c r="J78" s="47">
        <v>0</v>
      </c>
      <c r="K78" s="46">
        <f t="shared" si="18"/>
        <v>0</v>
      </c>
      <c r="L78" s="47">
        <v>0</v>
      </c>
      <c r="AZ78" s="49"/>
      <c r="BC78" s="50"/>
    </row>
    <row r="79" spans="1:55" s="48" customFormat="1" ht="15.45" customHeight="1" outlineLevel="1" x14ac:dyDescent="0.25">
      <c r="A79" s="42">
        <v>7</v>
      </c>
      <c r="B79" s="43" t="s">
        <v>73</v>
      </c>
      <c r="C79" s="44" t="s">
        <v>28</v>
      </c>
      <c r="D79" s="45">
        <v>0.32400000000000001</v>
      </c>
      <c r="E79" s="45">
        <v>2994.7689999999998</v>
      </c>
      <c r="F79" s="45">
        <f t="shared" si="15"/>
        <v>970.30515600000001</v>
      </c>
      <c r="G79" s="46">
        <f t="shared" si="16"/>
        <v>0</v>
      </c>
      <c r="H79" s="47">
        <f t="shared" si="16"/>
        <v>0</v>
      </c>
      <c r="I79" s="46">
        <f t="shared" si="17"/>
        <v>0</v>
      </c>
      <c r="J79" s="47">
        <v>0</v>
      </c>
      <c r="K79" s="46">
        <f t="shared" si="18"/>
        <v>0</v>
      </c>
      <c r="L79" s="47">
        <v>0</v>
      </c>
      <c r="AZ79" s="49"/>
      <c r="BC79" s="50"/>
    </row>
    <row r="80" spans="1:55" s="56" customFormat="1" ht="17.25" customHeight="1" x14ac:dyDescent="0.3">
      <c r="A80" s="31">
        <v>2.5</v>
      </c>
      <c r="B80" s="51" t="s">
        <v>74</v>
      </c>
      <c r="C80" s="52">
        <v>0</v>
      </c>
      <c r="D80" s="53"/>
      <c r="E80" s="53"/>
      <c r="F80" s="53"/>
      <c r="G80" s="54"/>
      <c r="H80" s="55"/>
      <c r="I80" s="54"/>
      <c r="J80" s="55"/>
      <c r="K80" s="54"/>
      <c r="L80" s="55">
        <v>0</v>
      </c>
      <c r="AZ80" s="57"/>
      <c r="BC80" s="58"/>
    </row>
    <row r="81" spans="1:55" s="48" customFormat="1" ht="15.45" customHeight="1" outlineLevel="1" x14ac:dyDescent="0.25">
      <c r="A81" s="42">
        <v>1</v>
      </c>
      <c r="B81" s="43" t="s">
        <v>75</v>
      </c>
      <c r="C81" s="44" t="s">
        <v>48</v>
      </c>
      <c r="D81" s="45">
        <v>1414.2</v>
      </c>
      <c r="E81" s="45">
        <v>3.7719999999999998</v>
      </c>
      <c r="F81" s="45">
        <f t="shared" ref="F81:F100" si="19">+E81*D81</f>
        <v>5334.3624</v>
      </c>
      <c r="G81" s="46">
        <f t="shared" ref="G81:G100" si="20">I81+K81</f>
        <v>0</v>
      </c>
      <c r="H81" s="47">
        <f t="shared" ref="H81:H100" si="21">J81+L81</f>
        <v>0</v>
      </c>
      <c r="I81" s="46">
        <f t="shared" ref="I81:I100" si="22">J81/F81</f>
        <v>0</v>
      </c>
      <c r="J81" s="47">
        <v>0</v>
      </c>
      <c r="K81" s="46">
        <f t="shared" ref="K81:K100" si="23">L81/F81</f>
        <v>0</v>
      </c>
      <c r="L81" s="47">
        <v>0</v>
      </c>
      <c r="AZ81" s="49"/>
      <c r="BC81" s="50"/>
    </row>
    <row r="82" spans="1:55" s="48" customFormat="1" ht="15.45" customHeight="1" outlineLevel="1" x14ac:dyDescent="0.25">
      <c r="A82" s="42">
        <v>2</v>
      </c>
      <c r="B82" s="43" t="s">
        <v>76</v>
      </c>
      <c r="C82" s="44" t="s">
        <v>48</v>
      </c>
      <c r="D82" s="45">
        <v>1414.2</v>
      </c>
      <c r="E82" s="45">
        <v>0.95300000000000007</v>
      </c>
      <c r="F82" s="45">
        <f t="shared" si="19"/>
        <v>1347.7326</v>
      </c>
      <c r="G82" s="46">
        <f t="shared" si="20"/>
        <v>0</v>
      </c>
      <c r="H82" s="47">
        <f t="shared" si="21"/>
        <v>0</v>
      </c>
      <c r="I82" s="46">
        <f t="shared" si="22"/>
        <v>0</v>
      </c>
      <c r="J82" s="47">
        <v>0</v>
      </c>
      <c r="K82" s="46">
        <f t="shared" si="23"/>
        <v>0</v>
      </c>
      <c r="L82" s="47">
        <v>0</v>
      </c>
      <c r="AZ82" s="49"/>
      <c r="BC82" s="50"/>
    </row>
    <row r="83" spans="1:55" s="48" customFormat="1" ht="27.75" customHeight="1" outlineLevel="1" x14ac:dyDescent="0.25">
      <c r="A83" s="42">
        <v>3</v>
      </c>
      <c r="B83" s="43" t="s">
        <v>77</v>
      </c>
      <c r="C83" s="44" t="s">
        <v>48</v>
      </c>
      <c r="D83" s="45">
        <v>1414.2</v>
      </c>
      <c r="E83" s="45">
        <v>4.0944219999999998</v>
      </c>
      <c r="F83" s="45">
        <f t="shared" si="19"/>
        <v>5790.3315923999999</v>
      </c>
      <c r="G83" s="46">
        <f t="shared" si="20"/>
        <v>0</v>
      </c>
      <c r="H83" s="47">
        <f t="shared" si="21"/>
        <v>0</v>
      </c>
      <c r="I83" s="46">
        <f t="shared" si="22"/>
        <v>0</v>
      </c>
      <c r="J83" s="47">
        <v>0</v>
      </c>
      <c r="K83" s="46">
        <f t="shared" si="23"/>
        <v>0</v>
      </c>
      <c r="L83" s="47">
        <v>0</v>
      </c>
      <c r="AZ83" s="49"/>
      <c r="BC83" s="50"/>
    </row>
    <row r="84" spans="1:55" s="48" customFormat="1" ht="15.45" customHeight="1" outlineLevel="1" x14ac:dyDescent="0.25">
      <c r="A84" s="42">
        <v>4</v>
      </c>
      <c r="B84" s="43" t="s">
        <v>78</v>
      </c>
      <c r="C84" s="44" t="s">
        <v>26</v>
      </c>
      <c r="D84" s="45">
        <v>106.1</v>
      </c>
      <c r="E84" s="45">
        <v>66.499999999999986</v>
      </c>
      <c r="F84" s="45">
        <f t="shared" si="19"/>
        <v>7055.6499999999978</v>
      </c>
      <c r="G84" s="46">
        <f t="shared" si="20"/>
        <v>0</v>
      </c>
      <c r="H84" s="47">
        <f t="shared" si="21"/>
        <v>0</v>
      </c>
      <c r="I84" s="46">
        <f t="shared" si="22"/>
        <v>0</v>
      </c>
      <c r="J84" s="47">
        <v>0</v>
      </c>
      <c r="K84" s="46">
        <f t="shared" si="23"/>
        <v>0</v>
      </c>
      <c r="L84" s="47">
        <v>0</v>
      </c>
      <c r="AZ84" s="49"/>
      <c r="BC84" s="50"/>
    </row>
    <row r="85" spans="1:55" s="48" customFormat="1" ht="15.45" customHeight="1" outlineLevel="1" x14ac:dyDescent="0.25">
      <c r="A85" s="42">
        <v>5</v>
      </c>
      <c r="B85" s="43" t="s">
        <v>79</v>
      </c>
      <c r="C85" s="44" t="s">
        <v>48</v>
      </c>
      <c r="D85" s="45">
        <v>1414.2</v>
      </c>
      <c r="E85" s="45">
        <v>1.4119999999999999</v>
      </c>
      <c r="F85" s="45">
        <f t="shared" si="19"/>
        <v>1996.8504</v>
      </c>
      <c r="G85" s="46">
        <f t="shared" si="20"/>
        <v>0</v>
      </c>
      <c r="H85" s="47">
        <f t="shared" si="21"/>
        <v>0</v>
      </c>
      <c r="I85" s="46">
        <f t="shared" si="22"/>
        <v>0</v>
      </c>
      <c r="J85" s="47">
        <v>0</v>
      </c>
      <c r="K85" s="46">
        <f t="shared" si="23"/>
        <v>0</v>
      </c>
      <c r="L85" s="47">
        <v>0</v>
      </c>
      <c r="AZ85" s="49"/>
      <c r="BC85" s="50"/>
    </row>
    <row r="86" spans="1:55" s="48" customFormat="1" ht="15.45" customHeight="1" outlineLevel="1" x14ac:dyDescent="0.25">
      <c r="A86" s="42">
        <v>6</v>
      </c>
      <c r="B86" s="43" t="s">
        <v>80</v>
      </c>
      <c r="C86" s="44" t="s">
        <v>48</v>
      </c>
      <c r="D86" s="45">
        <v>1414.2</v>
      </c>
      <c r="E86" s="45">
        <v>2.4643999999999999</v>
      </c>
      <c r="F86" s="45">
        <f t="shared" si="19"/>
        <v>3485.1544800000001</v>
      </c>
      <c r="G86" s="46">
        <f t="shared" si="20"/>
        <v>0</v>
      </c>
      <c r="H86" s="47">
        <f t="shared" si="21"/>
        <v>0</v>
      </c>
      <c r="I86" s="46">
        <f t="shared" si="22"/>
        <v>0</v>
      </c>
      <c r="J86" s="47">
        <v>0</v>
      </c>
      <c r="K86" s="46">
        <f t="shared" si="23"/>
        <v>0</v>
      </c>
      <c r="L86" s="47">
        <v>0</v>
      </c>
      <c r="AZ86" s="49"/>
      <c r="BC86" s="50"/>
    </row>
    <row r="87" spans="1:55" s="48" customFormat="1" ht="15.45" customHeight="1" outlineLevel="1" x14ac:dyDescent="0.25">
      <c r="A87" s="42">
        <v>7</v>
      </c>
      <c r="B87" s="43" t="s">
        <v>75</v>
      </c>
      <c r="C87" s="44" t="s">
        <v>48</v>
      </c>
      <c r="D87" s="45">
        <v>1414.2</v>
      </c>
      <c r="E87" s="45">
        <v>3.7719999999999998</v>
      </c>
      <c r="F87" s="45">
        <f t="shared" si="19"/>
        <v>5334.3624</v>
      </c>
      <c r="G87" s="46">
        <f t="shared" si="20"/>
        <v>0</v>
      </c>
      <c r="H87" s="47">
        <f t="shared" si="21"/>
        <v>0</v>
      </c>
      <c r="I87" s="46">
        <f t="shared" si="22"/>
        <v>0</v>
      </c>
      <c r="J87" s="47">
        <v>0</v>
      </c>
      <c r="K87" s="46">
        <f t="shared" si="23"/>
        <v>0</v>
      </c>
      <c r="L87" s="47">
        <v>0</v>
      </c>
      <c r="AZ87" s="49"/>
      <c r="BC87" s="50"/>
    </row>
    <row r="88" spans="1:55" s="48" customFormat="1" ht="15.45" customHeight="1" outlineLevel="1" x14ac:dyDescent="0.25">
      <c r="A88" s="42">
        <v>8</v>
      </c>
      <c r="B88" s="43" t="s">
        <v>81</v>
      </c>
      <c r="C88" s="44" t="s">
        <v>48</v>
      </c>
      <c r="D88" s="45">
        <v>1414.2</v>
      </c>
      <c r="E88" s="45">
        <v>0.95300000000000007</v>
      </c>
      <c r="F88" s="45">
        <f t="shared" si="19"/>
        <v>1347.7326</v>
      </c>
      <c r="G88" s="46">
        <f t="shared" si="20"/>
        <v>0</v>
      </c>
      <c r="H88" s="47">
        <f t="shared" si="21"/>
        <v>0</v>
      </c>
      <c r="I88" s="46">
        <f t="shared" si="22"/>
        <v>0</v>
      </c>
      <c r="J88" s="47">
        <v>0</v>
      </c>
      <c r="K88" s="46">
        <f t="shared" si="23"/>
        <v>0</v>
      </c>
      <c r="L88" s="47">
        <v>0</v>
      </c>
      <c r="AZ88" s="49"/>
      <c r="BC88" s="50"/>
    </row>
    <row r="89" spans="1:55" s="48" customFormat="1" ht="15.45" customHeight="1" outlineLevel="1" x14ac:dyDescent="0.25">
      <c r="A89" s="42">
        <v>9</v>
      </c>
      <c r="B89" s="43" t="s">
        <v>82</v>
      </c>
      <c r="C89" s="44" t="s">
        <v>26</v>
      </c>
      <c r="D89" s="45">
        <v>50.4</v>
      </c>
      <c r="E89" s="45">
        <v>663.10000000000014</v>
      </c>
      <c r="F89" s="45">
        <f t="shared" si="19"/>
        <v>33420.240000000005</v>
      </c>
      <c r="G89" s="46">
        <f t="shared" si="20"/>
        <v>0</v>
      </c>
      <c r="H89" s="47">
        <f t="shared" si="21"/>
        <v>0</v>
      </c>
      <c r="I89" s="46">
        <f t="shared" si="22"/>
        <v>0</v>
      </c>
      <c r="J89" s="47">
        <v>0</v>
      </c>
      <c r="K89" s="46">
        <f t="shared" si="23"/>
        <v>0</v>
      </c>
      <c r="L89" s="47">
        <v>0</v>
      </c>
      <c r="AZ89" s="49"/>
      <c r="BC89" s="50"/>
    </row>
    <row r="90" spans="1:55" s="48" customFormat="1" ht="27.75" customHeight="1" outlineLevel="1" x14ac:dyDescent="0.25">
      <c r="A90" s="42">
        <v>10</v>
      </c>
      <c r="B90" s="43" t="s">
        <v>83</v>
      </c>
      <c r="C90" s="44" t="s">
        <v>48</v>
      </c>
      <c r="D90" s="45">
        <v>1660</v>
      </c>
      <c r="E90" s="45">
        <v>15.4</v>
      </c>
      <c r="F90" s="45">
        <f t="shared" si="19"/>
        <v>25564</v>
      </c>
      <c r="G90" s="46">
        <f t="shared" si="20"/>
        <v>0</v>
      </c>
      <c r="H90" s="47">
        <f t="shared" si="21"/>
        <v>0</v>
      </c>
      <c r="I90" s="46">
        <f t="shared" si="22"/>
        <v>0</v>
      </c>
      <c r="J90" s="47">
        <v>0</v>
      </c>
      <c r="K90" s="46">
        <f t="shared" si="23"/>
        <v>0</v>
      </c>
      <c r="L90" s="47">
        <v>0</v>
      </c>
      <c r="AZ90" s="49"/>
      <c r="BC90" s="50"/>
    </row>
    <row r="91" spans="1:55" s="48" customFormat="1" ht="15.45" customHeight="1" outlineLevel="1" x14ac:dyDescent="0.25">
      <c r="A91" s="42">
        <v>11</v>
      </c>
      <c r="B91" s="43" t="s">
        <v>84</v>
      </c>
      <c r="C91" s="44" t="s">
        <v>48</v>
      </c>
      <c r="D91" s="45">
        <v>1992</v>
      </c>
      <c r="E91" s="45">
        <v>9.9817999999999998</v>
      </c>
      <c r="F91" s="45">
        <f t="shared" si="19"/>
        <v>19883.745599999998</v>
      </c>
      <c r="G91" s="46">
        <f t="shared" si="20"/>
        <v>0</v>
      </c>
      <c r="H91" s="47">
        <f t="shared" si="21"/>
        <v>0</v>
      </c>
      <c r="I91" s="46">
        <f t="shared" si="22"/>
        <v>0</v>
      </c>
      <c r="J91" s="47">
        <v>0</v>
      </c>
      <c r="K91" s="46">
        <f t="shared" si="23"/>
        <v>0</v>
      </c>
      <c r="L91" s="47">
        <v>0</v>
      </c>
      <c r="AZ91" s="49"/>
      <c r="BC91" s="50"/>
    </row>
    <row r="92" spans="1:55" s="48" customFormat="1" ht="27.75" customHeight="1" outlineLevel="1" x14ac:dyDescent="0.25">
      <c r="A92" s="42">
        <v>12</v>
      </c>
      <c r="B92" s="43" t="s">
        <v>85</v>
      </c>
      <c r="C92" s="44" t="s">
        <v>48</v>
      </c>
      <c r="D92" s="45">
        <v>230.5</v>
      </c>
      <c r="E92" s="45">
        <v>24.487995999999999</v>
      </c>
      <c r="F92" s="45">
        <f t="shared" si="19"/>
        <v>5644.4830780000002</v>
      </c>
      <c r="G92" s="46">
        <f t="shared" si="20"/>
        <v>0</v>
      </c>
      <c r="H92" s="47">
        <f t="shared" si="21"/>
        <v>0</v>
      </c>
      <c r="I92" s="46">
        <f t="shared" si="22"/>
        <v>0</v>
      </c>
      <c r="J92" s="47">
        <v>0</v>
      </c>
      <c r="K92" s="46">
        <f t="shared" si="23"/>
        <v>0</v>
      </c>
      <c r="L92" s="47">
        <v>0</v>
      </c>
      <c r="AZ92" s="49"/>
      <c r="BC92" s="50"/>
    </row>
    <row r="93" spans="1:55" s="48" customFormat="1" ht="15.45" customHeight="1" outlineLevel="1" x14ac:dyDescent="0.25">
      <c r="A93" s="42">
        <v>13</v>
      </c>
      <c r="B93" s="43" t="s">
        <v>86</v>
      </c>
      <c r="C93" s="44" t="s">
        <v>61</v>
      </c>
      <c r="D93" s="45">
        <v>154.19999999999999</v>
      </c>
      <c r="E93" s="45">
        <v>14.38</v>
      </c>
      <c r="F93" s="45">
        <f t="shared" si="19"/>
        <v>2217.3959999999997</v>
      </c>
      <c r="G93" s="46">
        <f t="shared" si="20"/>
        <v>0</v>
      </c>
      <c r="H93" s="47">
        <f t="shared" si="21"/>
        <v>0</v>
      </c>
      <c r="I93" s="46">
        <f t="shared" si="22"/>
        <v>0</v>
      </c>
      <c r="J93" s="47">
        <v>0</v>
      </c>
      <c r="K93" s="46">
        <f t="shared" si="23"/>
        <v>0</v>
      </c>
      <c r="L93" s="47">
        <v>0</v>
      </c>
      <c r="AZ93" s="49"/>
      <c r="BC93" s="50"/>
    </row>
    <row r="94" spans="1:55" s="48" customFormat="1" ht="15.45" customHeight="1" outlineLevel="1" x14ac:dyDescent="0.25">
      <c r="A94" s="42">
        <v>14</v>
      </c>
      <c r="B94" s="43" t="s">
        <v>87</v>
      </c>
      <c r="C94" s="44" t="s">
        <v>61</v>
      </c>
      <c r="D94" s="45">
        <v>190.5</v>
      </c>
      <c r="E94" s="45">
        <v>9.2800000000000011</v>
      </c>
      <c r="F94" s="45">
        <f t="shared" si="19"/>
        <v>1767.8400000000001</v>
      </c>
      <c r="G94" s="46">
        <f t="shared" si="20"/>
        <v>0</v>
      </c>
      <c r="H94" s="47">
        <f t="shared" si="21"/>
        <v>0</v>
      </c>
      <c r="I94" s="46">
        <f t="shared" si="22"/>
        <v>0</v>
      </c>
      <c r="J94" s="47">
        <v>0</v>
      </c>
      <c r="K94" s="46">
        <f t="shared" si="23"/>
        <v>0</v>
      </c>
      <c r="L94" s="47">
        <v>0</v>
      </c>
      <c r="AZ94" s="49"/>
      <c r="BC94" s="50"/>
    </row>
    <row r="95" spans="1:55" s="48" customFormat="1" ht="27.75" customHeight="1" outlineLevel="1" x14ac:dyDescent="0.25">
      <c r="A95" s="42">
        <v>15</v>
      </c>
      <c r="B95" s="43" t="s">
        <v>88</v>
      </c>
      <c r="C95" s="44" t="s">
        <v>61</v>
      </c>
      <c r="D95" s="45">
        <v>190.5</v>
      </c>
      <c r="E95" s="45">
        <v>3.6884000000000001</v>
      </c>
      <c r="F95" s="45">
        <f t="shared" si="19"/>
        <v>702.64020000000005</v>
      </c>
      <c r="G95" s="46">
        <f t="shared" si="20"/>
        <v>0</v>
      </c>
      <c r="H95" s="47">
        <f t="shared" si="21"/>
        <v>0</v>
      </c>
      <c r="I95" s="46">
        <f t="shared" si="22"/>
        <v>0</v>
      </c>
      <c r="J95" s="47">
        <v>0</v>
      </c>
      <c r="K95" s="46">
        <f t="shared" si="23"/>
        <v>0</v>
      </c>
      <c r="L95" s="47">
        <v>0</v>
      </c>
      <c r="AZ95" s="49"/>
      <c r="BC95" s="50"/>
    </row>
    <row r="96" spans="1:55" s="48" customFormat="1" ht="15.45" customHeight="1" outlineLevel="1" x14ac:dyDescent="0.25">
      <c r="A96" s="42">
        <v>16</v>
      </c>
      <c r="B96" s="43" t="s">
        <v>89</v>
      </c>
      <c r="C96" s="44" t="s">
        <v>48</v>
      </c>
      <c r="D96" s="45">
        <v>1.62</v>
      </c>
      <c r="E96" s="45">
        <v>75.519717999999997</v>
      </c>
      <c r="F96" s="45">
        <f t="shared" si="19"/>
        <v>122.34194316</v>
      </c>
      <c r="G96" s="46">
        <f t="shared" si="20"/>
        <v>0</v>
      </c>
      <c r="H96" s="47">
        <f t="shared" si="21"/>
        <v>0</v>
      </c>
      <c r="I96" s="46">
        <f t="shared" si="22"/>
        <v>0</v>
      </c>
      <c r="J96" s="47">
        <v>0</v>
      </c>
      <c r="K96" s="46">
        <f t="shared" si="23"/>
        <v>0</v>
      </c>
      <c r="L96" s="47">
        <v>0</v>
      </c>
      <c r="AZ96" s="49"/>
      <c r="BC96" s="50"/>
    </row>
    <row r="97" spans="1:55" s="48" customFormat="1" ht="15.45" customHeight="1" outlineLevel="1" x14ac:dyDescent="0.25">
      <c r="A97" s="42">
        <v>17</v>
      </c>
      <c r="B97" s="43" t="s">
        <v>90</v>
      </c>
      <c r="C97" s="44" t="s">
        <v>28</v>
      </c>
      <c r="D97" s="45">
        <v>0.46300000000000002</v>
      </c>
      <c r="E97" s="45">
        <v>3264.1</v>
      </c>
      <c r="F97" s="45">
        <f t="shared" si="19"/>
        <v>1511.2782999999999</v>
      </c>
      <c r="G97" s="46">
        <f t="shared" si="20"/>
        <v>0</v>
      </c>
      <c r="H97" s="47">
        <f t="shared" si="21"/>
        <v>0</v>
      </c>
      <c r="I97" s="46">
        <f t="shared" si="22"/>
        <v>0</v>
      </c>
      <c r="J97" s="47">
        <v>0</v>
      </c>
      <c r="K97" s="46">
        <f t="shared" si="23"/>
        <v>0</v>
      </c>
      <c r="L97" s="47">
        <v>0</v>
      </c>
      <c r="AZ97" s="49"/>
      <c r="BC97" s="50"/>
    </row>
    <row r="98" spans="1:55" s="48" customFormat="1" ht="15.45" customHeight="1" outlineLevel="1" x14ac:dyDescent="0.25">
      <c r="A98" s="42">
        <v>18</v>
      </c>
      <c r="B98" s="43" t="s">
        <v>91</v>
      </c>
      <c r="C98" s="44" t="s">
        <v>61</v>
      </c>
      <c r="D98" s="45">
        <v>145.69999999999999</v>
      </c>
      <c r="E98" s="45">
        <v>71.5</v>
      </c>
      <c r="F98" s="45">
        <f t="shared" si="19"/>
        <v>10417.549999999999</v>
      </c>
      <c r="G98" s="46">
        <f t="shared" si="20"/>
        <v>0</v>
      </c>
      <c r="H98" s="47">
        <f t="shared" si="21"/>
        <v>0</v>
      </c>
      <c r="I98" s="46">
        <f t="shared" si="22"/>
        <v>0</v>
      </c>
      <c r="J98" s="47">
        <v>0</v>
      </c>
      <c r="K98" s="46">
        <f t="shared" si="23"/>
        <v>0</v>
      </c>
      <c r="L98" s="47">
        <v>0</v>
      </c>
      <c r="AZ98" s="49"/>
      <c r="BC98" s="50"/>
    </row>
    <row r="99" spans="1:55" s="48" customFormat="1" ht="15.45" customHeight="1" outlineLevel="1" x14ac:dyDescent="0.25">
      <c r="A99" s="42">
        <v>19</v>
      </c>
      <c r="B99" s="43" t="s">
        <v>92</v>
      </c>
      <c r="C99" s="44" t="s">
        <v>93</v>
      </c>
      <c r="D99" s="45">
        <v>9</v>
      </c>
      <c r="E99" s="45">
        <v>102.1</v>
      </c>
      <c r="F99" s="45">
        <f t="shared" si="19"/>
        <v>918.9</v>
      </c>
      <c r="G99" s="46">
        <f t="shared" si="20"/>
        <v>0</v>
      </c>
      <c r="H99" s="47">
        <f t="shared" si="21"/>
        <v>0</v>
      </c>
      <c r="I99" s="46">
        <f t="shared" si="22"/>
        <v>0</v>
      </c>
      <c r="J99" s="47">
        <v>0</v>
      </c>
      <c r="K99" s="46">
        <f t="shared" si="23"/>
        <v>0</v>
      </c>
      <c r="L99" s="47">
        <v>0</v>
      </c>
      <c r="AZ99" s="49"/>
      <c r="BC99" s="50"/>
    </row>
    <row r="100" spans="1:55" s="48" customFormat="1" ht="15.45" customHeight="1" outlineLevel="1" x14ac:dyDescent="0.25">
      <c r="A100" s="42">
        <v>20</v>
      </c>
      <c r="B100" s="43" t="s">
        <v>94</v>
      </c>
      <c r="C100" s="44" t="s">
        <v>48</v>
      </c>
      <c r="D100" s="45">
        <v>8</v>
      </c>
      <c r="E100" s="45">
        <v>4.6900000000000004</v>
      </c>
      <c r="F100" s="45">
        <f t="shared" si="19"/>
        <v>37.520000000000003</v>
      </c>
      <c r="G100" s="46">
        <f t="shared" si="20"/>
        <v>0</v>
      </c>
      <c r="H100" s="47">
        <f t="shared" si="21"/>
        <v>0</v>
      </c>
      <c r="I100" s="46">
        <f t="shared" si="22"/>
        <v>0</v>
      </c>
      <c r="J100" s="47">
        <v>0</v>
      </c>
      <c r="K100" s="46">
        <f t="shared" si="23"/>
        <v>0</v>
      </c>
      <c r="L100" s="47">
        <v>0</v>
      </c>
      <c r="AZ100" s="49"/>
      <c r="BC100" s="50"/>
    </row>
    <row r="101" spans="1:55" s="56" customFormat="1" ht="17.25" customHeight="1" x14ac:dyDescent="0.3">
      <c r="A101" s="31">
        <v>2.6</v>
      </c>
      <c r="B101" s="51" t="s">
        <v>95</v>
      </c>
      <c r="C101" s="52">
        <v>0</v>
      </c>
      <c r="D101" s="53"/>
      <c r="E101" s="53"/>
      <c r="F101" s="53"/>
      <c r="G101" s="54"/>
      <c r="H101" s="55"/>
      <c r="I101" s="54"/>
      <c r="J101" s="55"/>
      <c r="K101" s="54"/>
      <c r="L101" s="55">
        <v>0</v>
      </c>
      <c r="AZ101" s="57"/>
      <c r="BC101" s="58"/>
    </row>
    <row r="102" spans="1:55" s="48" customFormat="1" ht="15.45" customHeight="1" outlineLevel="1" x14ac:dyDescent="0.25">
      <c r="A102" s="42">
        <v>1</v>
      </c>
      <c r="B102" s="43" t="s">
        <v>96</v>
      </c>
      <c r="C102" s="44" t="s">
        <v>48</v>
      </c>
      <c r="D102" s="45">
        <v>23.1</v>
      </c>
      <c r="E102" s="45">
        <v>178.6</v>
      </c>
      <c r="F102" s="45">
        <f t="shared" ref="F102:F116" si="24">+E102*D102</f>
        <v>4125.66</v>
      </c>
      <c r="G102" s="46">
        <f t="shared" ref="G102:G116" si="25">I102+K102</f>
        <v>0</v>
      </c>
      <c r="H102" s="47">
        <f t="shared" ref="H102:H116" si="26">J102+L102</f>
        <v>0</v>
      </c>
      <c r="I102" s="46">
        <f t="shared" ref="I102:I116" si="27">J102/F102</f>
        <v>0</v>
      </c>
      <c r="J102" s="47">
        <v>0</v>
      </c>
      <c r="K102" s="46">
        <f t="shared" ref="K102:K116" si="28">L102/F102</f>
        <v>0</v>
      </c>
      <c r="L102" s="47">
        <v>0</v>
      </c>
      <c r="AZ102" s="49"/>
      <c r="BC102" s="50"/>
    </row>
    <row r="103" spans="1:55" s="48" customFormat="1" ht="27.75" customHeight="1" outlineLevel="1" x14ac:dyDescent="0.25">
      <c r="A103" s="42">
        <v>2</v>
      </c>
      <c r="B103" s="43" t="s">
        <v>97</v>
      </c>
      <c r="C103" s="44" t="s">
        <v>98</v>
      </c>
      <c r="D103" s="45">
        <v>41.79</v>
      </c>
      <c r="E103" s="45">
        <v>163.30000000000001</v>
      </c>
      <c r="F103" s="45">
        <f t="shared" si="24"/>
        <v>6824.3070000000007</v>
      </c>
      <c r="G103" s="46">
        <f t="shared" si="25"/>
        <v>0</v>
      </c>
      <c r="H103" s="47">
        <f t="shared" si="26"/>
        <v>0</v>
      </c>
      <c r="I103" s="46">
        <f t="shared" si="27"/>
        <v>0</v>
      </c>
      <c r="J103" s="47">
        <v>0</v>
      </c>
      <c r="K103" s="46">
        <f t="shared" si="28"/>
        <v>0</v>
      </c>
      <c r="L103" s="47">
        <v>0</v>
      </c>
      <c r="AZ103" s="49"/>
      <c r="BC103" s="50"/>
    </row>
    <row r="104" spans="1:55" s="48" customFormat="1" ht="27.75" customHeight="1" outlineLevel="1" x14ac:dyDescent="0.25">
      <c r="A104" s="42">
        <v>3</v>
      </c>
      <c r="B104" s="43" t="s">
        <v>99</v>
      </c>
      <c r="C104" s="44" t="s">
        <v>98</v>
      </c>
      <c r="D104" s="45">
        <v>71.19</v>
      </c>
      <c r="E104" s="45">
        <v>204.1</v>
      </c>
      <c r="F104" s="45">
        <f t="shared" si="24"/>
        <v>14529.878999999999</v>
      </c>
      <c r="G104" s="46">
        <f t="shared" si="25"/>
        <v>0</v>
      </c>
      <c r="H104" s="47">
        <f t="shared" si="26"/>
        <v>0</v>
      </c>
      <c r="I104" s="46">
        <f t="shared" si="27"/>
        <v>0</v>
      </c>
      <c r="J104" s="47">
        <v>0</v>
      </c>
      <c r="K104" s="46">
        <f t="shared" si="28"/>
        <v>0</v>
      </c>
      <c r="L104" s="47">
        <v>0</v>
      </c>
      <c r="AZ104" s="49"/>
      <c r="BC104" s="50"/>
    </row>
    <row r="105" spans="1:55" s="48" customFormat="1" ht="27.75" customHeight="1" outlineLevel="1" x14ac:dyDescent="0.25">
      <c r="A105" s="42">
        <v>4</v>
      </c>
      <c r="B105" s="43" t="s">
        <v>100</v>
      </c>
      <c r="C105" s="44" t="s">
        <v>98</v>
      </c>
      <c r="D105" s="45">
        <v>15.54</v>
      </c>
      <c r="E105" s="45">
        <v>204.1</v>
      </c>
      <c r="F105" s="45">
        <f t="shared" si="24"/>
        <v>3171.7139999999999</v>
      </c>
      <c r="G105" s="46">
        <f t="shared" si="25"/>
        <v>0</v>
      </c>
      <c r="H105" s="47">
        <f t="shared" si="26"/>
        <v>0</v>
      </c>
      <c r="I105" s="46">
        <f t="shared" si="27"/>
        <v>0</v>
      </c>
      <c r="J105" s="47">
        <v>0</v>
      </c>
      <c r="K105" s="46">
        <f t="shared" si="28"/>
        <v>0</v>
      </c>
      <c r="L105" s="47">
        <v>0</v>
      </c>
      <c r="AZ105" s="49"/>
      <c r="BC105" s="50"/>
    </row>
    <row r="106" spans="1:55" s="48" customFormat="1" ht="27.75" customHeight="1" outlineLevel="1" x14ac:dyDescent="0.25">
      <c r="A106" s="42">
        <v>5</v>
      </c>
      <c r="B106" s="43" t="s">
        <v>101</v>
      </c>
      <c r="C106" s="44" t="s">
        <v>98</v>
      </c>
      <c r="D106" s="45">
        <v>72</v>
      </c>
      <c r="E106" s="45">
        <v>163.30000000000001</v>
      </c>
      <c r="F106" s="45">
        <f t="shared" si="24"/>
        <v>11757.6</v>
      </c>
      <c r="G106" s="46">
        <f t="shared" si="25"/>
        <v>0</v>
      </c>
      <c r="H106" s="47">
        <f t="shared" si="26"/>
        <v>0</v>
      </c>
      <c r="I106" s="46">
        <f t="shared" si="27"/>
        <v>0</v>
      </c>
      <c r="J106" s="47">
        <v>0</v>
      </c>
      <c r="K106" s="46">
        <f t="shared" si="28"/>
        <v>0</v>
      </c>
      <c r="L106" s="47">
        <v>0</v>
      </c>
      <c r="AZ106" s="49"/>
      <c r="BC106" s="50"/>
    </row>
    <row r="107" spans="1:55" s="48" customFormat="1" ht="27.75" customHeight="1" outlineLevel="1" x14ac:dyDescent="0.25">
      <c r="A107" s="42">
        <v>6</v>
      </c>
      <c r="B107" s="43" t="s">
        <v>102</v>
      </c>
      <c r="C107" s="44" t="s">
        <v>28</v>
      </c>
      <c r="D107" s="45">
        <v>2.27</v>
      </c>
      <c r="E107" s="45">
        <v>11220.1</v>
      </c>
      <c r="F107" s="45">
        <f t="shared" si="24"/>
        <v>25469.627</v>
      </c>
      <c r="G107" s="46">
        <f t="shared" si="25"/>
        <v>0</v>
      </c>
      <c r="H107" s="47">
        <f t="shared" si="26"/>
        <v>0</v>
      </c>
      <c r="I107" s="46">
        <f t="shared" si="27"/>
        <v>0</v>
      </c>
      <c r="J107" s="47">
        <v>0</v>
      </c>
      <c r="K107" s="46">
        <f t="shared" si="28"/>
        <v>0</v>
      </c>
      <c r="L107" s="47">
        <v>0</v>
      </c>
      <c r="AZ107" s="49"/>
      <c r="BC107" s="50"/>
    </row>
    <row r="108" spans="1:55" s="48" customFormat="1" ht="15.45" customHeight="1" outlineLevel="1" x14ac:dyDescent="0.25">
      <c r="A108" s="42">
        <v>7</v>
      </c>
      <c r="B108" s="43" t="s">
        <v>103</v>
      </c>
      <c r="C108" s="44" t="s">
        <v>98</v>
      </c>
      <c r="D108" s="45">
        <v>252</v>
      </c>
      <c r="E108" s="45">
        <v>35.900000000000013</v>
      </c>
      <c r="F108" s="45">
        <f t="shared" si="24"/>
        <v>9046.8000000000029</v>
      </c>
      <c r="G108" s="46">
        <f t="shared" si="25"/>
        <v>0</v>
      </c>
      <c r="H108" s="47">
        <f t="shared" si="26"/>
        <v>0</v>
      </c>
      <c r="I108" s="46">
        <f t="shared" si="27"/>
        <v>0</v>
      </c>
      <c r="J108" s="47">
        <v>0</v>
      </c>
      <c r="K108" s="46">
        <f t="shared" si="28"/>
        <v>0</v>
      </c>
      <c r="L108" s="47">
        <v>0</v>
      </c>
      <c r="AZ108" s="49"/>
      <c r="BC108" s="50"/>
    </row>
    <row r="109" spans="1:55" s="48" customFormat="1" ht="27.75" customHeight="1" outlineLevel="1" x14ac:dyDescent="0.25">
      <c r="A109" s="42">
        <v>8</v>
      </c>
      <c r="B109" s="43" t="s">
        <v>104</v>
      </c>
      <c r="C109" s="44" t="s">
        <v>98</v>
      </c>
      <c r="D109" s="45">
        <v>2.88</v>
      </c>
      <c r="E109" s="45">
        <v>193.9</v>
      </c>
      <c r="F109" s="45">
        <f t="shared" si="24"/>
        <v>558.43200000000002</v>
      </c>
      <c r="G109" s="46">
        <f t="shared" si="25"/>
        <v>0</v>
      </c>
      <c r="H109" s="47">
        <f t="shared" si="26"/>
        <v>0</v>
      </c>
      <c r="I109" s="46">
        <f t="shared" si="27"/>
        <v>0</v>
      </c>
      <c r="J109" s="47">
        <v>0</v>
      </c>
      <c r="K109" s="46">
        <f t="shared" si="28"/>
        <v>0</v>
      </c>
      <c r="L109" s="47">
        <v>0</v>
      </c>
      <c r="AZ109" s="49"/>
      <c r="BC109" s="50"/>
    </row>
    <row r="110" spans="1:55" s="48" customFormat="1" ht="27.75" customHeight="1" outlineLevel="1" x14ac:dyDescent="0.25">
      <c r="A110" s="42">
        <v>9</v>
      </c>
      <c r="B110" s="43" t="s">
        <v>105</v>
      </c>
      <c r="C110" s="44" t="s">
        <v>28</v>
      </c>
      <c r="D110" s="45">
        <v>0.42899999999999999</v>
      </c>
      <c r="E110" s="45">
        <v>9486.1</v>
      </c>
      <c r="F110" s="45">
        <f t="shared" si="24"/>
        <v>4069.5369000000001</v>
      </c>
      <c r="G110" s="46">
        <f t="shared" si="25"/>
        <v>0</v>
      </c>
      <c r="H110" s="47">
        <f t="shared" si="26"/>
        <v>0</v>
      </c>
      <c r="I110" s="46">
        <f t="shared" si="27"/>
        <v>0</v>
      </c>
      <c r="J110" s="47">
        <v>0</v>
      </c>
      <c r="K110" s="46">
        <f t="shared" si="28"/>
        <v>0</v>
      </c>
      <c r="L110" s="47">
        <v>0</v>
      </c>
      <c r="AZ110" s="49"/>
      <c r="BC110" s="50"/>
    </row>
    <row r="111" spans="1:55" s="48" customFormat="1" ht="15.45" customHeight="1" outlineLevel="1" x14ac:dyDescent="0.25">
      <c r="A111" s="42">
        <v>10</v>
      </c>
      <c r="B111" s="43" t="s">
        <v>106</v>
      </c>
      <c r="C111" s="44" t="s">
        <v>98</v>
      </c>
      <c r="D111" s="45">
        <v>39</v>
      </c>
      <c r="E111" s="45">
        <v>35.900000000000013</v>
      </c>
      <c r="F111" s="45">
        <f t="shared" si="24"/>
        <v>1400.1000000000006</v>
      </c>
      <c r="G111" s="46">
        <f t="shared" si="25"/>
        <v>0</v>
      </c>
      <c r="H111" s="47">
        <f t="shared" si="26"/>
        <v>0</v>
      </c>
      <c r="I111" s="46">
        <f t="shared" si="27"/>
        <v>0</v>
      </c>
      <c r="J111" s="47">
        <v>0</v>
      </c>
      <c r="K111" s="46">
        <f t="shared" si="28"/>
        <v>0</v>
      </c>
      <c r="L111" s="47">
        <v>0</v>
      </c>
      <c r="AZ111" s="49"/>
      <c r="BC111" s="50"/>
    </row>
    <row r="112" spans="1:55" s="48" customFormat="1" ht="15.45" customHeight="1" outlineLevel="1" x14ac:dyDescent="0.25">
      <c r="A112" s="42">
        <v>11</v>
      </c>
      <c r="B112" s="43" t="s">
        <v>107</v>
      </c>
      <c r="C112" s="44" t="s">
        <v>98</v>
      </c>
      <c r="D112" s="45">
        <v>37.520000000000003</v>
      </c>
      <c r="E112" s="45">
        <v>102.1</v>
      </c>
      <c r="F112" s="45">
        <f t="shared" si="24"/>
        <v>3830.7919999999999</v>
      </c>
      <c r="G112" s="46">
        <f t="shared" si="25"/>
        <v>0</v>
      </c>
      <c r="H112" s="47">
        <f t="shared" si="26"/>
        <v>0</v>
      </c>
      <c r="I112" s="46">
        <f t="shared" si="27"/>
        <v>0</v>
      </c>
      <c r="J112" s="47">
        <v>0</v>
      </c>
      <c r="K112" s="46">
        <f t="shared" si="28"/>
        <v>0</v>
      </c>
      <c r="L112" s="47">
        <v>0</v>
      </c>
      <c r="AZ112" s="49"/>
      <c r="BC112" s="50"/>
    </row>
    <row r="113" spans="1:55" s="48" customFormat="1" ht="15.45" customHeight="1" outlineLevel="1" x14ac:dyDescent="0.25">
      <c r="A113" s="42">
        <v>12</v>
      </c>
      <c r="B113" s="43" t="s">
        <v>108</v>
      </c>
      <c r="C113" s="44" t="s">
        <v>93</v>
      </c>
      <c r="D113" s="45">
        <v>46</v>
      </c>
      <c r="E113" s="45">
        <v>40.9</v>
      </c>
      <c r="F113" s="45">
        <f t="shared" si="24"/>
        <v>1881.3999999999999</v>
      </c>
      <c r="G113" s="46">
        <f t="shared" si="25"/>
        <v>0</v>
      </c>
      <c r="H113" s="47">
        <f t="shared" si="26"/>
        <v>0</v>
      </c>
      <c r="I113" s="46">
        <f t="shared" si="27"/>
        <v>0</v>
      </c>
      <c r="J113" s="47">
        <v>0</v>
      </c>
      <c r="K113" s="46">
        <f t="shared" si="28"/>
        <v>0</v>
      </c>
      <c r="L113" s="47">
        <v>0</v>
      </c>
      <c r="AZ113" s="49"/>
      <c r="BC113" s="50"/>
    </row>
    <row r="114" spans="1:55" s="48" customFormat="1" ht="15.45" customHeight="1" outlineLevel="1" x14ac:dyDescent="0.25">
      <c r="A114" s="42">
        <v>13</v>
      </c>
      <c r="B114" s="43" t="s">
        <v>109</v>
      </c>
      <c r="C114" s="44" t="s">
        <v>110</v>
      </c>
      <c r="D114" s="45">
        <v>0.20899999999999999</v>
      </c>
      <c r="E114" s="45">
        <v>343.86274600000007</v>
      </c>
      <c r="F114" s="45">
        <f t="shared" si="24"/>
        <v>71.867313914000007</v>
      </c>
      <c r="G114" s="46">
        <f t="shared" si="25"/>
        <v>0</v>
      </c>
      <c r="H114" s="47">
        <f t="shared" si="26"/>
        <v>0</v>
      </c>
      <c r="I114" s="46">
        <f t="shared" si="27"/>
        <v>0</v>
      </c>
      <c r="J114" s="47">
        <v>0</v>
      </c>
      <c r="K114" s="46">
        <f t="shared" si="28"/>
        <v>0</v>
      </c>
      <c r="L114" s="47">
        <v>0</v>
      </c>
      <c r="AZ114" s="49"/>
      <c r="BC114" s="50"/>
    </row>
    <row r="115" spans="1:55" s="48" customFormat="1" ht="15.45" customHeight="1" outlineLevel="1" x14ac:dyDescent="0.25">
      <c r="A115" s="42">
        <v>14</v>
      </c>
      <c r="B115" s="43" t="s">
        <v>42</v>
      </c>
      <c r="C115" s="44" t="s">
        <v>28</v>
      </c>
      <c r="D115" s="45">
        <v>8.9999999999999993E-3</v>
      </c>
      <c r="E115" s="45">
        <v>1325.1</v>
      </c>
      <c r="F115" s="45">
        <f t="shared" si="24"/>
        <v>11.925899999999999</v>
      </c>
      <c r="G115" s="46">
        <f t="shared" si="25"/>
        <v>0</v>
      </c>
      <c r="H115" s="47">
        <f t="shared" si="26"/>
        <v>0</v>
      </c>
      <c r="I115" s="46">
        <f t="shared" si="27"/>
        <v>0</v>
      </c>
      <c r="J115" s="47">
        <v>0</v>
      </c>
      <c r="K115" s="46">
        <f t="shared" si="28"/>
        <v>0</v>
      </c>
      <c r="L115" s="47">
        <v>0</v>
      </c>
      <c r="AZ115" s="49"/>
      <c r="BC115" s="50"/>
    </row>
    <row r="116" spans="1:55" s="48" customFormat="1" ht="15.45" customHeight="1" outlineLevel="1" x14ac:dyDescent="0.25">
      <c r="A116" s="42">
        <v>15</v>
      </c>
      <c r="B116" s="43" t="s">
        <v>43</v>
      </c>
      <c r="C116" s="44" t="s">
        <v>28</v>
      </c>
      <c r="D116" s="45">
        <v>4.8000000000000001E-2</v>
      </c>
      <c r="E116" s="45">
        <v>1200.0999999999999</v>
      </c>
      <c r="F116" s="45">
        <f t="shared" si="24"/>
        <v>57.604799999999997</v>
      </c>
      <c r="G116" s="46">
        <f t="shared" si="25"/>
        <v>0</v>
      </c>
      <c r="H116" s="47">
        <f t="shared" si="26"/>
        <v>0</v>
      </c>
      <c r="I116" s="46">
        <f t="shared" si="27"/>
        <v>0</v>
      </c>
      <c r="J116" s="47">
        <v>0</v>
      </c>
      <c r="K116" s="46">
        <f t="shared" si="28"/>
        <v>0</v>
      </c>
      <c r="L116" s="47">
        <v>0</v>
      </c>
      <c r="AZ116" s="49"/>
      <c r="BC116" s="50"/>
    </row>
    <row r="117" spans="1:55" s="56" customFormat="1" ht="17.25" customHeight="1" x14ac:dyDescent="0.3">
      <c r="A117" s="31">
        <v>2.7</v>
      </c>
      <c r="B117" s="51" t="s">
        <v>111</v>
      </c>
      <c r="C117" s="52">
        <v>0</v>
      </c>
      <c r="D117" s="53"/>
      <c r="E117" s="53"/>
      <c r="F117" s="53"/>
      <c r="G117" s="54"/>
      <c r="H117" s="55"/>
      <c r="I117" s="54"/>
      <c r="J117" s="55"/>
      <c r="K117" s="54"/>
      <c r="L117" s="55">
        <v>0</v>
      </c>
      <c r="AZ117" s="57"/>
      <c r="BC117" s="58"/>
    </row>
    <row r="118" spans="1:55" s="48" customFormat="1" ht="15.45" customHeight="1" outlineLevel="1" x14ac:dyDescent="0.25">
      <c r="A118" s="42">
        <v>1</v>
      </c>
      <c r="B118" s="43" t="s">
        <v>112</v>
      </c>
      <c r="C118" s="44" t="s">
        <v>48</v>
      </c>
      <c r="D118" s="45">
        <v>1344</v>
      </c>
      <c r="E118" s="45">
        <v>15.4</v>
      </c>
      <c r="F118" s="45">
        <f t="shared" ref="F118:F149" si="29">+E118*D118</f>
        <v>20697.600000000002</v>
      </c>
      <c r="G118" s="46">
        <f t="shared" ref="G118:G149" si="30">I118+K118</f>
        <v>0</v>
      </c>
      <c r="H118" s="47">
        <f t="shared" ref="H118:H149" si="31">J118+L118</f>
        <v>0</v>
      </c>
      <c r="I118" s="46">
        <f t="shared" ref="I118:I149" si="32">J118/F118</f>
        <v>0</v>
      </c>
      <c r="J118" s="47">
        <v>0</v>
      </c>
      <c r="K118" s="46">
        <f t="shared" ref="K118:K149" si="33">L118/F118</f>
        <v>0</v>
      </c>
      <c r="L118" s="47">
        <v>0</v>
      </c>
      <c r="AZ118" s="49"/>
      <c r="BC118" s="50"/>
    </row>
    <row r="119" spans="1:55" s="48" customFormat="1" ht="15.45" customHeight="1" outlineLevel="1" x14ac:dyDescent="0.25">
      <c r="A119" s="42">
        <v>2</v>
      </c>
      <c r="B119" s="43" t="s">
        <v>113</v>
      </c>
      <c r="C119" s="44" t="s">
        <v>48</v>
      </c>
      <c r="D119" s="45">
        <v>1344</v>
      </c>
      <c r="E119" s="45">
        <v>2.65</v>
      </c>
      <c r="F119" s="45">
        <f t="shared" si="29"/>
        <v>3561.6</v>
      </c>
      <c r="G119" s="46">
        <f t="shared" si="30"/>
        <v>0</v>
      </c>
      <c r="H119" s="47">
        <f t="shared" si="31"/>
        <v>0</v>
      </c>
      <c r="I119" s="46">
        <f t="shared" si="32"/>
        <v>0</v>
      </c>
      <c r="J119" s="47">
        <v>0</v>
      </c>
      <c r="K119" s="46">
        <f t="shared" si="33"/>
        <v>0</v>
      </c>
      <c r="L119" s="47">
        <v>0</v>
      </c>
      <c r="AZ119" s="49"/>
      <c r="BC119" s="50"/>
    </row>
    <row r="120" spans="1:55" s="48" customFormat="1" ht="15.45" customHeight="1" outlineLevel="1" x14ac:dyDescent="0.25">
      <c r="A120" s="42">
        <v>3</v>
      </c>
      <c r="B120" s="43" t="s">
        <v>114</v>
      </c>
      <c r="C120" s="44" t="s">
        <v>26</v>
      </c>
      <c r="D120" s="45">
        <v>1.5329999999999999</v>
      </c>
      <c r="E120" s="45">
        <v>125.6926</v>
      </c>
      <c r="F120" s="45">
        <f t="shared" si="29"/>
        <v>192.68675579999999</v>
      </c>
      <c r="G120" s="46">
        <f t="shared" si="30"/>
        <v>0</v>
      </c>
      <c r="H120" s="47">
        <f t="shared" si="31"/>
        <v>0</v>
      </c>
      <c r="I120" s="46">
        <f t="shared" si="32"/>
        <v>0</v>
      </c>
      <c r="J120" s="47">
        <v>0</v>
      </c>
      <c r="K120" s="46">
        <f t="shared" si="33"/>
        <v>0</v>
      </c>
      <c r="L120" s="47">
        <v>0</v>
      </c>
      <c r="AZ120" s="49"/>
      <c r="BC120" s="50"/>
    </row>
    <row r="121" spans="1:55" s="48" customFormat="1" ht="27.75" customHeight="1" outlineLevel="1" x14ac:dyDescent="0.25">
      <c r="A121" s="42">
        <v>4</v>
      </c>
      <c r="B121" s="43" t="s">
        <v>115</v>
      </c>
      <c r="C121" s="44" t="s">
        <v>28</v>
      </c>
      <c r="D121" s="45">
        <v>5.8999999999999997E-2</v>
      </c>
      <c r="E121" s="45">
        <v>447.25</v>
      </c>
      <c r="F121" s="45">
        <f t="shared" si="29"/>
        <v>26.387749999999997</v>
      </c>
      <c r="G121" s="46">
        <f t="shared" si="30"/>
        <v>0</v>
      </c>
      <c r="H121" s="47">
        <f t="shared" si="31"/>
        <v>0</v>
      </c>
      <c r="I121" s="46">
        <f t="shared" si="32"/>
        <v>0</v>
      </c>
      <c r="J121" s="47">
        <v>0</v>
      </c>
      <c r="K121" s="46">
        <f t="shared" si="33"/>
        <v>0</v>
      </c>
      <c r="L121" s="47">
        <v>0</v>
      </c>
      <c r="AZ121" s="49"/>
      <c r="BC121" s="50"/>
    </row>
    <row r="122" spans="1:55" s="48" customFormat="1" ht="15.45" customHeight="1" outlineLevel="1" x14ac:dyDescent="0.25">
      <c r="A122" s="42">
        <v>5</v>
      </c>
      <c r="B122" s="43" t="s">
        <v>116</v>
      </c>
      <c r="C122" s="44" t="s">
        <v>28</v>
      </c>
      <c r="D122" s="45">
        <v>5.8999999999999997E-2</v>
      </c>
      <c r="E122" s="45">
        <v>1311.1</v>
      </c>
      <c r="F122" s="45">
        <f t="shared" si="29"/>
        <v>77.354899999999986</v>
      </c>
      <c r="G122" s="46">
        <f t="shared" si="30"/>
        <v>0</v>
      </c>
      <c r="H122" s="47">
        <f t="shared" si="31"/>
        <v>0</v>
      </c>
      <c r="I122" s="46">
        <f t="shared" si="32"/>
        <v>0</v>
      </c>
      <c r="J122" s="47">
        <v>0</v>
      </c>
      <c r="K122" s="46">
        <f t="shared" si="33"/>
        <v>0</v>
      </c>
      <c r="L122" s="47">
        <v>0</v>
      </c>
      <c r="AZ122" s="49"/>
      <c r="BC122" s="50"/>
    </row>
    <row r="123" spans="1:55" s="48" customFormat="1" ht="15.45" customHeight="1" outlineLevel="1" x14ac:dyDescent="0.25">
      <c r="A123" s="42">
        <v>6</v>
      </c>
      <c r="B123" s="43" t="s">
        <v>117</v>
      </c>
      <c r="C123" s="44" t="s">
        <v>48</v>
      </c>
      <c r="D123" s="45">
        <v>43.8</v>
      </c>
      <c r="E123" s="45">
        <v>5.4732580000000004</v>
      </c>
      <c r="F123" s="45">
        <f t="shared" si="29"/>
        <v>239.72870040000001</v>
      </c>
      <c r="G123" s="46">
        <f t="shared" si="30"/>
        <v>0</v>
      </c>
      <c r="H123" s="47">
        <f t="shared" si="31"/>
        <v>0</v>
      </c>
      <c r="I123" s="46">
        <f t="shared" si="32"/>
        <v>0</v>
      </c>
      <c r="J123" s="47">
        <v>0</v>
      </c>
      <c r="K123" s="46">
        <f t="shared" si="33"/>
        <v>0</v>
      </c>
      <c r="L123" s="47">
        <v>0</v>
      </c>
      <c r="AZ123" s="49"/>
      <c r="BC123" s="50"/>
    </row>
    <row r="124" spans="1:55" s="48" customFormat="1" ht="15.45" customHeight="1" outlineLevel="1" x14ac:dyDescent="0.25">
      <c r="A124" s="42">
        <v>7</v>
      </c>
      <c r="B124" s="43" t="s">
        <v>118</v>
      </c>
      <c r="C124" s="44" t="s">
        <v>48</v>
      </c>
      <c r="D124" s="45">
        <v>43.8</v>
      </c>
      <c r="E124" s="45">
        <v>1.4259999999999999</v>
      </c>
      <c r="F124" s="45">
        <f t="shared" si="29"/>
        <v>62.458799999999997</v>
      </c>
      <c r="G124" s="46">
        <f t="shared" si="30"/>
        <v>0</v>
      </c>
      <c r="H124" s="47">
        <f t="shared" si="31"/>
        <v>0</v>
      </c>
      <c r="I124" s="46">
        <f t="shared" si="32"/>
        <v>0</v>
      </c>
      <c r="J124" s="47">
        <v>0</v>
      </c>
      <c r="K124" s="46">
        <f t="shared" si="33"/>
        <v>0</v>
      </c>
      <c r="L124" s="47">
        <v>0</v>
      </c>
      <c r="AZ124" s="49"/>
      <c r="BC124" s="50"/>
    </row>
    <row r="125" spans="1:55" s="48" customFormat="1" ht="27.75" customHeight="1" outlineLevel="1" x14ac:dyDescent="0.25">
      <c r="A125" s="42">
        <v>8</v>
      </c>
      <c r="B125" s="43" t="s">
        <v>119</v>
      </c>
      <c r="C125" s="44" t="s">
        <v>48</v>
      </c>
      <c r="D125" s="45">
        <v>43.8</v>
      </c>
      <c r="E125" s="45">
        <v>9.2799999999999994</v>
      </c>
      <c r="F125" s="45">
        <f t="shared" si="29"/>
        <v>406.46399999999994</v>
      </c>
      <c r="G125" s="46">
        <f t="shared" si="30"/>
        <v>0</v>
      </c>
      <c r="H125" s="47">
        <f t="shared" si="31"/>
        <v>0</v>
      </c>
      <c r="I125" s="46">
        <f t="shared" si="32"/>
        <v>0</v>
      </c>
      <c r="J125" s="47">
        <v>0</v>
      </c>
      <c r="K125" s="46">
        <f t="shared" si="33"/>
        <v>0</v>
      </c>
      <c r="L125" s="47">
        <v>0</v>
      </c>
      <c r="AZ125" s="49"/>
      <c r="BC125" s="50"/>
    </row>
    <row r="126" spans="1:55" s="48" customFormat="1" ht="27.75" customHeight="1" outlineLevel="1" x14ac:dyDescent="0.25">
      <c r="A126" s="42">
        <v>9</v>
      </c>
      <c r="B126" s="43" t="s">
        <v>120</v>
      </c>
      <c r="C126" s="44" t="s">
        <v>48</v>
      </c>
      <c r="D126" s="45">
        <v>43.8</v>
      </c>
      <c r="E126" s="45">
        <v>8.26</v>
      </c>
      <c r="F126" s="45">
        <f t="shared" si="29"/>
        <v>361.78799999999995</v>
      </c>
      <c r="G126" s="46">
        <f t="shared" si="30"/>
        <v>0</v>
      </c>
      <c r="H126" s="47">
        <f t="shared" si="31"/>
        <v>0</v>
      </c>
      <c r="I126" s="46">
        <f t="shared" si="32"/>
        <v>0</v>
      </c>
      <c r="J126" s="47">
        <v>0</v>
      </c>
      <c r="K126" s="46">
        <f t="shared" si="33"/>
        <v>0</v>
      </c>
      <c r="L126" s="47">
        <v>0</v>
      </c>
      <c r="AZ126" s="49"/>
      <c r="BC126" s="50"/>
    </row>
    <row r="127" spans="1:55" s="48" customFormat="1" ht="15.45" customHeight="1" outlineLevel="1" x14ac:dyDescent="0.25">
      <c r="A127" s="42">
        <v>10</v>
      </c>
      <c r="B127" s="43" t="s">
        <v>117</v>
      </c>
      <c r="C127" s="44" t="s">
        <v>48</v>
      </c>
      <c r="D127" s="45">
        <v>43.8</v>
      </c>
      <c r="E127" s="45">
        <v>5.4732580000000004</v>
      </c>
      <c r="F127" s="45">
        <f t="shared" si="29"/>
        <v>239.72870040000001</v>
      </c>
      <c r="G127" s="46">
        <f t="shared" si="30"/>
        <v>0</v>
      </c>
      <c r="H127" s="47">
        <f t="shared" si="31"/>
        <v>0</v>
      </c>
      <c r="I127" s="46">
        <f t="shared" si="32"/>
        <v>0</v>
      </c>
      <c r="J127" s="47">
        <v>0</v>
      </c>
      <c r="K127" s="46">
        <f t="shared" si="33"/>
        <v>0</v>
      </c>
      <c r="L127" s="47">
        <v>0</v>
      </c>
      <c r="AZ127" s="49"/>
      <c r="BC127" s="50"/>
    </row>
    <row r="128" spans="1:55" s="48" customFormat="1" ht="27.75" customHeight="1" outlineLevel="1" x14ac:dyDescent="0.25">
      <c r="A128" s="42">
        <v>11</v>
      </c>
      <c r="B128" s="43" t="s">
        <v>121</v>
      </c>
      <c r="C128" s="44" t="s">
        <v>48</v>
      </c>
      <c r="D128" s="45">
        <v>43.8</v>
      </c>
      <c r="E128" s="45">
        <v>39.170284000000009</v>
      </c>
      <c r="F128" s="45">
        <f t="shared" si="29"/>
        <v>1715.6584392000002</v>
      </c>
      <c r="G128" s="46">
        <f t="shared" si="30"/>
        <v>0</v>
      </c>
      <c r="H128" s="47">
        <f t="shared" si="31"/>
        <v>0</v>
      </c>
      <c r="I128" s="46">
        <f t="shared" si="32"/>
        <v>0</v>
      </c>
      <c r="J128" s="47">
        <v>0</v>
      </c>
      <c r="K128" s="46">
        <f t="shared" si="33"/>
        <v>0</v>
      </c>
      <c r="L128" s="47">
        <v>0</v>
      </c>
      <c r="AZ128" s="49"/>
      <c r="BC128" s="50"/>
    </row>
    <row r="129" spans="1:55" s="48" customFormat="1" ht="15.45" customHeight="1" outlineLevel="1" x14ac:dyDescent="0.25">
      <c r="A129" s="42">
        <v>12</v>
      </c>
      <c r="B129" s="43" t="s">
        <v>122</v>
      </c>
      <c r="C129" s="44" t="s">
        <v>48</v>
      </c>
      <c r="D129" s="45">
        <v>665.3</v>
      </c>
      <c r="E129" s="45">
        <v>25.6</v>
      </c>
      <c r="F129" s="45">
        <f t="shared" si="29"/>
        <v>17031.68</v>
      </c>
      <c r="G129" s="46">
        <f t="shared" si="30"/>
        <v>0</v>
      </c>
      <c r="H129" s="47">
        <f t="shared" si="31"/>
        <v>0</v>
      </c>
      <c r="I129" s="46">
        <f t="shared" si="32"/>
        <v>0</v>
      </c>
      <c r="J129" s="47">
        <v>0</v>
      </c>
      <c r="K129" s="46">
        <f t="shared" si="33"/>
        <v>0</v>
      </c>
      <c r="L129" s="47">
        <v>0</v>
      </c>
      <c r="AZ129" s="49"/>
      <c r="BC129" s="50"/>
    </row>
    <row r="130" spans="1:55" s="48" customFormat="1" ht="15.45" customHeight="1" outlineLevel="1" x14ac:dyDescent="0.25">
      <c r="A130" s="42">
        <v>13</v>
      </c>
      <c r="B130" s="43" t="s">
        <v>123</v>
      </c>
      <c r="C130" s="44" t="s">
        <v>48</v>
      </c>
      <c r="D130" s="45">
        <v>665.3</v>
      </c>
      <c r="E130" s="45">
        <v>7.2399999999999993</v>
      </c>
      <c r="F130" s="45">
        <f t="shared" si="29"/>
        <v>4816.771999999999</v>
      </c>
      <c r="G130" s="46">
        <f t="shared" si="30"/>
        <v>0</v>
      </c>
      <c r="H130" s="47">
        <f t="shared" si="31"/>
        <v>0</v>
      </c>
      <c r="I130" s="46">
        <f t="shared" si="32"/>
        <v>0</v>
      </c>
      <c r="J130" s="47">
        <v>0</v>
      </c>
      <c r="K130" s="46">
        <f t="shared" si="33"/>
        <v>0</v>
      </c>
      <c r="L130" s="47">
        <v>0</v>
      </c>
      <c r="AZ130" s="49"/>
      <c r="BC130" s="50"/>
    </row>
    <row r="131" spans="1:55" s="48" customFormat="1" ht="15.45" customHeight="1" outlineLevel="1" x14ac:dyDescent="0.25">
      <c r="A131" s="42">
        <v>14</v>
      </c>
      <c r="B131" s="43" t="s">
        <v>124</v>
      </c>
      <c r="C131" s="44" t="s">
        <v>48</v>
      </c>
      <c r="D131" s="45">
        <v>130</v>
      </c>
      <c r="E131" s="45">
        <v>5.2</v>
      </c>
      <c r="F131" s="45">
        <f t="shared" si="29"/>
        <v>676</v>
      </c>
      <c r="G131" s="46">
        <f t="shared" si="30"/>
        <v>0</v>
      </c>
      <c r="H131" s="47">
        <f t="shared" si="31"/>
        <v>0</v>
      </c>
      <c r="I131" s="46">
        <f t="shared" si="32"/>
        <v>0</v>
      </c>
      <c r="J131" s="47">
        <v>0</v>
      </c>
      <c r="K131" s="46">
        <f t="shared" si="33"/>
        <v>0</v>
      </c>
      <c r="L131" s="47">
        <v>0</v>
      </c>
      <c r="AZ131" s="49"/>
      <c r="BC131" s="50"/>
    </row>
    <row r="132" spans="1:55" s="48" customFormat="1" ht="27.75" customHeight="1" outlineLevel="1" x14ac:dyDescent="0.25">
      <c r="A132" s="42">
        <v>15</v>
      </c>
      <c r="B132" s="43" t="s">
        <v>125</v>
      </c>
      <c r="C132" s="44" t="s">
        <v>48</v>
      </c>
      <c r="D132" s="45">
        <v>104</v>
      </c>
      <c r="E132" s="45">
        <v>7.0899579999999993</v>
      </c>
      <c r="F132" s="45">
        <f t="shared" si="29"/>
        <v>737.3556319999999</v>
      </c>
      <c r="G132" s="46">
        <f t="shared" si="30"/>
        <v>0</v>
      </c>
      <c r="H132" s="47">
        <f t="shared" si="31"/>
        <v>0</v>
      </c>
      <c r="I132" s="46">
        <f t="shared" si="32"/>
        <v>0</v>
      </c>
      <c r="J132" s="47">
        <v>0</v>
      </c>
      <c r="K132" s="46">
        <f t="shared" si="33"/>
        <v>0</v>
      </c>
      <c r="L132" s="47">
        <v>0</v>
      </c>
      <c r="AZ132" s="49"/>
      <c r="BC132" s="50"/>
    </row>
    <row r="133" spans="1:55" s="48" customFormat="1" ht="15.45" customHeight="1" outlineLevel="1" x14ac:dyDescent="0.25">
      <c r="A133" s="42">
        <v>16</v>
      </c>
      <c r="B133" s="43" t="s">
        <v>78</v>
      </c>
      <c r="C133" s="44" t="s">
        <v>26</v>
      </c>
      <c r="D133" s="45">
        <v>7.28</v>
      </c>
      <c r="E133" s="45">
        <v>66.499999999999986</v>
      </c>
      <c r="F133" s="45">
        <f t="shared" si="29"/>
        <v>484.11999999999989</v>
      </c>
      <c r="G133" s="46">
        <f t="shared" si="30"/>
        <v>0</v>
      </c>
      <c r="H133" s="47">
        <f t="shared" si="31"/>
        <v>0</v>
      </c>
      <c r="I133" s="46">
        <f t="shared" si="32"/>
        <v>0</v>
      </c>
      <c r="J133" s="47">
        <v>0</v>
      </c>
      <c r="K133" s="46">
        <f t="shared" si="33"/>
        <v>0</v>
      </c>
      <c r="L133" s="47">
        <v>0</v>
      </c>
      <c r="AZ133" s="49"/>
      <c r="BC133" s="50"/>
    </row>
    <row r="134" spans="1:55" s="48" customFormat="1" ht="15.45" customHeight="1" outlineLevel="1" x14ac:dyDescent="0.25">
      <c r="A134" s="42">
        <v>17</v>
      </c>
      <c r="B134" s="43" t="s">
        <v>126</v>
      </c>
      <c r="C134" s="44" t="s">
        <v>48</v>
      </c>
      <c r="D134" s="45">
        <v>130</v>
      </c>
      <c r="E134" s="45">
        <v>9.1775920000000006</v>
      </c>
      <c r="F134" s="45">
        <f t="shared" si="29"/>
        <v>1193.0869600000001</v>
      </c>
      <c r="G134" s="46">
        <f t="shared" si="30"/>
        <v>0</v>
      </c>
      <c r="H134" s="47">
        <f t="shared" si="31"/>
        <v>0</v>
      </c>
      <c r="I134" s="46">
        <f t="shared" si="32"/>
        <v>0</v>
      </c>
      <c r="J134" s="47">
        <v>0</v>
      </c>
      <c r="K134" s="46">
        <f t="shared" si="33"/>
        <v>0</v>
      </c>
      <c r="L134" s="47">
        <v>0</v>
      </c>
      <c r="AZ134" s="49"/>
      <c r="BC134" s="50"/>
    </row>
    <row r="135" spans="1:55" s="48" customFormat="1" ht="15.45" customHeight="1" outlineLevel="1" x14ac:dyDescent="0.25">
      <c r="A135" s="42">
        <v>18</v>
      </c>
      <c r="B135" s="43" t="s">
        <v>127</v>
      </c>
      <c r="C135" s="44" t="s">
        <v>48</v>
      </c>
      <c r="D135" s="45">
        <v>130</v>
      </c>
      <c r="E135" s="45">
        <v>32.915644</v>
      </c>
      <c r="F135" s="45">
        <f t="shared" si="29"/>
        <v>4279.0337200000004</v>
      </c>
      <c r="G135" s="46">
        <f t="shared" si="30"/>
        <v>0</v>
      </c>
      <c r="H135" s="47">
        <f t="shared" si="31"/>
        <v>0</v>
      </c>
      <c r="I135" s="46">
        <f t="shared" si="32"/>
        <v>0</v>
      </c>
      <c r="J135" s="47">
        <v>0</v>
      </c>
      <c r="K135" s="46">
        <f t="shared" si="33"/>
        <v>0</v>
      </c>
      <c r="L135" s="47">
        <v>0</v>
      </c>
      <c r="AZ135" s="49"/>
      <c r="BC135" s="50"/>
    </row>
    <row r="136" spans="1:55" s="48" customFormat="1" ht="15.45" customHeight="1" outlineLevel="1" x14ac:dyDescent="0.25">
      <c r="A136" s="42">
        <v>19</v>
      </c>
      <c r="B136" s="43" t="s">
        <v>128</v>
      </c>
      <c r="C136" s="44" t="s">
        <v>48</v>
      </c>
      <c r="D136" s="45">
        <v>130</v>
      </c>
      <c r="E136" s="45">
        <v>4.88</v>
      </c>
      <c r="F136" s="45">
        <f t="shared" si="29"/>
        <v>634.4</v>
      </c>
      <c r="G136" s="46">
        <f t="shared" si="30"/>
        <v>0</v>
      </c>
      <c r="H136" s="47">
        <f t="shared" si="31"/>
        <v>0</v>
      </c>
      <c r="I136" s="46">
        <f t="shared" si="32"/>
        <v>0</v>
      </c>
      <c r="J136" s="47">
        <v>0</v>
      </c>
      <c r="K136" s="46">
        <f t="shared" si="33"/>
        <v>0</v>
      </c>
      <c r="L136" s="47">
        <v>0</v>
      </c>
      <c r="AZ136" s="49"/>
      <c r="BC136" s="50"/>
    </row>
    <row r="137" spans="1:55" s="48" customFormat="1" ht="41.7" customHeight="1" outlineLevel="1" x14ac:dyDescent="0.25">
      <c r="A137" s="42">
        <v>20</v>
      </c>
      <c r="B137" s="43" t="s">
        <v>129</v>
      </c>
      <c r="C137" s="44" t="s">
        <v>130</v>
      </c>
      <c r="D137" s="45">
        <v>26</v>
      </c>
      <c r="E137" s="45">
        <v>6.8605999999999998</v>
      </c>
      <c r="F137" s="45">
        <f t="shared" si="29"/>
        <v>178.37559999999999</v>
      </c>
      <c r="G137" s="46">
        <f t="shared" si="30"/>
        <v>0</v>
      </c>
      <c r="H137" s="47">
        <f t="shared" si="31"/>
        <v>0</v>
      </c>
      <c r="I137" s="46">
        <f t="shared" si="32"/>
        <v>0</v>
      </c>
      <c r="J137" s="47">
        <v>0</v>
      </c>
      <c r="K137" s="46">
        <f t="shared" si="33"/>
        <v>0</v>
      </c>
      <c r="L137" s="47">
        <v>0</v>
      </c>
      <c r="AZ137" s="49"/>
      <c r="BC137" s="50"/>
    </row>
    <row r="138" spans="1:55" s="48" customFormat="1" ht="15.45" customHeight="1" outlineLevel="1" x14ac:dyDescent="0.25">
      <c r="A138" s="42">
        <v>21</v>
      </c>
      <c r="B138" s="43" t="s">
        <v>131</v>
      </c>
      <c r="C138" s="44" t="s">
        <v>48</v>
      </c>
      <c r="D138" s="45">
        <v>130</v>
      </c>
      <c r="E138" s="45">
        <v>7.24</v>
      </c>
      <c r="F138" s="45">
        <f t="shared" si="29"/>
        <v>941.2</v>
      </c>
      <c r="G138" s="46">
        <f t="shared" si="30"/>
        <v>0</v>
      </c>
      <c r="H138" s="47">
        <f t="shared" si="31"/>
        <v>0</v>
      </c>
      <c r="I138" s="46">
        <f t="shared" si="32"/>
        <v>0</v>
      </c>
      <c r="J138" s="47">
        <v>0</v>
      </c>
      <c r="K138" s="46">
        <f t="shared" si="33"/>
        <v>0</v>
      </c>
      <c r="L138" s="47">
        <v>0</v>
      </c>
      <c r="AZ138" s="49"/>
      <c r="BC138" s="50"/>
    </row>
    <row r="139" spans="1:55" s="48" customFormat="1" ht="15.45" customHeight="1" outlineLevel="1" x14ac:dyDescent="0.25">
      <c r="A139" s="42">
        <v>22</v>
      </c>
      <c r="B139" s="43" t="s">
        <v>124</v>
      </c>
      <c r="C139" s="44" t="s">
        <v>48</v>
      </c>
      <c r="D139" s="45">
        <v>230.6</v>
      </c>
      <c r="E139" s="45">
        <v>5.2</v>
      </c>
      <c r="F139" s="45">
        <f t="shared" si="29"/>
        <v>1199.1200000000001</v>
      </c>
      <c r="G139" s="46">
        <f t="shared" si="30"/>
        <v>0</v>
      </c>
      <c r="H139" s="47">
        <f t="shared" si="31"/>
        <v>0</v>
      </c>
      <c r="I139" s="46">
        <f t="shared" si="32"/>
        <v>0</v>
      </c>
      <c r="J139" s="47">
        <v>0</v>
      </c>
      <c r="K139" s="46">
        <f t="shared" si="33"/>
        <v>0</v>
      </c>
      <c r="L139" s="47">
        <v>0</v>
      </c>
      <c r="AZ139" s="49"/>
      <c r="BC139" s="50"/>
    </row>
    <row r="140" spans="1:55" s="48" customFormat="1" ht="27.75" customHeight="1" outlineLevel="1" x14ac:dyDescent="0.25">
      <c r="A140" s="42">
        <v>23</v>
      </c>
      <c r="B140" s="43" t="s">
        <v>125</v>
      </c>
      <c r="C140" s="44" t="s">
        <v>48</v>
      </c>
      <c r="D140" s="45">
        <v>184.5</v>
      </c>
      <c r="E140" s="45">
        <v>7.0899579999999993</v>
      </c>
      <c r="F140" s="45">
        <f t="shared" si="29"/>
        <v>1308.0972509999999</v>
      </c>
      <c r="G140" s="46">
        <f t="shared" si="30"/>
        <v>0</v>
      </c>
      <c r="H140" s="47">
        <f t="shared" si="31"/>
        <v>0</v>
      </c>
      <c r="I140" s="46">
        <f t="shared" si="32"/>
        <v>0</v>
      </c>
      <c r="J140" s="47">
        <v>0</v>
      </c>
      <c r="K140" s="46">
        <f t="shared" si="33"/>
        <v>0</v>
      </c>
      <c r="L140" s="47">
        <v>0</v>
      </c>
      <c r="AZ140" s="49"/>
      <c r="BC140" s="50"/>
    </row>
    <row r="141" spans="1:55" s="48" customFormat="1" ht="15.45" customHeight="1" outlineLevel="1" x14ac:dyDescent="0.25">
      <c r="A141" s="42">
        <v>24</v>
      </c>
      <c r="B141" s="43" t="s">
        <v>78</v>
      </c>
      <c r="C141" s="44" t="s">
        <v>26</v>
      </c>
      <c r="D141" s="45">
        <v>12.914999999999999</v>
      </c>
      <c r="E141" s="45">
        <v>66.499999999999986</v>
      </c>
      <c r="F141" s="45">
        <f t="shared" si="29"/>
        <v>858.84749999999974</v>
      </c>
      <c r="G141" s="46">
        <f t="shared" si="30"/>
        <v>0</v>
      </c>
      <c r="H141" s="47">
        <f t="shared" si="31"/>
        <v>0</v>
      </c>
      <c r="I141" s="46">
        <f t="shared" si="32"/>
        <v>0</v>
      </c>
      <c r="J141" s="47">
        <v>0</v>
      </c>
      <c r="K141" s="46">
        <f t="shared" si="33"/>
        <v>0</v>
      </c>
      <c r="L141" s="47">
        <v>0</v>
      </c>
      <c r="AZ141" s="49"/>
      <c r="BC141" s="50"/>
    </row>
    <row r="142" spans="1:55" s="48" customFormat="1" ht="15.45" customHeight="1" outlineLevel="1" x14ac:dyDescent="0.25">
      <c r="A142" s="42">
        <v>25</v>
      </c>
      <c r="B142" s="43" t="s">
        <v>126</v>
      </c>
      <c r="C142" s="44" t="s">
        <v>48</v>
      </c>
      <c r="D142" s="45">
        <v>230.6</v>
      </c>
      <c r="E142" s="45">
        <v>9.1775920000000006</v>
      </c>
      <c r="F142" s="45">
        <f t="shared" si="29"/>
        <v>2116.3527152000001</v>
      </c>
      <c r="G142" s="46">
        <f t="shared" si="30"/>
        <v>0</v>
      </c>
      <c r="H142" s="47">
        <f t="shared" si="31"/>
        <v>0</v>
      </c>
      <c r="I142" s="46">
        <f t="shared" si="32"/>
        <v>0</v>
      </c>
      <c r="J142" s="47">
        <v>0</v>
      </c>
      <c r="K142" s="46">
        <f t="shared" si="33"/>
        <v>0</v>
      </c>
      <c r="L142" s="47">
        <v>0</v>
      </c>
      <c r="AZ142" s="49"/>
      <c r="BC142" s="50"/>
    </row>
    <row r="143" spans="1:55" s="48" customFormat="1" ht="15.45" customHeight="1" outlineLevel="1" x14ac:dyDescent="0.25">
      <c r="A143" s="42">
        <v>26</v>
      </c>
      <c r="B143" s="43" t="s">
        <v>132</v>
      </c>
      <c r="C143" s="44" t="s">
        <v>48</v>
      </c>
      <c r="D143" s="45">
        <v>230.6</v>
      </c>
      <c r="E143" s="45">
        <v>11.65813</v>
      </c>
      <c r="F143" s="45">
        <f t="shared" si="29"/>
        <v>2688.3647780000001</v>
      </c>
      <c r="G143" s="46">
        <f t="shared" si="30"/>
        <v>0</v>
      </c>
      <c r="H143" s="47">
        <f t="shared" si="31"/>
        <v>0</v>
      </c>
      <c r="I143" s="46">
        <f t="shared" si="32"/>
        <v>0</v>
      </c>
      <c r="J143" s="47">
        <v>0</v>
      </c>
      <c r="K143" s="46">
        <f t="shared" si="33"/>
        <v>0</v>
      </c>
      <c r="L143" s="47">
        <v>0</v>
      </c>
      <c r="AZ143" s="49"/>
      <c r="BC143" s="50"/>
    </row>
    <row r="144" spans="1:55" s="48" customFormat="1" ht="15.45" customHeight="1" outlineLevel="1" x14ac:dyDescent="0.25">
      <c r="A144" s="42">
        <v>27</v>
      </c>
      <c r="B144" s="43" t="s">
        <v>133</v>
      </c>
      <c r="C144" s="44" t="s">
        <v>93</v>
      </c>
      <c r="D144" s="45">
        <v>100</v>
      </c>
      <c r="E144" s="45">
        <v>36.613999999999997</v>
      </c>
      <c r="F144" s="45">
        <f t="shared" si="29"/>
        <v>3661.3999999999996</v>
      </c>
      <c r="G144" s="46">
        <f t="shared" si="30"/>
        <v>0</v>
      </c>
      <c r="H144" s="47">
        <f t="shared" si="31"/>
        <v>0</v>
      </c>
      <c r="I144" s="46">
        <f t="shared" si="32"/>
        <v>0</v>
      </c>
      <c r="J144" s="47">
        <v>0</v>
      </c>
      <c r="K144" s="46">
        <f t="shared" si="33"/>
        <v>0</v>
      </c>
      <c r="L144" s="47">
        <v>0</v>
      </c>
      <c r="AZ144" s="49"/>
      <c r="BC144" s="50"/>
    </row>
    <row r="145" spans="1:55" s="48" customFormat="1" ht="27.75" customHeight="1" outlineLevel="1" x14ac:dyDescent="0.25">
      <c r="A145" s="42">
        <v>28</v>
      </c>
      <c r="B145" s="43" t="s">
        <v>134</v>
      </c>
      <c r="C145" s="44" t="s">
        <v>48</v>
      </c>
      <c r="D145" s="45">
        <v>230.6</v>
      </c>
      <c r="E145" s="45">
        <v>27.759951999999998</v>
      </c>
      <c r="F145" s="45">
        <f t="shared" si="29"/>
        <v>6401.4449311999997</v>
      </c>
      <c r="G145" s="46">
        <f t="shared" si="30"/>
        <v>0</v>
      </c>
      <c r="H145" s="47">
        <f t="shared" si="31"/>
        <v>0</v>
      </c>
      <c r="I145" s="46">
        <f t="shared" si="32"/>
        <v>0</v>
      </c>
      <c r="J145" s="47">
        <v>0</v>
      </c>
      <c r="K145" s="46">
        <f t="shared" si="33"/>
        <v>0</v>
      </c>
      <c r="L145" s="47">
        <v>0</v>
      </c>
      <c r="AZ145" s="49"/>
      <c r="BC145" s="50"/>
    </row>
    <row r="146" spans="1:55" s="48" customFormat="1" ht="27.75" customHeight="1" outlineLevel="1" x14ac:dyDescent="0.25">
      <c r="A146" s="42">
        <v>29</v>
      </c>
      <c r="B146" s="43" t="s">
        <v>125</v>
      </c>
      <c r="C146" s="44" t="s">
        <v>48</v>
      </c>
      <c r="D146" s="45">
        <v>104.6</v>
      </c>
      <c r="E146" s="45">
        <v>7.0899579999999993</v>
      </c>
      <c r="F146" s="45">
        <f t="shared" si="29"/>
        <v>741.60960679999994</v>
      </c>
      <c r="G146" s="46">
        <f t="shared" si="30"/>
        <v>0</v>
      </c>
      <c r="H146" s="47">
        <f t="shared" si="31"/>
        <v>0</v>
      </c>
      <c r="I146" s="46">
        <f t="shared" si="32"/>
        <v>0</v>
      </c>
      <c r="J146" s="47">
        <v>0</v>
      </c>
      <c r="K146" s="46">
        <f t="shared" si="33"/>
        <v>0</v>
      </c>
      <c r="L146" s="47">
        <v>0</v>
      </c>
      <c r="AZ146" s="49"/>
      <c r="BC146" s="50"/>
    </row>
    <row r="147" spans="1:55" s="48" customFormat="1" ht="15.45" customHeight="1" outlineLevel="1" x14ac:dyDescent="0.25">
      <c r="A147" s="42">
        <v>30</v>
      </c>
      <c r="B147" s="43" t="s">
        <v>78</v>
      </c>
      <c r="C147" s="44" t="s">
        <v>26</v>
      </c>
      <c r="D147" s="45">
        <v>7.3220000000000001</v>
      </c>
      <c r="E147" s="45">
        <v>66.499999999999986</v>
      </c>
      <c r="F147" s="45">
        <f t="shared" si="29"/>
        <v>486.9129999999999</v>
      </c>
      <c r="G147" s="46">
        <f t="shared" si="30"/>
        <v>0</v>
      </c>
      <c r="H147" s="47">
        <f t="shared" si="31"/>
        <v>0</v>
      </c>
      <c r="I147" s="46">
        <f t="shared" si="32"/>
        <v>0</v>
      </c>
      <c r="J147" s="47">
        <v>0</v>
      </c>
      <c r="K147" s="46">
        <f t="shared" si="33"/>
        <v>0</v>
      </c>
      <c r="L147" s="47">
        <v>0</v>
      </c>
      <c r="AZ147" s="49"/>
      <c r="BC147" s="50"/>
    </row>
    <row r="148" spans="1:55" s="48" customFormat="1" ht="27.75" customHeight="1" outlineLevel="1" x14ac:dyDescent="0.25">
      <c r="A148" s="42">
        <v>31</v>
      </c>
      <c r="B148" s="43" t="s">
        <v>115</v>
      </c>
      <c r="C148" s="44" t="s">
        <v>28</v>
      </c>
      <c r="D148" s="45">
        <v>0.14099999999999999</v>
      </c>
      <c r="E148" s="45">
        <v>447.25</v>
      </c>
      <c r="F148" s="45">
        <f t="shared" si="29"/>
        <v>63.062249999999992</v>
      </c>
      <c r="G148" s="46">
        <f t="shared" si="30"/>
        <v>0</v>
      </c>
      <c r="H148" s="47">
        <f t="shared" si="31"/>
        <v>0</v>
      </c>
      <c r="I148" s="46">
        <f t="shared" si="32"/>
        <v>0</v>
      </c>
      <c r="J148" s="47">
        <v>0</v>
      </c>
      <c r="K148" s="46">
        <f t="shared" si="33"/>
        <v>0</v>
      </c>
      <c r="L148" s="47">
        <v>0</v>
      </c>
      <c r="AZ148" s="49"/>
      <c r="BC148" s="50"/>
    </row>
    <row r="149" spans="1:55" s="48" customFormat="1" ht="15.45" customHeight="1" outlineLevel="1" x14ac:dyDescent="0.25">
      <c r="A149" s="42">
        <v>32</v>
      </c>
      <c r="B149" s="43" t="s">
        <v>116</v>
      </c>
      <c r="C149" s="44" t="s">
        <v>28</v>
      </c>
      <c r="D149" s="45">
        <v>0.14099999999999999</v>
      </c>
      <c r="E149" s="45">
        <v>1617</v>
      </c>
      <c r="F149" s="45">
        <f t="shared" si="29"/>
        <v>227.99699999999999</v>
      </c>
      <c r="G149" s="46">
        <f t="shared" si="30"/>
        <v>0</v>
      </c>
      <c r="H149" s="47">
        <f t="shared" si="31"/>
        <v>0</v>
      </c>
      <c r="I149" s="46">
        <f t="shared" si="32"/>
        <v>0</v>
      </c>
      <c r="J149" s="47">
        <v>0</v>
      </c>
      <c r="K149" s="46">
        <f t="shared" si="33"/>
        <v>0</v>
      </c>
      <c r="L149" s="47">
        <v>0</v>
      </c>
      <c r="AZ149" s="49"/>
      <c r="BC149" s="50"/>
    </row>
    <row r="150" spans="1:55" s="48" customFormat="1" ht="15.45" customHeight="1" outlineLevel="1" x14ac:dyDescent="0.25">
      <c r="A150" s="42">
        <v>33</v>
      </c>
      <c r="B150" s="43" t="s">
        <v>117</v>
      </c>
      <c r="C150" s="44" t="s">
        <v>48</v>
      </c>
      <c r="D150" s="45">
        <v>104.6</v>
      </c>
      <c r="E150" s="45">
        <v>5.4732580000000004</v>
      </c>
      <c r="F150" s="45">
        <f t="shared" ref="F150:F181" si="34">+E150*D150</f>
        <v>572.50278679999997</v>
      </c>
      <c r="G150" s="46">
        <f t="shared" ref="G150:G181" si="35">I150+K150</f>
        <v>0</v>
      </c>
      <c r="H150" s="47">
        <f t="shared" ref="H150:H181" si="36">J150+L150</f>
        <v>0</v>
      </c>
      <c r="I150" s="46">
        <f t="shared" ref="I150:I181" si="37">J150/F150</f>
        <v>0</v>
      </c>
      <c r="J150" s="47">
        <v>0</v>
      </c>
      <c r="K150" s="46">
        <f t="shared" ref="K150:K181" si="38">L150/F150</f>
        <v>0</v>
      </c>
      <c r="L150" s="47">
        <v>0</v>
      </c>
      <c r="AZ150" s="49"/>
      <c r="BC150" s="50"/>
    </row>
    <row r="151" spans="1:55" s="48" customFormat="1" ht="15.45" customHeight="1" outlineLevel="1" x14ac:dyDescent="0.25">
      <c r="A151" s="42">
        <v>34</v>
      </c>
      <c r="B151" s="43" t="s">
        <v>118</v>
      </c>
      <c r="C151" s="44" t="s">
        <v>48</v>
      </c>
      <c r="D151" s="45">
        <v>104.6</v>
      </c>
      <c r="E151" s="45">
        <v>1.4259999999999999</v>
      </c>
      <c r="F151" s="45">
        <f t="shared" si="34"/>
        <v>149.15959999999998</v>
      </c>
      <c r="G151" s="46">
        <f t="shared" si="35"/>
        <v>0</v>
      </c>
      <c r="H151" s="47">
        <f t="shared" si="36"/>
        <v>0</v>
      </c>
      <c r="I151" s="46">
        <f t="shared" si="37"/>
        <v>0</v>
      </c>
      <c r="J151" s="47">
        <v>0</v>
      </c>
      <c r="K151" s="46">
        <f t="shared" si="38"/>
        <v>0</v>
      </c>
      <c r="L151" s="47">
        <v>0</v>
      </c>
      <c r="AZ151" s="49"/>
      <c r="BC151" s="50"/>
    </row>
    <row r="152" spans="1:55" s="48" customFormat="1" ht="27.75" customHeight="1" outlineLevel="1" x14ac:dyDescent="0.25">
      <c r="A152" s="42">
        <v>35</v>
      </c>
      <c r="B152" s="43" t="s">
        <v>135</v>
      </c>
      <c r="C152" s="44" t="s">
        <v>48</v>
      </c>
      <c r="D152" s="45">
        <v>104.6</v>
      </c>
      <c r="E152" s="45">
        <v>58.240000000000009</v>
      </c>
      <c r="F152" s="45">
        <f t="shared" si="34"/>
        <v>6091.9040000000005</v>
      </c>
      <c r="G152" s="46">
        <f t="shared" si="35"/>
        <v>0</v>
      </c>
      <c r="H152" s="47">
        <f t="shared" si="36"/>
        <v>0</v>
      </c>
      <c r="I152" s="46">
        <f t="shared" si="37"/>
        <v>0</v>
      </c>
      <c r="J152" s="47">
        <v>0</v>
      </c>
      <c r="K152" s="46">
        <f t="shared" si="38"/>
        <v>0</v>
      </c>
      <c r="L152" s="47">
        <v>0</v>
      </c>
      <c r="AZ152" s="49"/>
      <c r="BC152" s="50"/>
    </row>
    <row r="153" spans="1:55" s="48" customFormat="1" ht="27.75" customHeight="1" outlineLevel="1" x14ac:dyDescent="0.25">
      <c r="A153" s="42">
        <v>36</v>
      </c>
      <c r="B153" s="43" t="s">
        <v>125</v>
      </c>
      <c r="C153" s="44" t="s">
        <v>48</v>
      </c>
      <c r="D153" s="45">
        <v>188.2</v>
      </c>
      <c r="E153" s="45">
        <v>7.0899579999999993</v>
      </c>
      <c r="F153" s="45">
        <f t="shared" si="34"/>
        <v>1334.3300955999998</v>
      </c>
      <c r="G153" s="46">
        <f t="shared" si="35"/>
        <v>0</v>
      </c>
      <c r="H153" s="47">
        <f t="shared" si="36"/>
        <v>0</v>
      </c>
      <c r="I153" s="46">
        <f t="shared" si="37"/>
        <v>0</v>
      </c>
      <c r="J153" s="47">
        <v>0</v>
      </c>
      <c r="K153" s="46">
        <f t="shared" si="38"/>
        <v>0</v>
      </c>
      <c r="L153" s="47">
        <v>0</v>
      </c>
      <c r="AZ153" s="49"/>
      <c r="BC153" s="50"/>
    </row>
    <row r="154" spans="1:55" s="48" customFormat="1" ht="15.45" customHeight="1" outlineLevel="1" x14ac:dyDescent="0.25">
      <c r="A154" s="42">
        <v>37</v>
      </c>
      <c r="B154" s="43" t="s">
        <v>78</v>
      </c>
      <c r="C154" s="44" t="s">
        <v>26</v>
      </c>
      <c r="D154" s="45">
        <v>13.173999999999999</v>
      </c>
      <c r="E154" s="45">
        <v>66.499999999999986</v>
      </c>
      <c r="F154" s="45">
        <f t="shared" si="34"/>
        <v>876.0709999999998</v>
      </c>
      <c r="G154" s="46">
        <f t="shared" si="35"/>
        <v>0</v>
      </c>
      <c r="H154" s="47">
        <f t="shared" si="36"/>
        <v>0</v>
      </c>
      <c r="I154" s="46">
        <f t="shared" si="37"/>
        <v>0</v>
      </c>
      <c r="J154" s="47">
        <v>0</v>
      </c>
      <c r="K154" s="46">
        <f t="shared" si="38"/>
        <v>0</v>
      </c>
      <c r="L154" s="47">
        <v>0</v>
      </c>
      <c r="AZ154" s="49"/>
      <c r="BC154" s="50"/>
    </row>
    <row r="155" spans="1:55" s="48" customFormat="1" ht="27.75" customHeight="1" outlineLevel="1" x14ac:dyDescent="0.25">
      <c r="A155" s="42">
        <v>38</v>
      </c>
      <c r="B155" s="43" t="s">
        <v>115</v>
      </c>
      <c r="C155" s="44" t="s">
        <v>28</v>
      </c>
      <c r="D155" s="45">
        <v>0.254</v>
      </c>
      <c r="E155" s="45">
        <v>447.25</v>
      </c>
      <c r="F155" s="45">
        <f t="shared" si="34"/>
        <v>113.6015</v>
      </c>
      <c r="G155" s="46">
        <f t="shared" si="35"/>
        <v>0</v>
      </c>
      <c r="H155" s="47">
        <f t="shared" si="36"/>
        <v>0</v>
      </c>
      <c r="I155" s="46">
        <f t="shared" si="37"/>
        <v>0</v>
      </c>
      <c r="J155" s="47">
        <v>0</v>
      </c>
      <c r="K155" s="46">
        <f t="shared" si="38"/>
        <v>0</v>
      </c>
      <c r="L155" s="47">
        <v>0</v>
      </c>
      <c r="AZ155" s="49"/>
      <c r="BC155" s="50"/>
    </row>
    <row r="156" spans="1:55" s="48" customFormat="1" ht="15.45" customHeight="1" outlineLevel="1" x14ac:dyDescent="0.25">
      <c r="A156" s="42">
        <v>39</v>
      </c>
      <c r="B156" s="43" t="s">
        <v>136</v>
      </c>
      <c r="C156" s="44" t="s">
        <v>28</v>
      </c>
      <c r="D156" s="45">
        <v>0.254</v>
      </c>
      <c r="E156" s="45">
        <v>1389.134</v>
      </c>
      <c r="F156" s="45">
        <f t="shared" si="34"/>
        <v>352.840036</v>
      </c>
      <c r="G156" s="46">
        <f t="shared" si="35"/>
        <v>0</v>
      </c>
      <c r="H156" s="47">
        <f t="shared" si="36"/>
        <v>0</v>
      </c>
      <c r="I156" s="46">
        <f t="shared" si="37"/>
        <v>0</v>
      </c>
      <c r="J156" s="47">
        <v>0</v>
      </c>
      <c r="K156" s="46">
        <f t="shared" si="38"/>
        <v>0</v>
      </c>
      <c r="L156" s="47">
        <v>0</v>
      </c>
      <c r="AZ156" s="49"/>
      <c r="BC156" s="50"/>
    </row>
    <row r="157" spans="1:55" s="48" customFormat="1" ht="15.45" customHeight="1" outlineLevel="1" x14ac:dyDescent="0.25">
      <c r="A157" s="42">
        <v>40</v>
      </c>
      <c r="B157" s="43" t="s">
        <v>117</v>
      </c>
      <c r="C157" s="44" t="s">
        <v>48</v>
      </c>
      <c r="D157" s="45">
        <v>188.2</v>
      </c>
      <c r="E157" s="45">
        <v>5.4732580000000004</v>
      </c>
      <c r="F157" s="45">
        <f t="shared" si="34"/>
        <v>1030.0671556</v>
      </c>
      <c r="G157" s="46">
        <f t="shared" si="35"/>
        <v>0</v>
      </c>
      <c r="H157" s="47">
        <f t="shared" si="36"/>
        <v>0</v>
      </c>
      <c r="I157" s="46">
        <f t="shared" si="37"/>
        <v>0</v>
      </c>
      <c r="J157" s="47">
        <v>0</v>
      </c>
      <c r="K157" s="46">
        <f t="shared" si="38"/>
        <v>0</v>
      </c>
      <c r="L157" s="47">
        <v>0</v>
      </c>
      <c r="AZ157" s="49"/>
      <c r="BC157" s="50"/>
    </row>
    <row r="158" spans="1:55" s="48" customFormat="1" ht="15.45" customHeight="1" outlineLevel="1" x14ac:dyDescent="0.25">
      <c r="A158" s="42">
        <v>41</v>
      </c>
      <c r="B158" s="43" t="s">
        <v>118</v>
      </c>
      <c r="C158" s="44" t="s">
        <v>48</v>
      </c>
      <c r="D158" s="45">
        <v>188.2</v>
      </c>
      <c r="E158" s="45">
        <v>1.4259999999999999</v>
      </c>
      <c r="F158" s="45">
        <f t="shared" si="34"/>
        <v>268.3732</v>
      </c>
      <c r="G158" s="46">
        <f t="shared" si="35"/>
        <v>0</v>
      </c>
      <c r="H158" s="47">
        <f t="shared" si="36"/>
        <v>0</v>
      </c>
      <c r="I158" s="46">
        <f t="shared" si="37"/>
        <v>0</v>
      </c>
      <c r="J158" s="47">
        <v>0</v>
      </c>
      <c r="K158" s="46">
        <f t="shared" si="38"/>
        <v>0</v>
      </c>
      <c r="L158" s="47">
        <v>0</v>
      </c>
      <c r="AZ158" s="49"/>
      <c r="BC158" s="50"/>
    </row>
    <row r="159" spans="1:55" s="48" customFormat="1" ht="27.75" customHeight="1" outlineLevel="1" x14ac:dyDescent="0.25">
      <c r="A159" s="42">
        <v>42</v>
      </c>
      <c r="B159" s="43" t="s">
        <v>119</v>
      </c>
      <c r="C159" s="44" t="s">
        <v>48</v>
      </c>
      <c r="D159" s="45">
        <v>188.2</v>
      </c>
      <c r="E159" s="45">
        <v>9.2799999999999994</v>
      </c>
      <c r="F159" s="45">
        <f t="shared" si="34"/>
        <v>1746.4959999999999</v>
      </c>
      <c r="G159" s="46">
        <f t="shared" si="35"/>
        <v>0</v>
      </c>
      <c r="H159" s="47">
        <f t="shared" si="36"/>
        <v>0</v>
      </c>
      <c r="I159" s="46">
        <f t="shared" si="37"/>
        <v>0</v>
      </c>
      <c r="J159" s="47">
        <v>0</v>
      </c>
      <c r="K159" s="46">
        <f t="shared" si="38"/>
        <v>0</v>
      </c>
      <c r="L159" s="47">
        <v>0</v>
      </c>
      <c r="AZ159" s="49"/>
      <c r="BC159" s="50"/>
    </row>
    <row r="160" spans="1:55" s="48" customFormat="1" ht="27.75" customHeight="1" outlineLevel="1" x14ac:dyDescent="0.25">
      <c r="A160" s="42">
        <v>43</v>
      </c>
      <c r="B160" s="43" t="s">
        <v>120</v>
      </c>
      <c r="C160" s="44" t="s">
        <v>48</v>
      </c>
      <c r="D160" s="45">
        <v>188.2</v>
      </c>
      <c r="E160" s="45">
        <v>8.26</v>
      </c>
      <c r="F160" s="45">
        <f t="shared" si="34"/>
        <v>1554.5319999999999</v>
      </c>
      <c r="G160" s="46">
        <f t="shared" si="35"/>
        <v>0</v>
      </c>
      <c r="H160" s="47">
        <f t="shared" si="36"/>
        <v>0</v>
      </c>
      <c r="I160" s="46">
        <f t="shared" si="37"/>
        <v>0</v>
      </c>
      <c r="J160" s="47">
        <v>0</v>
      </c>
      <c r="K160" s="46">
        <f t="shared" si="38"/>
        <v>0</v>
      </c>
      <c r="L160" s="47">
        <v>0</v>
      </c>
      <c r="AZ160" s="49"/>
      <c r="BC160" s="50"/>
    </row>
    <row r="161" spans="1:55" s="48" customFormat="1" ht="15.45" customHeight="1" outlineLevel="1" x14ac:dyDescent="0.25">
      <c r="A161" s="42">
        <v>44</v>
      </c>
      <c r="B161" s="43" t="s">
        <v>117</v>
      </c>
      <c r="C161" s="44" t="s">
        <v>48</v>
      </c>
      <c r="D161" s="45">
        <v>188.2</v>
      </c>
      <c r="E161" s="45">
        <v>5.4732580000000004</v>
      </c>
      <c r="F161" s="45">
        <f t="shared" si="34"/>
        <v>1030.0671556</v>
      </c>
      <c r="G161" s="46">
        <f t="shared" si="35"/>
        <v>0</v>
      </c>
      <c r="H161" s="47">
        <f t="shared" si="36"/>
        <v>0</v>
      </c>
      <c r="I161" s="46">
        <f t="shared" si="37"/>
        <v>0</v>
      </c>
      <c r="J161" s="47">
        <v>0</v>
      </c>
      <c r="K161" s="46">
        <f t="shared" si="38"/>
        <v>0</v>
      </c>
      <c r="L161" s="47">
        <v>0</v>
      </c>
      <c r="AZ161" s="49"/>
      <c r="BC161" s="50"/>
    </row>
    <row r="162" spans="1:55" s="48" customFormat="1" ht="27.75" customHeight="1" outlineLevel="1" x14ac:dyDescent="0.25">
      <c r="A162" s="42">
        <v>45</v>
      </c>
      <c r="B162" s="43" t="s">
        <v>137</v>
      </c>
      <c r="C162" s="44" t="s">
        <v>48</v>
      </c>
      <c r="D162" s="45">
        <v>188.2</v>
      </c>
      <c r="E162" s="45">
        <v>39.170284000000009</v>
      </c>
      <c r="F162" s="45">
        <f t="shared" si="34"/>
        <v>7371.8474488000011</v>
      </c>
      <c r="G162" s="46">
        <f t="shared" si="35"/>
        <v>0</v>
      </c>
      <c r="H162" s="47">
        <f t="shared" si="36"/>
        <v>0</v>
      </c>
      <c r="I162" s="46">
        <f t="shared" si="37"/>
        <v>0</v>
      </c>
      <c r="J162" s="47">
        <v>0</v>
      </c>
      <c r="K162" s="46">
        <f t="shared" si="38"/>
        <v>0</v>
      </c>
      <c r="L162" s="47">
        <v>0</v>
      </c>
      <c r="AZ162" s="49"/>
      <c r="BC162" s="50"/>
    </row>
    <row r="163" spans="1:55" s="48" customFormat="1" ht="15.45" customHeight="1" outlineLevel="1" x14ac:dyDescent="0.25">
      <c r="A163" s="42">
        <v>46</v>
      </c>
      <c r="B163" s="43" t="s">
        <v>117</v>
      </c>
      <c r="C163" s="44" t="s">
        <v>48</v>
      </c>
      <c r="D163" s="45">
        <v>39</v>
      </c>
      <c r="E163" s="45">
        <v>5.4732580000000004</v>
      </c>
      <c r="F163" s="45">
        <f t="shared" si="34"/>
        <v>213.45706200000001</v>
      </c>
      <c r="G163" s="46">
        <f t="shared" si="35"/>
        <v>0</v>
      </c>
      <c r="H163" s="47">
        <f t="shared" si="36"/>
        <v>0</v>
      </c>
      <c r="I163" s="46">
        <f t="shared" si="37"/>
        <v>0</v>
      </c>
      <c r="J163" s="47">
        <v>0</v>
      </c>
      <c r="K163" s="46">
        <f t="shared" si="38"/>
        <v>0</v>
      </c>
      <c r="L163" s="47">
        <v>0</v>
      </c>
      <c r="AZ163" s="49"/>
      <c r="BC163" s="50"/>
    </row>
    <row r="164" spans="1:55" s="48" customFormat="1" ht="15.45" customHeight="1" outlineLevel="1" x14ac:dyDescent="0.25">
      <c r="A164" s="42">
        <v>47</v>
      </c>
      <c r="B164" s="43" t="s">
        <v>118</v>
      </c>
      <c r="C164" s="44" t="s">
        <v>48</v>
      </c>
      <c r="D164" s="45">
        <v>39</v>
      </c>
      <c r="E164" s="45">
        <v>1.4259999999999999</v>
      </c>
      <c r="F164" s="45">
        <f t="shared" si="34"/>
        <v>55.613999999999997</v>
      </c>
      <c r="G164" s="46">
        <f t="shared" si="35"/>
        <v>0</v>
      </c>
      <c r="H164" s="47">
        <f t="shared" si="36"/>
        <v>0</v>
      </c>
      <c r="I164" s="46">
        <f t="shared" si="37"/>
        <v>0</v>
      </c>
      <c r="J164" s="47">
        <v>0</v>
      </c>
      <c r="K164" s="46">
        <f t="shared" si="38"/>
        <v>0</v>
      </c>
      <c r="L164" s="47">
        <v>0</v>
      </c>
      <c r="AZ164" s="49"/>
      <c r="BC164" s="50"/>
    </row>
    <row r="165" spans="1:55" s="48" customFormat="1" ht="27.75" customHeight="1" outlineLevel="1" x14ac:dyDescent="0.25">
      <c r="A165" s="42">
        <v>48</v>
      </c>
      <c r="B165" s="43" t="s">
        <v>138</v>
      </c>
      <c r="C165" s="44" t="s">
        <v>48</v>
      </c>
      <c r="D165" s="45">
        <v>39</v>
      </c>
      <c r="E165" s="45">
        <v>120.11309799999999</v>
      </c>
      <c r="F165" s="45">
        <f t="shared" si="34"/>
        <v>4684.4108219999998</v>
      </c>
      <c r="G165" s="46">
        <f t="shared" si="35"/>
        <v>0</v>
      </c>
      <c r="H165" s="47">
        <f t="shared" si="36"/>
        <v>0</v>
      </c>
      <c r="I165" s="46">
        <f t="shared" si="37"/>
        <v>0</v>
      </c>
      <c r="J165" s="47">
        <v>0</v>
      </c>
      <c r="K165" s="46">
        <f t="shared" si="38"/>
        <v>0</v>
      </c>
      <c r="L165" s="47">
        <v>0</v>
      </c>
      <c r="AZ165" s="49"/>
      <c r="BC165" s="50"/>
    </row>
    <row r="166" spans="1:55" s="48" customFormat="1" ht="27.75" customHeight="1" outlineLevel="1" x14ac:dyDescent="0.25">
      <c r="A166" s="42">
        <v>49</v>
      </c>
      <c r="B166" s="43" t="s">
        <v>125</v>
      </c>
      <c r="C166" s="44" t="s">
        <v>48</v>
      </c>
      <c r="D166" s="45">
        <v>14</v>
      </c>
      <c r="E166" s="45">
        <v>7.0899579999999993</v>
      </c>
      <c r="F166" s="45">
        <f t="shared" si="34"/>
        <v>99.259411999999998</v>
      </c>
      <c r="G166" s="46">
        <f t="shared" si="35"/>
        <v>0</v>
      </c>
      <c r="H166" s="47">
        <f t="shared" si="36"/>
        <v>0</v>
      </c>
      <c r="I166" s="46">
        <f t="shared" si="37"/>
        <v>0</v>
      </c>
      <c r="J166" s="47">
        <v>0</v>
      </c>
      <c r="K166" s="46">
        <f t="shared" si="38"/>
        <v>0</v>
      </c>
      <c r="L166" s="47">
        <v>0</v>
      </c>
      <c r="AZ166" s="49"/>
      <c r="BC166" s="50"/>
    </row>
    <row r="167" spans="1:55" s="48" customFormat="1" ht="15.45" customHeight="1" outlineLevel="1" x14ac:dyDescent="0.25">
      <c r="A167" s="42">
        <v>50</v>
      </c>
      <c r="B167" s="43" t="s">
        <v>78</v>
      </c>
      <c r="C167" s="44" t="s">
        <v>26</v>
      </c>
      <c r="D167" s="45">
        <v>0.98</v>
      </c>
      <c r="E167" s="45">
        <v>66.499999999999986</v>
      </c>
      <c r="F167" s="45">
        <f t="shared" si="34"/>
        <v>65.169999999999987</v>
      </c>
      <c r="G167" s="46">
        <f t="shared" si="35"/>
        <v>0</v>
      </c>
      <c r="H167" s="47">
        <f t="shared" si="36"/>
        <v>0</v>
      </c>
      <c r="I167" s="46">
        <f t="shared" si="37"/>
        <v>0</v>
      </c>
      <c r="J167" s="47">
        <v>0</v>
      </c>
      <c r="K167" s="46">
        <f t="shared" si="38"/>
        <v>0</v>
      </c>
      <c r="L167" s="47">
        <v>0</v>
      </c>
      <c r="AZ167" s="49"/>
      <c r="BC167" s="50"/>
    </row>
    <row r="168" spans="1:55" s="48" customFormat="1" ht="27.75" customHeight="1" outlineLevel="1" x14ac:dyDescent="0.25">
      <c r="A168" s="42">
        <v>51</v>
      </c>
      <c r="B168" s="43" t="s">
        <v>115</v>
      </c>
      <c r="C168" s="44" t="s">
        <v>28</v>
      </c>
      <c r="D168" s="45">
        <v>1.9E-2</v>
      </c>
      <c r="E168" s="45">
        <v>447.25</v>
      </c>
      <c r="F168" s="45">
        <f t="shared" si="34"/>
        <v>8.4977499999999999</v>
      </c>
      <c r="G168" s="46">
        <f t="shared" si="35"/>
        <v>0</v>
      </c>
      <c r="H168" s="47">
        <f t="shared" si="36"/>
        <v>0</v>
      </c>
      <c r="I168" s="46">
        <f t="shared" si="37"/>
        <v>0</v>
      </c>
      <c r="J168" s="47">
        <v>0</v>
      </c>
      <c r="K168" s="46">
        <f t="shared" si="38"/>
        <v>0</v>
      </c>
      <c r="L168" s="47">
        <v>0</v>
      </c>
      <c r="AZ168" s="49"/>
      <c r="BC168" s="50"/>
    </row>
    <row r="169" spans="1:55" s="48" customFormat="1" ht="15.45" customHeight="1" outlineLevel="1" x14ac:dyDescent="0.25">
      <c r="A169" s="42">
        <v>52</v>
      </c>
      <c r="B169" s="43" t="s">
        <v>116</v>
      </c>
      <c r="C169" s="44" t="s">
        <v>28</v>
      </c>
      <c r="D169" s="45">
        <v>1.9E-2</v>
      </c>
      <c r="E169" s="45">
        <v>1311.1</v>
      </c>
      <c r="F169" s="45">
        <f t="shared" si="34"/>
        <v>24.910899999999998</v>
      </c>
      <c r="G169" s="46">
        <f t="shared" si="35"/>
        <v>0</v>
      </c>
      <c r="H169" s="47">
        <f t="shared" si="36"/>
        <v>0</v>
      </c>
      <c r="I169" s="46">
        <f t="shared" si="37"/>
        <v>0</v>
      </c>
      <c r="J169" s="47">
        <v>0</v>
      </c>
      <c r="K169" s="46">
        <f t="shared" si="38"/>
        <v>0</v>
      </c>
      <c r="L169" s="47">
        <v>0</v>
      </c>
      <c r="AZ169" s="49"/>
      <c r="BC169" s="50"/>
    </row>
    <row r="170" spans="1:55" s="48" customFormat="1" ht="15.45" customHeight="1" outlineLevel="1" x14ac:dyDescent="0.25">
      <c r="A170" s="42">
        <v>53</v>
      </c>
      <c r="B170" s="43" t="s">
        <v>117</v>
      </c>
      <c r="C170" s="44" t="s">
        <v>48</v>
      </c>
      <c r="D170" s="45">
        <v>14</v>
      </c>
      <c r="E170" s="45">
        <v>5.4732580000000004</v>
      </c>
      <c r="F170" s="45">
        <f t="shared" si="34"/>
        <v>76.625612000000004</v>
      </c>
      <c r="G170" s="46">
        <f t="shared" si="35"/>
        <v>0</v>
      </c>
      <c r="H170" s="47">
        <f t="shared" si="36"/>
        <v>0</v>
      </c>
      <c r="I170" s="46">
        <f t="shared" si="37"/>
        <v>0</v>
      </c>
      <c r="J170" s="47">
        <v>0</v>
      </c>
      <c r="K170" s="46">
        <f t="shared" si="38"/>
        <v>0</v>
      </c>
      <c r="L170" s="47">
        <v>0</v>
      </c>
      <c r="AZ170" s="49"/>
      <c r="BC170" s="50"/>
    </row>
    <row r="171" spans="1:55" s="48" customFormat="1" ht="15.45" customHeight="1" outlineLevel="1" x14ac:dyDescent="0.25">
      <c r="A171" s="42">
        <v>54</v>
      </c>
      <c r="B171" s="43" t="s">
        <v>118</v>
      </c>
      <c r="C171" s="44" t="s">
        <v>48</v>
      </c>
      <c r="D171" s="45">
        <v>14</v>
      </c>
      <c r="E171" s="45">
        <v>1.4259999999999999</v>
      </c>
      <c r="F171" s="45">
        <f t="shared" si="34"/>
        <v>19.963999999999999</v>
      </c>
      <c r="G171" s="46">
        <f t="shared" si="35"/>
        <v>0</v>
      </c>
      <c r="H171" s="47">
        <f t="shared" si="36"/>
        <v>0</v>
      </c>
      <c r="I171" s="46">
        <f t="shared" si="37"/>
        <v>0</v>
      </c>
      <c r="J171" s="47">
        <v>0</v>
      </c>
      <c r="K171" s="46">
        <f t="shared" si="38"/>
        <v>0</v>
      </c>
      <c r="L171" s="47">
        <v>0</v>
      </c>
      <c r="AZ171" s="49"/>
      <c r="BC171" s="50"/>
    </row>
    <row r="172" spans="1:55" s="48" customFormat="1" ht="27.75" customHeight="1" outlineLevel="1" x14ac:dyDescent="0.25">
      <c r="A172" s="42">
        <v>55</v>
      </c>
      <c r="B172" s="43" t="s">
        <v>137</v>
      </c>
      <c r="C172" s="44" t="s">
        <v>48</v>
      </c>
      <c r="D172" s="45">
        <v>14</v>
      </c>
      <c r="E172" s="45">
        <v>39.170284000000009</v>
      </c>
      <c r="F172" s="45">
        <f t="shared" si="34"/>
        <v>548.38397600000008</v>
      </c>
      <c r="G172" s="46">
        <f t="shared" si="35"/>
        <v>0</v>
      </c>
      <c r="H172" s="47">
        <f t="shared" si="36"/>
        <v>0</v>
      </c>
      <c r="I172" s="46">
        <f t="shared" si="37"/>
        <v>0</v>
      </c>
      <c r="J172" s="47">
        <v>0</v>
      </c>
      <c r="K172" s="46">
        <f t="shared" si="38"/>
        <v>0</v>
      </c>
      <c r="L172" s="47">
        <v>0</v>
      </c>
      <c r="AZ172" s="49"/>
      <c r="BC172" s="50"/>
    </row>
    <row r="173" spans="1:55" s="48" customFormat="1" ht="15.45" customHeight="1" outlineLevel="1" x14ac:dyDescent="0.25">
      <c r="A173" s="42">
        <v>56</v>
      </c>
      <c r="B173" s="43" t="s">
        <v>117</v>
      </c>
      <c r="C173" s="44" t="s">
        <v>48</v>
      </c>
      <c r="D173" s="45">
        <v>538.4</v>
      </c>
      <c r="E173" s="45">
        <v>5.4732580000000004</v>
      </c>
      <c r="F173" s="45">
        <f t="shared" si="34"/>
        <v>2946.8021072000001</v>
      </c>
      <c r="G173" s="46">
        <f t="shared" si="35"/>
        <v>0</v>
      </c>
      <c r="H173" s="47">
        <f t="shared" si="36"/>
        <v>0</v>
      </c>
      <c r="I173" s="46">
        <f t="shared" si="37"/>
        <v>0</v>
      </c>
      <c r="J173" s="47">
        <v>0</v>
      </c>
      <c r="K173" s="46">
        <f t="shared" si="38"/>
        <v>0</v>
      </c>
      <c r="L173" s="47">
        <v>0</v>
      </c>
      <c r="AZ173" s="49"/>
      <c r="BC173" s="50"/>
    </row>
    <row r="174" spans="1:55" s="48" customFormat="1" ht="15.45" customHeight="1" outlineLevel="1" x14ac:dyDescent="0.25">
      <c r="A174" s="42">
        <v>57</v>
      </c>
      <c r="B174" s="43" t="s">
        <v>118</v>
      </c>
      <c r="C174" s="44" t="s">
        <v>48</v>
      </c>
      <c r="D174" s="45">
        <v>538.4</v>
      </c>
      <c r="E174" s="45">
        <v>1.4259999999999999</v>
      </c>
      <c r="F174" s="45">
        <f t="shared" si="34"/>
        <v>767.75839999999994</v>
      </c>
      <c r="G174" s="46">
        <f t="shared" si="35"/>
        <v>0</v>
      </c>
      <c r="H174" s="47">
        <f t="shared" si="36"/>
        <v>0</v>
      </c>
      <c r="I174" s="46">
        <f t="shared" si="37"/>
        <v>0</v>
      </c>
      <c r="J174" s="47">
        <v>0</v>
      </c>
      <c r="K174" s="46">
        <f t="shared" si="38"/>
        <v>0</v>
      </c>
      <c r="L174" s="47">
        <v>0</v>
      </c>
      <c r="AZ174" s="49"/>
      <c r="BC174" s="50"/>
    </row>
    <row r="175" spans="1:55" s="48" customFormat="1" ht="15.45" customHeight="1" outlineLevel="1" x14ac:dyDescent="0.25">
      <c r="A175" s="42">
        <v>58</v>
      </c>
      <c r="B175" s="43" t="s">
        <v>139</v>
      </c>
      <c r="C175" s="44" t="s">
        <v>26</v>
      </c>
      <c r="D175" s="45">
        <v>21.54</v>
      </c>
      <c r="E175" s="45">
        <v>65.318799999999996</v>
      </c>
      <c r="F175" s="45">
        <f t="shared" si="34"/>
        <v>1406.9669519999998</v>
      </c>
      <c r="G175" s="46">
        <f t="shared" si="35"/>
        <v>0</v>
      </c>
      <c r="H175" s="47">
        <f t="shared" si="36"/>
        <v>0</v>
      </c>
      <c r="I175" s="46">
        <f t="shared" si="37"/>
        <v>0</v>
      </c>
      <c r="J175" s="47">
        <v>0</v>
      </c>
      <c r="K175" s="46">
        <f t="shared" si="38"/>
        <v>0</v>
      </c>
      <c r="L175" s="47">
        <v>0</v>
      </c>
      <c r="AZ175" s="49"/>
      <c r="BC175" s="50"/>
    </row>
    <row r="176" spans="1:55" s="48" customFormat="1" ht="15.45" customHeight="1" outlineLevel="1" x14ac:dyDescent="0.25">
      <c r="A176" s="42">
        <v>59</v>
      </c>
      <c r="B176" s="43" t="s">
        <v>140</v>
      </c>
      <c r="C176" s="44" t="s">
        <v>48</v>
      </c>
      <c r="D176" s="45">
        <v>538.4</v>
      </c>
      <c r="E176" s="45">
        <v>7.0734339999999998</v>
      </c>
      <c r="F176" s="45">
        <f t="shared" si="34"/>
        <v>3808.3368655999998</v>
      </c>
      <c r="G176" s="46">
        <f t="shared" si="35"/>
        <v>0</v>
      </c>
      <c r="H176" s="47">
        <f t="shared" si="36"/>
        <v>0</v>
      </c>
      <c r="I176" s="46">
        <f t="shared" si="37"/>
        <v>0</v>
      </c>
      <c r="J176" s="47">
        <v>0</v>
      </c>
      <c r="K176" s="46">
        <f t="shared" si="38"/>
        <v>0</v>
      </c>
      <c r="L176" s="47">
        <v>0</v>
      </c>
      <c r="AZ176" s="49"/>
      <c r="BC176" s="50"/>
    </row>
    <row r="177" spans="1:55" s="48" customFormat="1" ht="15.45" customHeight="1" outlineLevel="1" x14ac:dyDescent="0.25">
      <c r="A177" s="42">
        <v>60</v>
      </c>
      <c r="B177" s="43" t="s">
        <v>141</v>
      </c>
      <c r="C177" s="44" t="s">
        <v>48</v>
      </c>
      <c r="D177" s="45">
        <v>538.4</v>
      </c>
      <c r="E177" s="45">
        <v>1.885</v>
      </c>
      <c r="F177" s="45">
        <f t="shared" si="34"/>
        <v>1014.884</v>
      </c>
      <c r="G177" s="46">
        <f t="shared" si="35"/>
        <v>0</v>
      </c>
      <c r="H177" s="47">
        <f t="shared" si="36"/>
        <v>0</v>
      </c>
      <c r="I177" s="46">
        <f t="shared" si="37"/>
        <v>0</v>
      </c>
      <c r="J177" s="47">
        <v>0</v>
      </c>
      <c r="K177" s="46">
        <f t="shared" si="38"/>
        <v>0</v>
      </c>
      <c r="L177" s="47">
        <v>0</v>
      </c>
      <c r="AZ177" s="49"/>
      <c r="BC177" s="50"/>
    </row>
    <row r="178" spans="1:55" s="48" customFormat="1" ht="27.75" customHeight="1" outlineLevel="1" x14ac:dyDescent="0.25">
      <c r="A178" s="42">
        <v>61</v>
      </c>
      <c r="B178" s="43" t="s">
        <v>142</v>
      </c>
      <c r="C178" s="44" t="s">
        <v>48</v>
      </c>
      <c r="D178" s="45">
        <v>538.4</v>
      </c>
      <c r="E178" s="45">
        <v>27.759951999999998</v>
      </c>
      <c r="F178" s="45">
        <f t="shared" si="34"/>
        <v>14945.958156799999</v>
      </c>
      <c r="G178" s="46">
        <f t="shared" si="35"/>
        <v>0</v>
      </c>
      <c r="H178" s="47">
        <f t="shared" si="36"/>
        <v>0</v>
      </c>
      <c r="I178" s="46">
        <f t="shared" si="37"/>
        <v>0</v>
      </c>
      <c r="J178" s="47">
        <v>0</v>
      </c>
      <c r="K178" s="46">
        <f t="shared" si="38"/>
        <v>0</v>
      </c>
      <c r="L178" s="47">
        <v>0</v>
      </c>
      <c r="AZ178" s="49"/>
      <c r="BC178" s="50"/>
    </row>
    <row r="179" spans="1:55" s="48" customFormat="1" ht="15.45" customHeight="1" outlineLevel="1" x14ac:dyDescent="0.25">
      <c r="A179" s="42">
        <v>62</v>
      </c>
      <c r="B179" s="43" t="s">
        <v>139</v>
      </c>
      <c r="C179" s="44" t="s">
        <v>26</v>
      </c>
      <c r="D179" s="45">
        <v>1.56</v>
      </c>
      <c r="E179" s="45">
        <v>65.318799999999996</v>
      </c>
      <c r="F179" s="45">
        <f t="shared" si="34"/>
        <v>101.897328</v>
      </c>
      <c r="G179" s="46">
        <f t="shared" si="35"/>
        <v>0</v>
      </c>
      <c r="H179" s="47">
        <f t="shared" si="36"/>
        <v>0</v>
      </c>
      <c r="I179" s="46">
        <f t="shared" si="37"/>
        <v>0</v>
      </c>
      <c r="J179" s="47">
        <v>0</v>
      </c>
      <c r="K179" s="46">
        <f t="shared" si="38"/>
        <v>0</v>
      </c>
      <c r="L179" s="47">
        <v>0</v>
      </c>
      <c r="AZ179" s="49"/>
      <c r="BC179" s="50"/>
    </row>
    <row r="180" spans="1:55" s="48" customFormat="1" ht="27.75" customHeight="1" outlineLevel="1" x14ac:dyDescent="0.25">
      <c r="A180" s="42">
        <v>63</v>
      </c>
      <c r="B180" s="43" t="s">
        <v>115</v>
      </c>
      <c r="C180" s="44" t="s">
        <v>28</v>
      </c>
      <c r="D180" s="45">
        <v>5.2999999999999999E-2</v>
      </c>
      <c r="E180" s="45">
        <v>447.25</v>
      </c>
      <c r="F180" s="45">
        <f t="shared" si="34"/>
        <v>23.704249999999998</v>
      </c>
      <c r="G180" s="46">
        <f t="shared" si="35"/>
        <v>0</v>
      </c>
      <c r="H180" s="47">
        <f t="shared" si="36"/>
        <v>0</v>
      </c>
      <c r="I180" s="46">
        <f t="shared" si="37"/>
        <v>0</v>
      </c>
      <c r="J180" s="47">
        <v>0</v>
      </c>
      <c r="K180" s="46">
        <f t="shared" si="38"/>
        <v>0</v>
      </c>
      <c r="L180" s="47">
        <v>0</v>
      </c>
      <c r="AZ180" s="49"/>
      <c r="BC180" s="50"/>
    </row>
    <row r="181" spans="1:55" s="48" customFormat="1" ht="15.45" customHeight="1" outlineLevel="1" x14ac:dyDescent="0.25">
      <c r="A181" s="42">
        <v>64</v>
      </c>
      <c r="B181" s="43" t="s">
        <v>136</v>
      </c>
      <c r="C181" s="44" t="s">
        <v>28</v>
      </c>
      <c r="D181" s="45">
        <v>5.2999999999999999E-2</v>
      </c>
      <c r="E181" s="45">
        <v>1389.134</v>
      </c>
      <c r="F181" s="45">
        <f t="shared" si="34"/>
        <v>73.624101999999993</v>
      </c>
      <c r="G181" s="46">
        <f t="shared" si="35"/>
        <v>0</v>
      </c>
      <c r="H181" s="47">
        <f t="shared" si="36"/>
        <v>0</v>
      </c>
      <c r="I181" s="46">
        <f t="shared" si="37"/>
        <v>0</v>
      </c>
      <c r="J181" s="47">
        <v>0</v>
      </c>
      <c r="K181" s="46">
        <f t="shared" si="38"/>
        <v>0</v>
      </c>
      <c r="L181" s="47">
        <v>0</v>
      </c>
      <c r="AZ181" s="49"/>
      <c r="BC181" s="50"/>
    </row>
    <row r="182" spans="1:55" s="48" customFormat="1" ht="15.45" customHeight="1" outlineLevel="1" x14ac:dyDescent="0.25">
      <c r="A182" s="42">
        <v>65</v>
      </c>
      <c r="B182" s="43" t="s">
        <v>117</v>
      </c>
      <c r="C182" s="44" t="s">
        <v>48</v>
      </c>
      <c r="D182" s="45">
        <v>39</v>
      </c>
      <c r="E182" s="45">
        <v>5.4732580000000004</v>
      </c>
      <c r="F182" s="45">
        <f t="shared" ref="F182:F213" si="39">+E182*D182</f>
        <v>213.45706200000001</v>
      </c>
      <c r="G182" s="46">
        <f t="shared" ref="G182:G197" si="40">I182+K182</f>
        <v>0</v>
      </c>
      <c r="H182" s="47">
        <f t="shared" ref="H182:H197" si="41">J182+L182</f>
        <v>0</v>
      </c>
      <c r="I182" s="46">
        <f t="shared" ref="I182:I213" si="42">J182/F182</f>
        <v>0</v>
      </c>
      <c r="J182" s="47">
        <v>0</v>
      </c>
      <c r="K182" s="46">
        <f t="shared" ref="K182:K213" si="43">L182/F182</f>
        <v>0</v>
      </c>
      <c r="L182" s="47">
        <v>0</v>
      </c>
      <c r="AZ182" s="49"/>
      <c r="BC182" s="50"/>
    </row>
    <row r="183" spans="1:55" s="48" customFormat="1" ht="15.45" customHeight="1" outlineLevel="1" x14ac:dyDescent="0.25">
      <c r="A183" s="42">
        <v>66</v>
      </c>
      <c r="B183" s="43" t="s">
        <v>143</v>
      </c>
      <c r="C183" s="44" t="s">
        <v>48</v>
      </c>
      <c r="D183" s="45">
        <v>39</v>
      </c>
      <c r="E183" s="45">
        <v>1.4259999999999999</v>
      </c>
      <c r="F183" s="45">
        <f t="shared" si="39"/>
        <v>55.613999999999997</v>
      </c>
      <c r="G183" s="46">
        <f t="shared" si="40"/>
        <v>0</v>
      </c>
      <c r="H183" s="47">
        <f t="shared" si="41"/>
        <v>0</v>
      </c>
      <c r="I183" s="46">
        <f t="shared" si="42"/>
        <v>0</v>
      </c>
      <c r="J183" s="47">
        <v>0</v>
      </c>
      <c r="K183" s="46">
        <f t="shared" si="43"/>
        <v>0</v>
      </c>
      <c r="L183" s="47">
        <v>0</v>
      </c>
      <c r="AZ183" s="49"/>
      <c r="BC183" s="50"/>
    </row>
    <row r="184" spans="1:55" s="48" customFormat="1" ht="27.75" customHeight="1" outlineLevel="1" x14ac:dyDescent="0.25">
      <c r="A184" s="42">
        <v>67</v>
      </c>
      <c r="B184" s="43" t="s">
        <v>119</v>
      </c>
      <c r="C184" s="44" t="s">
        <v>48</v>
      </c>
      <c r="D184" s="45">
        <v>39</v>
      </c>
      <c r="E184" s="45">
        <v>9.2799999999999994</v>
      </c>
      <c r="F184" s="45">
        <f t="shared" si="39"/>
        <v>361.91999999999996</v>
      </c>
      <c r="G184" s="46">
        <f t="shared" si="40"/>
        <v>0</v>
      </c>
      <c r="H184" s="47">
        <f t="shared" si="41"/>
        <v>0</v>
      </c>
      <c r="I184" s="46">
        <f t="shared" si="42"/>
        <v>0</v>
      </c>
      <c r="J184" s="47">
        <v>0</v>
      </c>
      <c r="K184" s="46">
        <f t="shared" si="43"/>
        <v>0</v>
      </c>
      <c r="L184" s="47">
        <v>0</v>
      </c>
      <c r="AZ184" s="49"/>
      <c r="BC184" s="50"/>
    </row>
    <row r="185" spans="1:55" s="48" customFormat="1" ht="27.75" customHeight="1" outlineLevel="1" x14ac:dyDescent="0.25">
      <c r="A185" s="42">
        <v>68</v>
      </c>
      <c r="B185" s="43" t="s">
        <v>120</v>
      </c>
      <c r="C185" s="44" t="s">
        <v>48</v>
      </c>
      <c r="D185" s="45">
        <v>39</v>
      </c>
      <c r="E185" s="45">
        <v>8.26</v>
      </c>
      <c r="F185" s="45">
        <f t="shared" si="39"/>
        <v>322.14</v>
      </c>
      <c r="G185" s="46">
        <f t="shared" si="40"/>
        <v>0</v>
      </c>
      <c r="H185" s="47">
        <f t="shared" si="41"/>
        <v>0</v>
      </c>
      <c r="I185" s="46">
        <f t="shared" si="42"/>
        <v>0</v>
      </c>
      <c r="J185" s="47">
        <v>0</v>
      </c>
      <c r="K185" s="46">
        <f t="shared" si="43"/>
        <v>0</v>
      </c>
      <c r="L185" s="47">
        <v>0</v>
      </c>
      <c r="AZ185" s="49"/>
      <c r="BC185" s="50"/>
    </row>
    <row r="186" spans="1:55" s="48" customFormat="1" ht="15.45" customHeight="1" outlineLevel="1" x14ac:dyDescent="0.25">
      <c r="A186" s="42">
        <v>69</v>
      </c>
      <c r="B186" s="43" t="s">
        <v>117</v>
      </c>
      <c r="C186" s="44" t="s">
        <v>48</v>
      </c>
      <c r="D186" s="45">
        <v>39</v>
      </c>
      <c r="E186" s="45">
        <v>5.4732580000000004</v>
      </c>
      <c r="F186" s="45">
        <f t="shared" si="39"/>
        <v>213.45706200000001</v>
      </c>
      <c r="G186" s="46">
        <f t="shared" si="40"/>
        <v>0</v>
      </c>
      <c r="H186" s="47">
        <f t="shared" si="41"/>
        <v>0</v>
      </c>
      <c r="I186" s="46">
        <f t="shared" si="42"/>
        <v>0</v>
      </c>
      <c r="J186" s="47">
        <v>0</v>
      </c>
      <c r="K186" s="46">
        <f t="shared" si="43"/>
        <v>0</v>
      </c>
      <c r="L186" s="47">
        <v>0</v>
      </c>
      <c r="AZ186" s="49"/>
      <c r="BC186" s="50"/>
    </row>
    <row r="187" spans="1:55" s="48" customFormat="1" ht="15.45" customHeight="1" outlineLevel="1" x14ac:dyDescent="0.25">
      <c r="A187" s="42">
        <v>70</v>
      </c>
      <c r="B187" s="43" t="s">
        <v>118</v>
      </c>
      <c r="C187" s="44" t="s">
        <v>48</v>
      </c>
      <c r="D187" s="45">
        <v>39</v>
      </c>
      <c r="E187" s="45">
        <v>1.4259999999999999</v>
      </c>
      <c r="F187" s="45">
        <f t="shared" si="39"/>
        <v>55.613999999999997</v>
      </c>
      <c r="G187" s="46">
        <f t="shared" si="40"/>
        <v>0</v>
      </c>
      <c r="H187" s="47">
        <f t="shared" si="41"/>
        <v>0</v>
      </c>
      <c r="I187" s="46">
        <f t="shared" si="42"/>
        <v>0</v>
      </c>
      <c r="J187" s="47">
        <v>0</v>
      </c>
      <c r="K187" s="46">
        <f t="shared" si="43"/>
        <v>0</v>
      </c>
      <c r="L187" s="47">
        <v>0</v>
      </c>
      <c r="AZ187" s="49"/>
      <c r="BC187" s="50"/>
    </row>
    <row r="188" spans="1:55" s="48" customFormat="1" ht="27.75" customHeight="1" outlineLevel="1" x14ac:dyDescent="0.25">
      <c r="A188" s="42">
        <v>71</v>
      </c>
      <c r="B188" s="43" t="s">
        <v>144</v>
      </c>
      <c r="C188" s="44" t="s">
        <v>48</v>
      </c>
      <c r="D188" s="45">
        <v>39</v>
      </c>
      <c r="E188" s="45">
        <v>39.170284000000009</v>
      </c>
      <c r="F188" s="45">
        <f t="shared" si="39"/>
        <v>1527.6410760000003</v>
      </c>
      <c r="G188" s="46">
        <f t="shared" si="40"/>
        <v>0</v>
      </c>
      <c r="H188" s="47">
        <f t="shared" si="41"/>
        <v>0</v>
      </c>
      <c r="I188" s="46">
        <f t="shared" si="42"/>
        <v>0</v>
      </c>
      <c r="J188" s="47">
        <v>0</v>
      </c>
      <c r="K188" s="46">
        <f t="shared" si="43"/>
        <v>0</v>
      </c>
      <c r="L188" s="47">
        <v>0</v>
      </c>
      <c r="AZ188" s="49"/>
      <c r="BC188" s="50"/>
    </row>
    <row r="189" spans="1:55" s="59" customFormat="1" ht="17.7" customHeight="1" outlineLevel="1" x14ac:dyDescent="0.35">
      <c r="A189" s="42">
        <v>72</v>
      </c>
      <c r="B189" s="43" t="s">
        <v>139</v>
      </c>
      <c r="C189" s="44" t="s">
        <v>26</v>
      </c>
      <c r="D189" s="45">
        <v>6.4</v>
      </c>
      <c r="E189" s="45">
        <v>65.318799999999996</v>
      </c>
      <c r="F189" s="45">
        <f t="shared" si="39"/>
        <v>418.04032000000001</v>
      </c>
      <c r="G189" s="46">
        <f t="shared" si="40"/>
        <v>0</v>
      </c>
      <c r="H189" s="47">
        <f t="shared" si="41"/>
        <v>0</v>
      </c>
      <c r="I189" s="46">
        <f t="shared" si="42"/>
        <v>0</v>
      </c>
      <c r="J189" s="47">
        <v>0</v>
      </c>
      <c r="K189" s="46">
        <f t="shared" si="43"/>
        <v>0</v>
      </c>
      <c r="L189" s="47">
        <v>0</v>
      </c>
      <c r="AZ189" s="60"/>
      <c r="BC189" s="61"/>
    </row>
    <row r="190" spans="1:55" s="48" customFormat="1" ht="27.75" customHeight="1" outlineLevel="1" x14ac:dyDescent="0.25">
      <c r="A190" s="42">
        <v>73</v>
      </c>
      <c r="B190" s="43" t="s">
        <v>115</v>
      </c>
      <c r="C190" s="44" t="s">
        <v>28</v>
      </c>
      <c r="D190" s="45">
        <v>0.216</v>
      </c>
      <c r="E190" s="45">
        <v>447.25</v>
      </c>
      <c r="F190" s="45">
        <f t="shared" si="39"/>
        <v>96.605999999999995</v>
      </c>
      <c r="G190" s="46">
        <f t="shared" si="40"/>
        <v>0</v>
      </c>
      <c r="H190" s="47">
        <f t="shared" si="41"/>
        <v>0</v>
      </c>
      <c r="I190" s="46">
        <f t="shared" si="42"/>
        <v>0</v>
      </c>
      <c r="J190" s="47">
        <v>0</v>
      </c>
      <c r="K190" s="46">
        <f t="shared" si="43"/>
        <v>0</v>
      </c>
      <c r="L190" s="47">
        <v>0</v>
      </c>
      <c r="AZ190" s="49"/>
      <c r="BC190" s="50"/>
    </row>
    <row r="191" spans="1:55" s="48" customFormat="1" ht="15.45" customHeight="1" outlineLevel="1" x14ac:dyDescent="0.25">
      <c r="A191" s="42">
        <v>74</v>
      </c>
      <c r="B191" s="43" t="s">
        <v>116</v>
      </c>
      <c r="C191" s="44" t="s">
        <v>28</v>
      </c>
      <c r="D191" s="45">
        <v>0.216</v>
      </c>
      <c r="E191" s="45">
        <v>1311.1</v>
      </c>
      <c r="F191" s="45">
        <f t="shared" si="39"/>
        <v>283.19759999999997</v>
      </c>
      <c r="G191" s="46">
        <f t="shared" si="40"/>
        <v>0</v>
      </c>
      <c r="H191" s="47">
        <f t="shared" si="41"/>
        <v>0</v>
      </c>
      <c r="I191" s="46">
        <f t="shared" si="42"/>
        <v>0</v>
      </c>
      <c r="J191" s="47">
        <v>0</v>
      </c>
      <c r="K191" s="46">
        <f t="shared" si="43"/>
        <v>0</v>
      </c>
      <c r="L191" s="47">
        <v>0</v>
      </c>
      <c r="AZ191" s="49"/>
      <c r="BC191" s="50"/>
    </row>
    <row r="192" spans="1:55" s="48" customFormat="1" ht="15.45" customHeight="1" outlineLevel="1" x14ac:dyDescent="0.25">
      <c r="A192" s="42">
        <v>75</v>
      </c>
      <c r="B192" s="43" t="s">
        <v>117</v>
      </c>
      <c r="C192" s="44" t="s">
        <v>48</v>
      </c>
      <c r="D192" s="45">
        <v>160</v>
      </c>
      <c r="E192" s="45">
        <v>5.4732580000000004</v>
      </c>
      <c r="F192" s="45">
        <f t="shared" si="39"/>
        <v>875.72128000000009</v>
      </c>
      <c r="G192" s="46">
        <f t="shared" si="40"/>
        <v>0</v>
      </c>
      <c r="H192" s="47">
        <f t="shared" si="41"/>
        <v>0</v>
      </c>
      <c r="I192" s="46">
        <f t="shared" si="42"/>
        <v>0</v>
      </c>
      <c r="J192" s="47">
        <v>0</v>
      </c>
      <c r="K192" s="46">
        <f t="shared" si="43"/>
        <v>0</v>
      </c>
      <c r="L192" s="47">
        <v>0</v>
      </c>
      <c r="AZ192" s="49"/>
      <c r="BC192" s="50"/>
    </row>
    <row r="193" spans="1:55" s="48" customFormat="1" ht="15.45" customHeight="1" outlineLevel="1" x14ac:dyDescent="0.25">
      <c r="A193" s="42">
        <v>76</v>
      </c>
      <c r="B193" s="43" t="s">
        <v>145</v>
      </c>
      <c r="C193" s="44" t="s">
        <v>48</v>
      </c>
      <c r="D193" s="45">
        <v>160</v>
      </c>
      <c r="E193" s="45">
        <v>1.4259999999999999</v>
      </c>
      <c r="F193" s="45">
        <f t="shared" si="39"/>
        <v>228.16</v>
      </c>
      <c r="G193" s="46">
        <f t="shared" si="40"/>
        <v>0</v>
      </c>
      <c r="H193" s="47">
        <f t="shared" si="41"/>
        <v>0</v>
      </c>
      <c r="I193" s="46">
        <f t="shared" si="42"/>
        <v>0</v>
      </c>
      <c r="J193" s="47">
        <v>0</v>
      </c>
      <c r="K193" s="46">
        <f t="shared" si="43"/>
        <v>0</v>
      </c>
      <c r="L193" s="47">
        <v>0</v>
      </c>
      <c r="AZ193" s="49"/>
      <c r="BC193" s="50"/>
    </row>
    <row r="194" spans="1:55" s="48" customFormat="1" ht="27.75" customHeight="1" outlineLevel="1" x14ac:dyDescent="0.25">
      <c r="A194" s="42">
        <v>77</v>
      </c>
      <c r="B194" s="43" t="s">
        <v>144</v>
      </c>
      <c r="C194" s="44" t="s">
        <v>48</v>
      </c>
      <c r="D194" s="45">
        <v>160</v>
      </c>
      <c r="E194" s="45">
        <v>39.170284000000009</v>
      </c>
      <c r="F194" s="45">
        <f t="shared" si="39"/>
        <v>6267.2454400000015</v>
      </c>
      <c r="G194" s="46">
        <f t="shared" si="40"/>
        <v>0</v>
      </c>
      <c r="H194" s="47">
        <f t="shared" si="41"/>
        <v>0</v>
      </c>
      <c r="I194" s="46">
        <f t="shared" si="42"/>
        <v>0</v>
      </c>
      <c r="J194" s="47">
        <v>0</v>
      </c>
      <c r="K194" s="46">
        <f t="shared" si="43"/>
        <v>0</v>
      </c>
      <c r="L194" s="47">
        <v>0</v>
      </c>
      <c r="AZ194" s="49"/>
      <c r="BC194" s="50"/>
    </row>
    <row r="195" spans="1:55" s="48" customFormat="1" ht="15.45" customHeight="1" outlineLevel="1" x14ac:dyDescent="0.25">
      <c r="A195" s="42">
        <v>78</v>
      </c>
      <c r="B195" s="43" t="s">
        <v>117</v>
      </c>
      <c r="C195" s="44" t="s">
        <v>48</v>
      </c>
      <c r="D195" s="45">
        <v>35.4</v>
      </c>
      <c r="E195" s="45">
        <v>5.4732580000000004</v>
      </c>
      <c r="F195" s="45">
        <f t="shared" si="39"/>
        <v>193.75333320000001</v>
      </c>
      <c r="G195" s="46">
        <f t="shared" si="40"/>
        <v>0</v>
      </c>
      <c r="H195" s="47">
        <f t="shared" si="41"/>
        <v>0</v>
      </c>
      <c r="I195" s="46">
        <f t="shared" si="42"/>
        <v>0</v>
      </c>
      <c r="J195" s="47">
        <v>0</v>
      </c>
      <c r="K195" s="46">
        <f t="shared" si="43"/>
        <v>0</v>
      </c>
      <c r="L195" s="47">
        <v>0</v>
      </c>
      <c r="AZ195" s="49"/>
      <c r="BC195" s="50"/>
    </row>
    <row r="196" spans="1:55" s="48" customFormat="1" ht="15.45" customHeight="1" outlineLevel="1" x14ac:dyDescent="0.25">
      <c r="A196" s="42">
        <v>79</v>
      </c>
      <c r="B196" s="43" t="s">
        <v>145</v>
      </c>
      <c r="C196" s="44" t="s">
        <v>48</v>
      </c>
      <c r="D196" s="45">
        <v>35.4</v>
      </c>
      <c r="E196" s="45">
        <v>1.4259999999999999</v>
      </c>
      <c r="F196" s="45">
        <f t="shared" si="39"/>
        <v>50.480399999999996</v>
      </c>
      <c r="G196" s="46">
        <f t="shared" si="40"/>
        <v>0</v>
      </c>
      <c r="H196" s="47">
        <f t="shared" si="41"/>
        <v>0</v>
      </c>
      <c r="I196" s="46">
        <f t="shared" si="42"/>
        <v>0</v>
      </c>
      <c r="J196" s="47">
        <v>0</v>
      </c>
      <c r="K196" s="46">
        <f t="shared" si="43"/>
        <v>0</v>
      </c>
      <c r="L196" s="47">
        <v>0</v>
      </c>
      <c r="AZ196" s="49"/>
      <c r="BC196" s="50"/>
    </row>
    <row r="197" spans="1:55" s="48" customFormat="1" ht="27.75" customHeight="1" outlineLevel="1" x14ac:dyDescent="0.25">
      <c r="A197" s="42">
        <v>80</v>
      </c>
      <c r="B197" s="43" t="s">
        <v>146</v>
      </c>
      <c r="C197" s="44" t="s">
        <v>48</v>
      </c>
      <c r="D197" s="45">
        <v>35.4</v>
      </c>
      <c r="E197" s="45">
        <v>120.11309799999999</v>
      </c>
      <c r="F197" s="45">
        <f t="shared" si="39"/>
        <v>4252.0036691999994</v>
      </c>
      <c r="G197" s="46">
        <f t="shared" si="40"/>
        <v>0</v>
      </c>
      <c r="H197" s="47">
        <f t="shared" si="41"/>
        <v>0</v>
      </c>
      <c r="I197" s="46">
        <f t="shared" si="42"/>
        <v>0</v>
      </c>
      <c r="J197" s="47">
        <v>0</v>
      </c>
      <c r="K197" s="46">
        <f t="shared" si="43"/>
        <v>0</v>
      </c>
      <c r="L197" s="47">
        <v>0</v>
      </c>
      <c r="AZ197" s="49"/>
      <c r="BC197" s="50"/>
    </row>
    <row r="198" spans="1:55" s="56" customFormat="1" ht="17.25" customHeight="1" x14ac:dyDescent="0.3">
      <c r="A198" s="31">
        <v>2.8</v>
      </c>
      <c r="B198" s="51" t="s">
        <v>147</v>
      </c>
      <c r="C198" s="52">
        <v>0</v>
      </c>
      <c r="D198" s="53"/>
      <c r="E198" s="53"/>
      <c r="F198" s="53"/>
      <c r="G198" s="54"/>
      <c r="H198" s="55"/>
      <c r="I198" s="54"/>
      <c r="J198" s="55"/>
      <c r="K198" s="54"/>
      <c r="L198" s="55">
        <v>0</v>
      </c>
      <c r="AZ198" s="57"/>
      <c r="BC198" s="58"/>
    </row>
    <row r="199" spans="1:55" s="48" customFormat="1" ht="27.75" customHeight="1" outlineLevel="1" x14ac:dyDescent="0.25">
      <c r="A199" s="42">
        <v>1</v>
      </c>
      <c r="B199" s="43" t="s">
        <v>148</v>
      </c>
      <c r="C199" s="44" t="s">
        <v>48</v>
      </c>
      <c r="D199" s="45">
        <v>1333.6</v>
      </c>
      <c r="E199" s="45">
        <v>2.84</v>
      </c>
      <c r="F199" s="45">
        <f t="shared" ref="F199:F210" si="44">+E199*D199</f>
        <v>3787.4239999999995</v>
      </c>
      <c r="G199" s="46">
        <f t="shared" ref="G199:G210" si="45">I199+K199</f>
        <v>0</v>
      </c>
      <c r="H199" s="47">
        <f t="shared" ref="H199:H210" si="46">J199+L199</f>
        <v>0</v>
      </c>
      <c r="I199" s="46">
        <f t="shared" ref="I199:I210" si="47">J199/F199</f>
        <v>0</v>
      </c>
      <c r="J199" s="47">
        <v>0</v>
      </c>
      <c r="K199" s="46">
        <f t="shared" ref="K199:K210" si="48">L199/F199</f>
        <v>0</v>
      </c>
      <c r="L199" s="47">
        <v>0</v>
      </c>
      <c r="AZ199" s="49"/>
      <c r="BC199" s="50"/>
    </row>
    <row r="200" spans="1:55" s="48" customFormat="1" ht="15.45" customHeight="1" outlineLevel="1" x14ac:dyDescent="0.25">
      <c r="A200" s="42">
        <v>2</v>
      </c>
      <c r="B200" s="43" t="s">
        <v>149</v>
      </c>
      <c r="C200" s="44" t="s">
        <v>48</v>
      </c>
      <c r="D200" s="45">
        <v>1983.9</v>
      </c>
      <c r="E200" s="45">
        <v>6.5271220000000003</v>
      </c>
      <c r="F200" s="45">
        <f t="shared" si="44"/>
        <v>12949.157335800001</v>
      </c>
      <c r="G200" s="46">
        <f t="shared" si="45"/>
        <v>0</v>
      </c>
      <c r="H200" s="47">
        <f t="shared" si="46"/>
        <v>0</v>
      </c>
      <c r="I200" s="46">
        <f t="shared" si="47"/>
        <v>0</v>
      </c>
      <c r="J200" s="47">
        <v>0</v>
      </c>
      <c r="K200" s="46">
        <f t="shared" si="48"/>
        <v>0</v>
      </c>
      <c r="L200" s="47">
        <v>0</v>
      </c>
      <c r="AZ200" s="49"/>
      <c r="BC200" s="50"/>
    </row>
    <row r="201" spans="1:55" s="48" customFormat="1" ht="27.75" customHeight="1" outlineLevel="1" x14ac:dyDescent="0.25">
      <c r="A201" s="42">
        <v>3</v>
      </c>
      <c r="B201" s="43" t="s">
        <v>150</v>
      </c>
      <c r="C201" s="44" t="s">
        <v>48</v>
      </c>
      <c r="D201" s="45">
        <v>1983.9</v>
      </c>
      <c r="E201" s="45">
        <v>8.2566339999999983</v>
      </c>
      <c r="F201" s="45">
        <f t="shared" si="44"/>
        <v>16380.336192599998</v>
      </c>
      <c r="G201" s="46">
        <f t="shared" si="45"/>
        <v>0</v>
      </c>
      <c r="H201" s="47">
        <f t="shared" si="46"/>
        <v>0</v>
      </c>
      <c r="I201" s="46">
        <f t="shared" si="47"/>
        <v>0</v>
      </c>
      <c r="J201" s="47">
        <v>0</v>
      </c>
      <c r="K201" s="46">
        <f t="shared" si="48"/>
        <v>0</v>
      </c>
      <c r="L201" s="47">
        <v>0</v>
      </c>
      <c r="AZ201" s="49"/>
      <c r="BC201" s="50"/>
    </row>
    <row r="202" spans="1:55" s="48" customFormat="1" ht="27.75" customHeight="1" outlineLevel="1" x14ac:dyDescent="0.25">
      <c r="A202" s="42">
        <v>4</v>
      </c>
      <c r="B202" s="43" t="s">
        <v>151</v>
      </c>
      <c r="C202" s="44" t="s">
        <v>48</v>
      </c>
      <c r="D202" s="45">
        <v>96</v>
      </c>
      <c r="E202" s="45">
        <v>32.798139999999997</v>
      </c>
      <c r="F202" s="45">
        <f t="shared" si="44"/>
        <v>3148.6214399999999</v>
      </c>
      <c r="G202" s="46">
        <f t="shared" si="45"/>
        <v>0</v>
      </c>
      <c r="H202" s="47">
        <f t="shared" si="46"/>
        <v>0</v>
      </c>
      <c r="I202" s="46">
        <f t="shared" si="47"/>
        <v>0</v>
      </c>
      <c r="J202" s="47">
        <v>0</v>
      </c>
      <c r="K202" s="46">
        <f t="shared" si="48"/>
        <v>0</v>
      </c>
      <c r="L202" s="47">
        <v>0</v>
      </c>
      <c r="AZ202" s="49"/>
      <c r="BC202" s="50"/>
    </row>
    <row r="203" spans="1:55" s="48" customFormat="1" ht="27.75" customHeight="1" outlineLevel="1" x14ac:dyDescent="0.25">
      <c r="A203" s="42">
        <v>5</v>
      </c>
      <c r="B203" s="43" t="s">
        <v>152</v>
      </c>
      <c r="C203" s="44" t="s">
        <v>48</v>
      </c>
      <c r="D203" s="45">
        <v>96</v>
      </c>
      <c r="E203" s="45">
        <v>5.71</v>
      </c>
      <c r="F203" s="45">
        <f t="shared" si="44"/>
        <v>548.16</v>
      </c>
      <c r="G203" s="46">
        <f t="shared" si="45"/>
        <v>0</v>
      </c>
      <c r="H203" s="47">
        <f t="shared" si="46"/>
        <v>0</v>
      </c>
      <c r="I203" s="46">
        <f t="shared" si="47"/>
        <v>0</v>
      </c>
      <c r="J203" s="47">
        <v>0</v>
      </c>
      <c r="K203" s="46">
        <f t="shared" si="48"/>
        <v>0</v>
      </c>
      <c r="L203" s="47">
        <v>0</v>
      </c>
      <c r="AZ203" s="49"/>
      <c r="BC203" s="50"/>
    </row>
    <row r="204" spans="1:55" s="48" customFormat="1" ht="15.45" customHeight="1" outlineLevel="1" x14ac:dyDescent="0.25">
      <c r="A204" s="42">
        <v>6</v>
      </c>
      <c r="B204" s="43" t="s">
        <v>153</v>
      </c>
      <c r="C204" s="44" t="s">
        <v>48</v>
      </c>
      <c r="D204" s="45">
        <v>86.6</v>
      </c>
      <c r="E204" s="45">
        <v>95.817717999999999</v>
      </c>
      <c r="F204" s="45">
        <f t="shared" si="44"/>
        <v>8297.8143787999998</v>
      </c>
      <c r="G204" s="46">
        <f t="shared" si="45"/>
        <v>0</v>
      </c>
      <c r="H204" s="47">
        <f t="shared" si="46"/>
        <v>0</v>
      </c>
      <c r="I204" s="46">
        <f t="shared" si="47"/>
        <v>0</v>
      </c>
      <c r="J204" s="47">
        <v>0</v>
      </c>
      <c r="K204" s="46">
        <f t="shared" si="48"/>
        <v>0</v>
      </c>
      <c r="L204" s="47">
        <v>0</v>
      </c>
      <c r="AZ204" s="49"/>
      <c r="BC204" s="50"/>
    </row>
    <row r="205" spans="1:55" s="48" customFormat="1" ht="27.75" customHeight="1" outlineLevel="1" x14ac:dyDescent="0.25">
      <c r="A205" s="42">
        <v>7</v>
      </c>
      <c r="B205" s="43" t="s">
        <v>154</v>
      </c>
      <c r="C205" s="44" t="s">
        <v>48</v>
      </c>
      <c r="D205" s="45">
        <v>3260</v>
      </c>
      <c r="E205" s="45">
        <v>10.837234</v>
      </c>
      <c r="F205" s="45">
        <f t="shared" si="44"/>
        <v>35329.382839999998</v>
      </c>
      <c r="G205" s="46">
        <f t="shared" si="45"/>
        <v>0</v>
      </c>
      <c r="H205" s="47">
        <f t="shared" si="46"/>
        <v>0</v>
      </c>
      <c r="I205" s="46">
        <f t="shared" si="47"/>
        <v>0</v>
      </c>
      <c r="J205" s="47">
        <v>0</v>
      </c>
      <c r="K205" s="46">
        <f t="shared" si="48"/>
        <v>0</v>
      </c>
      <c r="L205" s="47">
        <v>0</v>
      </c>
      <c r="AZ205" s="49"/>
      <c r="BC205" s="50"/>
    </row>
    <row r="206" spans="1:55" s="48" customFormat="1" ht="15.45" customHeight="1" outlineLevel="1" x14ac:dyDescent="0.25">
      <c r="A206" s="42">
        <v>8</v>
      </c>
      <c r="B206" s="43" t="s">
        <v>155</v>
      </c>
      <c r="C206" s="44" t="s">
        <v>48</v>
      </c>
      <c r="D206" s="45">
        <v>3260</v>
      </c>
      <c r="E206" s="45">
        <v>2.84</v>
      </c>
      <c r="F206" s="45">
        <f t="shared" si="44"/>
        <v>9258.4</v>
      </c>
      <c r="G206" s="46">
        <f t="shared" si="45"/>
        <v>0</v>
      </c>
      <c r="H206" s="47">
        <f t="shared" si="46"/>
        <v>0</v>
      </c>
      <c r="I206" s="46">
        <f t="shared" si="47"/>
        <v>0</v>
      </c>
      <c r="J206" s="47">
        <v>0</v>
      </c>
      <c r="K206" s="46">
        <f t="shared" si="48"/>
        <v>0</v>
      </c>
      <c r="L206" s="47">
        <v>0</v>
      </c>
      <c r="AZ206" s="49"/>
      <c r="BC206" s="50"/>
    </row>
    <row r="207" spans="1:55" s="48" customFormat="1" ht="27.75" customHeight="1" outlineLevel="1" x14ac:dyDescent="0.25">
      <c r="A207" s="42">
        <v>9</v>
      </c>
      <c r="B207" s="43" t="s">
        <v>156</v>
      </c>
      <c r="C207" s="44" t="s">
        <v>48</v>
      </c>
      <c r="D207" s="45">
        <v>3647</v>
      </c>
      <c r="E207" s="45">
        <v>12.792778</v>
      </c>
      <c r="F207" s="45">
        <f t="shared" si="44"/>
        <v>46655.261365999999</v>
      </c>
      <c r="G207" s="46">
        <f t="shared" si="45"/>
        <v>0</v>
      </c>
      <c r="H207" s="47">
        <f t="shared" si="46"/>
        <v>0</v>
      </c>
      <c r="I207" s="46">
        <f t="shared" si="47"/>
        <v>0</v>
      </c>
      <c r="J207" s="47">
        <v>0</v>
      </c>
      <c r="K207" s="46">
        <f t="shared" si="48"/>
        <v>0</v>
      </c>
      <c r="L207" s="47">
        <v>0</v>
      </c>
      <c r="AZ207" s="49"/>
      <c r="BC207" s="50"/>
    </row>
    <row r="208" spans="1:55" s="48" customFormat="1" ht="27.75" customHeight="1" outlineLevel="1" x14ac:dyDescent="0.25">
      <c r="A208" s="42">
        <v>10</v>
      </c>
      <c r="B208" s="43" t="s">
        <v>157</v>
      </c>
      <c r="C208" s="44" t="s">
        <v>48</v>
      </c>
      <c r="D208" s="45">
        <v>3647</v>
      </c>
      <c r="E208" s="45">
        <v>5.71</v>
      </c>
      <c r="F208" s="45">
        <f t="shared" si="44"/>
        <v>20824.37</v>
      </c>
      <c r="G208" s="46">
        <f t="shared" si="45"/>
        <v>0</v>
      </c>
      <c r="H208" s="47">
        <f t="shared" si="46"/>
        <v>0</v>
      </c>
      <c r="I208" s="46">
        <f t="shared" si="47"/>
        <v>0</v>
      </c>
      <c r="J208" s="47">
        <v>0</v>
      </c>
      <c r="K208" s="46">
        <f t="shared" si="48"/>
        <v>0</v>
      </c>
      <c r="L208" s="47">
        <v>0</v>
      </c>
      <c r="AZ208" s="49"/>
      <c r="BC208" s="50"/>
    </row>
    <row r="209" spans="1:55" s="48" customFormat="1" ht="27.75" customHeight="1" outlineLevel="1" x14ac:dyDescent="0.25">
      <c r="A209" s="42">
        <v>11</v>
      </c>
      <c r="B209" s="43" t="s">
        <v>158</v>
      </c>
      <c r="C209" s="44" t="s">
        <v>48</v>
      </c>
      <c r="D209" s="45">
        <v>474.2</v>
      </c>
      <c r="E209" s="45">
        <v>10.837234</v>
      </c>
      <c r="F209" s="45">
        <f t="shared" si="44"/>
        <v>5139.0163628</v>
      </c>
      <c r="G209" s="46">
        <f t="shared" si="45"/>
        <v>0</v>
      </c>
      <c r="H209" s="47">
        <f t="shared" si="46"/>
        <v>0</v>
      </c>
      <c r="I209" s="46">
        <f t="shared" si="47"/>
        <v>0</v>
      </c>
      <c r="J209" s="47">
        <v>0</v>
      </c>
      <c r="K209" s="46">
        <f t="shared" si="48"/>
        <v>0</v>
      </c>
      <c r="L209" s="47">
        <v>0</v>
      </c>
      <c r="AZ209" s="49"/>
      <c r="BC209" s="50"/>
    </row>
    <row r="210" spans="1:55" s="48" customFormat="1" ht="41.7" customHeight="1" outlineLevel="1" x14ac:dyDescent="0.25">
      <c r="A210" s="42">
        <v>12</v>
      </c>
      <c r="B210" s="43" t="s">
        <v>159</v>
      </c>
      <c r="C210" s="44" t="s">
        <v>48</v>
      </c>
      <c r="D210" s="45">
        <v>474.2</v>
      </c>
      <c r="E210" s="45">
        <v>40.140304</v>
      </c>
      <c r="F210" s="45">
        <f t="shared" si="44"/>
        <v>19034.5321568</v>
      </c>
      <c r="G210" s="46">
        <f t="shared" si="45"/>
        <v>0</v>
      </c>
      <c r="H210" s="47">
        <f t="shared" si="46"/>
        <v>0</v>
      </c>
      <c r="I210" s="46">
        <f t="shared" si="47"/>
        <v>0</v>
      </c>
      <c r="J210" s="47">
        <v>0</v>
      </c>
      <c r="K210" s="46">
        <f t="shared" si="48"/>
        <v>0</v>
      </c>
      <c r="L210" s="47">
        <v>0</v>
      </c>
      <c r="AZ210" s="49"/>
      <c r="BC210" s="50"/>
    </row>
    <row r="211" spans="1:55" s="56" customFormat="1" ht="17.25" customHeight="1" x14ac:dyDescent="0.3">
      <c r="A211" s="31">
        <v>2.9</v>
      </c>
      <c r="B211" s="51" t="s">
        <v>160</v>
      </c>
      <c r="C211" s="52">
        <v>0</v>
      </c>
      <c r="D211" s="53"/>
      <c r="E211" s="53"/>
      <c r="F211" s="53"/>
      <c r="G211" s="54"/>
      <c r="H211" s="55"/>
      <c r="I211" s="54"/>
      <c r="J211" s="55"/>
      <c r="K211" s="54"/>
      <c r="L211" s="55">
        <v>0</v>
      </c>
      <c r="AZ211" s="57"/>
      <c r="BC211" s="58"/>
    </row>
    <row r="212" spans="1:55" s="48" customFormat="1" ht="15.45" customHeight="1" outlineLevel="1" x14ac:dyDescent="0.25">
      <c r="A212" s="42">
        <v>1</v>
      </c>
      <c r="B212" s="43" t="s">
        <v>161</v>
      </c>
      <c r="C212" s="44" t="s">
        <v>48</v>
      </c>
      <c r="D212" s="45">
        <v>860</v>
      </c>
      <c r="E212" s="45">
        <v>10.327336000000001</v>
      </c>
      <c r="F212" s="45">
        <f>+E212*D212</f>
        <v>8881.508960000001</v>
      </c>
      <c r="G212" s="46">
        <f t="shared" ref="G212:H216" si="49">I212+K212</f>
        <v>0</v>
      </c>
      <c r="H212" s="47">
        <f t="shared" si="49"/>
        <v>0</v>
      </c>
      <c r="I212" s="46">
        <f>J212/F212</f>
        <v>0</v>
      </c>
      <c r="J212" s="47">
        <v>0</v>
      </c>
      <c r="K212" s="46">
        <f>L212/F212</f>
        <v>0</v>
      </c>
      <c r="L212" s="47">
        <v>0</v>
      </c>
      <c r="AZ212" s="49"/>
      <c r="BC212" s="50"/>
    </row>
    <row r="213" spans="1:55" s="48" customFormat="1" ht="41.7" customHeight="1" outlineLevel="1" x14ac:dyDescent="0.25">
      <c r="A213" s="42">
        <v>2</v>
      </c>
      <c r="B213" s="43" t="s">
        <v>162</v>
      </c>
      <c r="C213" s="44" t="s">
        <v>48</v>
      </c>
      <c r="D213" s="45">
        <v>860</v>
      </c>
      <c r="E213" s="45">
        <v>35.799999999999997</v>
      </c>
      <c r="F213" s="45">
        <f>+E213*D213</f>
        <v>30787.999999999996</v>
      </c>
      <c r="G213" s="46">
        <f t="shared" si="49"/>
        <v>0</v>
      </c>
      <c r="H213" s="47">
        <f t="shared" si="49"/>
        <v>0</v>
      </c>
      <c r="I213" s="46">
        <f>J213/F213</f>
        <v>0</v>
      </c>
      <c r="J213" s="47">
        <v>0</v>
      </c>
      <c r="K213" s="46">
        <f>L213/F213</f>
        <v>0</v>
      </c>
      <c r="L213" s="47">
        <v>0</v>
      </c>
      <c r="AZ213" s="49"/>
      <c r="BC213" s="50"/>
    </row>
    <row r="214" spans="1:55" s="48" customFormat="1" ht="15.45" customHeight="1" outlineLevel="1" x14ac:dyDescent="0.25">
      <c r="A214" s="42">
        <v>3</v>
      </c>
      <c r="B214" s="43" t="s">
        <v>78</v>
      </c>
      <c r="C214" s="44" t="s">
        <v>26</v>
      </c>
      <c r="D214" s="45">
        <v>43</v>
      </c>
      <c r="E214" s="45">
        <v>66.499999999999986</v>
      </c>
      <c r="F214" s="45">
        <f>+E214*D214</f>
        <v>2859.4999999999995</v>
      </c>
      <c r="G214" s="46">
        <f t="shared" si="49"/>
        <v>0</v>
      </c>
      <c r="H214" s="47">
        <f t="shared" si="49"/>
        <v>0</v>
      </c>
      <c r="I214" s="46">
        <f>J214/F214</f>
        <v>0</v>
      </c>
      <c r="J214" s="47">
        <v>0</v>
      </c>
      <c r="K214" s="46">
        <f>L214/F214</f>
        <v>0</v>
      </c>
      <c r="L214" s="47">
        <v>0</v>
      </c>
      <c r="AZ214" s="49"/>
      <c r="BC214" s="50"/>
    </row>
    <row r="215" spans="1:55" s="48" customFormat="1" ht="27.75" customHeight="1" outlineLevel="1" x14ac:dyDescent="0.25">
      <c r="A215" s="42">
        <v>4</v>
      </c>
      <c r="B215" s="43" t="s">
        <v>163</v>
      </c>
      <c r="C215" s="44" t="s">
        <v>48</v>
      </c>
      <c r="D215" s="45">
        <v>120</v>
      </c>
      <c r="E215" s="45">
        <v>28.66</v>
      </c>
      <c r="F215" s="45">
        <f>+E215*D215</f>
        <v>3439.2</v>
      </c>
      <c r="G215" s="46">
        <f t="shared" si="49"/>
        <v>0</v>
      </c>
      <c r="H215" s="47">
        <f t="shared" si="49"/>
        <v>0</v>
      </c>
      <c r="I215" s="46">
        <f>J215/F215</f>
        <v>0</v>
      </c>
      <c r="J215" s="47">
        <v>0</v>
      </c>
      <c r="K215" s="46">
        <f>L215/F215</f>
        <v>0</v>
      </c>
      <c r="L215" s="47">
        <v>0</v>
      </c>
      <c r="AZ215" s="49"/>
      <c r="BC215" s="50"/>
    </row>
    <row r="216" spans="1:55" s="48" customFormat="1" ht="27.75" customHeight="1" outlineLevel="1" x14ac:dyDescent="0.25">
      <c r="A216" s="42">
        <v>5</v>
      </c>
      <c r="B216" s="43" t="s">
        <v>164</v>
      </c>
      <c r="C216" s="44" t="s">
        <v>48</v>
      </c>
      <c r="D216" s="45">
        <v>1360</v>
      </c>
      <c r="E216" s="45">
        <v>6.8142519999999998</v>
      </c>
      <c r="F216" s="45">
        <f>+E216*D216</f>
        <v>9267.3827199999996</v>
      </c>
      <c r="G216" s="46">
        <f t="shared" si="49"/>
        <v>0</v>
      </c>
      <c r="H216" s="47">
        <f t="shared" si="49"/>
        <v>0</v>
      </c>
      <c r="I216" s="46">
        <f>J216/F216</f>
        <v>0</v>
      </c>
      <c r="J216" s="47">
        <v>0</v>
      </c>
      <c r="K216" s="46">
        <f>L216/F216</f>
        <v>0</v>
      </c>
      <c r="L216" s="47">
        <v>0</v>
      </c>
      <c r="AZ216" s="49"/>
      <c r="BC216" s="50"/>
    </row>
    <row r="217" spans="1:55" s="56" customFormat="1" ht="17.25" customHeight="1" x14ac:dyDescent="0.3">
      <c r="A217" s="62">
        <v>2.1</v>
      </c>
      <c r="B217" s="51" t="s">
        <v>165</v>
      </c>
      <c r="C217" s="52">
        <v>0</v>
      </c>
      <c r="D217" s="53"/>
      <c r="E217" s="53"/>
      <c r="F217" s="53"/>
      <c r="G217" s="54"/>
      <c r="H217" s="55"/>
      <c r="I217" s="54"/>
      <c r="J217" s="55"/>
      <c r="K217" s="54"/>
      <c r="L217" s="55">
        <v>0</v>
      </c>
      <c r="AZ217" s="57"/>
      <c r="BC217" s="58"/>
    </row>
    <row r="218" spans="1:55" s="48" customFormat="1" ht="15.45" customHeight="1" outlineLevel="1" x14ac:dyDescent="0.25">
      <c r="A218" s="42">
        <v>1</v>
      </c>
      <c r="B218" s="43" t="s">
        <v>166</v>
      </c>
      <c r="C218" s="44" t="s">
        <v>26</v>
      </c>
      <c r="D218" s="45">
        <v>17.5</v>
      </c>
      <c r="E218" s="45">
        <v>8.16</v>
      </c>
      <c r="F218" s="45">
        <f t="shared" ref="F218:F236" si="50">+E218*D218</f>
        <v>142.80000000000001</v>
      </c>
      <c r="G218" s="46">
        <f t="shared" ref="G218:G236" si="51">I218+K218</f>
        <v>0</v>
      </c>
      <c r="H218" s="47">
        <f t="shared" ref="H218:H236" si="52">J218+L218</f>
        <v>0</v>
      </c>
      <c r="I218" s="46">
        <f t="shared" ref="I218:I236" si="53">J218/F218</f>
        <v>0</v>
      </c>
      <c r="J218" s="47">
        <v>0</v>
      </c>
      <c r="K218" s="46">
        <f t="shared" ref="K218:K236" si="54">L218/F218</f>
        <v>0</v>
      </c>
      <c r="L218" s="47">
        <v>0</v>
      </c>
      <c r="AZ218" s="49"/>
      <c r="BC218" s="50"/>
    </row>
    <row r="219" spans="1:55" s="48" customFormat="1" ht="15.45" customHeight="1" outlineLevel="1" x14ac:dyDescent="0.25">
      <c r="A219" s="42">
        <v>2</v>
      </c>
      <c r="B219" s="43" t="s">
        <v>167</v>
      </c>
      <c r="C219" s="44" t="s">
        <v>26</v>
      </c>
      <c r="D219" s="45">
        <v>4</v>
      </c>
      <c r="E219" s="45">
        <v>32.74</v>
      </c>
      <c r="F219" s="45">
        <f t="shared" si="50"/>
        <v>130.96</v>
      </c>
      <c r="G219" s="46">
        <f t="shared" si="51"/>
        <v>0</v>
      </c>
      <c r="H219" s="47">
        <f t="shared" si="52"/>
        <v>0</v>
      </c>
      <c r="I219" s="46">
        <f t="shared" si="53"/>
        <v>0</v>
      </c>
      <c r="J219" s="47">
        <v>0</v>
      </c>
      <c r="K219" s="46">
        <f t="shared" si="54"/>
        <v>0</v>
      </c>
      <c r="L219" s="47">
        <v>0</v>
      </c>
      <c r="AZ219" s="49"/>
      <c r="BC219" s="50"/>
    </row>
    <row r="220" spans="1:55" s="48" customFormat="1" ht="15.45" customHeight="1" outlineLevel="1" x14ac:dyDescent="0.25">
      <c r="A220" s="42">
        <v>3</v>
      </c>
      <c r="B220" s="43" t="s">
        <v>40</v>
      </c>
      <c r="C220" s="44" t="s">
        <v>26</v>
      </c>
      <c r="D220" s="45">
        <v>3.6</v>
      </c>
      <c r="E220" s="45">
        <v>124.1</v>
      </c>
      <c r="F220" s="45">
        <f t="shared" si="50"/>
        <v>446.76</v>
      </c>
      <c r="G220" s="46">
        <f t="shared" si="51"/>
        <v>0</v>
      </c>
      <c r="H220" s="47">
        <f t="shared" si="52"/>
        <v>0</v>
      </c>
      <c r="I220" s="46">
        <f t="shared" si="53"/>
        <v>0</v>
      </c>
      <c r="J220" s="47">
        <v>0</v>
      </c>
      <c r="K220" s="46">
        <f t="shared" si="54"/>
        <v>0</v>
      </c>
      <c r="L220" s="47">
        <v>0</v>
      </c>
      <c r="AZ220" s="49"/>
      <c r="BC220" s="50"/>
    </row>
    <row r="221" spans="1:55" s="48" customFormat="1" ht="15.45" customHeight="1" outlineLevel="1" x14ac:dyDescent="0.25">
      <c r="A221" s="42">
        <v>4</v>
      </c>
      <c r="B221" s="43" t="s">
        <v>168</v>
      </c>
      <c r="C221" s="44" t="s">
        <v>26</v>
      </c>
      <c r="D221" s="45">
        <v>12.1</v>
      </c>
      <c r="E221" s="45">
        <v>133.019566</v>
      </c>
      <c r="F221" s="45">
        <f t="shared" si="50"/>
        <v>1609.5367486</v>
      </c>
      <c r="G221" s="46">
        <f t="shared" si="51"/>
        <v>0</v>
      </c>
      <c r="H221" s="47">
        <f t="shared" si="52"/>
        <v>0</v>
      </c>
      <c r="I221" s="46">
        <f t="shared" si="53"/>
        <v>0</v>
      </c>
      <c r="J221" s="47">
        <v>0</v>
      </c>
      <c r="K221" s="46">
        <f t="shared" si="54"/>
        <v>0</v>
      </c>
      <c r="L221" s="47">
        <v>0</v>
      </c>
      <c r="AZ221" s="49"/>
      <c r="BC221" s="50"/>
    </row>
    <row r="222" spans="1:55" s="48" customFormat="1" ht="15.45" customHeight="1" outlineLevel="1" x14ac:dyDescent="0.25">
      <c r="A222" s="42">
        <v>5</v>
      </c>
      <c r="B222" s="43" t="s">
        <v>42</v>
      </c>
      <c r="C222" s="44" t="s">
        <v>28</v>
      </c>
      <c r="D222" s="45">
        <v>0.02</v>
      </c>
      <c r="E222" s="45">
        <v>1325.1</v>
      </c>
      <c r="F222" s="45">
        <f t="shared" si="50"/>
        <v>26.501999999999999</v>
      </c>
      <c r="G222" s="46">
        <f t="shared" si="51"/>
        <v>0</v>
      </c>
      <c r="H222" s="47">
        <f t="shared" si="52"/>
        <v>0</v>
      </c>
      <c r="I222" s="46">
        <f t="shared" si="53"/>
        <v>0</v>
      </c>
      <c r="J222" s="47">
        <v>0</v>
      </c>
      <c r="K222" s="46">
        <f t="shared" si="54"/>
        <v>0</v>
      </c>
      <c r="L222" s="47">
        <v>0</v>
      </c>
      <c r="AZ222" s="49"/>
      <c r="BC222" s="50"/>
    </row>
    <row r="223" spans="1:55" s="48" customFormat="1" ht="15.45" customHeight="1" outlineLevel="1" x14ac:dyDescent="0.25">
      <c r="A223" s="42">
        <v>6</v>
      </c>
      <c r="B223" s="43" t="s">
        <v>43</v>
      </c>
      <c r="C223" s="44" t="s">
        <v>28</v>
      </c>
      <c r="D223" s="45">
        <v>1.1160000000000001</v>
      </c>
      <c r="E223" s="45">
        <v>1200.0999999999999</v>
      </c>
      <c r="F223" s="45">
        <f t="shared" si="50"/>
        <v>1339.3116</v>
      </c>
      <c r="G223" s="46">
        <f t="shared" si="51"/>
        <v>0</v>
      </c>
      <c r="H223" s="47">
        <f t="shared" si="52"/>
        <v>0</v>
      </c>
      <c r="I223" s="46">
        <f t="shared" si="53"/>
        <v>0</v>
      </c>
      <c r="J223" s="47">
        <v>0</v>
      </c>
      <c r="K223" s="46">
        <f t="shared" si="54"/>
        <v>0</v>
      </c>
      <c r="L223" s="47">
        <v>0</v>
      </c>
      <c r="AZ223" s="49"/>
      <c r="BC223" s="50"/>
    </row>
    <row r="224" spans="1:55" s="48" customFormat="1" ht="27.75" customHeight="1" outlineLevel="1" x14ac:dyDescent="0.25">
      <c r="A224" s="42">
        <v>7</v>
      </c>
      <c r="B224" s="43" t="s">
        <v>45</v>
      </c>
      <c r="C224" s="44" t="s">
        <v>26</v>
      </c>
      <c r="D224" s="45">
        <v>35.28</v>
      </c>
      <c r="E224" s="45">
        <v>201.24</v>
      </c>
      <c r="F224" s="45">
        <f t="shared" si="50"/>
        <v>7099.7472000000007</v>
      </c>
      <c r="G224" s="46">
        <f t="shared" si="51"/>
        <v>0</v>
      </c>
      <c r="H224" s="47">
        <f t="shared" si="52"/>
        <v>0</v>
      </c>
      <c r="I224" s="46">
        <f t="shared" si="53"/>
        <v>0</v>
      </c>
      <c r="J224" s="47">
        <v>0</v>
      </c>
      <c r="K224" s="46">
        <f t="shared" si="54"/>
        <v>0</v>
      </c>
      <c r="L224" s="47">
        <v>0</v>
      </c>
      <c r="AZ224" s="49"/>
      <c r="BC224" s="50"/>
    </row>
    <row r="225" spans="1:55" s="48" customFormat="1" ht="15.45" customHeight="1" outlineLevel="1" x14ac:dyDescent="0.25">
      <c r="A225" s="42">
        <v>8</v>
      </c>
      <c r="B225" s="43" t="s">
        <v>42</v>
      </c>
      <c r="C225" s="44" t="s">
        <v>28</v>
      </c>
      <c r="D225" s="45">
        <v>4.7E-2</v>
      </c>
      <c r="E225" s="45">
        <v>1325.1</v>
      </c>
      <c r="F225" s="45">
        <f t="shared" si="50"/>
        <v>62.279699999999998</v>
      </c>
      <c r="G225" s="46">
        <f t="shared" si="51"/>
        <v>0</v>
      </c>
      <c r="H225" s="47">
        <f t="shared" si="52"/>
        <v>0</v>
      </c>
      <c r="I225" s="46">
        <f t="shared" si="53"/>
        <v>0</v>
      </c>
      <c r="J225" s="47">
        <v>0</v>
      </c>
      <c r="K225" s="46">
        <f t="shared" si="54"/>
        <v>0</v>
      </c>
      <c r="L225" s="47">
        <v>0</v>
      </c>
      <c r="AZ225" s="49"/>
      <c r="BC225" s="50"/>
    </row>
    <row r="226" spans="1:55" s="48" customFormat="1" ht="15.45" customHeight="1" outlineLevel="1" x14ac:dyDescent="0.25">
      <c r="A226" s="42">
        <v>9</v>
      </c>
      <c r="B226" s="43" t="s">
        <v>43</v>
      </c>
      <c r="C226" s="44" t="s">
        <v>28</v>
      </c>
      <c r="D226" s="45">
        <v>1.9430000000000001</v>
      </c>
      <c r="E226" s="45">
        <v>1200.0999999999999</v>
      </c>
      <c r="F226" s="45">
        <f t="shared" si="50"/>
        <v>2331.7943</v>
      </c>
      <c r="G226" s="46">
        <f t="shared" si="51"/>
        <v>0</v>
      </c>
      <c r="H226" s="47">
        <f t="shared" si="52"/>
        <v>0</v>
      </c>
      <c r="I226" s="46">
        <f t="shared" si="53"/>
        <v>0</v>
      </c>
      <c r="J226" s="47">
        <v>0</v>
      </c>
      <c r="K226" s="46">
        <f t="shared" si="54"/>
        <v>0</v>
      </c>
      <c r="L226" s="47">
        <v>0</v>
      </c>
      <c r="AZ226" s="49"/>
      <c r="BC226" s="50"/>
    </row>
    <row r="227" spans="1:55" s="48" customFormat="1" ht="15.45" customHeight="1" outlineLevel="1" x14ac:dyDescent="0.25">
      <c r="A227" s="42">
        <v>10</v>
      </c>
      <c r="B227" s="43" t="s">
        <v>57</v>
      </c>
      <c r="C227" s="44" t="s">
        <v>26</v>
      </c>
      <c r="D227" s="45">
        <v>3.6</v>
      </c>
      <c r="E227" s="45">
        <v>204.1</v>
      </c>
      <c r="F227" s="45">
        <f t="shared" si="50"/>
        <v>734.76</v>
      </c>
      <c r="G227" s="46">
        <f t="shared" si="51"/>
        <v>0</v>
      </c>
      <c r="H227" s="47">
        <f t="shared" si="52"/>
        <v>0</v>
      </c>
      <c r="I227" s="46">
        <f t="shared" si="53"/>
        <v>0</v>
      </c>
      <c r="J227" s="47">
        <v>0</v>
      </c>
      <c r="K227" s="46">
        <f t="shared" si="54"/>
        <v>0</v>
      </c>
      <c r="L227" s="47">
        <v>0</v>
      </c>
      <c r="AZ227" s="49"/>
      <c r="BC227" s="50"/>
    </row>
    <row r="228" spans="1:55" s="48" customFormat="1" ht="15.45" customHeight="1" outlineLevel="1" x14ac:dyDescent="0.25">
      <c r="A228" s="42">
        <v>11</v>
      </c>
      <c r="B228" s="43" t="s">
        <v>42</v>
      </c>
      <c r="C228" s="44" t="s">
        <v>28</v>
      </c>
      <c r="D228" s="45">
        <v>0.1</v>
      </c>
      <c r="E228" s="45">
        <v>1325.1</v>
      </c>
      <c r="F228" s="45">
        <f t="shared" si="50"/>
        <v>132.51</v>
      </c>
      <c r="G228" s="46">
        <f t="shared" si="51"/>
        <v>0</v>
      </c>
      <c r="H228" s="47">
        <f t="shared" si="52"/>
        <v>0</v>
      </c>
      <c r="I228" s="46">
        <f t="shared" si="53"/>
        <v>0</v>
      </c>
      <c r="J228" s="47">
        <v>0</v>
      </c>
      <c r="K228" s="46">
        <f t="shared" si="54"/>
        <v>0</v>
      </c>
      <c r="L228" s="47">
        <v>0</v>
      </c>
      <c r="AZ228" s="49"/>
      <c r="BC228" s="50"/>
    </row>
    <row r="229" spans="1:55" s="48" customFormat="1" ht="15.45" customHeight="1" outlineLevel="1" x14ac:dyDescent="0.25">
      <c r="A229" s="42">
        <v>12</v>
      </c>
      <c r="B229" s="43" t="s">
        <v>43</v>
      </c>
      <c r="C229" s="44" t="s">
        <v>28</v>
      </c>
      <c r="D229" s="45">
        <v>0.21299999999999999</v>
      </c>
      <c r="E229" s="45">
        <v>1200.0999999999999</v>
      </c>
      <c r="F229" s="45">
        <f t="shared" si="50"/>
        <v>255.62129999999996</v>
      </c>
      <c r="G229" s="46">
        <f t="shared" si="51"/>
        <v>0</v>
      </c>
      <c r="H229" s="47">
        <f t="shared" si="52"/>
        <v>0</v>
      </c>
      <c r="I229" s="46">
        <f t="shared" si="53"/>
        <v>0</v>
      </c>
      <c r="J229" s="47">
        <v>0</v>
      </c>
      <c r="K229" s="46">
        <f t="shared" si="54"/>
        <v>0</v>
      </c>
      <c r="L229" s="47">
        <v>0</v>
      </c>
      <c r="AZ229" s="49"/>
      <c r="BC229" s="50"/>
    </row>
    <row r="230" spans="1:55" s="48" customFormat="1" ht="15.45" customHeight="1" outlineLevel="1" x14ac:dyDescent="0.25">
      <c r="A230" s="42">
        <v>13</v>
      </c>
      <c r="B230" s="43" t="s">
        <v>169</v>
      </c>
      <c r="C230" s="44" t="s">
        <v>28</v>
      </c>
      <c r="D230" s="45">
        <v>0.63200000000000001</v>
      </c>
      <c r="E230" s="45">
        <v>1844.3620000000001</v>
      </c>
      <c r="F230" s="45">
        <f t="shared" si="50"/>
        <v>1165.636784</v>
      </c>
      <c r="G230" s="46">
        <f t="shared" si="51"/>
        <v>0</v>
      </c>
      <c r="H230" s="47">
        <f t="shared" si="52"/>
        <v>0</v>
      </c>
      <c r="I230" s="46">
        <f t="shared" si="53"/>
        <v>0</v>
      </c>
      <c r="J230" s="47">
        <v>0</v>
      </c>
      <c r="K230" s="46">
        <f t="shared" si="54"/>
        <v>0</v>
      </c>
      <c r="L230" s="47">
        <v>0</v>
      </c>
      <c r="AZ230" s="49"/>
      <c r="BC230" s="50"/>
    </row>
    <row r="231" spans="1:55" s="48" customFormat="1" ht="15.45" customHeight="1" outlineLevel="1" x14ac:dyDescent="0.25">
      <c r="A231" s="42">
        <v>14</v>
      </c>
      <c r="B231" s="43" t="s">
        <v>39</v>
      </c>
      <c r="C231" s="44" t="s">
        <v>26</v>
      </c>
      <c r="D231" s="45">
        <v>1.4</v>
      </c>
      <c r="E231" s="45">
        <v>36.5</v>
      </c>
      <c r="F231" s="45">
        <f t="shared" si="50"/>
        <v>51.099999999999994</v>
      </c>
      <c r="G231" s="46">
        <f t="shared" si="51"/>
        <v>0</v>
      </c>
      <c r="H231" s="47">
        <f t="shared" si="52"/>
        <v>0</v>
      </c>
      <c r="I231" s="46">
        <f t="shared" si="53"/>
        <v>0</v>
      </c>
      <c r="J231" s="47">
        <v>0</v>
      </c>
      <c r="K231" s="46">
        <f t="shared" si="54"/>
        <v>0</v>
      </c>
      <c r="L231" s="47">
        <v>0</v>
      </c>
      <c r="AZ231" s="49"/>
      <c r="BC231" s="50"/>
    </row>
    <row r="232" spans="1:55" s="48" customFormat="1" ht="15.45" customHeight="1" outlineLevel="1" x14ac:dyDescent="0.25">
      <c r="A232" s="42">
        <v>15</v>
      </c>
      <c r="B232" s="43" t="s">
        <v>170</v>
      </c>
      <c r="C232" s="44" t="s">
        <v>26</v>
      </c>
      <c r="D232" s="45">
        <v>1.4</v>
      </c>
      <c r="E232" s="45">
        <v>26.72</v>
      </c>
      <c r="F232" s="45">
        <f t="shared" si="50"/>
        <v>37.407999999999994</v>
      </c>
      <c r="G232" s="46">
        <f t="shared" si="51"/>
        <v>0</v>
      </c>
      <c r="H232" s="47">
        <f t="shared" si="52"/>
        <v>0</v>
      </c>
      <c r="I232" s="46">
        <f t="shared" si="53"/>
        <v>0</v>
      </c>
      <c r="J232" s="47">
        <v>0</v>
      </c>
      <c r="K232" s="46">
        <f t="shared" si="54"/>
        <v>0</v>
      </c>
      <c r="L232" s="47">
        <v>0</v>
      </c>
      <c r="AZ232" s="49"/>
      <c r="BC232" s="50"/>
    </row>
    <row r="233" spans="1:55" s="48" customFormat="1" ht="15.45" customHeight="1" outlineLevel="1" x14ac:dyDescent="0.25">
      <c r="A233" s="42">
        <v>16</v>
      </c>
      <c r="B233" s="43" t="s">
        <v>40</v>
      </c>
      <c r="C233" s="44" t="s">
        <v>26</v>
      </c>
      <c r="D233" s="45">
        <v>0.7</v>
      </c>
      <c r="E233" s="45">
        <v>124.1</v>
      </c>
      <c r="F233" s="45">
        <f t="shared" si="50"/>
        <v>86.86999999999999</v>
      </c>
      <c r="G233" s="46">
        <f t="shared" si="51"/>
        <v>0</v>
      </c>
      <c r="H233" s="47">
        <f t="shared" si="52"/>
        <v>0</v>
      </c>
      <c r="I233" s="46">
        <f t="shared" si="53"/>
        <v>0</v>
      </c>
      <c r="J233" s="47">
        <v>0</v>
      </c>
      <c r="K233" s="46">
        <f t="shared" si="54"/>
        <v>0</v>
      </c>
      <c r="L233" s="47">
        <v>0</v>
      </c>
      <c r="AZ233" s="49"/>
      <c r="BC233" s="50"/>
    </row>
    <row r="234" spans="1:55" s="48" customFormat="1" ht="15.45" customHeight="1" outlineLevel="1" x14ac:dyDescent="0.25">
      <c r="A234" s="42">
        <v>17</v>
      </c>
      <c r="B234" s="43" t="s">
        <v>171</v>
      </c>
      <c r="C234" s="44" t="s">
        <v>26</v>
      </c>
      <c r="D234" s="45">
        <v>1.4</v>
      </c>
      <c r="E234" s="45">
        <v>173.972566</v>
      </c>
      <c r="F234" s="45">
        <f t="shared" si="50"/>
        <v>243.56159239999999</v>
      </c>
      <c r="G234" s="46">
        <f t="shared" si="51"/>
        <v>0</v>
      </c>
      <c r="H234" s="47">
        <f t="shared" si="52"/>
        <v>0</v>
      </c>
      <c r="I234" s="46">
        <f t="shared" si="53"/>
        <v>0</v>
      </c>
      <c r="J234" s="47">
        <v>0</v>
      </c>
      <c r="K234" s="46">
        <f t="shared" si="54"/>
        <v>0</v>
      </c>
      <c r="L234" s="47">
        <v>0</v>
      </c>
      <c r="AZ234" s="49"/>
      <c r="BC234" s="50"/>
    </row>
    <row r="235" spans="1:55" s="48" customFormat="1" ht="15.45" customHeight="1" outlineLevel="1" x14ac:dyDescent="0.25">
      <c r="A235" s="42">
        <v>18</v>
      </c>
      <c r="B235" s="43" t="s">
        <v>43</v>
      </c>
      <c r="C235" s="44" t="s">
        <v>28</v>
      </c>
      <c r="D235" s="45">
        <v>0.124</v>
      </c>
      <c r="E235" s="45">
        <v>1200.0999999999999</v>
      </c>
      <c r="F235" s="45">
        <f t="shared" si="50"/>
        <v>148.8124</v>
      </c>
      <c r="G235" s="46">
        <f t="shared" si="51"/>
        <v>0</v>
      </c>
      <c r="H235" s="47">
        <f t="shared" si="52"/>
        <v>0</v>
      </c>
      <c r="I235" s="46">
        <f t="shared" si="53"/>
        <v>0</v>
      </c>
      <c r="J235" s="47">
        <v>0</v>
      </c>
      <c r="K235" s="46">
        <f t="shared" si="54"/>
        <v>0</v>
      </c>
      <c r="L235" s="47">
        <v>0</v>
      </c>
      <c r="AZ235" s="49"/>
      <c r="BC235" s="50"/>
    </row>
    <row r="236" spans="1:55" s="48" customFormat="1" ht="15.45" customHeight="1" outlineLevel="1" x14ac:dyDescent="0.25">
      <c r="A236" s="42">
        <v>19</v>
      </c>
      <c r="B236" s="43" t="s">
        <v>172</v>
      </c>
      <c r="C236" s="44" t="s">
        <v>26</v>
      </c>
      <c r="D236" s="45">
        <v>1.8</v>
      </c>
      <c r="E236" s="45">
        <v>380.1</v>
      </c>
      <c r="F236" s="45">
        <f t="shared" si="50"/>
        <v>684.18000000000006</v>
      </c>
      <c r="G236" s="46">
        <f t="shared" si="51"/>
        <v>0</v>
      </c>
      <c r="H236" s="47">
        <f t="shared" si="52"/>
        <v>0</v>
      </c>
      <c r="I236" s="46">
        <f t="shared" si="53"/>
        <v>0</v>
      </c>
      <c r="J236" s="47">
        <v>0</v>
      </c>
      <c r="K236" s="46">
        <f t="shared" si="54"/>
        <v>0</v>
      </c>
      <c r="L236" s="47">
        <v>0</v>
      </c>
      <c r="AZ236" s="49"/>
      <c r="BC236" s="50"/>
    </row>
    <row r="237" spans="1:55" s="56" customFormat="1" ht="17.25" customHeight="1" x14ac:dyDescent="0.3">
      <c r="A237" s="62">
        <v>2.11</v>
      </c>
      <c r="B237" s="51" t="s">
        <v>173</v>
      </c>
      <c r="C237" s="52">
        <v>0</v>
      </c>
      <c r="D237" s="53"/>
      <c r="E237" s="53"/>
      <c r="F237" s="53"/>
      <c r="G237" s="54"/>
      <c r="H237" s="55"/>
      <c r="I237" s="54"/>
      <c r="J237" s="55"/>
      <c r="K237" s="54"/>
      <c r="L237" s="55">
        <v>0</v>
      </c>
      <c r="AZ237" s="57"/>
      <c r="BC237" s="58"/>
    </row>
    <row r="238" spans="1:55" s="48" customFormat="1" ht="15.45" customHeight="1" outlineLevel="1" x14ac:dyDescent="0.25">
      <c r="A238" s="42">
        <v>1</v>
      </c>
      <c r="B238" s="43" t="s">
        <v>167</v>
      </c>
      <c r="C238" s="44" t="s">
        <v>26</v>
      </c>
      <c r="D238" s="45">
        <v>1.5</v>
      </c>
      <c r="E238" s="45">
        <v>36.616</v>
      </c>
      <c r="F238" s="45">
        <f t="shared" ref="F238:F246" si="55">+E238*D238</f>
        <v>54.923999999999999</v>
      </c>
      <c r="G238" s="46">
        <f t="shared" ref="G238:G246" si="56">I238+K238</f>
        <v>0</v>
      </c>
      <c r="H238" s="47">
        <f t="shared" ref="H238:H246" si="57">J238+L238</f>
        <v>0</v>
      </c>
      <c r="I238" s="46">
        <f t="shared" ref="I238:I246" si="58">J238/F238</f>
        <v>0</v>
      </c>
      <c r="J238" s="47">
        <v>0</v>
      </c>
      <c r="K238" s="46">
        <f t="shared" ref="K238:K246" si="59">L238/F238</f>
        <v>0</v>
      </c>
      <c r="L238" s="47">
        <v>0</v>
      </c>
      <c r="AZ238" s="49"/>
      <c r="BC238" s="50"/>
    </row>
    <row r="239" spans="1:55" s="48" customFormat="1" ht="15.45" customHeight="1" outlineLevel="1" x14ac:dyDescent="0.25">
      <c r="A239" s="42">
        <v>2</v>
      </c>
      <c r="B239" s="43" t="s">
        <v>40</v>
      </c>
      <c r="C239" s="44" t="s">
        <v>26</v>
      </c>
      <c r="D239" s="45">
        <v>1.5</v>
      </c>
      <c r="E239" s="45">
        <v>124.1</v>
      </c>
      <c r="F239" s="45">
        <f t="shared" si="55"/>
        <v>186.14999999999998</v>
      </c>
      <c r="G239" s="46">
        <f t="shared" si="56"/>
        <v>0</v>
      </c>
      <c r="H239" s="47">
        <f t="shared" si="57"/>
        <v>0</v>
      </c>
      <c r="I239" s="46">
        <f t="shared" si="58"/>
        <v>0</v>
      </c>
      <c r="J239" s="47">
        <v>0</v>
      </c>
      <c r="K239" s="46">
        <f t="shared" si="59"/>
        <v>0</v>
      </c>
      <c r="L239" s="47">
        <v>0</v>
      </c>
      <c r="AZ239" s="49"/>
      <c r="BC239" s="50"/>
    </row>
    <row r="240" spans="1:55" s="48" customFormat="1" ht="15.45" customHeight="1" outlineLevel="1" x14ac:dyDescent="0.25">
      <c r="A240" s="42">
        <v>3</v>
      </c>
      <c r="B240" s="43" t="s">
        <v>174</v>
      </c>
      <c r="C240" s="44" t="s">
        <v>26</v>
      </c>
      <c r="D240" s="45">
        <v>3.16</v>
      </c>
      <c r="E240" s="45">
        <v>362.2</v>
      </c>
      <c r="F240" s="45">
        <f t="shared" si="55"/>
        <v>1144.5519999999999</v>
      </c>
      <c r="G240" s="46">
        <f t="shared" si="56"/>
        <v>0</v>
      </c>
      <c r="H240" s="47">
        <f t="shared" si="57"/>
        <v>0</v>
      </c>
      <c r="I240" s="46">
        <f t="shared" si="58"/>
        <v>0</v>
      </c>
      <c r="J240" s="47">
        <v>0</v>
      </c>
      <c r="K240" s="46">
        <f t="shared" si="59"/>
        <v>0</v>
      </c>
      <c r="L240" s="47">
        <v>0</v>
      </c>
      <c r="AZ240" s="49"/>
      <c r="BC240" s="50"/>
    </row>
    <row r="241" spans="1:55" s="48" customFormat="1" ht="15.45" customHeight="1" outlineLevel="1" x14ac:dyDescent="0.25">
      <c r="A241" s="42">
        <v>4</v>
      </c>
      <c r="B241" s="43" t="s">
        <v>42</v>
      </c>
      <c r="C241" s="44" t="s">
        <v>28</v>
      </c>
      <c r="D241" s="45">
        <v>0.06</v>
      </c>
      <c r="E241" s="45">
        <v>1325.1</v>
      </c>
      <c r="F241" s="45">
        <f t="shared" si="55"/>
        <v>79.505999999999986</v>
      </c>
      <c r="G241" s="46">
        <f t="shared" si="56"/>
        <v>0</v>
      </c>
      <c r="H241" s="47">
        <f t="shared" si="57"/>
        <v>0</v>
      </c>
      <c r="I241" s="46">
        <f t="shared" si="58"/>
        <v>0</v>
      </c>
      <c r="J241" s="47">
        <v>0</v>
      </c>
      <c r="K241" s="46">
        <f t="shared" si="59"/>
        <v>0</v>
      </c>
      <c r="L241" s="47">
        <v>0</v>
      </c>
      <c r="AZ241" s="49"/>
      <c r="BC241" s="50"/>
    </row>
    <row r="242" spans="1:55" s="48" customFormat="1" ht="15.45" customHeight="1" outlineLevel="1" x14ac:dyDescent="0.25">
      <c r="A242" s="42">
        <v>5</v>
      </c>
      <c r="B242" s="43" t="s">
        <v>43</v>
      </c>
      <c r="C242" s="44" t="s">
        <v>28</v>
      </c>
      <c r="D242" s="45">
        <v>0.14199999999999999</v>
      </c>
      <c r="E242" s="45">
        <v>1200.0999999999999</v>
      </c>
      <c r="F242" s="45">
        <f t="shared" si="55"/>
        <v>170.41419999999997</v>
      </c>
      <c r="G242" s="46">
        <f t="shared" si="56"/>
        <v>0</v>
      </c>
      <c r="H242" s="47">
        <f t="shared" si="57"/>
        <v>0</v>
      </c>
      <c r="I242" s="46">
        <f t="shared" si="58"/>
        <v>0</v>
      </c>
      <c r="J242" s="47">
        <v>0</v>
      </c>
      <c r="K242" s="46">
        <f t="shared" si="59"/>
        <v>0</v>
      </c>
      <c r="L242" s="47">
        <v>0</v>
      </c>
      <c r="AZ242" s="49"/>
      <c r="BC242" s="50"/>
    </row>
    <row r="243" spans="1:55" s="48" customFormat="1" ht="15.45" customHeight="1" outlineLevel="1" x14ac:dyDescent="0.25">
      <c r="A243" s="42">
        <v>6</v>
      </c>
      <c r="B243" s="43" t="s">
        <v>117</v>
      </c>
      <c r="C243" s="44" t="s">
        <v>48</v>
      </c>
      <c r="D243" s="45">
        <v>18.5</v>
      </c>
      <c r="E243" s="45">
        <v>5.4732580000000004</v>
      </c>
      <c r="F243" s="45">
        <f t="shared" si="55"/>
        <v>101.255273</v>
      </c>
      <c r="G243" s="46">
        <f t="shared" si="56"/>
        <v>0</v>
      </c>
      <c r="H243" s="47">
        <f t="shared" si="57"/>
        <v>0</v>
      </c>
      <c r="I243" s="46">
        <f t="shared" si="58"/>
        <v>0</v>
      </c>
      <c r="J243" s="47">
        <v>0</v>
      </c>
      <c r="K243" s="46">
        <f t="shared" si="59"/>
        <v>0</v>
      </c>
      <c r="L243" s="47">
        <v>0</v>
      </c>
      <c r="AZ243" s="49"/>
      <c r="BC243" s="50"/>
    </row>
    <row r="244" spans="1:55" s="48" customFormat="1" ht="27.75" customHeight="1" outlineLevel="1" x14ac:dyDescent="0.25">
      <c r="A244" s="42">
        <v>7</v>
      </c>
      <c r="B244" s="43" t="s">
        <v>175</v>
      </c>
      <c r="C244" s="44" t="s">
        <v>48</v>
      </c>
      <c r="D244" s="45">
        <v>18.5</v>
      </c>
      <c r="E244" s="45">
        <v>30.7</v>
      </c>
      <c r="F244" s="45">
        <f t="shared" si="55"/>
        <v>567.94999999999993</v>
      </c>
      <c r="G244" s="46">
        <f t="shared" si="56"/>
        <v>0</v>
      </c>
      <c r="H244" s="47">
        <f t="shared" si="57"/>
        <v>0</v>
      </c>
      <c r="I244" s="46">
        <f t="shared" si="58"/>
        <v>0</v>
      </c>
      <c r="J244" s="47">
        <v>0</v>
      </c>
      <c r="K244" s="46">
        <f t="shared" si="59"/>
        <v>0</v>
      </c>
      <c r="L244" s="47">
        <v>0</v>
      </c>
      <c r="AZ244" s="49"/>
      <c r="BC244" s="50"/>
    </row>
    <row r="245" spans="1:55" s="48" customFormat="1" ht="15.45" customHeight="1" outlineLevel="1" x14ac:dyDescent="0.25">
      <c r="A245" s="42">
        <v>8</v>
      </c>
      <c r="B245" s="43" t="s">
        <v>176</v>
      </c>
      <c r="C245" s="44" t="s">
        <v>61</v>
      </c>
      <c r="D245" s="45">
        <v>13.2</v>
      </c>
      <c r="E245" s="45">
        <v>40.9</v>
      </c>
      <c r="F245" s="45">
        <f t="shared" si="55"/>
        <v>539.88</v>
      </c>
      <c r="G245" s="46">
        <f t="shared" si="56"/>
        <v>0</v>
      </c>
      <c r="H245" s="47">
        <f t="shared" si="57"/>
        <v>0</v>
      </c>
      <c r="I245" s="46">
        <f t="shared" si="58"/>
        <v>0</v>
      </c>
      <c r="J245" s="47">
        <v>0</v>
      </c>
      <c r="K245" s="46">
        <f t="shared" si="59"/>
        <v>0</v>
      </c>
      <c r="L245" s="47">
        <v>0</v>
      </c>
      <c r="AZ245" s="49"/>
      <c r="BC245" s="50"/>
    </row>
    <row r="246" spans="1:55" s="48" customFormat="1" ht="15.45" customHeight="1" outlineLevel="1" x14ac:dyDescent="0.25">
      <c r="A246" s="42">
        <v>9</v>
      </c>
      <c r="B246" s="43" t="s">
        <v>62</v>
      </c>
      <c r="C246" s="44" t="s">
        <v>28</v>
      </c>
      <c r="D246" s="45">
        <v>8.7999999999999995E-2</v>
      </c>
      <c r="E246" s="45">
        <v>1887.2</v>
      </c>
      <c r="F246" s="45">
        <f t="shared" si="55"/>
        <v>166.0736</v>
      </c>
      <c r="G246" s="46">
        <f t="shared" si="56"/>
        <v>0</v>
      </c>
      <c r="H246" s="47">
        <f t="shared" si="57"/>
        <v>0</v>
      </c>
      <c r="I246" s="46">
        <f t="shared" si="58"/>
        <v>0</v>
      </c>
      <c r="J246" s="47">
        <v>0</v>
      </c>
      <c r="K246" s="46">
        <f t="shared" si="59"/>
        <v>0</v>
      </c>
      <c r="L246" s="47">
        <v>0</v>
      </c>
      <c r="AZ246" s="49"/>
      <c r="BC246" s="50"/>
    </row>
    <row r="247" spans="1:55" s="56" customFormat="1" ht="17.25" customHeight="1" x14ac:dyDescent="0.3">
      <c r="A247" s="62">
        <v>2.12</v>
      </c>
      <c r="B247" s="51" t="s">
        <v>177</v>
      </c>
      <c r="C247" s="52">
        <v>0</v>
      </c>
      <c r="D247" s="53"/>
      <c r="E247" s="53"/>
      <c r="F247" s="53"/>
      <c r="G247" s="54"/>
      <c r="H247" s="55"/>
      <c r="I247" s="54"/>
      <c r="J247" s="55"/>
      <c r="K247" s="54"/>
      <c r="L247" s="55">
        <v>0</v>
      </c>
      <c r="AZ247" s="57"/>
      <c r="BC247" s="58"/>
    </row>
    <row r="248" spans="1:55" s="48" customFormat="1" ht="15.45" customHeight="1" outlineLevel="1" x14ac:dyDescent="0.25">
      <c r="A248" s="42">
        <v>1</v>
      </c>
      <c r="B248" s="43" t="s">
        <v>167</v>
      </c>
      <c r="C248" s="44" t="s">
        <v>26</v>
      </c>
      <c r="D248" s="45">
        <v>3.1</v>
      </c>
      <c r="E248" s="45">
        <v>32.74</v>
      </c>
      <c r="F248" s="45">
        <f t="shared" ref="F248:F258" si="60">+E248*D248</f>
        <v>101.49400000000001</v>
      </c>
      <c r="G248" s="46">
        <f t="shared" ref="G248:G258" si="61">I248+K248</f>
        <v>0</v>
      </c>
      <c r="H248" s="47">
        <f t="shared" ref="H248:H258" si="62">J248+L248</f>
        <v>0</v>
      </c>
      <c r="I248" s="46">
        <f t="shared" ref="I248:I258" si="63">J248/F248</f>
        <v>0</v>
      </c>
      <c r="J248" s="47">
        <v>0</v>
      </c>
      <c r="K248" s="46">
        <f t="shared" ref="K248:K258" si="64">L248/F248</f>
        <v>0</v>
      </c>
      <c r="L248" s="47">
        <v>0</v>
      </c>
      <c r="AZ248" s="49"/>
      <c r="BC248" s="50"/>
    </row>
    <row r="249" spans="1:55" s="48" customFormat="1" ht="15.45" customHeight="1" outlineLevel="1" x14ac:dyDescent="0.25">
      <c r="A249" s="42">
        <v>2</v>
      </c>
      <c r="B249" s="43" t="s">
        <v>40</v>
      </c>
      <c r="C249" s="44" t="s">
        <v>26</v>
      </c>
      <c r="D249" s="45">
        <v>3.1</v>
      </c>
      <c r="E249" s="45">
        <v>124.1</v>
      </c>
      <c r="F249" s="45">
        <f t="shared" si="60"/>
        <v>384.71</v>
      </c>
      <c r="G249" s="46">
        <f t="shared" si="61"/>
        <v>0</v>
      </c>
      <c r="H249" s="47">
        <f t="shared" si="62"/>
        <v>0</v>
      </c>
      <c r="I249" s="46">
        <f t="shared" si="63"/>
        <v>0</v>
      </c>
      <c r="J249" s="47">
        <v>0</v>
      </c>
      <c r="K249" s="46">
        <f t="shared" si="64"/>
        <v>0</v>
      </c>
      <c r="L249" s="47">
        <v>0</v>
      </c>
      <c r="AZ249" s="49"/>
      <c r="BC249" s="50"/>
    </row>
    <row r="250" spans="1:55" s="48" customFormat="1" ht="27.75" customHeight="1" outlineLevel="1" x14ac:dyDescent="0.25">
      <c r="A250" s="42">
        <v>3</v>
      </c>
      <c r="B250" s="43" t="s">
        <v>41</v>
      </c>
      <c r="C250" s="44" t="s">
        <v>26</v>
      </c>
      <c r="D250" s="45">
        <v>3.78</v>
      </c>
      <c r="E250" s="45">
        <v>177.7</v>
      </c>
      <c r="F250" s="45">
        <f t="shared" si="60"/>
        <v>671.7059999999999</v>
      </c>
      <c r="G250" s="46">
        <f t="shared" si="61"/>
        <v>0</v>
      </c>
      <c r="H250" s="47">
        <f t="shared" si="62"/>
        <v>0</v>
      </c>
      <c r="I250" s="46">
        <f t="shared" si="63"/>
        <v>0</v>
      </c>
      <c r="J250" s="47">
        <v>0</v>
      </c>
      <c r="K250" s="46">
        <f t="shared" si="64"/>
        <v>0</v>
      </c>
      <c r="L250" s="47">
        <v>0</v>
      </c>
      <c r="AZ250" s="49"/>
      <c r="BC250" s="50"/>
    </row>
    <row r="251" spans="1:55" s="48" customFormat="1" ht="15.45" customHeight="1" outlineLevel="1" x14ac:dyDescent="0.25">
      <c r="A251" s="42">
        <v>4</v>
      </c>
      <c r="B251" s="43" t="s">
        <v>42</v>
      </c>
      <c r="C251" s="44" t="s">
        <v>28</v>
      </c>
      <c r="D251" s="45">
        <v>6.9000000000000006E-2</v>
      </c>
      <c r="E251" s="45">
        <v>1325.1</v>
      </c>
      <c r="F251" s="45">
        <f t="shared" si="60"/>
        <v>91.431899999999999</v>
      </c>
      <c r="G251" s="46">
        <f t="shared" si="61"/>
        <v>0</v>
      </c>
      <c r="H251" s="47">
        <f t="shared" si="62"/>
        <v>0</v>
      </c>
      <c r="I251" s="46">
        <f t="shared" si="63"/>
        <v>0</v>
      </c>
      <c r="J251" s="47">
        <v>0</v>
      </c>
      <c r="K251" s="46">
        <f t="shared" si="64"/>
        <v>0</v>
      </c>
      <c r="L251" s="47">
        <v>0</v>
      </c>
      <c r="AZ251" s="49"/>
      <c r="BC251" s="50"/>
    </row>
    <row r="252" spans="1:55" s="48" customFormat="1" ht="15.45" customHeight="1" outlineLevel="1" x14ac:dyDescent="0.25">
      <c r="A252" s="42">
        <v>5</v>
      </c>
      <c r="B252" s="43" t="s">
        <v>43</v>
      </c>
      <c r="C252" s="44" t="s">
        <v>28</v>
      </c>
      <c r="D252" s="45">
        <v>6.4000000000000001E-2</v>
      </c>
      <c r="E252" s="45">
        <v>1200.0999999999999</v>
      </c>
      <c r="F252" s="45">
        <f t="shared" si="60"/>
        <v>76.806399999999996</v>
      </c>
      <c r="G252" s="46">
        <f t="shared" si="61"/>
        <v>0</v>
      </c>
      <c r="H252" s="47">
        <f t="shared" si="62"/>
        <v>0</v>
      </c>
      <c r="I252" s="46">
        <f t="shared" si="63"/>
        <v>0</v>
      </c>
      <c r="J252" s="47">
        <v>0</v>
      </c>
      <c r="K252" s="46">
        <f t="shared" si="64"/>
        <v>0</v>
      </c>
      <c r="L252" s="47">
        <v>0</v>
      </c>
      <c r="AZ252" s="49"/>
      <c r="BC252" s="50"/>
    </row>
    <row r="253" spans="1:55" s="48" customFormat="1" ht="15.45" customHeight="1" outlineLevel="1" x14ac:dyDescent="0.25">
      <c r="A253" s="42">
        <v>6</v>
      </c>
      <c r="B253" s="43" t="s">
        <v>178</v>
      </c>
      <c r="C253" s="44" t="s">
        <v>26</v>
      </c>
      <c r="D253" s="45">
        <v>2.4900000000000002</v>
      </c>
      <c r="E253" s="45">
        <v>241.1</v>
      </c>
      <c r="F253" s="45">
        <f t="shared" si="60"/>
        <v>600.33900000000006</v>
      </c>
      <c r="G253" s="46">
        <f t="shared" si="61"/>
        <v>0</v>
      </c>
      <c r="H253" s="47">
        <f t="shared" si="62"/>
        <v>0</v>
      </c>
      <c r="I253" s="46">
        <f t="shared" si="63"/>
        <v>0</v>
      </c>
      <c r="J253" s="47">
        <v>0</v>
      </c>
      <c r="K253" s="46">
        <f t="shared" si="64"/>
        <v>0</v>
      </c>
      <c r="L253" s="47">
        <v>0</v>
      </c>
      <c r="AZ253" s="49"/>
      <c r="BC253" s="50"/>
    </row>
    <row r="254" spans="1:55" s="48" customFormat="1" ht="15.45" customHeight="1" outlineLevel="1" x14ac:dyDescent="0.25">
      <c r="A254" s="42">
        <v>7</v>
      </c>
      <c r="B254" s="43" t="s">
        <v>42</v>
      </c>
      <c r="C254" s="44" t="s">
        <v>28</v>
      </c>
      <c r="D254" s="45">
        <v>5.0999999999999997E-2</v>
      </c>
      <c r="E254" s="45">
        <v>1325.1</v>
      </c>
      <c r="F254" s="45">
        <f t="shared" si="60"/>
        <v>67.580099999999987</v>
      </c>
      <c r="G254" s="46">
        <f t="shared" si="61"/>
        <v>0</v>
      </c>
      <c r="H254" s="47">
        <f t="shared" si="62"/>
        <v>0</v>
      </c>
      <c r="I254" s="46">
        <f t="shared" si="63"/>
        <v>0</v>
      </c>
      <c r="J254" s="47">
        <v>0</v>
      </c>
      <c r="K254" s="46">
        <f t="shared" si="64"/>
        <v>0</v>
      </c>
      <c r="L254" s="47">
        <v>0</v>
      </c>
      <c r="AZ254" s="49"/>
      <c r="BC254" s="50"/>
    </row>
    <row r="255" spans="1:55" s="48" customFormat="1" ht="15.45" customHeight="1" outlineLevel="1" x14ac:dyDescent="0.25">
      <c r="A255" s="42">
        <v>8</v>
      </c>
      <c r="B255" s="43" t="s">
        <v>43</v>
      </c>
      <c r="C255" s="44" t="s">
        <v>28</v>
      </c>
      <c r="D255" s="45">
        <v>0.182</v>
      </c>
      <c r="E255" s="45">
        <v>1200.0999999999999</v>
      </c>
      <c r="F255" s="45">
        <f t="shared" si="60"/>
        <v>218.41819999999998</v>
      </c>
      <c r="G255" s="46">
        <f t="shared" si="61"/>
        <v>0</v>
      </c>
      <c r="H255" s="47">
        <f t="shared" si="62"/>
        <v>0</v>
      </c>
      <c r="I255" s="46">
        <f t="shared" si="63"/>
        <v>0</v>
      </c>
      <c r="J255" s="47">
        <v>0</v>
      </c>
      <c r="K255" s="46">
        <f t="shared" si="64"/>
        <v>0</v>
      </c>
      <c r="L255" s="47">
        <v>0</v>
      </c>
      <c r="AZ255" s="49"/>
      <c r="BC255" s="50"/>
    </row>
    <row r="256" spans="1:55" s="48" customFormat="1" ht="15.45" customHeight="1" outlineLevel="1" x14ac:dyDescent="0.25">
      <c r="A256" s="42">
        <v>9</v>
      </c>
      <c r="B256" s="43" t="s">
        <v>117</v>
      </c>
      <c r="C256" s="44" t="s">
        <v>48</v>
      </c>
      <c r="D256" s="45">
        <v>24.6</v>
      </c>
      <c r="E256" s="45">
        <v>5.4732580000000004</v>
      </c>
      <c r="F256" s="45">
        <f t="shared" si="60"/>
        <v>134.64214680000001</v>
      </c>
      <c r="G256" s="46">
        <f t="shared" si="61"/>
        <v>0</v>
      </c>
      <c r="H256" s="47">
        <f t="shared" si="62"/>
        <v>0</v>
      </c>
      <c r="I256" s="46">
        <f t="shared" si="63"/>
        <v>0</v>
      </c>
      <c r="J256" s="47">
        <v>0</v>
      </c>
      <c r="K256" s="46">
        <f t="shared" si="64"/>
        <v>0</v>
      </c>
      <c r="L256" s="47">
        <v>0</v>
      </c>
      <c r="AZ256" s="49"/>
      <c r="BC256" s="50"/>
    </row>
    <row r="257" spans="1:55" s="48" customFormat="1" ht="15.45" customHeight="1" outlineLevel="1" x14ac:dyDescent="0.25">
      <c r="A257" s="42">
        <v>10</v>
      </c>
      <c r="B257" s="43" t="s">
        <v>179</v>
      </c>
      <c r="C257" s="44" t="s">
        <v>48</v>
      </c>
      <c r="D257" s="45">
        <v>24.6</v>
      </c>
      <c r="E257" s="45">
        <v>6.2812000000000001</v>
      </c>
      <c r="F257" s="45">
        <f t="shared" si="60"/>
        <v>154.51752000000002</v>
      </c>
      <c r="G257" s="46">
        <f t="shared" si="61"/>
        <v>0</v>
      </c>
      <c r="H257" s="47">
        <f t="shared" si="62"/>
        <v>0</v>
      </c>
      <c r="I257" s="46">
        <f t="shared" si="63"/>
        <v>0</v>
      </c>
      <c r="J257" s="47">
        <v>0</v>
      </c>
      <c r="K257" s="46">
        <f t="shared" si="64"/>
        <v>0</v>
      </c>
      <c r="L257" s="47">
        <v>0</v>
      </c>
      <c r="AZ257" s="49"/>
      <c r="BC257" s="50"/>
    </row>
    <row r="258" spans="1:55" s="48" customFormat="1" ht="27.75" customHeight="1" outlineLevel="1" x14ac:dyDescent="0.25">
      <c r="A258" s="42">
        <v>11</v>
      </c>
      <c r="B258" s="43" t="s">
        <v>180</v>
      </c>
      <c r="C258" s="44" t="s">
        <v>48</v>
      </c>
      <c r="D258" s="45">
        <v>24.6</v>
      </c>
      <c r="E258" s="45">
        <v>65.815948000000006</v>
      </c>
      <c r="F258" s="45">
        <f t="shared" si="60"/>
        <v>1619.0723208000002</v>
      </c>
      <c r="G258" s="46">
        <f t="shared" si="61"/>
        <v>0</v>
      </c>
      <c r="H258" s="47">
        <f t="shared" si="62"/>
        <v>0</v>
      </c>
      <c r="I258" s="46">
        <f t="shared" si="63"/>
        <v>0</v>
      </c>
      <c r="J258" s="47">
        <v>0</v>
      </c>
      <c r="K258" s="46">
        <f t="shared" si="64"/>
        <v>0</v>
      </c>
      <c r="L258" s="47">
        <v>0</v>
      </c>
      <c r="AZ258" s="49"/>
      <c r="BC258" s="50"/>
    </row>
    <row r="259" spans="1:55" s="63" customFormat="1" ht="27" customHeight="1" x14ac:dyDescent="0.3">
      <c r="A259" s="62">
        <v>2.13</v>
      </c>
      <c r="B259" s="51" t="s">
        <v>181</v>
      </c>
      <c r="C259" s="52">
        <v>0</v>
      </c>
      <c r="D259" s="53"/>
      <c r="E259" s="53"/>
      <c r="F259" s="53"/>
      <c r="G259" s="54"/>
      <c r="H259" s="55"/>
      <c r="I259" s="54"/>
      <c r="J259" s="55"/>
      <c r="K259" s="54"/>
      <c r="L259" s="55">
        <v>0</v>
      </c>
      <c r="AZ259" s="64"/>
      <c r="BC259" s="65"/>
    </row>
    <row r="260" spans="1:55" s="48" customFormat="1" ht="27.75" customHeight="1" outlineLevel="1" x14ac:dyDescent="0.25">
      <c r="A260" s="42">
        <v>1</v>
      </c>
      <c r="B260" s="43" t="s">
        <v>182</v>
      </c>
      <c r="C260" s="44" t="s">
        <v>61</v>
      </c>
      <c r="D260" s="45">
        <v>173</v>
      </c>
      <c r="E260" s="45">
        <v>10.779400000000001</v>
      </c>
      <c r="F260" s="45">
        <f t="shared" ref="F260:F301" si="65">+E260*D260</f>
        <v>1864.8362000000002</v>
      </c>
      <c r="G260" s="46">
        <f t="shared" ref="G260:G301" si="66">I260+K260</f>
        <v>0</v>
      </c>
      <c r="H260" s="47">
        <f t="shared" ref="H260:H301" si="67">J260+L260</f>
        <v>0</v>
      </c>
      <c r="I260" s="46">
        <f t="shared" ref="I260:I301" si="68">J260/F260</f>
        <v>0</v>
      </c>
      <c r="J260" s="47">
        <v>0</v>
      </c>
      <c r="K260" s="46">
        <f t="shared" ref="K260:K301" si="69">L260/F260</f>
        <v>0</v>
      </c>
      <c r="L260" s="47">
        <v>0</v>
      </c>
      <c r="AZ260" s="49"/>
      <c r="BC260" s="50"/>
    </row>
    <row r="261" spans="1:55" s="48" customFormat="1" ht="15.45" customHeight="1" outlineLevel="1" x14ac:dyDescent="0.25">
      <c r="A261" s="42">
        <v>2</v>
      </c>
      <c r="B261" s="43" t="s">
        <v>183</v>
      </c>
      <c r="C261" s="44" t="s">
        <v>61</v>
      </c>
      <c r="D261" s="45">
        <v>173</v>
      </c>
      <c r="E261" s="45">
        <v>12.2972</v>
      </c>
      <c r="F261" s="45">
        <f t="shared" si="65"/>
        <v>2127.4155999999998</v>
      </c>
      <c r="G261" s="46">
        <f t="shared" si="66"/>
        <v>0</v>
      </c>
      <c r="H261" s="47">
        <f t="shared" si="67"/>
        <v>0</v>
      </c>
      <c r="I261" s="46">
        <f t="shared" si="68"/>
        <v>0</v>
      </c>
      <c r="J261" s="47">
        <v>0</v>
      </c>
      <c r="K261" s="46">
        <f t="shared" si="69"/>
        <v>0</v>
      </c>
      <c r="L261" s="47">
        <v>0</v>
      </c>
      <c r="AZ261" s="49"/>
      <c r="BC261" s="50"/>
    </row>
    <row r="262" spans="1:55" s="48" customFormat="1" ht="27.75" customHeight="1" outlineLevel="1" x14ac:dyDescent="0.25">
      <c r="A262" s="42">
        <v>3</v>
      </c>
      <c r="B262" s="43" t="s">
        <v>184</v>
      </c>
      <c r="C262" s="44" t="s">
        <v>61</v>
      </c>
      <c r="D262" s="45">
        <v>43</v>
      </c>
      <c r="E262" s="45">
        <v>9.2289999999999992</v>
      </c>
      <c r="F262" s="45">
        <f t="shared" si="65"/>
        <v>396.84699999999998</v>
      </c>
      <c r="G262" s="46">
        <f t="shared" si="66"/>
        <v>0</v>
      </c>
      <c r="H262" s="47">
        <f t="shared" si="67"/>
        <v>0</v>
      </c>
      <c r="I262" s="46">
        <f t="shared" si="68"/>
        <v>0</v>
      </c>
      <c r="J262" s="47">
        <v>0</v>
      </c>
      <c r="K262" s="46">
        <f t="shared" si="69"/>
        <v>0</v>
      </c>
      <c r="L262" s="47">
        <v>0</v>
      </c>
      <c r="AZ262" s="49"/>
      <c r="BC262" s="50"/>
    </row>
    <row r="263" spans="1:55" s="48" customFormat="1" ht="27.75" customHeight="1" outlineLevel="1" x14ac:dyDescent="0.25">
      <c r="A263" s="42">
        <v>4</v>
      </c>
      <c r="B263" s="43" t="s">
        <v>185</v>
      </c>
      <c r="C263" s="44" t="s">
        <v>61</v>
      </c>
      <c r="D263" s="45">
        <v>43</v>
      </c>
      <c r="E263" s="45">
        <v>9.7064000000000004</v>
      </c>
      <c r="F263" s="45">
        <f t="shared" si="65"/>
        <v>417.37520000000001</v>
      </c>
      <c r="G263" s="46">
        <f t="shared" si="66"/>
        <v>0</v>
      </c>
      <c r="H263" s="47">
        <f t="shared" si="67"/>
        <v>0</v>
      </c>
      <c r="I263" s="46">
        <f t="shared" si="68"/>
        <v>0</v>
      </c>
      <c r="J263" s="47">
        <v>0</v>
      </c>
      <c r="K263" s="46">
        <f t="shared" si="69"/>
        <v>0</v>
      </c>
      <c r="L263" s="47">
        <v>0</v>
      </c>
      <c r="AZ263" s="49"/>
      <c r="BC263" s="50"/>
    </row>
    <row r="264" spans="1:55" s="48" customFormat="1" ht="27.75" customHeight="1" outlineLevel="1" x14ac:dyDescent="0.25">
      <c r="A264" s="42">
        <v>5</v>
      </c>
      <c r="B264" s="43" t="s">
        <v>186</v>
      </c>
      <c r="C264" s="44" t="s">
        <v>61</v>
      </c>
      <c r="D264" s="45">
        <v>216</v>
      </c>
      <c r="E264" s="45">
        <v>1.5178</v>
      </c>
      <c r="F264" s="45">
        <f t="shared" si="65"/>
        <v>327.84480000000002</v>
      </c>
      <c r="G264" s="46">
        <f t="shared" si="66"/>
        <v>0</v>
      </c>
      <c r="H264" s="47">
        <f t="shared" si="67"/>
        <v>0</v>
      </c>
      <c r="I264" s="46">
        <f t="shared" si="68"/>
        <v>0</v>
      </c>
      <c r="J264" s="47">
        <v>0</v>
      </c>
      <c r="K264" s="46">
        <f t="shared" si="69"/>
        <v>0</v>
      </c>
      <c r="L264" s="47">
        <v>0</v>
      </c>
      <c r="AZ264" s="49"/>
      <c r="BC264" s="50"/>
    </row>
    <row r="265" spans="1:55" s="48" customFormat="1" ht="15.45" customHeight="1" outlineLevel="1" x14ac:dyDescent="0.25">
      <c r="A265" s="42">
        <v>6</v>
      </c>
      <c r="B265" s="43" t="s">
        <v>187</v>
      </c>
      <c r="C265" s="44" t="s">
        <v>61</v>
      </c>
      <c r="D265" s="45">
        <v>3</v>
      </c>
      <c r="E265" s="45">
        <v>15.440799999999999</v>
      </c>
      <c r="F265" s="45">
        <f t="shared" si="65"/>
        <v>46.322400000000002</v>
      </c>
      <c r="G265" s="46">
        <f t="shared" si="66"/>
        <v>0</v>
      </c>
      <c r="H265" s="47">
        <f t="shared" si="67"/>
        <v>0</v>
      </c>
      <c r="I265" s="46">
        <f t="shared" si="68"/>
        <v>0</v>
      </c>
      <c r="J265" s="47">
        <v>0</v>
      </c>
      <c r="K265" s="46">
        <f t="shared" si="69"/>
        <v>0</v>
      </c>
      <c r="L265" s="47">
        <v>0</v>
      </c>
      <c r="AZ265" s="49"/>
      <c r="BC265" s="50"/>
    </row>
    <row r="266" spans="1:55" s="48" customFormat="1" ht="27.75" customHeight="1" outlineLevel="1" x14ac:dyDescent="0.25">
      <c r="A266" s="42">
        <v>7</v>
      </c>
      <c r="B266" s="43" t="s">
        <v>188</v>
      </c>
      <c r="C266" s="44" t="s">
        <v>61</v>
      </c>
      <c r="D266" s="45">
        <v>15</v>
      </c>
      <c r="E266" s="45">
        <v>5.9548000000000014</v>
      </c>
      <c r="F266" s="45">
        <f t="shared" si="65"/>
        <v>89.322000000000017</v>
      </c>
      <c r="G266" s="46">
        <f t="shared" si="66"/>
        <v>0</v>
      </c>
      <c r="H266" s="47">
        <f t="shared" si="67"/>
        <v>0</v>
      </c>
      <c r="I266" s="46">
        <f t="shared" si="68"/>
        <v>0</v>
      </c>
      <c r="J266" s="47">
        <v>0</v>
      </c>
      <c r="K266" s="46">
        <f t="shared" si="69"/>
        <v>0</v>
      </c>
      <c r="L266" s="47">
        <v>0</v>
      </c>
      <c r="AZ266" s="49"/>
      <c r="BC266" s="50"/>
    </row>
    <row r="267" spans="1:55" s="48" customFormat="1" ht="27.75" customHeight="1" outlineLevel="1" x14ac:dyDescent="0.25">
      <c r="A267" s="42">
        <v>8</v>
      </c>
      <c r="B267" s="43" t="s">
        <v>189</v>
      </c>
      <c r="C267" s="44" t="s">
        <v>61</v>
      </c>
      <c r="D267" s="45">
        <v>15</v>
      </c>
      <c r="E267" s="45">
        <v>5.1367999999999991</v>
      </c>
      <c r="F267" s="45">
        <f t="shared" si="65"/>
        <v>77.051999999999992</v>
      </c>
      <c r="G267" s="46">
        <f t="shared" si="66"/>
        <v>0</v>
      </c>
      <c r="H267" s="47">
        <f t="shared" si="67"/>
        <v>0</v>
      </c>
      <c r="I267" s="46">
        <f t="shared" si="68"/>
        <v>0</v>
      </c>
      <c r="J267" s="47">
        <v>0</v>
      </c>
      <c r="K267" s="46">
        <f t="shared" si="69"/>
        <v>0</v>
      </c>
      <c r="L267" s="47">
        <v>0</v>
      </c>
      <c r="AZ267" s="49"/>
      <c r="BC267" s="50"/>
    </row>
    <row r="268" spans="1:55" s="48" customFormat="1" ht="27.75" customHeight="1" outlineLevel="1" x14ac:dyDescent="0.25">
      <c r="A268" s="42">
        <v>9</v>
      </c>
      <c r="B268" s="43" t="s">
        <v>190</v>
      </c>
      <c r="C268" s="44" t="s">
        <v>61</v>
      </c>
      <c r="D268" s="45">
        <v>10</v>
      </c>
      <c r="E268" s="45">
        <v>5.9548000000000014</v>
      </c>
      <c r="F268" s="45">
        <f t="shared" si="65"/>
        <v>59.548000000000016</v>
      </c>
      <c r="G268" s="46">
        <f t="shared" si="66"/>
        <v>0</v>
      </c>
      <c r="H268" s="47">
        <f t="shared" si="67"/>
        <v>0</v>
      </c>
      <c r="I268" s="46">
        <f t="shared" si="68"/>
        <v>0</v>
      </c>
      <c r="J268" s="47">
        <v>0</v>
      </c>
      <c r="K268" s="46">
        <f t="shared" si="69"/>
        <v>0</v>
      </c>
      <c r="L268" s="47">
        <v>0</v>
      </c>
      <c r="AZ268" s="49"/>
      <c r="BC268" s="50"/>
    </row>
    <row r="269" spans="1:55" s="48" customFormat="1" ht="27.75" customHeight="1" outlineLevel="1" x14ac:dyDescent="0.25">
      <c r="A269" s="42">
        <v>10</v>
      </c>
      <c r="B269" s="43" t="s">
        <v>191</v>
      </c>
      <c r="C269" s="44" t="s">
        <v>61</v>
      </c>
      <c r="D269" s="45">
        <v>10</v>
      </c>
      <c r="E269" s="45">
        <v>3.923</v>
      </c>
      <c r="F269" s="45">
        <f t="shared" si="65"/>
        <v>39.230000000000004</v>
      </c>
      <c r="G269" s="46">
        <f t="shared" si="66"/>
        <v>0</v>
      </c>
      <c r="H269" s="47">
        <f t="shared" si="67"/>
        <v>0</v>
      </c>
      <c r="I269" s="46">
        <f t="shared" si="68"/>
        <v>0</v>
      </c>
      <c r="J269" s="47">
        <v>0</v>
      </c>
      <c r="K269" s="46">
        <f t="shared" si="69"/>
        <v>0</v>
      </c>
      <c r="L269" s="47">
        <v>0</v>
      </c>
      <c r="AZ269" s="49"/>
      <c r="BC269" s="50"/>
    </row>
    <row r="270" spans="1:55" s="48" customFormat="1" ht="27.75" customHeight="1" outlineLevel="1" x14ac:dyDescent="0.25">
      <c r="A270" s="42">
        <v>11</v>
      </c>
      <c r="B270" s="43" t="s">
        <v>192</v>
      </c>
      <c r="C270" s="44" t="s">
        <v>61</v>
      </c>
      <c r="D270" s="45">
        <v>3</v>
      </c>
      <c r="E270" s="45">
        <v>5.9446000000000003</v>
      </c>
      <c r="F270" s="45">
        <f t="shared" si="65"/>
        <v>17.8338</v>
      </c>
      <c r="G270" s="46">
        <f t="shared" si="66"/>
        <v>0</v>
      </c>
      <c r="H270" s="47">
        <f t="shared" si="67"/>
        <v>0</v>
      </c>
      <c r="I270" s="46">
        <f t="shared" si="68"/>
        <v>0</v>
      </c>
      <c r="J270" s="47">
        <v>0</v>
      </c>
      <c r="K270" s="46">
        <f t="shared" si="69"/>
        <v>0</v>
      </c>
      <c r="L270" s="47">
        <v>0</v>
      </c>
      <c r="AZ270" s="49"/>
      <c r="BC270" s="50"/>
    </row>
    <row r="271" spans="1:55" s="48" customFormat="1" ht="27.75" customHeight="1" outlineLevel="1" x14ac:dyDescent="0.25">
      <c r="A271" s="42">
        <v>12</v>
      </c>
      <c r="B271" s="43" t="s">
        <v>193</v>
      </c>
      <c r="C271" s="44" t="s">
        <v>61</v>
      </c>
      <c r="D271" s="45">
        <v>3</v>
      </c>
      <c r="E271" s="45">
        <v>2.75</v>
      </c>
      <c r="F271" s="45">
        <f t="shared" si="65"/>
        <v>8.25</v>
      </c>
      <c r="G271" s="46">
        <f t="shared" si="66"/>
        <v>0</v>
      </c>
      <c r="H271" s="47">
        <f t="shared" si="67"/>
        <v>0</v>
      </c>
      <c r="I271" s="46">
        <f t="shared" si="68"/>
        <v>0</v>
      </c>
      <c r="J271" s="47">
        <v>0</v>
      </c>
      <c r="K271" s="46">
        <f t="shared" si="69"/>
        <v>0</v>
      </c>
      <c r="L271" s="47">
        <v>0</v>
      </c>
      <c r="AZ271" s="49"/>
      <c r="BC271" s="50"/>
    </row>
    <row r="272" spans="1:55" s="48" customFormat="1" ht="27.75" customHeight="1" outlineLevel="1" x14ac:dyDescent="0.25">
      <c r="A272" s="42">
        <v>13</v>
      </c>
      <c r="B272" s="43" t="s">
        <v>194</v>
      </c>
      <c r="C272" s="44" t="s">
        <v>61</v>
      </c>
      <c r="D272" s="45">
        <v>28</v>
      </c>
      <c r="E272" s="45">
        <v>1.5178</v>
      </c>
      <c r="F272" s="45">
        <f t="shared" si="65"/>
        <v>42.498400000000004</v>
      </c>
      <c r="G272" s="46">
        <f t="shared" si="66"/>
        <v>0</v>
      </c>
      <c r="H272" s="47">
        <f t="shared" si="67"/>
        <v>0</v>
      </c>
      <c r="I272" s="46">
        <f t="shared" si="68"/>
        <v>0</v>
      </c>
      <c r="J272" s="47">
        <v>0</v>
      </c>
      <c r="K272" s="46">
        <f t="shared" si="69"/>
        <v>0</v>
      </c>
      <c r="L272" s="47">
        <v>0</v>
      </c>
      <c r="AZ272" s="49"/>
      <c r="BC272" s="50"/>
    </row>
    <row r="273" spans="1:55" s="48" customFormat="1" ht="27.75" customHeight="1" outlineLevel="1" x14ac:dyDescent="0.25">
      <c r="A273" s="42">
        <v>14</v>
      </c>
      <c r="B273" s="43" t="s">
        <v>195</v>
      </c>
      <c r="C273" s="44" t="s">
        <v>61</v>
      </c>
      <c r="D273" s="45">
        <v>10</v>
      </c>
      <c r="E273" s="45">
        <v>14.023</v>
      </c>
      <c r="F273" s="45">
        <f t="shared" si="65"/>
        <v>140.22999999999999</v>
      </c>
      <c r="G273" s="46">
        <f t="shared" si="66"/>
        <v>0</v>
      </c>
      <c r="H273" s="47">
        <f t="shared" si="67"/>
        <v>0</v>
      </c>
      <c r="I273" s="46">
        <f t="shared" si="68"/>
        <v>0</v>
      </c>
      <c r="J273" s="47">
        <v>0</v>
      </c>
      <c r="K273" s="46">
        <f t="shared" si="69"/>
        <v>0</v>
      </c>
      <c r="L273" s="47">
        <v>0</v>
      </c>
      <c r="AZ273" s="49"/>
      <c r="BC273" s="50"/>
    </row>
    <row r="274" spans="1:55" s="48" customFormat="1" ht="27.75" customHeight="1" outlineLevel="1" x14ac:dyDescent="0.25">
      <c r="A274" s="42">
        <v>15</v>
      </c>
      <c r="B274" s="43" t="s">
        <v>196</v>
      </c>
      <c r="C274" s="44" t="s">
        <v>61</v>
      </c>
      <c r="D274" s="45">
        <v>10</v>
      </c>
      <c r="E274" s="45">
        <v>1.2098</v>
      </c>
      <c r="F274" s="45">
        <f t="shared" si="65"/>
        <v>12.097999999999999</v>
      </c>
      <c r="G274" s="46">
        <f t="shared" si="66"/>
        <v>0</v>
      </c>
      <c r="H274" s="47">
        <f t="shared" si="67"/>
        <v>0</v>
      </c>
      <c r="I274" s="46">
        <f t="shared" si="68"/>
        <v>0</v>
      </c>
      <c r="J274" s="47">
        <v>0</v>
      </c>
      <c r="K274" s="46">
        <f t="shared" si="69"/>
        <v>0</v>
      </c>
      <c r="L274" s="47">
        <v>0</v>
      </c>
      <c r="AZ274" s="49"/>
      <c r="BC274" s="50"/>
    </row>
    <row r="275" spans="1:55" s="48" customFormat="1" ht="27.75" customHeight="1" outlineLevel="1" x14ac:dyDescent="0.25">
      <c r="A275" s="42">
        <v>16</v>
      </c>
      <c r="B275" s="43" t="s">
        <v>197</v>
      </c>
      <c r="C275" s="44" t="s">
        <v>61</v>
      </c>
      <c r="D275" s="45">
        <v>11</v>
      </c>
      <c r="E275" s="45">
        <v>14.4514</v>
      </c>
      <c r="F275" s="45">
        <f t="shared" si="65"/>
        <v>158.96539999999999</v>
      </c>
      <c r="G275" s="46">
        <f t="shared" si="66"/>
        <v>0</v>
      </c>
      <c r="H275" s="47">
        <f t="shared" si="67"/>
        <v>0</v>
      </c>
      <c r="I275" s="46">
        <f t="shared" si="68"/>
        <v>0</v>
      </c>
      <c r="J275" s="47">
        <v>0</v>
      </c>
      <c r="K275" s="46">
        <f t="shared" si="69"/>
        <v>0</v>
      </c>
      <c r="L275" s="47">
        <v>0</v>
      </c>
      <c r="AZ275" s="49"/>
      <c r="BC275" s="50"/>
    </row>
    <row r="276" spans="1:55" s="48" customFormat="1" ht="27.75" customHeight="1" outlineLevel="1" x14ac:dyDescent="0.25">
      <c r="A276" s="42">
        <v>17</v>
      </c>
      <c r="B276" s="43" t="s">
        <v>198</v>
      </c>
      <c r="C276" s="44" t="s">
        <v>61</v>
      </c>
      <c r="D276" s="45">
        <v>11</v>
      </c>
      <c r="E276" s="45">
        <v>0.9</v>
      </c>
      <c r="F276" s="45">
        <f t="shared" si="65"/>
        <v>9.9</v>
      </c>
      <c r="G276" s="46">
        <f t="shared" si="66"/>
        <v>0</v>
      </c>
      <c r="H276" s="47">
        <f t="shared" si="67"/>
        <v>0</v>
      </c>
      <c r="I276" s="46">
        <f t="shared" si="68"/>
        <v>0</v>
      </c>
      <c r="J276" s="47">
        <v>0</v>
      </c>
      <c r="K276" s="46">
        <f t="shared" si="69"/>
        <v>0</v>
      </c>
      <c r="L276" s="47">
        <v>0</v>
      </c>
      <c r="AZ276" s="49"/>
      <c r="BC276" s="50"/>
    </row>
    <row r="277" spans="1:55" s="48" customFormat="1" ht="41.7" customHeight="1" outlineLevel="1" x14ac:dyDescent="0.25">
      <c r="A277" s="42">
        <v>18</v>
      </c>
      <c r="B277" s="43" t="s">
        <v>199</v>
      </c>
      <c r="C277" s="44" t="s">
        <v>61</v>
      </c>
      <c r="D277" s="45">
        <v>73</v>
      </c>
      <c r="E277" s="45">
        <v>17.0932</v>
      </c>
      <c r="F277" s="45">
        <f t="shared" si="65"/>
        <v>1247.8036</v>
      </c>
      <c r="G277" s="46">
        <f t="shared" si="66"/>
        <v>0</v>
      </c>
      <c r="H277" s="47">
        <f t="shared" si="67"/>
        <v>0</v>
      </c>
      <c r="I277" s="46">
        <f t="shared" si="68"/>
        <v>0</v>
      </c>
      <c r="J277" s="47">
        <v>0</v>
      </c>
      <c r="K277" s="46">
        <f t="shared" si="69"/>
        <v>0</v>
      </c>
      <c r="L277" s="47">
        <v>0</v>
      </c>
      <c r="AZ277" s="49"/>
      <c r="BC277" s="50"/>
    </row>
    <row r="278" spans="1:55" s="48" customFormat="1" ht="27.75" customHeight="1" outlineLevel="1" x14ac:dyDescent="0.25">
      <c r="A278" s="42">
        <v>19</v>
      </c>
      <c r="B278" s="43" t="s">
        <v>200</v>
      </c>
      <c r="C278" s="44" t="s">
        <v>61</v>
      </c>
      <c r="D278" s="45">
        <v>73</v>
      </c>
      <c r="E278" s="45">
        <v>0.9</v>
      </c>
      <c r="F278" s="45">
        <f t="shared" si="65"/>
        <v>65.7</v>
      </c>
      <c r="G278" s="46">
        <f t="shared" si="66"/>
        <v>0</v>
      </c>
      <c r="H278" s="47">
        <f t="shared" si="67"/>
        <v>0</v>
      </c>
      <c r="I278" s="46">
        <f t="shared" si="68"/>
        <v>0</v>
      </c>
      <c r="J278" s="47">
        <v>0</v>
      </c>
      <c r="K278" s="46">
        <f t="shared" si="69"/>
        <v>0</v>
      </c>
      <c r="L278" s="47">
        <v>0</v>
      </c>
      <c r="AZ278" s="49"/>
      <c r="BC278" s="50"/>
    </row>
    <row r="279" spans="1:55" s="48" customFormat="1" ht="41.7" customHeight="1" outlineLevel="1" x14ac:dyDescent="0.25">
      <c r="A279" s="42">
        <v>20</v>
      </c>
      <c r="B279" s="43" t="s">
        <v>201</v>
      </c>
      <c r="C279" s="44" t="s">
        <v>93</v>
      </c>
      <c r="D279" s="45">
        <v>13</v>
      </c>
      <c r="E279" s="45">
        <v>25.436800000000002</v>
      </c>
      <c r="F279" s="45">
        <f t="shared" si="65"/>
        <v>330.67840000000001</v>
      </c>
      <c r="G279" s="46">
        <f t="shared" si="66"/>
        <v>0</v>
      </c>
      <c r="H279" s="47">
        <f t="shared" si="67"/>
        <v>0</v>
      </c>
      <c r="I279" s="46">
        <f t="shared" si="68"/>
        <v>0</v>
      </c>
      <c r="J279" s="47">
        <v>0</v>
      </c>
      <c r="K279" s="46">
        <f t="shared" si="69"/>
        <v>0</v>
      </c>
      <c r="L279" s="47">
        <v>0</v>
      </c>
      <c r="AZ279" s="49"/>
      <c r="BC279" s="50"/>
    </row>
    <row r="280" spans="1:55" s="48" customFormat="1" ht="15.45" customHeight="1" outlineLevel="1" x14ac:dyDescent="0.25">
      <c r="A280" s="42">
        <v>21</v>
      </c>
      <c r="B280" s="43" t="s">
        <v>202</v>
      </c>
      <c r="C280" s="44" t="s">
        <v>93</v>
      </c>
      <c r="D280" s="45">
        <v>13</v>
      </c>
      <c r="E280" s="45">
        <v>106.32080000000001</v>
      </c>
      <c r="F280" s="45">
        <f t="shared" si="65"/>
        <v>1382.1704</v>
      </c>
      <c r="G280" s="46">
        <f t="shared" si="66"/>
        <v>0</v>
      </c>
      <c r="H280" s="47">
        <f t="shared" si="67"/>
        <v>0</v>
      </c>
      <c r="I280" s="46">
        <f t="shared" si="68"/>
        <v>0</v>
      </c>
      <c r="J280" s="47">
        <v>0</v>
      </c>
      <c r="K280" s="46">
        <f t="shared" si="69"/>
        <v>0</v>
      </c>
      <c r="L280" s="47">
        <v>0</v>
      </c>
      <c r="AZ280" s="49"/>
      <c r="BC280" s="50"/>
    </row>
    <row r="281" spans="1:55" s="59" customFormat="1" ht="27.75" customHeight="1" outlineLevel="1" x14ac:dyDescent="0.35">
      <c r="A281" s="42">
        <v>22</v>
      </c>
      <c r="B281" s="43" t="s">
        <v>203</v>
      </c>
      <c r="C281" s="44" t="s">
        <v>93</v>
      </c>
      <c r="D281" s="45">
        <v>26</v>
      </c>
      <c r="E281" s="45">
        <v>6.4423999999999992</v>
      </c>
      <c r="F281" s="45">
        <f t="shared" si="65"/>
        <v>167.50239999999997</v>
      </c>
      <c r="G281" s="46">
        <f t="shared" si="66"/>
        <v>0</v>
      </c>
      <c r="H281" s="47">
        <f t="shared" si="67"/>
        <v>0</v>
      </c>
      <c r="I281" s="46">
        <f t="shared" si="68"/>
        <v>0</v>
      </c>
      <c r="J281" s="47">
        <v>0</v>
      </c>
      <c r="K281" s="46">
        <f t="shared" si="69"/>
        <v>0</v>
      </c>
      <c r="L281" s="47">
        <v>0</v>
      </c>
      <c r="AZ281" s="60"/>
      <c r="BC281" s="61"/>
    </row>
    <row r="282" spans="1:55" s="48" customFormat="1" ht="15.45" customHeight="1" outlineLevel="1" x14ac:dyDescent="0.25">
      <c r="A282" s="42">
        <v>23</v>
      </c>
      <c r="B282" s="43" t="s">
        <v>204</v>
      </c>
      <c r="C282" s="44" t="s">
        <v>93</v>
      </c>
      <c r="D282" s="45">
        <v>2</v>
      </c>
      <c r="E282" s="45">
        <v>120.88639999999999</v>
      </c>
      <c r="F282" s="45">
        <f t="shared" si="65"/>
        <v>241.77279999999999</v>
      </c>
      <c r="G282" s="46">
        <f t="shared" si="66"/>
        <v>0</v>
      </c>
      <c r="H282" s="47">
        <f t="shared" si="67"/>
        <v>0</v>
      </c>
      <c r="I282" s="46">
        <f t="shared" si="68"/>
        <v>0</v>
      </c>
      <c r="J282" s="47">
        <v>0</v>
      </c>
      <c r="K282" s="46">
        <f t="shared" si="69"/>
        <v>0</v>
      </c>
      <c r="L282" s="47">
        <v>0</v>
      </c>
      <c r="AZ282" s="49"/>
      <c r="BC282" s="50"/>
    </row>
    <row r="283" spans="1:55" s="48" customFormat="1" ht="27.75" customHeight="1" outlineLevel="1" x14ac:dyDescent="0.25">
      <c r="A283" s="42">
        <v>24</v>
      </c>
      <c r="B283" s="43" t="s">
        <v>205</v>
      </c>
      <c r="C283" s="44" t="s">
        <v>93</v>
      </c>
      <c r="D283" s="45">
        <v>5</v>
      </c>
      <c r="E283" s="45">
        <v>5.4019999999999992</v>
      </c>
      <c r="F283" s="45">
        <f t="shared" si="65"/>
        <v>27.009999999999998</v>
      </c>
      <c r="G283" s="46">
        <f t="shared" si="66"/>
        <v>0</v>
      </c>
      <c r="H283" s="47">
        <f t="shared" si="67"/>
        <v>0</v>
      </c>
      <c r="I283" s="46">
        <f t="shared" si="68"/>
        <v>0</v>
      </c>
      <c r="J283" s="47">
        <v>0</v>
      </c>
      <c r="K283" s="46">
        <f t="shared" si="69"/>
        <v>0</v>
      </c>
      <c r="L283" s="47">
        <v>0</v>
      </c>
      <c r="AZ283" s="49"/>
      <c r="BC283" s="50"/>
    </row>
    <row r="284" spans="1:55" s="48" customFormat="1" ht="15.45" customHeight="1" outlineLevel="1" x14ac:dyDescent="0.25">
      <c r="A284" s="42">
        <v>25</v>
      </c>
      <c r="B284" s="43" t="s">
        <v>206</v>
      </c>
      <c r="C284" s="44" t="s">
        <v>93</v>
      </c>
      <c r="D284" s="45">
        <v>5</v>
      </c>
      <c r="E284" s="45">
        <v>4.8817999999999993</v>
      </c>
      <c r="F284" s="45">
        <f t="shared" si="65"/>
        <v>24.408999999999995</v>
      </c>
      <c r="G284" s="46">
        <f t="shared" si="66"/>
        <v>0</v>
      </c>
      <c r="H284" s="47">
        <f t="shared" si="67"/>
        <v>0</v>
      </c>
      <c r="I284" s="46">
        <f t="shared" si="68"/>
        <v>0</v>
      </c>
      <c r="J284" s="47">
        <v>0</v>
      </c>
      <c r="K284" s="46">
        <f t="shared" si="69"/>
        <v>0</v>
      </c>
      <c r="L284" s="47">
        <v>0</v>
      </c>
      <c r="AZ284" s="49"/>
      <c r="BC284" s="50"/>
    </row>
    <row r="285" spans="1:55" s="48" customFormat="1" ht="27.75" customHeight="1" outlineLevel="1" x14ac:dyDescent="0.25">
      <c r="A285" s="42">
        <v>26</v>
      </c>
      <c r="B285" s="43" t="s">
        <v>207</v>
      </c>
      <c r="C285" s="44" t="s">
        <v>93</v>
      </c>
      <c r="D285" s="45">
        <v>20</v>
      </c>
      <c r="E285" s="45">
        <v>3.3212000000000002</v>
      </c>
      <c r="F285" s="45">
        <f t="shared" si="65"/>
        <v>66.424000000000007</v>
      </c>
      <c r="G285" s="46">
        <f t="shared" si="66"/>
        <v>0</v>
      </c>
      <c r="H285" s="47">
        <f t="shared" si="67"/>
        <v>0</v>
      </c>
      <c r="I285" s="46">
        <f t="shared" si="68"/>
        <v>0</v>
      </c>
      <c r="J285" s="47">
        <v>0</v>
      </c>
      <c r="K285" s="46">
        <f t="shared" si="69"/>
        <v>0</v>
      </c>
      <c r="L285" s="47">
        <v>0</v>
      </c>
      <c r="AZ285" s="49"/>
      <c r="BC285" s="50"/>
    </row>
    <row r="286" spans="1:55" s="48" customFormat="1" ht="15.45" customHeight="1" outlineLevel="1" x14ac:dyDescent="0.25">
      <c r="A286" s="42">
        <v>27</v>
      </c>
      <c r="B286" s="43" t="s">
        <v>208</v>
      </c>
      <c r="C286" s="44" t="s">
        <v>93</v>
      </c>
      <c r="D286" s="45">
        <v>14</v>
      </c>
      <c r="E286" s="45">
        <v>169.45060000000001</v>
      </c>
      <c r="F286" s="45">
        <f t="shared" si="65"/>
        <v>2372.3083999999999</v>
      </c>
      <c r="G286" s="46">
        <f t="shared" si="66"/>
        <v>0</v>
      </c>
      <c r="H286" s="47">
        <f t="shared" si="67"/>
        <v>0</v>
      </c>
      <c r="I286" s="46">
        <f t="shared" si="68"/>
        <v>0</v>
      </c>
      <c r="J286" s="47">
        <v>0</v>
      </c>
      <c r="K286" s="46">
        <f t="shared" si="69"/>
        <v>0</v>
      </c>
      <c r="L286" s="47">
        <v>0</v>
      </c>
      <c r="AZ286" s="49"/>
      <c r="BC286" s="50"/>
    </row>
    <row r="287" spans="1:55" s="48" customFormat="1" ht="15.45" customHeight="1" outlineLevel="1" x14ac:dyDescent="0.25">
      <c r="A287" s="42">
        <v>28</v>
      </c>
      <c r="B287" s="43" t="s">
        <v>209</v>
      </c>
      <c r="C287" s="44" t="s">
        <v>61</v>
      </c>
      <c r="D287" s="45">
        <v>280</v>
      </c>
      <c r="E287" s="45">
        <v>2.8010000000000002</v>
      </c>
      <c r="F287" s="45">
        <f t="shared" si="65"/>
        <v>784.28000000000009</v>
      </c>
      <c r="G287" s="46">
        <f t="shared" si="66"/>
        <v>0</v>
      </c>
      <c r="H287" s="47">
        <f t="shared" si="67"/>
        <v>0</v>
      </c>
      <c r="I287" s="46">
        <f t="shared" si="68"/>
        <v>0</v>
      </c>
      <c r="J287" s="47">
        <v>0</v>
      </c>
      <c r="K287" s="46">
        <f t="shared" si="69"/>
        <v>0</v>
      </c>
      <c r="L287" s="47">
        <v>0</v>
      </c>
      <c r="AZ287" s="49"/>
      <c r="BC287" s="50"/>
    </row>
    <row r="288" spans="1:55" s="48" customFormat="1" ht="15.45" customHeight="1" outlineLevel="1" x14ac:dyDescent="0.25">
      <c r="A288" s="42">
        <v>29</v>
      </c>
      <c r="B288" s="43" t="s">
        <v>210</v>
      </c>
      <c r="C288" s="44" t="s">
        <v>93</v>
      </c>
      <c r="D288" s="45">
        <v>1</v>
      </c>
      <c r="E288" s="45">
        <v>5.5039999999999996</v>
      </c>
      <c r="F288" s="45">
        <f t="shared" si="65"/>
        <v>5.5039999999999996</v>
      </c>
      <c r="G288" s="46">
        <f t="shared" si="66"/>
        <v>0</v>
      </c>
      <c r="H288" s="47">
        <f t="shared" si="67"/>
        <v>0</v>
      </c>
      <c r="I288" s="46">
        <f t="shared" si="68"/>
        <v>0</v>
      </c>
      <c r="J288" s="47">
        <v>0</v>
      </c>
      <c r="K288" s="46">
        <f t="shared" si="69"/>
        <v>0</v>
      </c>
      <c r="L288" s="47">
        <v>0</v>
      </c>
      <c r="AZ288" s="49"/>
      <c r="BC288" s="50"/>
    </row>
    <row r="289" spans="1:55" s="48" customFormat="1" ht="27.75" customHeight="1" outlineLevel="1" x14ac:dyDescent="0.25">
      <c r="A289" s="42">
        <v>30</v>
      </c>
      <c r="B289" s="43" t="s">
        <v>207</v>
      </c>
      <c r="C289" s="44" t="s">
        <v>93</v>
      </c>
      <c r="D289" s="45">
        <v>1</v>
      </c>
      <c r="E289" s="45">
        <v>3.3212000000000002</v>
      </c>
      <c r="F289" s="45">
        <f t="shared" si="65"/>
        <v>3.3212000000000002</v>
      </c>
      <c r="G289" s="46">
        <f t="shared" si="66"/>
        <v>0</v>
      </c>
      <c r="H289" s="47">
        <f t="shared" si="67"/>
        <v>0</v>
      </c>
      <c r="I289" s="46">
        <f t="shared" si="68"/>
        <v>0</v>
      </c>
      <c r="J289" s="47">
        <v>0</v>
      </c>
      <c r="K289" s="46">
        <f t="shared" si="69"/>
        <v>0</v>
      </c>
      <c r="L289" s="47">
        <v>0</v>
      </c>
      <c r="AZ289" s="49"/>
      <c r="BC289" s="50"/>
    </row>
    <row r="290" spans="1:55" s="48" customFormat="1" ht="27.75" customHeight="1" outlineLevel="1" x14ac:dyDescent="0.25">
      <c r="A290" s="42">
        <v>31</v>
      </c>
      <c r="B290" s="43" t="s">
        <v>211</v>
      </c>
      <c r="C290" s="44" t="s">
        <v>61</v>
      </c>
      <c r="D290" s="45">
        <v>10</v>
      </c>
      <c r="E290" s="45">
        <v>1.2403999999999999</v>
      </c>
      <c r="F290" s="45">
        <f t="shared" si="65"/>
        <v>12.404</v>
      </c>
      <c r="G290" s="46">
        <f t="shared" si="66"/>
        <v>0</v>
      </c>
      <c r="H290" s="47">
        <f t="shared" si="67"/>
        <v>0</v>
      </c>
      <c r="I290" s="46">
        <f t="shared" si="68"/>
        <v>0</v>
      </c>
      <c r="J290" s="47">
        <v>0</v>
      </c>
      <c r="K290" s="46">
        <f t="shared" si="69"/>
        <v>0</v>
      </c>
      <c r="L290" s="47">
        <v>0</v>
      </c>
      <c r="AZ290" s="49"/>
      <c r="BC290" s="50"/>
    </row>
    <row r="291" spans="1:55" s="48" customFormat="1" ht="27.75" customHeight="1" outlineLevel="1" x14ac:dyDescent="0.25">
      <c r="A291" s="42">
        <v>32</v>
      </c>
      <c r="B291" s="43" t="s">
        <v>212</v>
      </c>
      <c r="C291" s="44" t="s">
        <v>48</v>
      </c>
      <c r="D291" s="45">
        <v>9</v>
      </c>
      <c r="E291" s="45">
        <v>35.402200000000001</v>
      </c>
      <c r="F291" s="45">
        <f t="shared" si="65"/>
        <v>318.6198</v>
      </c>
      <c r="G291" s="46">
        <f t="shared" si="66"/>
        <v>0</v>
      </c>
      <c r="H291" s="47">
        <f t="shared" si="67"/>
        <v>0</v>
      </c>
      <c r="I291" s="46">
        <f t="shared" si="68"/>
        <v>0</v>
      </c>
      <c r="J291" s="47">
        <v>0</v>
      </c>
      <c r="K291" s="46">
        <f t="shared" si="69"/>
        <v>0</v>
      </c>
      <c r="L291" s="47">
        <v>0</v>
      </c>
      <c r="AZ291" s="49"/>
      <c r="BC291" s="50"/>
    </row>
    <row r="292" spans="1:55" s="48" customFormat="1" ht="15.45" customHeight="1" outlineLevel="1" x14ac:dyDescent="0.25">
      <c r="A292" s="42">
        <v>33</v>
      </c>
      <c r="B292" s="43" t="s">
        <v>213</v>
      </c>
      <c r="C292" s="44" t="s">
        <v>93</v>
      </c>
      <c r="D292" s="45">
        <v>1</v>
      </c>
      <c r="E292" s="45">
        <v>85.0946</v>
      </c>
      <c r="F292" s="45">
        <f t="shared" si="65"/>
        <v>85.0946</v>
      </c>
      <c r="G292" s="46">
        <f t="shared" si="66"/>
        <v>0</v>
      </c>
      <c r="H292" s="47">
        <f t="shared" si="67"/>
        <v>0</v>
      </c>
      <c r="I292" s="46">
        <f t="shared" si="68"/>
        <v>0</v>
      </c>
      <c r="J292" s="47">
        <v>0</v>
      </c>
      <c r="K292" s="46">
        <f t="shared" si="69"/>
        <v>0</v>
      </c>
      <c r="L292" s="47">
        <v>0</v>
      </c>
      <c r="AZ292" s="49"/>
      <c r="BC292" s="50"/>
    </row>
    <row r="293" spans="1:55" s="48" customFormat="1" ht="27.75" customHeight="1" outlineLevel="1" x14ac:dyDescent="0.25">
      <c r="A293" s="42">
        <v>34</v>
      </c>
      <c r="B293" s="43" t="s">
        <v>214</v>
      </c>
      <c r="C293" s="44" t="s">
        <v>48</v>
      </c>
      <c r="D293" s="45">
        <v>9</v>
      </c>
      <c r="E293" s="45">
        <v>7.3420000000000014</v>
      </c>
      <c r="F293" s="45">
        <f t="shared" si="65"/>
        <v>66.078000000000017</v>
      </c>
      <c r="G293" s="46">
        <f t="shared" si="66"/>
        <v>0</v>
      </c>
      <c r="H293" s="47">
        <f t="shared" si="67"/>
        <v>0</v>
      </c>
      <c r="I293" s="46">
        <f t="shared" si="68"/>
        <v>0</v>
      </c>
      <c r="J293" s="47">
        <v>0</v>
      </c>
      <c r="K293" s="46">
        <f t="shared" si="69"/>
        <v>0</v>
      </c>
      <c r="L293" s="47">
        <v>0</v>
      </c>
      <c r="AZ293" s="49"/>
      <c r="BC293" s="50"/>
    </row>
    <row r="294" spans="1:55" s="48" customFormat="1" ht="27.75" customHeight="1" outlineLevel="1" x14ac:dyDescent="0.25">
      <c r="A294" s="42">
        <v>35</v>
      </c>
      <c r="B294" s="43" t="s">
        <v>215</v>
      </c>
      <c r="C294" s="44" t="s">
        <v>26</v>
      </c>
      <c r="D294" s="45">
        <v>0.36</v>
      </c>
      <c r="E294" s="45">
        <v>811.91800000000001</v>
      </c>
      <c r="F294" s="45">
        <f t="shared" si="65"/>
        <v>292.29048</v>
      </c>
      <c r="G294" s="46">
        <f t="shared" si="66"/>
        <v>0</v>
      </c>
      <c r="H294" s="47">
        <f t="shared" si="67"/>
        <v>0</v>
      </c>
      <c r="I294" s="46">
        <f t="shared" si="68"/>
        <v>0</v>
      </c>
      <c r="J294" s="47">
        <v>0</v>
      </c>
      <c r="K294" s="46">
        <f t="shared" si="69"/>
        <v>0</v>
      </c>
      <c r="L294" s="47">
        <v>0</v>
      </c>
      <c r="AZ294" s="49"/>
      <c r="BC294" s="50"/>
    </row>
    <row r="295" spans="1:55" s="48" customFormat="1" ht="27.75" customHeight="1" outlineLevel="1" x14ac:dyDescent="0.25">
      <c r="A295" s="42">
        <v>36</v>
      </c>
      <c r="B295" s="43" t="s">
        <v>216</v>
      </c>
      <c r="C295" s="44" t="s">
        <v>48</v>
      </c>
      <c r="D295" s="45">
        <v>5</v>
      </c>
      <c r="E295" s="45">
        <v>23.519200000000001</v>
      </c>
      <c r="F295" s="45">
        <f t="shared" si="65"/>
        <v>117.596</v>
      </c>
      <c r="G295" s="46">
        <f t="shared" si="66"/>
        <v>0</v>
      </c>
      <c r="H295" s="47">
        <f t="shared" si="67"/>
        <v>0</v>
      </c>
      <c r="I295" s="46">
        <f t="shared" si="68"/>
        <v>0</v>
      </c>
      <c r="J295" s="47">
        <v>0</v>
      </c>
      <c r="K295" s="46">
        <f t="shared" si="69"/>
        <v>0</v>
      </c>
      <c r="L295" s="47">
        <v>0</v>
      </c>
      <c r="AZ295" s="49"/>
      <c r="BC295" s="50"/>
    </row>
    <row r="296" spans="1:55" s="48" customFormat="1" ht="27.75" customHeight="1" outlineLevel="1" x14ac:dyDescent="0.25">
      <c r="A296" s="42">
        <v>37</v>
      </c>
      <c r="B296" s="43" t="s">
        <v>217</v>
      </c>
      <c r="C296" s="44" t="s">
        <v>61</v>
      </c>
      <c r="D296" s="45">
        <v>12</v>
      </c>
      <c r="E296" s="45">
        <v>9.2187999999999999</v>
      </c>
      <c r="F296" s="45">
        <f t="shared" si="65"/>
        <v>110.62559999999999</v>
      </c>
      <c r="G296" s="46">
        <f t="shared" si="66"/>
        <v>0</v>
      </c>
      <c r="H296" s="47">
        <f t="shared" si="67"/>
        <v>0</v>
      </c>
      <c r="I296" s="46">
        <f t="shared" si="68"/>
        <v>0</v>
      </c>
      <c r="J296" s="47">
        <v>0</v>
      </c>
      <c r="K296" s="46">
        <f t="shared" si="69"/>
        <v>0</v>
      </c>
      <c r="L296" s="47">
        <v>0</v>
      </c>
      <c r="AZ296" s="49"/>
      <c r="BC296" s="50"/>
    </row>
    <row r="297" spans="1:55" s="48" customFormat="1" ht="27.75" customHeight="1" outlineLevel="1" x14ac:dyDescent="0.25">
      <c r="A297" s="42">
        <v>38</v>
      </c>
      <c r="B297" s="43" t="s">
        <v>218</v>
      </c>
      <c r="C297" s="44" t="s">
        <v>61</v>
      </c>
      <c r="D297" s="45">
        <v>12</v>
      </c>
      <c r="E297" s="45">
        <v>6.1159999999999988</v>
      </c>
      <c r="F297" s="45">
        <f t="shared" si="65"/>
        <v>73.391999999999982</v>
      </c>
      <c r="G297" s="46">
        <f t="shared" si="66"/>
        <v>0</v>
      </c>
      <c r="H297" s="47">
        <f t="shared" si="67"/>
        <v>0</v>
      </c>
      <c r="I297" s="46">
        <f t="shared" si="68"/>
        <v>0</v>
      </c>
      <c r="J297" s="47">
        <v>0</v>
      </c>
      <c r="K297" s="46">
        <f t="shared" si="69"/>
        <v>0</v>
      </c>
      <c r="L297" s="47">
        <v>0</v>
      </c>
      <c r="AZ297" s="49"/>
      <c r="BC297" s="50"/>
    </row>
    <row r="298" spans="1:55" s="48" customFormat="1" ht="27.75" customHeight="1" outlineLevel="1" x14ac:dyDescent="0.25">
      <c r="A298" s="42">
        <v>39</v>
      </c>
      <c r="B298" s="43" t="s">
        <v>219</v>
      </c>
      <c r="C298" s="44" t="s">
        <v>61</v>
      </c>
      <c r="D298" s="45">
        <v>8</v>
      </c>
      <c r="E298" s="45">
        <v>9.2187999999999999</v>
      </c>
      <c r="F298" s="45">
        <f t="shared" si="65"/>
        <v>73.750399999999999</v>
      </c>
      <c r="G298" s="46">
        <f t="shared" si="66"/>
        <v>0</v>
      </c>
      <c r="H298" s="47">
        <f t="shared" si="67"/>
        <v>0</v>
      </c>
      <c r="I298" s="46">
        <f t="shared" si="68"/>
        <v>0</v>
      </c>
      <c r="J298" s="47">
        <v>0</v>
      </c>
      <c r="K298" s="46">
        <f t="shared" si="69"/>
        <v>0</v>
      </c>
      <c r="L298" s="47">
        <v>0</v>
      </c>
      <c r="AZ298" s="49"/>
      <c r="BC298" s="50"/>
    </row>
    <row r="299" spans="1:55" s="48" customFormat="1" ht="15.45" customHeight="1" outlineLevel="1" x14ac:dyDescent="0.25">
      <c r="A299" s="42">
        <v>40</v>
      </c>
      <c r="B299" s="43" t="s">
        <v>220</v>
      </c>
      <c r="C299" s="44" t="s">
        <v>61</v>
      </c>
      <c r="D299" s="45">
        <v>8</v>
      </c>
      <c r="E299" s="45">
        <v>5.3509999999999991</v>
      </c>
      <c r="F299" s="45">
        <f t="shared" si="65"/>
        <v>42.807999999999993</v>
      </c>
      <c r="G299" s="46">
        <f t="shared" si="66"/>
        <v>0</v>
      </c>
      <c r="H299" s="47">
        <f t="shared" si="67"/>
        <v>0</v>
      </c>
      <c r="I299" s="46">
        <f t="shared" si="68"/>
        <v>0</v>
      </c>
      <c r="J299" s="47">
        <v>0</v>
      </c>
      <c r="K299" s="46">
        <f t="shared" si="69"/>
        <v>0</v>
      </c>
      <c r="L299" s="47">
        <v>0</v>
      </c>
      <c r="AZ299" s="49"/>
      <c r="BC299" s="50"/>
    </row>
    <row r="300" spans="1:55" s="48" customFormat="1" ht="27.75" customHeight="1" outlineLevel="1" x14ac:dyDescent="0.25">
      <c r="A300" s="42">
        <v>41</v>
      </c>
      <c r="B300" s="43" t="s">
        <v>221</v>
      </c>
      <c r="C300" s="44" t="s">
        <v>93</v>
      </c>
      <c r="D300" s="45">
        <v>2</v>
      </c>
      <c r="E300" s="45">
        <v>6.4423999999999992</v>
      </c>
      <c r="F300" s="45">
        <f t="shared" si="65"/>
        <v>12.884799999999998</v>
      </c>
      <c r="G300" s="46">
        <f t="shared" si="66"/>
        <v>0</v>
      </c>
      <c r="H300" s="47">
        <f t="shared" si="67"/>
        <v>0</v>
      </c>
      <c r="I300" s="46">
        <f t="shared" si="68"/>
        <v>0</v>
      </c>
      <c r="J300" s="47">
        <v>0</v>
      </c>
      <c r="K300" s="46">
        <f t="shared" si="69"/>
        <v>0</v>
      </c>
      <c r="L300" s="47">
        <v>0</v>
      </c>
      <c r="AZ300" s="49"/>
      <c r="BC300" s="50"/>
    </row>
    <row r="301" spans="1:55" s="48" customFormat="1" ht="27.75" customHeight="1" outlineLevel="1" x14ac:dyDescent="0.25">
      <c r="A301" s="42">
        <v>42</v>
      </c>
      <c r="B301" s="43" t="s">
        <v>205</v>
      </c>
      <c r="C301" s="44" t="s">
        <v>93</v>
      </c>
      <c r="D301" s="45">
        <v>4</v>
      </c>
      <c r="E301" s="45">
        <v>5.4019999999999992</v>
      </c>
      <c r="F301" s="45">
        <f t="shared" si="65"/>
        <v>21.607999999999997</v>
      </c>
      <c r="G301" s="46">
        <f t="shared" si="66"/>
        <v>0</v>
      </c>
      <c r="H301" s="47">
        <f t="shared" si="67"/>
        <v>0</v>
      </c>
      <c r="I301" s="46">
        <f t="shared" si="68"/>
        <v>0</v>
      </c>
      <c r="J301" s="47">
        <v>0</v>
      </c>
      <c r="K301" s="46">
        <f t="shared" si="69"/>
        <v>0</v>
      </c>
      <c r="L301" s="47">
        <v>0</v>
      </c>
      <c r="AZ301" s="49"/>
      <c r="BC301" s="50"/>
    </row>
    <row r="302" spans="1:55" s="56" customFormat="1" ht="27" customHeight="1" x14ac:dyDescent="0.3">
      <c r="A302" s="62">
        <v>2.14</v>
      </c>
      <c r="B302" s="51" t="s">
        <v>222</v>
      </c>
      <c r="C302" s="52">
        <v>0</v>
      </c>
      <c r="D302" s="53"/>
      <c r="E302" s="53"/>
      <c r="F302" s="53"/>
      <c r="G302" s="54"/>
      <c r="H302" s="55"/>
      <c r="I302" s="54"/>
      <c r="J302" s="55"/>
      <c r="K302" s="54"/>
      <c r="L302" s="55">
        <v>0</v>
      </c>
      <c r="AZ302" s="57"/>
      <c r="BC302" s="58"/>
    </row>
    <row r="303" spans="1:55" s="48" customFormat="1" ht="27.75" customHeight="1" outlineLevel="1" x14ac:dyDescent="0.25">
      <c r="A303" s="42">
        <v>1</v>
      </c>
      <c r="B303" s="43" t="s">
        <v>223</v>
      </c>
      <c r="C303" s="44" t="s">
        <v>61</v>
      </c>
      <c r="D303" s="45">
        <v>20</v>
      </c>
      <c r="E303" s="45">
        <v>5.9649999999999999</v>
      </c>
      <c r="F303" s="45">
        <f t="shared" ref="F303:F328" si="70">+E303*D303</f>
        <v>119.3</v>
      </c>
      <c r="G303" s="46">
        <f t="shared" ref="G303:G328" si="71">I303+K303</f>
        <v>0</v>
      </c>
      <c r="H303" s="47">
        <f t="shared" ref="H303:H328" si="72">J303+L303</f>
        <v>0</v>
      </c>
      <c r="I303" s="46">
        <f t="shared" ref="I303:I328" si="73">J303/F303</f>
        <v>0</v>
      </c>
      <c r="J303" s="47">
        <v>0</v>
      </c>
      <c r="K303" s="46">
        <f t="shared" ref="K303:K328" si="74">L303/F303</f>
        <v>0</v>
      </c>
      <c r="L303" s="47">
        <v>0</v>
      </c>
      <c r="AZ303" s="49"/>
      <c r="BC303" s="50"/>
    </row>
    <row r="304" spans="1:55" s="48" customFormat="1" ht="27.75" customHeight="1" outlineLevel="1" x14ac:dyDescent="0.25">
      <c r="A304" s="42">
        <v>2</v>
      </c>
      <c r="B304" s="43" t="s">
        <v>224</v>
      </c>
      <c r="C304" s="44" t="s">
        <v>61</v>
      </c>
      <c r="D304" s="45">
        <v>20</v>
      </c>
      <c r="E304" s="45">
        <v>7.9009999999999989</v>
      </c>
      <c r="F304" s="45">
        <f t="shared" si="70"/>
        <v>158.01999999999998</v>
      </c>
      <c r="G304" s="46">
        <f t="shared" si="71"/>
        <v>0</v>
      </c>
      <c r="H304" s="47">
        <f t="shared" si="72"/>
        <v>0</v>
      </c>
      <c r="I304" s="46">
        <f t="shared" si="73"/>
        <v>0</v>
      </c>
      <c r="J304" s="47">
        <v>0</v>
      </c>
      <c r="K304" s="46">
        <f t="shared" si="74"/>
        <v>0</v>
      </c>
      <c r="L304" s="47">
        <v>0</v>
      </c>
      <c r="AZ304" s="49"/>
      <c r="BC304" s="50"/>
    </row>
    <row r="305" spans="1:55" s="48" customFormat="1" ht="27.75" customHeight="1" outlineLevel="1" x14ac:dyDescent="0.25">
      <c r="A305" s="42">
        <v>3</v>
      </c>
      <c r="B305" s="43" t="s">
        <v>188</v>
      </c>
      <c r="C305" s="44" t="s">
        <v>61</v>
      </c>
      <c r="D305" s="45">
        <v>68</v>
      </c>
      <c r="E305" s="45">
        <v>5.9548000000000014</v>
      </c>
      <c r="F305" s="45">
        <f t="shared" si="70"/>
        <v>404.92640000000011</v>
      </c>
      <c r="G305" s="46">
        <f t="shared" si="71"/>
        <v>0</v>
      </c>
      <c r="H305" s="47">
        <f t="shared" si="72"/>
        <v>0</v>
      </c>
      <c r="I305" s="46">
        <f t="shared" si="73"/>
        <v>0</v>
      </c>
      <c r="J305" s="47">
        <v>0</v>
      </c>
      <c r="K305" s="46">
        <f t="shared" si="74"/>
        <v>0</v>
      </c>
      <c r="L305" s="47">
        <v>0</v>
      </c>
      <c r="AZ305" s="49"/>
      <c r="BC305" s="50"/>
    </row>
    <row r="306" spans="1:55" s="48" customFormat="1" ht="27.75" customHeight="1" outlineLevel="1" x14ac:dyDescent="0.25">
      <c r="A306" s="42">
        <v>4</v>
      </c>
      <c r="B306" s="43" t="s">
        <v>189</v>
      </c>
      <c r="C306" s="44" t="s">
        <v>61</v>
      </c>
      <c r="D306" s="45">
        <v>68</v>
      </c>
      <c r="E306" s="45">
        <v>5.1265999999999998</v>
      </c>
      <c r="F306" s="45">
        <f t="shared" si="70"/>
        <v>348.60879999999997</v>
      </c>
      <c r="G306" s="46">
        <f t="shared" si="71"/>
        <v>0</v>
      </c>
      <c r="H306" s="47">
        <f t="shared" si="72"/>
        <v>0</v>
      </c>
      <c r="I306" s="46">
        <f t="shared" si="73"/>
        <v>0</v>
      </c>
      <c r="J306" s="47">
        <v>0</v>
      </c>
      <c r="K306" s="46">
        <f t="shared" si="74"/>
        <v>0</v>
      </c>
      <c r="L306" s="47">
        <v>0</v>
      </c>
      <c r="AZ306" s="49"/>
      <c r="BC306" s="50"/>
    </row>
    <row r="307" spans="1:55" s="48" customFormat="1" ht="27.75" customHeight="1" outlineLevel="1" x14ac:dyDescent="0.25">
      <c r="A307" s="42">
        <v>5</v>
      </c>
      <c r="B307" s="43" t="s">
        <v>190</v>
      </c>
      <c r="C307" s="44" t="s">
        <v>61</v>
      </c>
      <c r="D307" s="45">
        <v>16</v>
      </c>
      <c r="E307" s="45">
        <v>5.9446000000000003</v>
      </c>
      <c r="F307" s="45">
        <f t="shared" si="70"/>
        <v>95.113600000000005</v>
      </c>
      <c r="G307" s="46">
        <f t="shared" si="71"/>
        <v>0</v>
      </c>
      <c r="H307" s="47">
        <f t="shared" si="72"/>
        <v>0</v>
      </c>
      <c r="I307" s="46">
        <f t="shared" si="73"/>
        <v>0</v>
      </c>
      <c r="J307" s="47">
        <v>0</v>
      </c>
      <c r="K307" s="46">
        <f t="shared" si="74"/>
        <v>0</v>
      </c>
      <c r="L307" s="47">
        <v>0</v>
      </c>
      <c r="AZ307" s="49"/>
      <c r="BC307" s="50"/>
    </row>
    <row r="308" spans="1:55" s="48" customFormat="1" ht="27.75" customHeight="1" outlineLevel="1" x14ac:dyDescent="0.25">
      <c r="A308" s="42">
        <v>6</v>
      </c>
      <c r="B308" s="43" t="s">
        <v>191</v>
      </c>
      <c r="C308" s="44" t="s">
        <v>61</v>
      </c>
      <c r="D308" s="45">
        <v>16</v>
      </c>
      <c r="E308" s="45">
        <v>3.923</v>
      </c>
      <c r="F308" s="45">
        <f t="shared" si="70"/>
        <v>62.768000000000001</v>
      </c>
      <c r="G308" s="46">
        <f t="shared" si="71"/>
        <v>0</v>
      </c>
      <c r="H308" s="47">
        <f t="shared" si="72"/>
        <v>0</v>
      </c>
      <c r="I308" s="46">
        <f t="shared" si="73"/>
        <v>0</v>
      </c>
      <c r="J308" s="47">
        <v>0</v>
      </c>
      <c r="K308" s="46">
        <f t="shared" si="74"/>
        <v>0</v>
      </c>
      <c r="L308" s="47">
        <v>0</v>
      </c>
      <c r="AZ308" s="49"/>
      <c r="BC308" s="50"/>
    </row>
    <row r="309" spans="1:55" s="48" customFormat="1" ht="27.75" customHeight="1" outlineLevel="1" x14ac:dyDescent="0.25">
      <c r="A309" s="42">
        <v>7</v>
      </c>
      <c r="B309" s="43" t="s">
        <v>192</v>
      </c>
      <c r="C309" s="44" t="s">
        <v>61</v>
      </c>
      <c r="D309" s="45">
        <v>75</v>
      </c>
      <c r="E309" s="45">
        <v>5.9446000000000003</v>
      </c>
      <c r="F309" s="45">
        <f t="shared" si="70"/>
        <v>445.84500000000003</v>
      </c>
      <c r="G309" s="46">
        <f t="shared" si="71"/>
        <v>0</v>
      </c>
      <c r="H309" s="47">
        <f t="shared" si="72"/>
        <v>0</v>
      </c>
      <c r="I309" s="46">
        <f t="shared" si="73"/>
        <v>0</v>
      </c>
      <c r="J309" s="47">
        <v>0</v>
      </c>
      <c r="K309" s="46">
        <f t="shared" si="74"/>
        <v>0</v>
      </c>
      <c r="L309" s="47">
        <v>0</v>
      </c>
      <c r="AZ309" s="49"/>
      <c r="BC309" s="50"/>
    </row>
    <row r="310" spans="1:55" s="48" customFormat="1" ht="27.75" customHeight="1" outlineLevel="1" x14ac:dyDescent="0.25">
      <c r="A310" s="42">
        <v>8</v>
      </c>
      <c r="B310" s="43" t="s">
        <v>193</v>
      </c>
      <c r="C310" s="44" t="s">
        <v>61</v>
      </c>
      <c r="D310" s="45">
        <v>75</v>
      </c>
      <c r="E310" s="45">
        <v>2.75</v>
      </c>
      <c r="F310" s="45">
        <f t="shared" si="70"/>
        <v>206.25</v>
      </c>
      <c r="G310" s="46">
        <f t="shared" si="71"/>
        <v>0</v>
      </c>
      <c r="H310" s="47">
        <f t="shared" si="72"/>
        <v>0</v>
      </c>
      <c r="I310" s="46">
        <f t="shared" si="73"/>
        <v>0</v>
      </c>
      <c r="J310" s="47">
        <v>0</v>
      </c>
      <c r="K310" s="46">
        <f t="shared" si="74"/>
        <v>0</v>
      </c>
      <c r="L310" s="47">
        <v>0</v>
      </c>
      <c r="AZ310" s="49"/>
      <c r="BC310" s="50"/>
    </row>
    <row r="311" spans="1:55" s="48" customFormat="1" ht="27.75" customHeight="1" outlineLevel="1" x14ac:dyDescent="0.25">
      <c r="A311" s="42">
        <v>9</v>
      </c>
      <c r="B311" s="43" t="s">
        <v>194</v>
      </c>
      <c r="C311" s="44" t="s">
        <v>61</v>
      </c>
      <c r="D311" s="45">
        <v>179</v>
      </c>
      <c r="E311" s="45">
        <v>1.5178</v>
      </c>
      <c r="F311" s="45">
        <f t="shared" si="70"/>
        <v>271.68619999999999</v>
      </c>
      <c r="G311" s="46">
        <f t="shared" si="71"/>
        <v>0</v>
      </c>
      <c r="H311" s="47">
        <f t="shared" si="72"/>
        <v>0</v>
      </c>
      <c r="I311" s="46">
        <f t="shared" si="73"/>
        <v>0</v>
      </c>
      <c r="J311" s="47">
        <v>0</v>
      </c>
      <c r="K311" s="46">
        <f t="shared" si="74"/>
        <v>0</v>
      </c>
      <c r="L311" s="47">
        <v>0</v>
      </c>
      <c r="AZ311" s="49"/>
      <c r="BC311" s="50"/>
    </row>
    <row r="312" spans="1:55" s="48" customFormat="1" ht="27.75" customHeight="1" outlineLevel="1" x14ac:dyDescent="0.25">
      <c r="A312" s="42">
        <v>10</v>
      </c>
      <c r="B312" s="43" t="s">
        <v>225</v>
      </c>
      <c r="C312" s="44" t="s">
        <v>61</v>
      </c>
      <c r="D312" s="45">
        <v>21</v>
      </c>
      <c r="E312" s="45">
        <v>13.819000000000001</v>
      </c>
      <c r="F312" s="45">
        <f t="shared" si="70"/>
        <v>290.19900000000001</v>
      </c>
      <c r="G312" s="46">
        <f t="shared" si="71"/>
        <v>0</v>
      </c>
      <c r="H312" s="47">
        <f t="shared" si="72"/>
        <v>0</v>
      </c>
      <c r="I312" s="46">
        <f t="shared" si="73"/>
        <v>0</v>
      </c>
      <c r="J312" s="47">
        <v>0</v>
      </c>
      <c r="K312" s="46">
        <f t="shared" si="74"/>
        <v>0</v>
      </c>
      <c r="L312" s="47">
        <v>0</v>
      </c>
      <c r="AZ312" s="49"/>
      <c r="BC312" s="50"/>
    </row>
    <row r="313" spans="1:55" s="48" customFormat="1" ht="27.75" customHeight="1" outlineLevel="1" x14ac:dyDescent="0.25">
      <c r="A313" s="42">
        <v>11</v>
      </c>
      <c r="B313" s="43" t="s">
        <v>226</v>
      </c>
      <c r="C313" s="44" t="s">
        <v>61</v>
      </c>
      <c r="D313" s="45">
        <v>21</v>
      </c>
      <c r="E313" s="45">
        <v>1.6484000000000001</v>
      </c>
      <c r="F313" s="45">
        <f t="shared" si="70"/>
        <v>34.616399999999999</v>
      </c>
      <c r="G313" s="46">
        <f t="shared" si="71"/>
        <v>0</v>
      </c>
      <c r="H313" s="47">
        <f t="shared" si="72"/>
        <v>0</v>
      </c>
      <c r="I313" s="46">
        <f t="shared" si="73"/>
        <v>0</v>
      </c>
      <c r="J313" s="47">
        <v>0</v>
      </c>
      <c r="K313" s="46">
        <f t="shared" si="74"/>
        <v>0</v>
      </c>
      <c r="L313" s="47">
        <v>0</v>
      </c>
      <c r="AZ313" s="49"/>
      <c r="BC313" s="50"/>
    </row>
    <row r="314" spans="1:55" s="48" customFormat="1" ht="27.75" customHeight="1" outlineLevel="1" x14ac:dyDescent="0.25">
      <c r="A314" s="42">
        <v>12</v>
      </c>
      <c r="B314" s="43" t="s">
        <v>227</v>
      </c>
      <c r="C314" s="44" t="s">
        <v>61</v>
      </c>
      <c r="D314" s="45">
        <v>11</v>
      </c>
      <c r="E314" s="45">
        <v>14.4514</v>
      </c>
      <c r="F314" s="45">
        <f t="shared" si="70"/>
        <v>158.96539999999999</v>
      </c>
      <c r="G314" s="46">
        <f t="shared" si="71"/>
        <v>0</v>
      </c>
      <c r="H314" s="47">
        <f t="shared" si="72"/>
        <v>0</v>
      </c>
      <c r="I314" s="46">
        <f t="shared" si="73"/>
        <v>0</v>
      </c>
      <c r="J314" s="47">
        <v>0</v>
      </c>
      <c r="K314" s="46">
        <f t="shared" si="74"/>
        <v>0</v>
      </c>
      <c r="L314" s="47">
        <v>0</v>
      </c>
      <c r="AZ314" s="49"/>
      <c r="BC314" s="50"/>
    </row>
    <row r="315" spans="1:55" s="48" customFormat="1" ht="27.75" customHeight="1" outlineLevel="1" x14ac:dyDescent="0.25">
      <c r="A315" s="42">
        <v>13</v>
      </c>
      <c r="B315" s="43" t="s">
        <v>228</v>
      </c>
      <c r="C315" s="44" t="s">
        <v>61</v>
      </c>
      <c r="D315" s="45">
        <v>11</v>
      </c>
      <c r="E315" s="45">
        <v>1.0873999999999999</v>
      </c>
      <c r="F315" s="45">
        <f t="shared" si="70"/>
        <v>11.961399999999999</v>
      </c>
      <c r="G315" s="46">
        <f t="shared" si="71"/>
        <v>0</v>
      </c>
      <c r="H315" s="47">
        <f t="shared" si="72"/>
        <v>0</v>
      </c>
      <c r="I315" s="46">
        <f t="shared" si="73"/>
        <v>0</v>
      </c>
      <c r="J315" s="47">
        <v>0</v>
      </c>
      <c r="K315" s="46">
        <f t="shared" si="74"/>
        <v>0</v>
      </c>
      <c r="L315" s="47">
        <v>0</v>
      </c>
      <c r="AZ315" s="49"/>
      <c r="BC315" s="50"/>
    </row>
    <row r="316" spans="1:55" s="48" customFormat="1" ht="27.75" customHeight="1" outlineLevel="1" x14ac:dyDescent="0.25">
      <c r="A316" s="42">
        <v>14</v>
      </c>
      <c r="B316" s="43" t="s">
        <v>229</v>
      </c>
      <c r="C316" s="44" t="s">
        <v>61</v>
      </c>
      <c r="D316" s="45">
        <v>89</v>
      </c>
      <c r="E316" s="45">
        <v>17.0932</v>
      </c>
      <c r="F316" s="45">
        <f t="shared" si="70"/>
        <v>1521.2947999999999</v>
      </c>
      <c r="G316" s="46">
        <f t="shared" si="71"/>
        <v>0</v>
      </c>
      <c r="H316" s="47">
        <f t="shared" si="72"/>
        <v>0</v>
      </c>
      <c r="I316" s="46">
        <f t="shared" si="73"/>
        <v>0</v>
      </c>
      <c r="J316" s="47">
        <v>0</v>
      </c>
      <c r="K316" s="46">
        <f t="shared" si="74"/>
        <v>0</v>
      </c>
      <c r="L316" s="47">
        <v>0</v>
      </c>
      <c r="AZ316" s="49"/>
      <c r="BC316" s="50"/>
    </row>
    <row r="317" spans="1:55" s="48" customFormat="1" ht="41.7" customHeight="1" outlineLevel="1" x14ac:dyDescent="0.25">
      <c r="A317" s="42">
        <v>15</v>
      </c>
      <c r="B317" s="43" t="s">
        <v>230</v>
      </c>
      <c r="C317" s="44" t="s">
        <v>61</v>
      </c>
      <c r="D317" s="45">
        <v>89</v>
      </c>
      <c r="E317" s="45">
        <v>0.9</v>
      </c>
      <c r="F317" s="45">
        <f t="shared" si="70"/>
        <v>80.100000000000009</v>
      </c>
      <c r="G317" s="46">
        <f t="shared" si="71"/>
        <v>0</v>
      </c>
      <c r="H317" s="47">
        <f t="shared" si="72"/>
        <v>0</v>
      </c>
      <c r="I317" s="46">
        <f t="shared" si="73"/>
        <v>0</v>
      </c>
      <c r="J317" s="47">
        <v>0</v>
      </c>
      <c r="K317" s="46">
        <f t="shared" si="74"/>
        <v>0</v>
      </c>
      <c r="L317" s="47">
        <v>0</v>
      </c>
      <c r="AZ317" s="49"/>
      <c r="BC317" s="50"/>
    </row>
    <row r="318" spans="1:55" s="48" customFormat="1" ht="27.75" customHeight="1" outlineLevel="1" x14ac:dyDescent="0.25">
      <c r="A318" s="42">
        <v>16</v>
      </c>
      <c r="B318" s="43" t="s">
        <v>231</v>
      </c>
      <c r="C318" s="44" t="s">
        <v>93</v>
      </c>
      <c r="D318" s="45">
        <v>1</v>
      </c>
      <c r="E318" s="45">
        <v>8.5231999999999992</v>
      </c>
      <c r="F318" s="45">
        <f t="shared" si="70"/>
        <v>8.5231999999999992</v>
      </c>
      <c r="G318" s="46">
        <f t="shared" si="71"/>
        <v>0</v>
      </c>
      <c r="H318" s="47">
        <f t="shared" si="72"/>
        <v>0</v>
      </c>
      <c r="I318" s="46">
        <f t="shared" si="73"/>
        <v>0</v>
      </c>
      <c r="J318" s="47">
        <v>0</v>
      </c>
      <c r="K318" s="46">
        <f t="shared" si="74"/>
        <v>0</v>
      </c>
      <c r="L318" s="47">
        <v>0</v>
      </c>
      <c r="AZ318" s="49"/>
      <c r="BC318" s="50"/>
    </row>
    <row r="319" spans="1:55" s="48" customFormat="1" ht="27.75" customHeight="1" outlineLevel="1" x14ac:dyDescent="0.25">
      <c r="A319" s="42">
        <v>17</v>
      </c>
      <c r="B319" s="43" t="s">
        <v>205</v>
      </c>
      <c r="C319" s="44" t="s">
        <v>93</v>
      </c>
      <c r="D319" s="45">
        <v>6</v>
      </c>
      <c r="E319" s="45">
        <v>5.4019999999999992</v>
      </c>
      <c r="F319" s="45">
        <f t="shared" si="70"/>
        <v>32.411999999999992</v>
      </c>
      <c r="G319" s="46">
        <f t="shared" si="71"/>
        <v>0</v>
      </c>
      <c r="H319" s="47">
        <f t="shared" si="72"/>
        <v>0</v>
      </c>
      <c r="I319" s="46">
        <f t="shared" si="73"/>
        <v>0</v>
      </c>
      <c r="J319" s="47">
        <v>0</v>
      </c>
      <c r="K319" s="46">
        <f t="shared" si="74"/>
        <v>0</v>
      </c>
      <c r="L319" s="47">
        <v>0</v>
      </c>
      <c r="AZ319" s="49"/>
      <c r="BC319" s="50"/>
    </row>
    <row r="320" spans="1:55" s="48" customFormat="1" ht="15.45" customHeight="1" outlineLevel="1" x14ac:dyDescent="0.25">
      <c r="A320" s="42">
        <v>18</v>
      </c>
      <c r="B320" s="43" t="s">
        <v>206</v>
      </c>
      <c r="C320" s="44" t="s">
        <v>93</v>
      </c>
      <c r="D320" s="45">
        <v>5</v>
      </c>
      <c r="E320" s="45">
        <v>4.8817999999999993</v>
      </c>
      <c r="F320" s="45">
        <f t="shared" si="70"/>
        <v>24.408999999999995</v>
      </c>
      <c r="G320" s="46">
        <f t="shared" si="71"/>
        <v>0</v>
      </c>
      <c r="H320" s="47">
        <f t="shared" si="72"/>
        <v>0</v>
      </c>
      <c r="I320" s="46">
        <f t="shared" si="73"/>
        <v>0</v>
      </c>
      <c r="J320" s="47">
        <v>0</v>
      </c>
      <c r="K320" s="46">
        <f t="shared" si="74"/>
        <v>0</v>
      </c>
      <c r="L320" s="47">
        <v>0</v>
      </c>
      <c r="AZ320" s="49"/>
      <c r="BC320" s="50"/>
    </row>
    <row r="321" spans="1:55" s="48" customFormat="1" ht="27.75" customHeight="1" outlineLevel="1" x14ac:dyDescent="0.25">
      <c r="A321" s="42">
        <v>19</v>
      </c>
      <c r="B321" s="43" t="s">
        <v>207</v>
      </c>
      <c r="C321" s="44" t="s">
        <v>93</v>
      </c>
      <c r="D321" s="45">
        <v>5</v>
      </c>
      <c r="E321" s="45">
        <v>3.3212000000000002</v>
      </c>
      <c r="F321" s="45">
        <f t="shared" si="70"/>
        <v>16.606000000000002</v>
      </c>
      <c r="G321" s="46">
        <f t="shared" si="71"/>
        <v>0</v>
      </c>
      <c r="H321" s="47">
        <f t="shared" si="72"/>
        <v>0</v>
      </c>
      <c r="I321" s="46">
        <f t="shared" si="73"/>
        <v>0</v>
      </c>
      <c r="J321" s="47">
        <v>0</v>
      </c>
      <c r="K321" s="46">
        <f t="shared" si="74"/>
        <v>0</v>
      </c>
      <c r="L321" s="47">
        <v>0</v>
      </c>
      <c r="AZ321" s="49"/>
      <c r="BC321" s="50"/>
    </row>
    <row r="322" spans="1:55" s="48" customFormat="1" ht="15.45" customHeight="1" outlineLevel="1" x14ac:dyDescent="0.25">
      <c r="A322" s="42">
        <v>20</v>
      </c>
      <c r="B322" s="43" t="s">
        <v>232</v>
      </c>
      <c r="C322" s="44" t="s">
        <v>93</v>
      </c>
      <c r="D322" s="45">
        <v>15</v>
      </c>
      <c r="E322" s="45">
        <v>100.5802</v>
      </c>
      <c r="F322" s="45">
        <f t="shared" si="70"/>
        <v>1508.703</v>
      </c>
      <c r="G322" s="46">
        <f t="shared" si="71"/>
        <v>0</v>
      </c>
      <c r="H322" s="47">
        <f t="shared" si="72"/>
        <v>0</v>
      </c>
      <c r="I322" s="46">
        <f t="shared" si="73"/>
        <v>0</v>
      </c>
      <c r="J322" s="47">
        <v>0</v>
      </c>
      <c r="K322" s="46">
        <f t="shared" si="74"/>
        <v>0</v>
      </c>
      <c r="L322" s="47">
        <v>0</v>
      </c>
      <c r="AZ322" s="49"/>
      <c r="BC322" s="50"/>
    </row>
    <row r="323" spans="1:55" s="48" customFormat="1" ht="15.45" customHeight="1" outlineLevel="1" x14ac:dyDescent="0.25">
      <c r="A323" s="42">
        <v>21</v>
      </c>
      <c r="B323" s="43" t="s">
        <v>233</v>
      </c>
      <c r="C323" s="44" t="s">
        <v>234</v>
      </c>
      <c r="D323" s="45">
        <v>15</v>
      </c>
      <c r="E323" s="45">
        <v>62.624000000000009</v>
      </c>
      <c r="F323" s="45">
        <f t="shared" si="70"/>
        <v>939.36000000000013</v>
      </c>
      <c r="G323" s="46">
        <f t="shared" si="71"/>
        <v>0</v>
      </c>
      <c r="H323" s="47">
        <f t="shared" si="72"/>
        <v>0</v>
      </c>
      <c r="I323" s="46">
        <f t="shared" si="73"/>
        <v>0</v>
      </c>
      <c r="J323" s="47">
        <v>0</v>
      </c>
      <c r="K323" s="46">
        <f t="shared" si="74"/>
        <v>0</v>
      </c>
      <c r="L323" s="47">
        <v>0</v>
      </c>
      <c r="AZ323" s="49"/>
      <c r="BC323" s="50"/>
    </row>
    <row r="324" spans="1:55" s="48" customFormat="1" ht="15.45" customHeight="1" outlineLevel="1" x14ac:dyDescent="0.25">
      <c r="A324" s="42">
        <v>22</v>
      </c>
      <c r="B324" s="43" t="s">
        <v>235</v>
      </c>
      <c r="C324" s="44" t="s">
        <v>93</v>
      </c>
      <c r="D324" s="45">
        <v>10</v>
      </c>
      <c r="E324" s="45">
        <v>100.5802</v>
      </c>
      <c r="F324" s="45">
        <f t="shared" si="70"/>
        <v>1005.802</v>
      </c>
      <c r="G324" s="46">
        <f t="shared" si="71"/>
        <v>0</v>
      </c>
      <c r="H324" s="47">
        <f t="shared" si="72"/>
        <v>0</v>
      </c>
      <c r="I324" s="46">
        <f t="shared" si="73"/>
        <v>0</v>
      </c>
      <c r="J324" s="47">
        <v>0</v>
      </c>
      <c r="K324" s="46">
        <f t="shared" si="74"/>
        <v>0</v>
      </c>
      <c r="L324" s="47">
        <v>0</v>
      </c>
      <c r="AZ324" s="49"/>
      <c r="BC324" s="50"/>
    </row>
    <row r="325" spans="1:55" s="48" customFormat="1" ht="15.45" customHeight="1" outlineLevel="1" x14ac:dyDescent="0.25">
      <c r="A325" s="42">
        <v>23</v>
      </c>
      <c r="B325" s="43" t="s">
        <v>236</v>
      </c>
      <c r="C325" s="44" t="s">
        <v>93</v>
      </c>
      <c r="D325" s="45">
        <v>10</v>
      </c>
      <c r="E325" s="45">
        <v>109.8806</v>
      </c>
      <c r="F325" s="45">
        <f t="shared" si="70"/>
        <v>1098.806</v>
      </c>
      <c r="G325" s="46">
        <f t="shared" si="71"/>
        <v>0</v>
      </c>
      <c r="H325" s="47">
        <f t="shared" si="72"/>
        <v>0</v>
      </c>
      <c r="I325" s="46">
        <f t="shared" si="73"/>
        <v>0</v>
      </c>
      <c r="J325" s="47">
        <v>0</v>
      </c>
      <c r="K325" s="46">
        <f t="shared" si="74"/>
        <v>0</v>
      </c>
      <c r="L325" s="47">
        <v>0</v>
      </c>
      <c r="AZ325" s="49"/>
      <c r="BC325" s="50"/>
    </row>
    <row r="326" spans="1:55" s="48" customFormat="1" ht="15.45" customHeight="1" outlineLevel="1" x14ac:dyDescent="0.25">
      <c r="A326" s="42">
        <v>24</v>
      </c>
      <c r="B326" s="43" t="s">
        <v>210</v>
      </c>
      <c r="C326" s="44" t="s">
        <v>93</v>
      </c>
      <c r="D326" s="45">
        <v>2</v>
      </c>
      <c r="E326" s="45">
        <v>5.5039999999999996</v>
      </c>
      <c r="F326" s="45">
        <f t="shared" si="70"/>
        <v>11.007999999999999</v>
      </c>
      <c r="G326" s="46">
        <f t="shared" si="71"/>
        <v>0</v>
      </c>
      <c r="H326" s="47">
        <f t="shared" si="72"/>
        <v>0</v>
      </c>
      <c r="I326" s="46">
        <f t="shared" si="73"/>
        <v>0</v>
      </c>
      <c r="J326" s="47">
        <v>0</v>
      </c>
      <c r="K326" s="46">
        <f t="shared" si="74"/>
        <v>0</v>
      </c>
      <c r="L326" s="47">
        <v>0</v>
      </c>
      <c r="AZ326" s="49"/>
      <c r="BC326" s="50"/>
    </row>
    <row r="327" spans="1:55" s="48" customFormat="1" ht="27.75" customHeight="1" outlineLevel="1" x14ac:dyDescent="0.25">
      <c r="A327" s="42">
        <v>25</v>
      </c>
      <c r="B327" s="43" t="s">
        <v>207</v>
      </c>
      <c r="C327" s="44" t="s">
        <v>93</v>
      </c>
      <c r="D327" s="45">
        <v>1</v>
      </c>
      <c r="E327" s="45">
        <v>3.3212000000000002</v>
      </c>
      <c r="F327" s="45">
        <f t="shared" si="70"/>
        <v>3.3212000000000002</v>
      </c>
      <c r="G327" s="46">
        <f t="shared" si="71"/>
        <v>0</v>
      </c>
      <c r="H327" s="47">
        <f t="shared" si="72"/>
        <v>0</v>
      </c>
      <c r="I327" s="46">
        <f t="shared" si="73"/>
        <v>0</v>
      </c>
      <c r="J327" s="47">
        <v>0</v>
      </c>
      <c r="K327" s="46">
        <f t="shared" si="74"/>
        <v>0</v>
      </c>
      <c r="L327" s="47">
        <v>0</v>
      </c>
      <c r="AZ327" s="49"/>
      <c r="BC327" s="50"/>
    </row>
    <row r="328" spans="1:55" s="48" customFormat="1" ht="27.75" customHeight="1" outlineLevel="1" x14ac:dyDescent="0.25">
      <c r="A328" s="42">
        <v>26</v>
      </c>
      <c r="B328" s="43" t="s">
        <v>211</v>
      </c>
      <c r="C328" s="44" t="s">
        <v>61</v>
      </c>
      <c r="D328" s="45">
        <v>10</v>
      </c>
      <c r="E328" s="45">
        <v>1.2403999999999999</v>
      </c>
      <c r="F328" s="45">
        <f t="shared" si="70"/>
        <v>12.404</v>
      </c>
      <c r="G328" s="46">
        <f t="shared" si="71"/>
        <v>0</v>
      </c>
      <c r="H328" s="47">
        <f t="shared" si="72"/>
        <v>0</v>
      </c>
      <c r="I328" s="46">
        <f t="shared" si="73"/>
        <v>0</v>
      </c>
      <c r="J328" s="47">
        <v>0</v>
      </c>
      <c r="K328" s="46">
        <f t="shared" si="74"/>
        <v>0</v>
      </c>
      <c r="L328" s="47">
        <v>0</v>
      </c>
      <c r="AZ328" s="49"/>
      <c r="BC328" s="50"/>
    </row>
    <row r="329" spans="1:55" s="56" customFormat="1" ht="27" customHeight="1" x14ac:dyDescent="0.3">
      <c r="A329" s="62">
        <v>2.15</v>
      </c>
      <c r="B329" s="51" t="s">
        <v>237</v>
      </c>
      <c r="C329" s="52">
        <v>0</v>
      </c>
      <c r="D329" s="53"/>
      <c r="E329" s="53"/>
      <c r="F329" s="53"/>
      <c r="G329" s="54"/>
      <c r="H329" s="55"/>
      <c r="I329" s="54"/>
      <c r="J329" s="55"/>
      <c r="K329" s="54"/>
      <c r="L329" s="55">
        <v>0</v>
      </c>
      <c r="AZ329" s="57"/>
      <c r="BC329" s="58"/>
    </row>
    <row r="330" spans="1:55" s="48" customFormat="1" ht="27.75" customHeight="1" outlineLevel="1" x14ac:dyDescent="0.25">
      <c r="A330" s="42">
        <v>1</v>
      </c>
      <c r="B330" s="43" t="s">
        <v>238</v>
      </c>
      <c r="C330" s="44" t="s">
        <v>61</v>
      </c>
      <c r="D330" s="45">
        <v>176</v>
      </c>
      <c r="E330" s="45">
        <v>8.923</v>
      </c>
      <c r="F330" s="45">
        <f t="shared" ref="F330:F346" si="75">+E330*D330</f>
        <v>1570.4480000000001</v>
      </c>
      <c r="G330" s="46">
        <f t="shared" ref="G330:G346" si="76">I330+K330</f>
        <v>0</v>
      </c>
      <c r="H330" s="47">
        <f t="shared" ref="H330:H346" si="77">J330+L330</f>
        <v>0</v>
      </c>
      <c r="I330" s="46">
        <f t="shared" ref="I330:I346" si="78">J330/F330</f>
        <v>0</v>
      </c>
      <c r="J330" s="47">
        <v>0</v>
      </c>
      <c r="K330" s="46">
        <f t="shared" ref="K330:K346" si="79">L330/F330</f>
        <v>0</v>
      </c>
      <c r="L330" s="47">
        <v>0</v>
      </c>
      <c r="AZ330" s="49"/>
      <c r="BC330" s="50"/>
    </row>
    <row r="331" spans="1:55" s="48" customFormat="1" ht="27.75" customHeight="1" outlineLevel="1" x14ac:dyDescent="0.25">
      <c r="A331" s="42">
        <v>2</v>
      </c>
      <c r="B331" s="43" t="s">
        <v>239</v>
      </c>
      <c r="C331" s="44" t="s">
        <v>61</v>
      </c>
      <c r="D331" s="45">
        <v>176</v>
      </c>
      <c r="E331" s="45">
        <v>6.9421999999999997</v>
      </c>
      <c r="F331" s="45">
        <f t="shared" si="75"/>
        <v>1221.8271999999999</v>
      </c>
      <c r="G331" s="46">
        <f t="shared" si="76"/>
        <v>0</v>
      </c>
      <c r="H331" s="47">
        <f t="shared" si="77"/>
        <v>0</v>
      </c>
      <c r="I331" s="46">
        <f t="shared" si="78"/>
        <v>0</v>
      </c>
      <c r="J331" s="47">
        <v>0</v>
      </c>
      <c r="K331" s="46">
        <f t="shared" si="79"/>
        <v>0</v>
      </c>
      <c r="L331" s="47">
        <v>0</v>
      </c>
      <c r="AZ331" s="49"/>
      <c r="BC331" s="50"/>
    </row>
    <row r="332" spans="1:55" s="48" customFormat="1" ht="27.75" customHeight="1" outlineLevel="1" x14ac:dyDescent="0.25">
      <c r="A332" s="42">
        <v>3</v>
      </c>
      <c r="B332" s="43" t="s">
        <v>240</v>
      </c>
      <c r="C332" s="44" t="s">
        <v>61</v>
      </c>
      <c r="D332" s="45">
        <v>42</v>
      </c>
      <c r="E332" s="45">
        <v>9.3819999999999997</v>
      </c>
      <c r="F332" s="45">
        <f t="shared" si="75"/>
        <v>394.04399999999998</v>
      </c>
      <c r="G332" s="46">
        <f t="shared" si="76"/>
        <v>0</v>
      </c>
      <c r="H332" s="47">
        <f t="shared" si="77"/>
        <v>0</v>
      </c>
      <c r="I332" s="46">
        <f t="shared" si="78"/>
        <v>0</v>
      </c>
      <c r="J332" s="47">
        <v>0</v>
      </c>
      <c r="K332" s="46">
        <f t="shared" si="79"/>
        <v>0</v>
      </c>
      <c r="L332" s="47">
        <v>0</v>
      </c>
      <c r="AZ332" s="49"/>
      <c r="BC332" s="50"/>
    </row>
    <row r="333" spans="1:55" s="48" customFormat="1" ht="27.75" customHeight="1" outlineLevel="1" x14ac:dyDescent="0.25">
      <c r="A333" s="42">
        <v>4</v>
      </c>
      <c r="B333" s="43" t="s">
        <v>241</v>
      </c>
      <c r="C333" s="44" t="s">
        <v>61</v>
      </c>
      <c r="D333" s="45">
        <v>42</v>
      </c>
      <c r="E333" s="45">
        <v>4.3411999999999988</v>
      </c>
      <c r="F333" s="45">
        <f t="shared" si="75"/>
        <v>182.33039999999994</v>
      </c>
      <c r="G333" s="46">
        <f t="shared" si="76"/>
        <v>0</v>
      </c>
      <c r="H333" s="47">
        <f t="shared" si="77"/>
        <v>0</v>
      </c>
      <c r="I333" s="46">
        <f t="shared" si="78"/>
        <v>0</v>
      </c>
      <c r="J333" s="47">
        <v>0</v>
      </c>
      <c r="K333" s="46">
        <f t="shared" si="79"/>
        <v>0</v>
      </c>
      <c r="L333" s="47">
        <v>0</v>
      </c>
      <c r="AZ333" s="49"/>
      <c r="BC333" s="50"/>
    </row>
    <row r="334" spans="1:55" s="48" customFormat="1" ht="27.75" customHeight="1" outlineLevel="1" x14ac:dyDescent="0.25">
      <c r="A334" s="42">
        <v>5</v>
      </c>
      <c r="B334" s="43" t="s">
        <v>242</v>
      </c>
      <c r="C334" s="44" t="s">
        <v>93</v>
      </c>
      <c r="D334" s="45">
        <v>10</v>
      </c>
      <c r="E334" s="45">
        <v>10.9834</v>
      </c>
      <c r="F334" s="45">
        <f t="shared" si="75"/>
        <v>109.834</v>
      </c>
      <c r="G334" s="46">
        <f t="shared" si="76"/>
        <v>0</v>
      </c>
      <c r="H334" s="47">
        <f t="shared" si="77"/>
        <v>0</v>
      </c>
      <c r="I334" s="46">
        <f t="shared" si="78"/>
        <v>0</v>
      </c>
      <c r="J334" s="47">
        <v>0</v>
      </c>
      <c r="K334" s="46">
        <f t="shared" si="79"/>
        <v>0</v>
      </c>
      <c r="L334" s="47">
        <v>0</v>
      </c>
      <c r="AZ334" s="49"/>
      <c r="BC334" s="50"/>
    </row>
    <row r="335" spans="1:55" s="48" customFormat="1" ht="15.45" customHeight="1" outlineLevel="1" x14ac:dyDescent="0.25">
      <c r="A335" s="42">
        <v>6</v>
      </c>
      <c r="B335" s="43" t="s">
        <v>243</v>
      </c>
      <c r="C335" s="44" t="s">
        <v>234</v>
      </c>
      <c r="D335" s="45">
        <v>14</v>
      </c>
      <c r="E335" s="45">
        <v>29.68</v>
      </c>
      <c r="F335" s="45">
        <f t="shared" si="75"/>
        <v>415.52</v>
      </c>
      <c r="G335" s="46">
        <f t="shared" si="76"/>
        <v>0</v>
      </c>
      <c r="H335" s="47">
        <f t="shared" si="77"/>
        <v>0</v>
      </c>
      <c r="I335" s="46">
        <f t="shared" si="78"/>
        <v>0</v>
      </c>
      <c r="J335" s="47">
        <v>0</v>
      </c>
      <c r="K335" s="46">
        <f t="shared" si="79"/>
        <v>0</v>
      </c>
      <c r="L335" s="47">
        <v>0</v>
      </c>
      <c r="AZ335" s="49"/>
      <c r="BC335" s="50"/>
    </row>
    <row r="336" spans="1:55" s="48" customFormat="1" ht="15.45" customHeight="1" outlineLevel="1" x14ac:dyDescent="0.25">
      <c r="A336" s="42">
        <v>7</v>
      </c>
      <c r="B336" s="43" t="s">
        <v>244</v>
      </c>
      <c r="C336" s="44" t="s">
        <v>234</v>
      </c>
      <c r="D336" s="45">
        <v>14</v>
      </c>
      <c r="E336" s="45">
        <v>148.97720000000001</v>
      </c>
      <c r="F336" s="45">
        <f t="shared" si="75"/>
        <v>2085.6808000000001</v>
      </c>
      <c r="G336" s="46">
        <f t="shared" si="76"/>
        <v>0</v>
      </c>
      <c r="H336" s="47">
        <f t="shared" si="77"/>
        <v>0</v>
      </c>
      <c r="I336" s="46">
        <f t="shared" si="78"/>
        <v>0</v>
      </c>
      <c r="J336" s="47">
        <v>0</v>
      </c>
      <c r="K336" s="46">
        <f t="shared" si="79"/>
        <v>0</v>
      </c>
      <c r="L336" s="47">
        <v>0</v>
      </c>
      <c r="AZ336" s="49"/>
      <c r="BC336" s="50"/>
    </row>
    <row r="337" spans="1:55" s="48" customFormat="1" ht="15.45" customHeight="1" outlineLevel="1" x14ac:dyDescent="0.25">
      <c r="A337" s="42">
        <v>8</v>
      </c>
      <c r="B337" s="43" t="s">
        <v>245</v>
      </c>
      <c r="C337" s="44" t="s">
        <v>234</v>
      </c>
      <c r="D337" s="45">
        <v>15</v>
      </c>
      <c r="E337" s="45">
        <v>38.656000000000013</v>
      </c>
      <c r="F337" s="45">
        <f t="shared" si="75"/>
        <v>579.84000000000015</v>
      </c>
      <c r="G337" s="46">
        <f t="shared" si="76"/>
        <v>0</v>
      </c>
      <c r="H337" s="47">
        <f t="shared" si="77"/>
        <v>0</v>
      </c>
      <c r="I337" s="46">
        <f t="shared" si="78"/>
        <v>0</v>
      </c>
      <c r="J337" s="47">
        <v>0</v>
      </c>
      <c r="K337" s="46">
        <f t="shared" si="79"/>
        <v>0</v>
      </c>
      <c r="L337" s="47">
        <v>0</v>
      </c>
      <c r="AZ337" s="49"/>
      <c r="BC337" s="50"/>
    </row>
    <row r="338" spans="1:55" s="48" customFormat="1" ht="15.45" customHeight="1" outlineLevel="1" x14ac:dyDescent="0.25">
      <c r="A338" s="42">
        <v>9</v>
      </c>
      <c r="B338" s="43" t="s">
        <v>246</v>
      </c>
      <c r="C338" s="44" t="s">
        <v>93</v>
      </c>
      <c r="D338" s="45">
        <v>15</v>
      </c>
      <c r="E338" s="45">
        <v>114.64400000000001</v>
      </c>
      <c r="F338" s="45">
        <f t="shared" si="75"/>
        <v>1719.66</v>
      </c>
      <c r="G338" s="46">
        <f t="shared" si="76"/>
        <v>0</v>
      </c>
      <c r="H338" s="47">
        <f t="shared" si="77"/>
        <v>0</v>
      </c>
      <c r="I338" s="46">
        <f t="shared" si="78"/>
        <v>0</v>
      </c>
      <c r="J338" s="47">
        <v>0</v>
      </c>
      <c r="K338" s="46">
        <f t="shared" si="79"/>
        <v>0</v>
      </c>
      <c r="L338" s="47">
        <v>0</v>
      </c>
      <c r="AZ338" s="49"/>
      <c r="BC338" s="50"/>
    </row>
    <row r="339" spans="1:55" s="48" customFormat="1" ht="15.45" customHeight="1" outlineLevel="1" x14ac:dyDescent="0.25">
      <c r="A339" s="42">
        <v>10</v>
      </c>
      <c r="B339" s="43" t="s">
        <v>247</v>
      </c>
      <c r="C339" s="44" t="s">
        <v>234</v>
      </c>
      <c r="D339" s="45">
        <v>5</v>
      </c>
      <c r="E339" s="45">
        <v>19.684000000000001</v>
      </c>
      <c r="F339" s="45">
        <f t="shared" si="75"/>
        <v>98.42</v>
      </c>
      <c r="G339" s="46">
        <f t="shared" si="76"/>
        <v>0</v>
      </c>
      <c r="H339" s="47">
        <f t="shared" si="77"/>
        <v>0</v>
      </c>
      <c r="I339" s="46">
        <f t="shared" si="78"/>
        <v>0</v>
      </c>
      <c r="J339" s="47">
        <v>0</v>
      </c>
      <c r="K339" s="46">
        <f t="shared" si="79"/>
        <v>0</v>
      </c>
      <c r="L339" s="47">
        <v>0</v>
      </c>
      <c r="AZ339" s="49"/>
      <c r="BC339" s="50"/>
    </row>
    <row r="340" spans="1:55" s="48" customFormat="1" ht="15.45" customHeight="1" outlineLevel="1" x14ac:dyDescent="0.25">
      <c r="A340" s="42">
        <v>11</v>
      </c>
      <c r="B340" s="43" t="s">
        <v>248</v>
      </c>
      <c r="C340" s="44" t="s">
        <v>234</v>
      </c>
      <c r="D340" s="45">
        <v>5</v>
      </c>
      <c r="E340" s="45">
        <v>187.47200000000001</v>
      </c>
      <c r="F340" s="45">
        <f t="shared" si="75"/>
        <v>937.36</v>
      </c>
      <c r="G340" s="46">
        <f t="shared" si="76"/>
        <v>0</v>
      </c>
      <c r="H340" s="47">
        <f t="shared" si="77"/>
        <v>0</v>
      </c>
      <c r="I340" s="46">
        <f t="shared" si="78"/>
        <v>0</v>
      </c>
      <c r="J340" s="47">
        <v>0</v>
      </c>
      <c r="K340" s="46">
        <f t="shared" si="79"/>
        <v>0</v>
      </c>
      <c r="L340" s="47">
        <v>0</v>
      </c>
      <c r="AZ340" s="49"/>
      <c r="BC340" s="50"/>
    </row>
    <row r="341" spans="1:55" s="48" customFormat="1" ht="15.45" customHeight="1" outlineLevel="1" x14ac:dyDescent="0.25">
      <c r="A341" s="42">
        <v>12</v>
      </c>
      <c r="B341" s="43" t="s">
        <v>249</v>
      </c>
      <c r="C341" s="44" t="s">
        <v>93</v>
      </c>
      <c r="D341" s="45">
        <v>5</v>
      </c>
      <c r="E341" s="45">
        <v>6.4423999999999992</v>
      </c>
      <c r="F341" s="45">
        <f t="shared" si="75"/>
        <v>32.211999999999996</v>
      </c>
      <c r="G341" s="46">
        <f t="shared" si="76"/>
        <v>0</v>
      </c>
      <c r="H341" s="47">
        <f t="shared" si="77"/>
        <v>0</v>
      </c>
      <c r="I341" s="46">
        <f t="shared" si="78"/>
        <v>0</v>
      </c>
      <c r="J341" s="47">
        <v>0</v>
      </c>
      <c r="K341" s="46">
        <f t="shared" si="79"/>
        <v>0</v>
      </c>
      <c r="L341" s="47">
        <v>0</v>
      </c>
      <c r="AZ341" s="49"/>
      <c r="BC341" s="50"/>
    </row>
    <row r="342" spans="1:55" s="48" customFormat="1" ht="15.45" customHeight="1" outlineLevel="1" x14ac:dyDescent="0.25">
      <c r="A342" s="42">
        <v>13</v>
      </c>
      <c r="B342" s="43" t="s">
        <v>250</v>
      </c>
      <c r="C342" s="44" t="s">
        <v>234</v>
      </c>
      <c r="D342" s="45">
        <v>1</v>
      </c>
      <c r="E342" s="45">
        <v>22.54000000000001</v>
      </c>
      <c r="F342" s="45">
        <f t="shared" si="75"/>
        <v>22.54000000000001</v>
      </c>
      <c r="G342" s="46">
        <f t="shared" si="76"/>
        <v>0</v>
      </c>
      <c r="H342" s="47">
        <f t="shared" si="77"/>
        <v>0</v>
      </c>
      <c r="I342" s="46">
        <f t="shared" si="78"/>
        <v>0</v>
      </c>
      <c r="J342" s="47">
        <v>0</v>
      </c>
      <c r="K342" s="46">
        <f t="shared" si="79"/>
        <v>0</v>
      </c>
      <c r="L342" s="47">
        <v>0</v>
      </c>
      <c r="AZ342" s="49"/>
      <c r="BC342" s="50"/>
    </row>
    <row r="343" spans="1:55" s="48" customFormat="1" ht="15.45" customHeight="1" outlineLevel="1" x14ac:dyDescent="0.25">
      <c r="A343" s="42">
        <v>14</v>
      </c>
      <c r="B343" s="43" t="s">
        <v>251</v>
      </c>
      <c r="C343" s="44" t="s">
        <v>234</v>
      </c>
      <c r="D343" s="45">
        <v>17</v>
      </c>
      <c r="E343" s="45">
        <v>14.278</v>
      </c>
      <c r="F343" s="45">
        <f t="shared" si="75"/>
        <v>242.726</v>
      </c>
      <c r="G343" s="46">
        <f t="shared" si="76"/>
        <v>0</v>
      </c>
      <c r="H343" s="47">
        <f t="shared" si="77"/>
        <v>0</v>
      </c>
      <c r="I343" s="46">
        <f t="shared" si="78"/>
        <v>0</v>
      </c>
      <c r="J343" s="47">
        <v>0</v>
      </c>
      <c r="K343" s="46">
        <f t="shared" si="79"/>
        <v>0</v>
      </c>
      <c r="L343" s="47">
        <v>0</v>
      </c>
      <c r="AZ343" s="49"/>
      <c r="BC343" s="50"/>
    </row>
    <row r="344" spans="1:55" s="48" customFormat="1" ht="27.75" customHeight="1" outlineLevel="1" x14ac:dyDescent="0.25">
      <c r="A344" s="42">
        <v>15</v>
      </c>
      <c r="B344" s="43" t="s">
        <v>252</v>
      </c>
      <c r="C344" s="44" t="s">
        <v>61</v>
      </c>
      <c r="D344" s="45">
        <v>2</v>
      </c>
      <c r="E344" s="45">
        <v>49.192599999999999</v>
      </c>
      <c r="F344" s="45">
        <f t="shared" si="75"/>
        <v>98.385199999999998</v>
      </c>
      <c r="G344" s="46">
        <f t="shared" si="76"/>
        <v>0</v>
      </c>
      <c r="H344" s="47">
        <f t="shared" si="77"/>
        <v>0</v>
      </c>
      <c r="I344" s="46">
        <f t="shared" si="78"/>
        <v>0</v>
      </c>
      <c r="J344" s="47">
        <v>0</v>
      </c>
      <c r="K344" s="46">
        <f t="shared" si="79"/>
        <v>0</v>
      </c>
      <c r="L344" s="47">
        <v>0</v>
      </c>
      <c r="AZ344" s="49"/>
      <c r="BC344" s="50"/>
    </row>
    <row r="345" spans="1:55" s="48" customFormat="1" ht="27.75" customHeight="1" outlineLevel="1" x14ac:dyDescent="0.25">
      <c r="A345" s="42">
        <v>16</v>
      </c>
      <c r="B345" s="43" t="s">
        <v>253</v>
      </c>
      <c r="C345" s="44" t="s">
        <v>61</v>
      </c>
      <c r="D345" s="45">
        <v>2</v>
      </c>
      <c r="E345" s="45">
        <v>89.96</v>
      </c>
      <c r="F345" s="45">
        <f t="shared" si="75"/>
        <v>179.92</v>
      </c>
      <c r="G345" s="46">
        <f t="shared" si="76"/>
        <v>0</v>
      </c>
      <c r="H345" s="47">
        <f t="shared" si="77"/>
        <v>0</v>
      </c>
      <c r="I345" s="46">
        <f t="shared" si="78"/>
        <v>0</v>
      </c>
      <c r="J345" s="47">
        <v>0</v>
      </c>
      <c r="K345" s="46">
        <f t="shared" si="79"/>
        <v>0</v>
      </c>
      <c r="L345" s="47">
        <v>0</v>
      </c>
      <c r="AZ345" s="49"/>
      <c r="BC345" s="50"/>
    </row>
    <row r="346" spans="1:55" s="48" customFormat="1" ht="27.75" customHeight="1" outlineLevel="1" x14ac:dyDescent="0.25">
      <c r="A346" s="42">
        <v>17</v>
      </c>
      <c r="B346" s="43" t="s">
        <v>254</v>
      </c>
      <c r="C346" s="44" t="s">
        <v>61</v>
      </c>
      <c r="D346" s="45">
        <v>2</v>
      </c>
      <c r="E346" s="45">
        <v>1.7218</v>
      </c>
      <c r="F346" s="45">
        <f t="shared" si="75"/>
        <v>3.4436</v>
      </c>
      <c r="G346" s="46">
        <f t="shared" si="76"/>
        <v>0</v>
      </c>
      <c r="H346" s="47">
        <f t="shared" si="77"/>
        <v>0</v>
      </c>
      <c r="I346" s="46">
        <f t="shared" si="78"/>
        <v>0</v>
      </c>
      <c r="J346" s="47">
        <v>0</v>
      </c>
      <c r="K346" s="46">
        <f t="shared" si="79"/>
        <v>0</v>
      </c>
      <c r="L346" s="47">
        <v>0</v>
      </c>
      <c r="AZ346" s="49"/>
      <c r="BC346" s="50"/>
    </row>
    <row r="347" spans="1:55" s="56" customFormat="1" ht="27" customHeight="1" x14ac:dyDescent="0.3">
      <c r="A347" s="62">
        <v>2.16</v>
      </c>
      <c r="B347" s="51" t="s">
        <v>255</v>
      </c>
      <c r="C347" s="52">
        <v>0</v>
      </c>
      <c r="D347" s="53"/>
      <c r="E347" s="53"/>
      <c r="F347" s="53"/>
      <c r="G347" s="54"/>
      <c r="H347" s="55"/>
      <c r="I347" s="54"/>
      <c r="J347" s="55"/>
      <c r="K347" s="54"/>
      <c r="L347" s="55">
        <v>0</v>
      </c>
      <c r="AZ347" s="57"/>
      <c r="BC347" s="58"/>
    </row>
    <row r="348" spans="1:55" s="48" customFormat="1" ht="27.75" customHeight="1" outlineLevel="1" x14ac:dyDescent="0.25">
      <c r="A348" s="42">
        <v>1</v>
      </c>
      <c r="B348" s="43" t="s">
        <v>256</v>
      </c>
      <c r="C348" s="44" t="s">
        <v>61</v>
      </c>
      <c r="D348" s="45">
        <v>5</v>
      </c>
      <c r="E348" s="45">
        <v>11.921799999999999</v>
      </c>
      <c r="F348" s="45">
        <f t="shared" ref="F348:F367" si="80">+E348*D348</f>
        <v>59.608999999999995</v>
      </c>
      <c r="G348" s="46">
        <f t="shared" ref="G348:G367" si="81">I348+K348</f>
        <v>0</v>
      </c>
      <c r="H348" s="47">
        <f t="shared" ref="H348:H367" si="82">J348+L348</f>
        <v>0</v>
      </c>
      <c r="I348" s="46">
        <f t="shared" ref="I348:I367" si="83">J348/F348</f>
        <v>0</v>
      </c>
      <c r="J348" s="47">
        <v>0</v>
      </c>
      <c r="K348" s="46">
        <f t="shared" ref="K348:K367" si="84">L348/F348</f>
        <v>0</v>
      </c>
      <c r="L348" s="47">
        <v>0</v>
      </c>
      <c r="AZ348" s="49"/>
      <c r="BC348" s="50"/>
    </row>
    <row r="349" spans="1:55" s="48" customFormat="1" ht="27.75" customHeight="1" outlineLevel="1" x14ac:dyDescent="0.25">
      <c r="A349" s="42">
        <v>2</v>
      </c>
      <c r="B349" s="43" t="s">
        <v>257</v>
      </c>
      <c r="C349" s="44" t="s">
        <v>61</v>
      </c>
      <c r="D349" s="45">
        <v>5</v>
      </c>
      <c r="E349" s="45">
        <v>13.8476</v>
      </c>
      <c r="F349" s="45">
        <f t="shared" si="80"/>
        <v>69.238</v>
      </c>
      <c r="G349" s="46">
        <f t="shared" si="81"/>
        <v>0</v>
      </c>
      <c r="H349" s="47">
        <f t="shared" si="82"/>
        <v>0</v>
      </c>
      <c r="I349" s="46">
        <f t="shared" si="83"/>
        <v>0</v>
      </c>
      <c r="J349" s="47">
        <v>0</v>
      </c>
      <c r="K349" s="46">
        <f t="shared" si="84"/>
        <v>0</v>
      </c>
      <c r="L349" s="47">
        <v>0</v>
      </c>
      <c r="AZ349" s="49"/>
      <c r="BC349" s="50"/>
    </row>
    <row r="350" spans="1:55" s="48" customFormat="1" ht="27.75" customHeight="1" outlineLevel="1" x14ac:dyDescent="0.25">
      <c r="A350" s="42">
        <v>3</v>
      </c>
      <c r="B350" s="43" t="s">
        <v>186</v>
      </c>
      <c r="C350" s="44" t="s">
        <v>61</v>
      </c>
      <c r="D350" s="45">
        <v>5</v>
      </c>
      <c r="E350" s="45">
        <v>1.9258</v>
      </c>
      <c r="F350" s="45">
        <f t="shared" si="80"/>
        <v>9.6289999999999996</v>
      </c>
      <c r="G350" s="46">
        <f t="shared" si="81"/>
        <v>0</v>
      </c>
      <c r="H350" s="47">
        <f t="shared" si="82"/>
        <v>0</v>
      </c>
      <c r="I350" s="46">
        <f t="shared" si="83"/>
        <v>0</v>
      </c>
      <c r="J350" s="47">
        <v>0</v>
      </c>
      <c r="K350" s="46">
        <f t="shared" si="84"/>
        <v>0</v>
      </c>
      <c r="L350" s="47">
        <v>0</v>
      </c>
      <c r="AZ350" s="49"/>
      <c r="BC350" s="50"/>
    </row>
    <row r="351" spans="1:55" s="48" customFormat="1" ht="27.75" customHeight="1" outlineLevel="1" x14ac:dyDescent="0.25">
      <c r="A351" s="42">
        <v>4</v>
      </c>
      <c r="B351" s="43" t="s">
        <v>238</v>
      </c>
      <c r="C351" s="44" t="s">
        <v>61</v>
      </c>
      <c r="D351" s="45">
        <v>9</v>
      </c>
      <c r="E351" s="45">
        <v>8.923</v>
      </c>
      <c r="F351" s="45">
        <f t="shared" si="80"/>
        <v>80.307000000000002</v>
      </c>
      <c r="G351" s="46">
        <f t="shared" si="81"/>
        <v>0</v>
      </c>
      <c r="H351" s="47">
        <f t="shared" si="82"/>
        <v>0</v>
      </c>
      <c r="I351" s="46">
        <f t="shared" si="83"/>
        <v>0</v>
      </c>
      <c r="J351" s="47">
        <v>0</v>
      </c>
      <c r="K351" s="46">
        <f t="shared" si="84"/>
        <v>0</v>
      </c>
      <c r="L351" s="47">
        <v>0</v>
      </c>
      <c r="AZ351" s="49"/>
      <c r="BC351" s="50"/>
    </row>
    <row r="352" spans="1:55" s="48" customFormat="1" ht="27.75" customHeight="1" outlineLevel="1" x14ac:dyDescent="0.25">
      <c r="A352" s="42">
        <v>5</v>
      </c>
      <c r="B352" s="43" t="s">
        <v>239</v>
      </c>
      <c r="C352" s="44" t="s">
        <v>61</v>
      </c>
      <c r="D352" s="45">
        <v>9</v>
      </c>
      <c r="E352" s="45">
        <v>6.9421999999999997</v>
      </c>
      <c r="F352" s="45">
        <f t="shared" si="80"/>
        <v>62.479799999999997</v>
      </c>
      <c r="G352" s="46">
        <f t="shared" si="81"/>
        <v>0</v>
      </c>
      <c r="H352" s="47">
        <f t="shared" si="82"/>
        <v>0</v>
      </c>
      <c r="I352" s="46">
        <f t="shared" si="83"/>
        <v>0</v>
      </c>
      <c r="J352" s="47">
        <v>0</v>
      </c>
      <c r="K352" s="46">
        <f t="shared" si="84"/>
        <v>0</v>
      </c>
      <c r="L352" s="47">
        <v>0</v>
      </c>
      <c r="AZ352" s="49"/>
      <c r="BC352" s="50"/>
    </row>
    <row r="353" spans="1:55" s="48" customFormat="1" ht="27.75" customHeight="1" outlineLevel="1" x14ac:dyDescent="0.25">
      <c r="A353" s="42">
        <v>6</v>
      </c>
      <c r="B353" s="43" t="s">
        <v>240</v>
      </c>
      <c r="C353" s="44" t="s">
        <v>61</v>
      </c>
      <c r="D353" s="45">
        <v>11</v>
      </c>
      <c r="E353" s="45">
        <v>9.3819999999999997</v>
      </c>
      <c r="F353" s="45">
        <f t="shared" si="80"/>
        <v>103.202</v>
      </c>
      <c r="G353" s="46">
        <f t="shared" si="81"/>
        <v>0</v>
      </c>
      <c r="H353" s="47">
        <f t="shared" si="82"/>
        <v>0</v>
      </c>
      <c r="I353" s="46">
        <f t="shared" si="83"/>
        <v>0</v>
      </c>
      <c r="J353" s="47">
        <v>0</v>
      </c>
      <c r="K353" s="46">
        <f t="shared" si="84"/>
        <v>0</v>
      </c>
      <c r="L353" s="47">
        <v>0</v>
      </c>
      <c r="AZ353" s="49"/>
      <c r="BC353" s="50"/>
    </row>
    <row r="354" spans="1:55" s="48" customFormat="1" ht="27.75" customHeight="1" outlineLevel="1" x14ac:dyDescent="0.25">
      <c r="A354" s="42">
        <v>7</v>
      </c>
      <c r="B354" s="43" t="s">
        <v>241</v>
      </c>
      <c r="C354" s="44" t="s">
        <v>61</v>
      </c>
      <c r="D354" s="45">
        <v>11</v>
      </c>
      <c r="E354" s="45">
        <v>4.3411999999999988</v>
      </c>
      <c r="F354" s="45">
        <f t="shared" si="80"/>
        <v>47.753199999999985</v>
      </c>
      <c r="G354" s="46">
        <f t="shared" si="81"/>
        <v>0</v>
      </c>
      <c r="H354" s="47">
        <f t="shared" si="82"/>
        <v>0</v>
      </c>
      <c r="I354" s="46">
        <f t="shared" si="83"/>
        <v>0</v>
      </c>
      <c r="J354" s="47">
        <v>0</v>
      </c>
      <c r="K354" s="46">
        <f t="shared" si="84"/>
        <v>0</v>
      </c>
      <c r="L354" s="47">
        <v>0</v>
      </c>
      <c r="AZ354" s="49"/>
      <c r="BC354" s="50"/>
    </row>
    <row r="355" spans="1:55" s="48" customFormat="1" ht="15.45" customHeight="1" outlineLevel="1" x14ac:dyDescent="0.25">
      <c r="A355" s="42">
        <v>8</v>
      </c>
      <c r="B355" s="43" t="s">
        <v>243</v>
      </c>
      <c r="C355" s="44" t="s">
        <v>234</v>
      </c>
      <c r="D355" s="45">
        <v>4</v>
      </c>
      <c r="E355" s="45">
        <v>29.68</v>
      </c>
      <c r="F355" s="45">
        <f t="shared" si="80"/>
        <v>118.72</v>
      </c>
      <c r="G355" s="46">
        <f t="shared" si="81"/>
        <v>0</v>
      </c>
      <c r="H355" s="47">
        <f t="shared" si="82"/>
        <v>0</v>
      </c>
      <c r="I355" s="46">
        <f t="shared" si="83"/>
        <v>0</v>
      </c>
      <c r="J355" s="47">
        <v>0</v>
      </c>
      <c r="K355" s="46">
        <f t="shared" si="84"/>
        <v>0</v>
      </c>
      <c r="L355" s="47">
        <v>0</v>
      </c>
      <c r="AZ355" s="49"/>
      <c r="BC355" s="50"/>
    </row>
    <row r="356" spans="1:55" s="48" customFormat="1" ht="15.45" customHeight="1" outlineLevel="1" x14ac:dyDescent="0.25">
      <c r="A356" s="42">
        <v>9</v>
      </c>
      <c r="B356" s="43" t="s">
        <v>244</v>
      </c>
      <c r="C356" s="44" t="s">
        <v>234</v>
      </c>
      <c r="D356" s="45">
        <v>4</v>
      </c>
      <c r="E356" s="45">
        <v>148.97720000000001</v>
      </c>
      <c r="F356" s="45">
        <f t="shared" si="80"/>
        <v>595.90880000000004</v>
      </c>
      <c r="G356" s="46">
        <f t="shared" si="81"/>
        <v>0</v>
      </c>
      <c r="H356" s="47">
        <f t="shared" si="82"/>
        <v>0</v>
      </c>
      <c r="I356" s="46">
        <f t="shared" si="83"/>
        <v>0</v>
      </c>
      <c r="J356" s="47">
        <v>0</v>
      </c>
      <c r="K356" s="46">
        <f t="shared" si="84"/>
        <v>0</v>
      </c>
      <c r="L356" s="47">
        <v>0</v>
      </c>
      <c r="AZ356" s="49"/>
      <c r="BC356" s="50"/>
    </row>
    <row r="357" spans="1:55" s="48" customFormat="1" ht="15.45" customHeight="1" outlineLevel="1" x14ac:dyDescent="0.25">
      <c r="A357" s="42">
        <v>10</v>
      </c>
      <c r="B357" s="43" t="s">
        <v>245</v>
      </c>
      <c r="C357" s="44" t="s">
        <v>234</v>
      </c>
      <c r="D357" s="45">
        <v>4</v>
      </c>
      <c r="E357" s="45">
        <v>38.656000000000013</v>
      </c>
      <c r="F357" s="45">
        <f t="shared" si="80"/>
        <v>154.62400000000005</v>
      </c>
      <c r="G357" s="46">
        <f t="shared" si="81"/>
        <v>0</v>
      </c>
      <c r="H357" s="47">
        <f t="shared" si="82"/>
        <v>0</v>
      </c>
      <c r="I357" s="46">
        <f t="shared" si="83"/>
        <v>0</v>
      </c>
      <c r="J357" s="47">
        <v>0</v>
      </c>
      <c r="K357" s="46">
        <f t="shared" si="84"/>
        <v>0</v>
      </c>
      <c r="L357" s="47">
        <v>0</v>
      </c>
      <c r="AZ357" s="49"/>
      <c r="BC357" s="50"/>
    </row>
    <row r="358" spans="1:55" s="48" customFormat="1" ht="15.45" customHeight="1" outlineLevel="1" x14ac:dyDescent="0.25">
      <c r="A358" s="42">
        <v>11</v>
      </c>
      <c r="B358" s="43" t="s">
        <v>246</v>
      </c>
      <c r="C358" s="44" t="s">
        <v>93</v>
      </c>
      <c r="D358" s="45">
        <v>4</v>
      </c>
      <c r="E358" s="45">
        <v>114.64400000000001</v>
      </c>
      <c r="F358" s="45">
        <f t="shared" si="80"/>
        <v>458.57600000000002</v>
      </c>
      <c r="G358" s="46">
        <f t="shared" si="81"/>
        <v>0</v>
      </c>
      <c r="H358" s="47">
        <f t="shared" si="82"/>
        <v>0</v>
      </c>
      <c r="I358" s="46">
        <f t="shared" si="83"/>
        <v>0</v>
      </c>
      <c r="J358" s="47">
        <v>0</v>
      </c>
      <c r="K358" s="46">
        <f t="shared" si="84"/>
        <v>0</v>
      </c>
      <c r="L358" s="47">
        <v>0</v>
      </c>
      <c r="AZ358" s="49"/>
      <c r="BC358" s="50"/>
    </row>
    <row r="359" spans="1:55" s="48" customFormat="1" ht="15.45" customHeight="1" outlineLevel="1" x14ac:dyDescent="0.25">
      <c r="A359" s="42">
        <v>12</v>
      </c>
      <c r="B359" s="43" t="s">
        <v>250</v>
      </c>
      <c r="C359" s="44" t="s">
        <v>234</v>
      </c>
      <c r="D359" s="45">
        <v>1</v>
      </c>
      <c r="E359" s="45">
        <v>22.54000000000001</v>
      </c>
      <c r="F359" s="45">
        <f t="shared" si="80"/>
        <v>22.54000000000001</v>
      </c>
      <c r="G359" s="46">
        <f t="shared" si="81"/>
        <v>0</v>
      </c>
      <c r="H359" s="47">
        <f t="shared" si="82"/>
        <v>0</v>
      </c>
      <c r="I359" s="46">
        <f t="shared" si="83"/>
        <v>0</v>
      </c>
      <c r="J359" s="47">
        <v>0</v>
      </c>
      <c r="K359" s="46">
        <f t="shared" si="84"/>
        <v>0</v>
      </c>
      <c r="L359" s="47">
        <v>0</v>
      </c>
      <c r="AZ359" s="49"/>
      <c r="BC359" s="50"/>
    </row>
    <row r="360" spans="1:55" s="48" customFormat="1" ht="15.45" customHeight="1" outlineLevel="1" x14ac:dyDescent="0.25">
      <c r="A360" s="42">
        <v>13</v>
      </c>
      <c r="B360" s="43" t="s">
        <v>251</v>
      </c>
      <c r="C360" s="44" t="s">
        <v>234</v>
      </c>
      <c r="D360" s="45">
        <v>3</v>
      </c>
      <c r="E360" s="45">
        <v>14.278</v>
      </c>
      <c r="F360" s="45">
        <f t="shared" si="80"/>
        <v>42.834000000000003</v>
      </c>
      <c r="G360" s="46">
        <f t="shared" si="81"/>
        <v>0</v>
      </c>
      <c r="H360" s="47">
        <f t="shared" si="82"/>
        <v>0</v>
      </c>
      <c r="I360" s="46">
        <f t="shared" si="83"/>
        <v>0</v>
      </c>
      <c r="J360" s="47">
        <v>0</v>
      </c>
      <c r="K360" s="46">
        <f t="shared" si="84"/>
        <v>0</v>
      </c>
      <c r="L360" s="47">
        <v>0</v>
      </c>
      <c r="AZ360" s="49"/>
      <c r="BC360" s="50"/>
    </row>
    <row r="361" spans="1:55" s="48" customFormat="1" ht="41.7" customHeight="1" outlineLevel="1" x14ac:dyDescent="0.25">
      <c r="A361" s="42">
        <v>14</v>
      </c>
      <c r="B361" s="43" t="s">
        <v>258</v>
      </c>
      <c r="C361" s="44" t="s">
        <v>93</v>
      </c>
      <c r="D361" s="45">
        <v>1</v>
      </c>
      <c r="E361" s="45">
        <v>45.49</v>
      </c>
      <c r="F361" s="45">
        <f t="shared" si="80"/>
        <v>45.49</v>
      </c>
      <c r="G361" s="46">
        <f t="shared" si="81"/>
        <v>0</v>
      </c>
      <c r="H361" s="47">
        <f t="shared" si="82"/>
        <v>0</v>
      </c>
      <c r="I361" s="46">
        <f t="shared" si="83"/>
        <v>0</v>
      </c>
      <c r="J361" s="47">
        <v>0</v>
      </c>
      <c r="K361" s="46">
        <f t="shared" si="84"/>
        <v>0</v>
      </c>
      <c r="L361" s="47">
        <v>0</v>
      </c>
      <c r="AZ361" s="49"/>
      <c r="BC361" s="50"/>
    </row>
    <row r="362" spans="1:55" s="48" customFormat="1" ht="15.45" customHeight="1" outlineLevel="1" x14ac:dyDescent="0.25">
      <c r="A362" s="42">
        <v>15</v>
      </c>
      <c r="B362" s="43" t="s">
        <v>259</v>
      </c>
      <c r="C362" s="44" t="s">
        <v>93</v>
      </c>
      <c r="D362" s="45">
        <v>1</v>
      </c>
      <c r="E362" s="45">
        <v>127.547</v>
      </c>
      <c r="F362" s="45">
        <f t="shared" si="80"/>
        <v>127.547</v>
      </c>
      <c r="G362" s="46">
        <f t="shared" si="81"/>
        <v>0</v>
      </c>
      <c r="H362" s="47">
        <f t="shared" si="82"/>
        <v>0</v>
      </c>
      <c r="I362" s="46">
        <f t="shared" si="83"/>
        <v>0</v>
      </c>
      <c r="J362" s="47">
        <v>0</v>
      </c>
      <c r="K362" s="46">
        <f t="shared" si="84"/>
        <v>0</v>
      </c>
      <c r="L362" s="47">
        <v>0</v>
      </c>
      <c r="AZ362" s="49"/>
      <c r="BC362" s="50"/>
    </row>
    <row r="363" spans="1:55" s="48" customFormat="1" ht="27.75" customHeight="1" outlineLevel="1" x14ac:dyDescent="0.25">
      <c r="A363" s="42">
        <v>16</v>
      </c>
      <c r="B363" s="43" t="s">
        <v>260</v>
      </c>
      <c r="C363" s="44" t="s">
        <v>93</v>
      </c>
      <c r="D363" s="45">
        <v>2</v>
      </c>
      <c r="E363" s="45">
        <v>7.4827999999999992</v>
      </c>
      <c r="F363" s="45">
        <f t="shared" si="80"/>
        <v>14.965599999999998</v>
      </c>
      <c r="G363" s="46">
        <f t="shared" si="81"/>
        <v>0</v>
      </c>
      <c r="H363" s="47">
        <f t="shared" si="82"/>
        <v>0</v>
      </c>
      <c r="I363" s="46">
        <f t="shared" si="83"/>
        <v>0</v>
      </c>
      <c r="J363" s="47">
        <v>0</v>
      </c>
      <c r="K363" s="46">
        <f t="shared" si="84"/>
        <v>0</v>
      </c>
      <c r="L363" s="47">
        <v>0</v>
      </c>
      <c r="AZ363" s="49"/>
      <c r="BC363" s="50"/>
    </row>
    <row r="364" spans="1:55" s="48" customFormat="1" ht="15.45" customHeight="1" outlineLevel="1" x14ac:dyDescent="0.25">
      <c r="A364" s="42">
        <v>17</v>
      </c>
      <c r="B364" s="43" t="s">
        <v>261</v>
      </c>
      <c r="C364" s="44" t="s">
        <v>93</v>
      </c>
      <c r="D364" s="45">
        <v>1</v>
      </c>
      <c r="E364" s="45">
        <v>199.95679999999999</v>
      </c>
      <c r="F364" s="45">
        <f t="shared" si="80"/>
        <v>199.95679999999999</v>
      </c>
      <c r="G364" s="46">
        <f t="shared" si="81"/>
        <v>0</v>
      </c>
      <c r="H364" s="47">
        <f t="shared" si="82"/>
        <v>0</v>
      </c>
      <c r="I364" s="46">
        <f t="shared" si="83"/>
        <v>0</v>
      </c>
      <c r="J364" s="47">
        <v>0</v>
      </c>
      <c r="K364" s="46">
        <f t="shared" si="84"/>
        <v>0</v>
      </c>
      <c r="L364" s="47">
        <v>0</v>
      </c>
      <c r="AZ364" s="49"/>
      <c r="BC364" s="50"/>
    </row>
    <row r="365" spans="1:55" s="48" customFormat="1" ht="27.75" customHeight="1" outlineLevel="1" x14ac:dyDescent="0.25">
      <c r="A365" s="42">
        <v>18</v>
      </c>
      <c r="B365" s="43" t="s">
        <v>262</v>
      </c>
      <c r="C365" s="44" t="s">
        <v>93</v>
      </c>
      <c r="D365" s="45">
        <v>1</v>
      </c>
      <c r="E365" s="45">
        <v>201.04</v>
      </c>
      <c r="F365" s="45">
        <f t="shared" si="80"/>
        <v>201.04</v>
      </c>
      <c r="G365" s="46">
        <f t="shared" si="81"/>
        <v>0</v>
      </c>
      <c r="H365" s="47">
        <f t="shared" si="82"/>
        <v>0</v>
      </c>
      <c r="I365" s="46">
        <f t="shared" si="83"/>
        <v>0</v>
      </c>
      <c r="J365" s="47">
        <v>0</v>
      </c>
      <c r="K365" s="46">
        <f t="shared" si="84"/>
        <v>0</v>
      </c>
      <c r="L365" s="47">
        <v>0</v>
      </c>
      <c r="AZ365" s="49"/>
      <c r="BC365" s="50"/>
    </row>
    <row r="366" spans="1:55" s="48" customFormat="1" ht="27.75" customHeight="1" outlineLevel="1" x14ac:dyDescent="0.25">
      <c r="A366" s="42">
        <v>19</v>
      </c>
      <c r="B366" s="43" t="s">
        <v>263</v>
      </c>
      <c r="C366" s="44" t="s">
        <v>93</v>
      </c>
      <c r="D366" s="45">
        <v>1</v>
      </c>
      <c r="E366" s="45">
        <v>1254.0999999999999</v>
      </c>
      <c r="F366" s="45">
        <f t="shared" si="80"/>
        <v>1254.0999999999999</v>
      </c>
      <c r="G366" s="46">
        <f t="shared" si="81"/>
        <v>0</v>
      </c>
      <c r="H366" s="47">
        <f t="shared" si="82"/>
        <v>0</v>
      </c>
      <c r="I366" s="46">
        <f t="shared" si="83"/>
        <v>0</v>
      </c>
      <c r="J366" s="47">
        <v>0</v>
      </c>
      <c r="K366" s="46">
        <f t="shared" si="84"/>
        <v>0</v>
      </c>
      <c r="L366" s="47">
        <v>0</v>
      </c>
      <c r="AZ366" s="49"/>
      <c r="BC366" s="50"/>
    </row>
    <row r="367" spans="1:55" s="48" customFormat="1" ht="41.7" customHeight="1" outlineLevel="1" x14ac:dyDescent="0.25">
      <c r="A367" s="42">
        <v>20</v>
      </c>
      <c r="B367" s="43" t="s">
        <v>264</v>
      </c>
      <c r="C367" s="44" t="s">
        <v>93</v>
      </c>
      <c r="D367" s="45">
        <v>1</v>
      </c>
      <c r="E367" s="45">
        <v>17.0932</v>
      </c>
      <c r="F367" s="45">
        <f t="shared" si="80"/>
        <v>17.0932</v>
      </c>
      <c r="G367" s="46">
        <f t="shared" si="81"/>
        <v>0</v>
      </c>
      <c r="H367" s="47">
        <f t="shared" si="82"/>
        <v>0</v>
      </c>
      <c r="I367" s="46">
        <f t="shared" si="83"/>
        <v>0</v>
      </c>
      <c r="J367" s="47">
        <v>0</v>
      </c>
      <c r="K367" s="46">
        <f t="shared" si="84"/>
        <v>0</v>
      </c>
      <c r="L367" s="47">
        <v>0</v>
      </c>
      <c r="AZ367" s="49"/>
      <c r="BC367" s="50"/>
    </row>
    <row r="368" spans="1:55" s="56" customFormat="1" ht="27" customHeight="1" x14ac:dyDescent="0.3">
      <c r="A368" s="62">
        <v>2.17</v>
      </c>
      <c r="B368" s="51" t="s">
        <v>265</v>
      </c>
      <c r="C368" s="52">
        <v>0</v>
      </c>
      <c r="D368" s="53"/>
      <c r="E368" s="53"/>
      <c r="F368" s="53"/>
      <c r="G368" s="54"/>
      <c r="H368" s="55"/>
      <c r="I368" s="54"/>
      <c r="J368" s="55"/>
      <c r="K368" s="54"/>
      <c r="L368" s="55">
        <v>0</v>
      </c>
      <c r="AZ368" s="57"/>
      <c r="BC368" s="58"/>
    </row>
    <row r="369" spans="1:55" s="48" customFormat="1" ht="27.75" customHeight="1" outlineLevel="1" x14ac:dyDescent="0.25">
      <c r="A369" s="42">
        <v>1</v>
      </c>
      <c r="B369" s="43" t="s">
        <v>238</v>
      </c>
      <c r="C369" s="44" t="s">
        <v>61</v>
      </c>
      <c r="D369" s="45">
        <v>31</v>
      </c>
      <c r="E369" s="45">
        <v>8.923</v>
      </c>
      <c r="F369" s="45">
        <f t="shared" ref="F369:F381" si="85">+E369*D369</f>
        <v>276.613</v>
      </c>
      <c r="G369" s="46">
        <f t="shared" ref="G369:G381" si="86">I369+K369</f>
        <v>0</v>
      </c>
      <c r="H369" s="47">
        <f t="shared" ref="H369:H381" si="87">J369+L369</f>
        <v>0</v>
      </c>
      <c r="I369" s="46">
        <f t="shared" ref="I369:I381" si="88">J369/F369</f>
        <v>0</v>
      </c>
      <c r="J369" s="47">
        <v>0</v>
      </c>
      <c r="K369" s="46">
        <f t="shared" ref="K369:K381" si="89">L369/F369</f>
        <v>0</v>
      </c>
      <c r="L369" s="47">
        <v>0</v>
      </c>
      <c r="AZ369" s="49"/>
      <c r="BC369" s="50"/>
    </row>
    <row r="370" spans="1:55" s="48" customFormat="1" ht="27.75" customHeight="1" outlineLevel="1" x14ac:dyDescent="0.25">
      <c r="A370" s="42">
        <v>2</v>
      </c>
      <c r="B370" s="43" t="s">
        <v>239</v>
      </c>
      <c r="C370" s="44" t="s">
        <v>61</v>
      </c>
      <c r="D370" s="45">
        <v>31</v>
      </c>
      <c r="E370" s="45">
        <v>6.9421999999999997</v>
      </c>
      <c r="F370" s="45">
        <f t="shared" si="85"/>
        <v>215.20819999999998</v>
      </c>
      <c r="G370" s="46">
        <f t="shared" si="86"/>
        <v>0</v>
      </c>
      <c r="H370" s="47">
        <f t="shared" si="87"/>
        <v>0</v>
      </c>
      <c r="I370" s="46">
        <f t="shared" si="88"/>
        <v>0</v>
      </c>
      <c r="J370" s="47">
        <v>0</v>
      </c>
      <c r="K370" s="46">
        <f t="shared" si="89"/>
        <v>0</v>
      </c>
      <c r="L370" s="47">
        <v>0</v>
      </c>
      <c r="AZ370" s="49"/>
      <c r="BC370" s="50"/>
    </row>
    <row r="371" spans="1:55" s="48" customFormat="1" ht="27.75" customHeight="1" outlineLevel="1" x14ac:dyDescent="0.25">
      <c r="A371" s="42">
        <v>3</v>
      </c>
      <c r="B371" s="43" t="s">
        <v>240</v>
      </c>
      <c r="C371" s="44" t="s">
        <v>61</v>
      </c>
      <c r="D371" s="45">
        <v>36</v>
      </c>
      <c r="E371" s="45">
        <v>9.3819999999999997</v>
      </c>
      <c r="F371" s="45">
        <f t="shared" si="85"/>
        <v>337.75200000000001</v>
      </c>
      <c r="G371" s="46">
        <f t="shared" si="86"/>
        <v>0</v>
      </c>
      <c r="H371" s="47">
        <f t="shared" si="87"/>
        <v>0</v>
      </c>
      <c r="I371" s="46">
        <f t="shared" si="88"/>
        <v>0</v>
      </c>
      <c r="J371" s="47">
        <v>0</v>
      </c>
      <c r="K371" s="46">
        <f t="shared" si="89"/>
        <v>0</v>
      </c>
      <c r="L371" s="47">
        <v>0</v>
      </c>
      <c r="AZ371" s="49"/>
      <c r="BC371" s="50"/>
    </row>
    <row r="372" spans="1:55" s="48" customFormat="1" ht="27.75" customHeight="1" outlineLevel="1" x14ac:dyDescent="0.25">
      <c r="A372" s="42">
        <v>4</v>
      </c>
      <c r="B372" s="43" t="s">
        <v>241</v>
      </c>
      <c r="C372" s="44" t="s">
        <v>61</v>
      </c>
      <c r="D372" s="45">
        <v>36</v>
      </c>
      <c r="E372" s="45">
        <v>4.3411999999999988</v>
      </c>
      <c r="F372" s="45">
        <f t="shared" si="85"/>
        <v>156.28319999999997</v>
      </c>
      <c r="G372" s="46">
        <f t="shared" si="86"/>
        <v>0</v>
      </c>
      <c r="H372" s="47">
        <f t="shared" si="87"/>
        <v>0</v>
      </c>
      <c r="I372" s="46">
        <f t="shared" si="88"/>
        <v>0</v>
      </c>
      <c r="J372" s="47">
        <v>0</v>
      </c>
      <c r="K372" s="46">
        <f t="shared" si="89"/>
        <v>0</v>
      </c>
      <c r="L372" s="47">
        <v>0</v>
      </c>
      <c r="AZ372" s="49"/>
      <c r="BC372" s="50"/>
    </row>
    <row r="373" spans="1:55" s="48" customFormat="1" ht="27.75" customHeight="1" outlineLevel="1" x14ac:dyDescent="0.25">
      <c r="A373" s="42">
        <v>5</v>
      </c>
      <c r="B373" s="43" t="s">
        <v>266</v>
      </c>
      <c r="C373" s="44" t="s">
        <v>93</v>
      </c>
      <c r="D373" s="45">
        <v>5</v>
      </c>
      <c r="E373" s="45">
        <v>10.9834</v>
      </c>
      <c r="F373" s="45">
        <f t="shared" si="85"/>
        <v>54.917000000000002</v>
      </c>
      <c r="G373" s="46">
        <f t="shared" si="86"/>
        <v>0</v>
      </c>
      <c r="H373" s="47">
        <f t="shared" si="87"/>
        <v>0</v>
      </c>
      <c r="I373" s="46">
        <f t="shared" si="88"/>
        <v>0</v>
      </c>
      <c r="J373" s="47">
        <v>0</v>
      </c>
      <c r="K373" s="46">
        <f t="shared" si="89"/>
        <v>0</v>
      </c>
      <c r="L373" s="47">
        <v>0</v>
      </c>
      <c r="AZ373" s="49"/>
      <c r="BC373" s="50"/>
    </row>
    <row r="374" spans="1:55" s="48" customFormat="1" ht="15.45" customHeight="1" outlineLevel="1" x14ac:dyDescent="0.25">
      <c r="A374" s="42">
        <v>6</v>
      </c>
      <c r="B374" s="43" t="s">
        <v>267</v>
      </c>
      <c r="C374" s="44" t="s">
        <v>234</v>
      </c>
      <c r="D374" s="45">
        <v>2</v>
      </c>
      <c r="E374" s="45">
        <v>23.356000000000002</v>
      </c>
      <c r="F374" s="45">
        <f t="shared" si="85"/>
        <v>46.712000000000003</v>
      </c>
      <c r="G374" s="46">
        <f t="shared" si="86"/>
        <v>0</v>
      </c>
      <c r="H374" s="47">
        <f t="shared" si="87"/>
        <v>0</v>
      </c>
      <c r="I374" s="46">
        <f t="shared" si="88"/>
        <v>0</v>
      </c>
      <c r="J374" s="47">
        <v>0</v>
      </c>
      <c r="K374" s="46">
        <f t="shared" si="89"/>
        <v>0</v>
      </c>
      <c r="L374" s="47">
        <v>0</v>
      </c>
      <c r="AZ374" s="49"/>
      <c r="BC374" s="50"/>
    </row>
    <row r="375" spans="1:55" s="48" customFormat="1" ht="15.45" customHeight="1" outlineLevel="1" x14ac:dyDescent="0.25">
      <c r="A375" s="42">
        <v>7</v>
      </c>
      <c r="B375" s="43" t="s">
        <v>268</v>
      </c>
      <c r="C375" s="44" t="s">
        <v>93</v>
      </c>
      <c r="D375" s="45">
        <v>2</v>
      </c>
      <c r="E375" s="45">
        <v>304.71080000000012</v>
      </c>
      <c r="F375" s="45">
        <f t="shared" si="85"/>
        <v>609.42160000000024</v>
      </c>
      <c r="G375" s="46">
        <f t="shared" si="86"/>
        <v>0</v>
      </c>
      <c r="H375" s="47">
        <f t="shared" si="87"/>
        <v>0</v>
      </c>
      <c r="I375" s="46">
        <f t="shared" si="88"/>
        <v>0</v>
      </c>
      <c r="J375" s="47">
        <v>0</v>
      </c>
      <c r="K375" s="46">
        <f t="shared" si="89"/>
        <v>0</v>
      </c>
      <c r="L375" s="47">
        <v>0</v>
      </c>
      <c r="AZ375" s="49"/>
      <c r="BC375" s="50"/>
    </row>
    <row r="376" spans="1:55" s="59" customFormat="1" ht="17.7" customHeight="1" outlineLevel="1" x14ac:dyDescent="0.35">
      <c r="A376" s="42">
        <v>8</v>
      </c>
      <c r="B376" s="43" t="s">
        <v>269</v>
      </c>
      <c r="C376" s="44" t="s">
        <v>93</v>
      </c>
      <c r="D376" s="45">
        <v>2</v>
      </c>
      <c r="E376" s="45">
        <v>6.4423999999999992</v>
      </c>
      <c r="F376" s="45">
        <f t="shared" si="85"/>
        <v>12.884799999999998</v>
      </c>
      <c r="G376" s="46">
        <f t="shared" si="86"/>
        <v>0</v>
      </c>
      <c r="H376" s="47">
        <f t="shared" si="87"/>
        <v>0</v>
      </c>
      <c r="I376" s="46">
        <f t="shared" si="88"/>
        <v>0</v>
      </c>
      <c r="J376" s="47">
        <v>0</v>
      </c>
      <c r="K376" s="46">
        <f t="shared" si="89"/>
        <v>0</v>
      </c>
      <c r="L376" s="47">
        <v>0</v>
      </c>
      <c r="AZ376" s="60"/>
      <c r="BC376" s="61"/>
    </row>
    <row r="377" spans="1:55" s="48" customFormat="1" ht="15.45" customHeight="1" outlineLevel="1" x14ac:dyDescent="0.25">
      <c r="A377" s="42">
        <v>9</v>
      </c>
      <c r="B377" s="43" t="s">
        <v>270</v>
      </c>
      <c r="C377" s="44" t="s">
        <v>93</v>
      </c>
      <c r="D377" s="45">
        <v>3</v>
      </c>
      <c r="E377" s="45">
        <v>6.4423999999999992</v>
      </c>
      <c r="F377" s="45">
        <f t="shared" si="85"/>
        <v>19.327199999999998</v>
      </c>
      <c r="G377" s="46">
        <f t="shared" si="86"/>
        <v>0</v>
      </c>
      <c r="H377" s="47">
        <f t="shared" si="87"/>
        <v>0</v>
      </c>
      <c r="I377" s="46">
        <f t="shared" si="88"/>
        <v>0</v>
      </c>
      <c r="J377" s="47">
        <v>0</v>
      </c>
      <c r="K377" s="46">
        <f t="shared" si="89"/>
        <v>0</v>
      </c>
      <c r="L377" s="47">
        <v>0</v>
      </c>
      <c r="AZ377" s="49"/>
      <c r="BC377" s="50"/>
    </row>
    <row r="378" spans="1:55" s="48" customFormat="1" ht="15.45" customHeight="1" outlineLevel="1" x14ac:dyDescent="0.25">
      <c r="A378" s="42">
        <v>10</v>
      </c>
      <c r="B378" s="43" t="s">
        <v>251</v>
      </c>
      <c r="C378" s="44" t="s">
        <v>234</v>
      </c>
      <c r="D378" s="45">
        <v>1</v>
      </c>
      <c r="E378" s="45">
        <v>14.278</v>
      </c>
      <c r="F378" s="45">
        <f t="shared" si="85"/>
        <v>14.278</v>
      </c>
      <c r="G378" s="46">
        <f t="shared" si="86"/>
        <v>0</v>
      </c>
      <c r="H378" s="47">
        <f t="shared" si="87"/>
        <v>0</v>
      </c>
      <c r="I378" s="46">
        <f t="shared" si="88"/>
        <v>0</v>
      </c>
      <c r="J378" s="47">
        <v>0</v>
      </c>
      <c r="K378" s="46">
        <f t="shared" si="89"/>
        <v>0</v>
      </c>
      <c r="L378" s="47">
        <v>0</v>
      </c>
      <c r="AZ378" s="49"/>
      <c r="BC378" s="50"/>
    </row>
    <row r="379" spans="1:55" s="48" customFormat="1" ht="27.75" customHeight="1" outlineLevel="1" x14ac:dyDescent="0.25">
      <c r="A379" s="42">
        <v>11</v>
      </c>
      <c r="B379" s="43" t="s">
        <v>271</v>
      </c>
      <c r="C379" s="44" t="s">
        <v>61</v>
      </c>
      <c r="D379" s="45">
        <v>2</v>
      </c>
      <c r="E379" s="45">
        <v>49.192599999999999</v>
      </c>
      <c r="F379" s="45">
        <f t="shared" si="85"/>
        <v>98.385199999999998</v>
      </c>
      <c r="G379" s="46">
        <f t="shared" si="86"/>
        <v>0</v>
      </c>
      <c r="H379" s="47">
        <f t="shared" si="87"/>
        <v>0</v>
      </c>
      <c r="I379" s="46">
        <f t="shared" si="88"/>
        <v>0</v>
      </c>
      <c r="J379" s="47">
        <v>0</v>
      </c>
      <c r="K379" s="46">
        <f t="shared" si="89"/>
        <v>0</v>
      </c>
      <c r="L379" s="47">
        <v>0</v>
      </c>
      <c r="AZ379" s="49"/>
      <c r="BC379" s="50"/>
    </row>
    <row r="380" spans="1:55" s="48" customFormat="1" ht="27.75" customHeight="1" outlineLevel="1" x14ac:dyDescent="0.25">
      <c r="A380" s="42">
        <v>12</v>
      </c>
      <c r="B380" s="43" t="s">
        <v>253</v>
      </c>
      <c r="C380" s="44" t="s">
        <v>61</v>
      </c>
      <c r="D380" s="45">
        <v>2</v>
      </c>
      <c r="E380" s="45">
        <v>90.867799999999988</v>
      </c>
      <c r="F380" s="45">
        <f t="shared" si="85"/>
        <v>181.73559999999998</v>
      </c>
      <c r="G380" s="46">
        <f t="shared" si="86"/>
        <v>0</v>
      </c>
      <c r="H380" s="47">
        <f t="shared" si="87"/>
        <v>0</v>
      </c>
      <c r="I380" s="46">
        <f t="shared" si="88"/>
        <v>0</v>
      </c>
      <c r="J380" s="47">
        <v>0</v>
      </c>
      <c r="K380" s="46">
        <f t="shared" si="89"/>
        <v>0</v>
      </c>
      <c r="L380" s="47">
        <v>0</v>
      </c>
      <c r="AZ380" s="49"/>
      <c r="BC380" s="50"/>
    </row>
    <row r="381" spans="1:55" s="48" customFormat="1" ht="27.75" customHeight="1" outlineLevel="1" x14ac:dyDescent="0.25">
      <c r="A381" s="42">
        <v>13</v>
      </c>
      <c r="B381" s="43" t="s">
        <v>254</v>
      </c>
      <c r="C381" s="44" t="s">
        <v>61</v>
      </c>
      <c r="D381" s="45">
        <v>2</v>
      </c>
      <c r="E381" s="45">
        <v>1.7218</v>
      </c>
      <c r="F381" s="45">
        <f t="shared" si="85"/>
        <v>3.4436</v>
      </c>
      <c r="G381" s="46">
        <f t="shared" si="86"/>
        <v>0</v>
      </c>
      <c r="H381" s="47">
        <f t="shared" si="87"/>
        <v>0</v>
      </c>
      <c r="I381" s="46">
        <f t="shared" si="88"/>
        <v>0</v>
      </c>
      <c r="J381" s="47">
        <v>0</v>
      </c>
      <c r="K381" s="46">
        <f t="shared" si="89"/>
        <v>0</v>
      </c>
      <c r="L381" s="47">
        <v>0</v>
      </c>
      <c r="AZ381" s="49"/>
      <c r="BC381" s="50"/>
    </row>
    <row r="382" spans="1:55" s="56" customFormat="1" ht="27" customHeight="1" x14ac:dyDescent="0.3">
      <c r="A382" s="62">
        <v>2.1800000000000002</v>
      </c>
      <c r="B382" s="51" t="s">
        <v>272</v>
      </c>
      <c r="C382" s="52">
        <v>0</v>
      </c>
      <c r="D382" s="53"/>
      <c r="E382" s="53"/>
      <c r="F382" s="53"/>
      <c r="G382" s="54"/>
      <c r="H382" s="55"/>
      <c r="I382" s="54"/>
      <c r="J382" s="55"/>
      <c r="K382" s="54"/>
      <c r="L382" s="55">
        <v>0</v>
      </c>
      <c r="AZ382" s="57"/>
      <c r="BC382" s="58"/>
    </row>
    <row r="383" spans="1:55" s="48" customFormat="1" ht="27.75" customHeight="1" outlineLevel="1" x14ac:dyDescent="0.25">
      <c r="A383" s="42">
        <v>1</v>
      </c>
      <c r="B383" s="43" t="s">
        <v>273</v>
      </c>
      <c r="C383" s="44" t="s">
        <v>61</v>
      </c>
      <c r="D383" s="45">
        <v>23</v>
      </c>
      <c r="E383" s="45">
        <v>12.452199999999999</v>
      </c>
      <c r="F383" s="45">
        <f t="shared" ref="F383:F396" si="90">+E383*D383</f>
        <v>286.4006</v>
      </c>
      <c r="G383" s="46">
        <f t="shared" ref="G383:G396" si="91">I383+K383</f>
        <v>0</v>
      </c>
      <c r="H383" s="47">
        <f t="shared" ref="H383:H396" si="92">J383+L383</f>
        <v>0</v>
      </c>
      <c r="I383" s="46">
        <f t="shared" ref="I383:I396" si="93">J383/F383</f>
        <v>0</v>
      </c>
      <c r="J383" s="47">
        <v>0</v>
      </c>
      <c r="K383" s="46">
        <f t="shared" ref="K383:K396" si="94">L383/F383</f>
        <v>0</v>
      </c>
      <c r="L383" s="47">
        <v>0</v>
      </c>
      <c r="AZ383" s="49"/>
      <c r="BC383" s="50"/>
    </row>
    <row r="384" spans="1:55" s="48" customFormat="1" ht="27.75" customHeight="1" outlineLevel="1" x14ac:dyDescent="0.25">
      <c r="A384" s="42">
        <v>2</v>
      </c>
      <c r="B384" s="43" t="s">
        <v>274</v>
      </c>
      <c r="C384" s="44" t="s">
        <v>61</v>
      </c>
      <c r="D384" s="45">
        <v>23</v>
      </c>
      <c r="E384" s="45">
        <v>1.3118000000000001</v>
      </c>
      <c r="F384" s="45">
        <f t="shared" si="90"/>
        <v>30.171400000000002</v>
      </c>
      <c r="G384" s="46">
        <f t="shared" si="91"/>
        <v>0</v>
      </c>
      <c r="H384" s="47">
        <f t="shared" si="92"/>
        <v>0</v>
      </c>
      <c r="I384" s="46">
        <f t="shared" si="93"/>
        <v>0</v>
      </c>
      <c r="J384" s="47">
        <v>0</v>
      </c>
      <c r="K384" s="46">
        <f t="shared" si="94"/>
        <v>0</v>
      </c>
      <c r="L384" s="47">
        <v>0</v>
      </c>
      <c r="AZ384" s="49"/>
      <c r="BC384" s="50"/>
    </row>
    <row r="385" spans="1:55" s="48" customFormat="1" ht="27.75" customHeight="1" outlineLevel="1" x14ac:dyDescent="0.25">
      <c r="A385" s="42">
        <v>3</v>
      </c>
      <c r="B385" s="43" t="s">
        <v>184</v>
      </c>
      <c r="C385" s="44" t="s">
        <v>61</v>
      </c>
      <c r="D385" s="45">
        <v>11</v>
      </c>
      <c r="E385" s="45">
        <v>9.2289999999999992</v>
      </c>
      <c r="F385" s="45">
        <f t="shared" si="90"/>
        <v>101.51899999999999</v>
      </c>
      <c r="G385" s="46">
        <f t="shared" si="91"/>
        <v>0</v>
      </c>
      <c r="H385" s="47">
        <f t="shared" si="92"/>
        <v>0</v>
      </c>
      <c r="I385" s="46">
        <f t="shared" si="93"/>
        <v>0</v>
      </c>
      <c r="J385" s="47">
        <v>0</v>
      </c>
      <c r="K385" s="46">
        <f t="shared" si="94"/>
        <v>0</v>
      </c>
      <c r="L385" s="47">
        <v>0</v>
      </c>
      <c r="AZ385" s="49"/>
      <c r="BC385" s="50"/>
    </row>
    <row r="386" spans="1:55" s="48" customFormat="1" ht="27.75" customHeight="1" outlineLevel="1" x14ac:dyDescent="0.25">
      <c r="A386" s="42">
        <v>4</v>
      </c>
      <c r="B386" s="43" t="s">
        <v>185</v>
      </c>
      <c r="C386" s="44" t="s">
        <v>61</v>
      </c>
      <c r="D386" s="45">
        <v>11</v>
      </c>
      <c r="E386" s="45">
        <v>9.7064000000000004</v>
      </c>
      <c r="F386" s="45">
        <f t="shared" si="90"/>
        <v>106.77040000000001</v>
      </c>
      <c r="G386" s="46">
        <f t="shared" si="91"/>
        <v>0</v>
      </c>
      <c r="H386" s="47">
        <f t="shared" si="92"/>
        <v>0</v>
      </c>
      <c r="I386" s="46">
        <f t="shared" si="93"/>
        <v>0</v>
      </c>
      <c r="J386" s="47">
        <v>0</v>
      </c>
      <c r="K386" s="46">
        <f t="shared" si="94"/>
        <v>0</v>
      </c>
      <c r="L386" s="47">
        <v>0</v>
      </c>
      <c r="AZ386" s="49"/>
      <c r="BC386" s="50"/>
    </row>
    <row r="387" spans="1:55" s="48" customFormat="1" ht="27.75" customHeight="1" outlineLevel="1" x14ac:dyDescent="0.25">
      <c r="A387" s="42">
        <v>5</v>
      </c>
      <c r="B387" s="43" t="s">
        <v>194</v>
      </c>
      <c r="C387" s="44" t="s">
        <v>61</v>
      </c>
      <c r="D387" s="45">
        <v>11</v>
      </c>
      <c r="E387" s="45">
        <v>1.7218</v>
      </c>
      <c r="F387" s="45">
        <f t="shared" si="90"/>
        <v>18.939799999999998</v>
      </c>
      <c r="G387" s="46">
        <f t="shared" si="91"/>
        <v>0</v>
      </c>
      <c r="H387" s="47">
        <f t="shared" si="92"/>
        <v>0</v>
      </c>
      <c r="I387" s="46">
        <f t="shared" si="93"/>
        <v>0</v>
      </c>
      <c r="J387" s="47">
        <v>0</v>
      </c>
      <c r="K387" s="46">
        <f t="shared" si="94"/>
        <v>0</v>
      </c>
      <c r="L387" s="47">
        <v>0</v>
      </c>
      <c r="AZ387" s="49"/>
      <c r="BC387" s="50"/>
    </row>
    <row r="388" spans="1:55" s="48" customFormat="1" ht="41.7" customHeight="1" outlineLevel="1" x14ac:dyDescent="0.25">
      <c r="A388" s="42">
        <v>6</v>
      </c>
      <c r="B388" s="43" t="s">
        <v>275</v>
      </c>
      <c r="C388" s="44" t="s">
        <v>93</v>
      </c>
      <c r="D388" s="45">
        <v>2</v>
      </c>
      <c r="E388" s="45">
        <v>25.436800000000002</v>
      </c>
      <c r="F388" s="45">
        <f t="shared" si="90"/>
        <v>50.873600000000003</v>
      </c>
      <c r="G388" s="46">
        <f t="shared" si="91"/>
        <v>0</v>
      </c>
      <c r="H388" s="47">
        <f t="shared" si="92"/>
        <v>0</v>
      </c>
      <c r="I388" s="46">
        <f t="shared" si="93"/>
        <v>0</v>
      </c>
      <c r="J388" s="47">
        <v>0</v>
      </c>
      <c r="K388" s="46">
        <f t="shared" si="94"/>
        <v>0</v>
      </c>
      <c r="L388" s="47">
        <v>0</v>
      </c>
      <c r="AZ388" s="49"/>
      <c r="BC388" s="50"/>
    </row>
    <row r="389" spans="1:55" s="48" customFormat="1" ht="15.45" customHeight="1" outlineLevel="1" x14ac:dyDescent="0.25">
      <c r="A389" s="42">
        <v>7</v>
      </c>
      <c r="B389" s="43" t="s">
        <v>202</v>
      </c>
      <c r="C389" s="44" t="s">
        <v>93</v>
      </c>
      <c r="D389" s="45">
        <v>2</v>
      </c>
      <c r="E389" s="45">
        <v>106.32080000000001</v>
      </c>
      <c r="F389" s="45">
        <f t="shared" si="90"/>
        <v>212.64160000000001</v>
      </c>
      <c r="G389" s="46">
        <f t="shared" si="91"/>
        <v>0</v>
      </c>
      <c r="H389" s="47">
        <f t="shared" si="92"/>
        <v>0</v>
      </c>
      <c r="I389" s="46">
        <f t="shared" si="93"/>
        <v>0</v>
      </c>
      <c r="J389" s="47">
        <v>0</v>
      </c>
      <c r="K389" s="46">
        <f t="shared" si="94"/>
        <v>0</v>
      </c>
      <c r="L389" s="47">
        <v>0</v>
      </c>
      <c r="AZ389" s="49"/>
      <c r="BC389" s="50"/>
    </row>
    <row r="390" spans="1:55" s="48" customFormat="1" ht="27.75" customHeight="1" outlineLevel="1" x14ac:dyDescent="0.25">
      <c r="A390" s="42">
        <v>8</v>
      </c>
      <c r="B390" s="43" t="s">
        <v>203</v>
      </c>
      <c r="C390" s="44" t="s">
        <v>93</v>
      </c>
      <c r="D390" s="45">
        <v>4</v>
      </c>
      <c r="E390" s="45">
        <v>6.4423999999999992</v>
      </c>
      <c r="F390" s="45">
        <f t="shared" si="90"/>
        <v>25.769599999999997</v>
      </c>
      <c r="G390" s="46">
        <f t="shared" si="91"/>
        <v>0</v>
      </c>
      <c r="H390" s="47">
        <f t="shared" si="92"/>
        <v>0</v>
      </c>
      <c r="I390" s="46">
        <f t="shared" si="93"/>
        <v>0</v>
      </c>
      <c r="J390" s="47">
        <v>0</v>
      </c>
      <c r="K390" s="46">
        <f t="shared" si="94"/>
        <v>0</v>
      </c>
      <c r="L390" s="47">
        <v>0</v>
      </c>
      <c r="AZ390" s="49"/>
      <c r="BC390" s="50"/>
    </row>
    <row r="391" spans="1:55" s="48" customFormat="1" ht="15.45" customHeight="1" outlineLevel="1" x14ac:dyDescent="0.25">
      <c r="A391" s="42">
        <v>9</v>
      </c>
      <c r="B391" s="43" t="s">
        <v>204</v>
      </c>
      <c r="C391" s="44" t="s">
        <v>93</v>
      </c>
      <c r="D391" s="45">
        <v>2</v>
      </c>
      <c r="E391" s="45">
        <v>120.88639999999999</v>
      </c>
      <c r="F391" s="45">
        <f t="shared" si="90"/>
        <v>241.77279999999999</v>
      </c>
      <c r="G391" s="46">
        <f t="shared" si="91"/>
        <v>0</v>
      </c>
      <c r="H391" s="47">
        <f t="shared" si="92"/>
        <v>0</v>
      </c>
      <c r="I391" s="46">
        <f t="shared" si="93"/>
        <v>0</v>
      </c>
      <c r="J391" s="47">
        <v>0</v>
      </c>
      <c r="K391" s="46">
        <f t="shared" si="94"/>
        <v>0</v>
      </c>
      <c r="L391" s="47">
        <v>0</v>
      </c>
      <c r="AZ391" s="49"/>
      <c r="BC391" s="50"/>
    </row>
    <row r="392" spans="1:55" s="48" customFormat="1" ht="15.45" customHeight="1" outlineLevel="1" x14ac:dyDescent="0.25">
      <c r="A392" s="42">
        <v>10</v>
      </c>
      <c r="B392" s="43" t="s">
        <v>276</v>
      </c>
      <c r="C392" s="44" t="s">
        <v>93</v>
      </c>
      <c r="D392" s="45">
        <v>3</v>
      </c>
      <c r="E392" s="45">
        <v>69.182599999999979</v>
      </c>
      <c r="F392" s="45">
        <f t="shared" si="90"/>
        <v>207.54779999999994</v>
      </c>
      <c r="G392" s="46">
        <f t="shared" si="91"/>
        <v>0</v>
      </c>
      <c r="H392" s="47">
        <f t="shared" si="92"/>
        <v>0</v>
      </c>
      <c r="I392" s="46">
        <f t="shared" si="93"/>
        <v>0</v>
      </c>
      <c r="J392" s="47">
        <v>0</v>
      </c>
      <c r="K392" s="46">
        <f t="shared" si="94"/>
        <v>0</v>
      </c>
      <c r="L392" s="47">
        <v>0</v>
      </c>
      <c r="AZ392" s="49"/>
      <c r="BC392" s="50"/>
    </row>
    <row r="393" spans="1:55" s="48" customFormat="1" ht="27.75" customHeight="1" outlineLevel="1" x14ac:dyDescent="0.25">
      <c r="A393" s="42">
        <v>11</v>
      </c>
      <c r="B393" s="43" t="s">
        <v>221</v>
      </c>
      <c r="C393" s="44" t="s">
        <v>93</v>
      </c>
      <c r="D393" s="45">
        <v>3</v>
      </c>
      <c r="E393" s="45">
        <v>6.4423999999999992</v>
      </c>
      <c r="F393" s="45">
        <f t="shared" si="90"/>
        <v>19.327199999999998</v>
      </c>
      <c r="G393" s="46">
        <f t="shared" si="91"/>
        <v>0</v>
      </c>
      <c r="H393" s="47">
        <f t="shared" si="92"/>
        <v>0</v>
      </c>
      <c r="I393" s="46">
        <f t="shared" si="93"/>
        <v>0</v>
      </c>
      <c r="J393" s="47">
        <v>0</v>
      </c>
      <c r="K393" s="46">
        <f t="shared" si="94"/>
        <v>0</v>
      </c>
      <c r="L393" s="47">
        <v>0</v>
      </c>
      <c r="AZ393" s="49"/>
      <c r="BC393" s="50"/>
    </row>
    <row r="394" spans="1:55" s="48" customFormat="1" ht="27.75" customHeight="1" outlineLevel="1" x14ac:dyDescent="0.25">
      <c r="A394" s="42">
        <v>12</v>
      </c>
      <c r="B394" s="43" t="s">
        <v>262</v>
      </c>
      <c r="C394" s="44" t="s">
        <v>93</v>
      </c>
      <c r="D394" s="45">
        <v>5</v>
      </c>
      <c r="E394" s="45">
        <v>201.04</v>
      </c>
      <c r="F394" s="45">
        <f t="shared" si="90"/>
        <v>1005.1999999999999</v>
      </c>
      <c r="G394" s="46">
        <f t="shared" si="91"/>
        <v>0</v>
      </c>
      <c r="H394" s="47">
        <f t="shared" si="92"/>
        <v>0</v>
      </c>
      <c r="I394" s="46">
        <f t="shared" si="93"/>
        <v>0</v>
      </c>
      <c r="J394" s="47">
        <v>0</v>
      </c>
      <c r="K394" s="46">
        <f t="shared" si="94"/>
        <v>0</v>
      </c>
      <c r="L394" s="47">
        <v>0</v>
      </c>
      <c r="AZ394" s="49"/>
      <c r="BC394" s="50"/>
    </row>
    <row r="395" spans="1:55" s="48" customFormat="1" ht="27.75" customHeight="1" outlineLevel="1" x14ac:dyDescent="0.25">
      <c r="A395" s="42">
        <v>13</v>
      </c>
      <c r="B395" s="43" t="s">
        <v>277</v>
      </c>
      <c r="C395" s="44" t="s">
        <v>93</v>
      </c>
      <c r="D395" s="45">
        <v>5</v>
      </c>
      <c r="E395" s="45">
        <v>765.1</v>
      </c>
      <c r="F395" s="45">
        <f t="shared" si="90"/>
        <v>3825.5</v>
      </c>
      <c r="G395" s="46">
        <f t="shared" si="91"/>
        <v>0</v>
      </c>
      <c r="H395" s="47">
        <f t="shared" si="92"/>
        <v>0</v>
      </c>
      <c r="I395" s="46">
        <f t="shared" si="93"/>
        <v>0</v>
      </c>
      <c r="J395" s="47">
        <v>0</v>
      </c>
      <c r="K395" s="46">
        <f t="shared" si="94"/>
        <v>0</v>
      </c>
      <c r="L395" s="47">
        <v>0</v>
      </c>
      <c r="AZ395" s="49"/>
      <c r="BC395" s="50"/>
    </row>
    <row r="396" spans="1:55" s="48" customFormat="1" ht="41.7" customHeight="1" outlineLevel="1" x14ac:dyDescent="0.25">
      <c r="A396" s="42">
        <v>14</v>
      </c>
      <c r="B396" s="43" t="s">
        <v>264</v>
      </c>
      <c r="C396" s="44" t="s">
        <v>93</v>
      </c>
      <c r="D396" s="45">
        <v>5</v>
      </c>
      <c r="E396" s="45">
        <v>17.0932</v>
      </c>
      <c r="F396" s="45">
        <f t="shared" si="90"/>
        <v>85.465999999999994</v>
      </c>
      <c r="G396" s="46">
        <f t="shared" si="91"/>
        <v>0</v>
      </c>
      <c r="H396" s="47">
        <f t="shared" si="92"/>
        <v>0</v>
      </c>
      <c r="I396" s="46">
        <f t="shared" si="93"/>
        <v>0</v>
      </c>
      <c r="J396" s="47">
        <v>0</v>
      </c>
      <c r="K396" s="46">
        <f t="shared" si="94"/>
        <v>0</v>
      </c>
      <c r="L396" s="47">
        <v>0</v>
      </c>
      <c r="AZ396" s="49"/>
      <c r="BC396" s="50"/>
    </row>
    <row r="397" spans="1:55" s="56" customFormat="1" ht="17.25" customHeight="1" x14ac:dyDescent="0.3">
      <c r="A397" s="62">
        <v>2.19</v>
      </c>
      <c r="B397" s="51" t="s">
        <v>278</v>
      </c>
      <c r="C397" s="52">
        <v>0</v>
      </c>
      <c r="D397" s="53"/>
      <c r="E397" s="53"/>
      <c r="F397" s="53"/>
      <c r="G397" s="54"/>
      <c r="H397" s="55"/>
      <c r="I397" s="54"/>
      <c r="J397" s="55"/>
      <c r="K397" s="54"/>
      <c r="L397" s="55">
        <v>0</v>
      </c>
      <c r="AZ397" s="57"/>
      <c r="BC397" s="58"/>
    </row>
    <row r="398" spans="1:55" s="48" customFormat="1" ht="27.75" customHeight="1" outlineLevel="1" x14ac:dyDescent="0.25">
      <c r="A398" s="42">
        <v>1</v>
      </c>
      <c r="B398" s="43" t="s">
        <v>279</v>
      </c>
      <c r="C398" s="44" t="s">
        <v>61</v>
      </c>
      <c r="D398" s="45">
        <v>320</v>
      </c>
      <c r="E398" s="45">
        <v>14.023</v>
      </c>
      <c r="F398" s="45">
        <f t="shared" ref="F398:F429" si="95">+E398*D398</f>
        <v>4487.3599999999997</v>
      </c>
      <c r="G398" s="46">
        <f t="shared" ref="G398:G429" si="96">I398+K398</f>
        <v>0</v>
      </c>
      <c r="H398" s="47">
        <f t="shared" ref="H398:H429" si="97">J398+L398</f>
        <v>0</v>
      </c>
      <c r="I398" s="46">
        <f t="shared" ref="I398:I429" si="98">J398/F398</f>
        <v>0</v>
      </c>
      <c r="J398" s="47">
        <v>0</v>
      </c>
      <c r="K398" s="46">
        <f t="shared" ref="K398:K429" si="99">L398/F398</f>
        <v>0</v>
      </c>
      <c r="L398" s="47">
        <v>0</v>
      </c>
      <c r="AZ398" s="49"/>
      <c r="BC398" s="50"/>
    </row>
    <row r="399" spans="1:55" s="48" customFormat="1" ht="27.75" customHeight="1" outlineLevel="1" x14ac:dyDescent="0.25">
      <c r="A399" s="42">
        <v>2</v>
      </c>
      <c r="B399" s="43" t="s">
        <v>280</v>
      </c>
      <c r="C399" s="44" t="s">
        <v>61</v>
      </c>
      <c r="D399" s="45">
        <v>320</v>
      </c>
      <c r="E399" s="45">
        <v>1.2403999999999999</v>
      </c>
      <c r="F399" s="45">
        <f t="shared" si="95"/>
        <v>396.928</v>
      </c>
      <c r="G399" s="46">
        <f t="shared" si="96"/>
        <v>0</v>
      </c>
      <c r="H399" s="47">
        <f t="shared" si="97"/>
        <v>0</v>
      </c>
      <c r="I399" s="46">
        <f t="shared" si="98"/>
        <v>0</v>
      </c>
      <c r="J399" s="47">
        <v>0</v>
      </c>
      <c r="K399" s="46">
        <f t="shared" si="99"/>
        <v>0</v>
      </c>
      <c r="L399" s="47">
        <v>0</v>
      </c>
      <c r="AZ399" s="49"/>
      <c r="BC399" s="50"/>
    </row>
    <row r="400" spans="1:55" s="48" customFormat="1" ht="27.75" customHeight="1" outlineLevel="1" x14ac:dyDescent="0.25">
      <c r="A400" s="42">
        <v>3</v>
      </c>
      <c r="B400" s="43" t="s">
        <v>281</v>
      </c>
      <c r="C400" s="44" t="s">
        <v>61</v>
      </c>
      <c r="D400" s="45">
        <v>120</v>
      </c>
      <c r="E400" s="45">
        <v>13.421200000000001</v>
      </c>
      <c r="F400" s="45">
        <f t="shared" si="95"/>
        <v>1610.5440000000001</v>
      </c>
      <c r="G400" s="46">
        <f t="shared" si="96"/>
        <v>0</v>
      </c>
      <c r="H400" s="47">
        <f t="shared" si="97"/>
        <v>0</v>
      </c>
      <c r="I400" s="46">
        <f t="shared" si="98"/>
        <v>0</v>
      </c>
      <c r="J400" s="47">
        <v>0</v>
      </c>
      <c r="K400" s="46">
        <f t="shared" si="99"/>
        <v>0</v>
      </c>
      <c r="L400" s="47">
        <v>0</v>
      </c>
      <c r="AZ400" s="49"/>
      <c r="BC400" s="50"/>
    </row>
    <row r="401" spans="1:55" s="48" customFormat="1" ht="27.75" customHeight="1" outlineLevel="1" x14ac:dyDescent="0.25">
      <c r="A401" s="42">
        <v>4</v>
      </c>
      <c r="B401" s="43" t="s">
        <v>282</v>
      </c>
      <c r="C401" s="44" t="s">
        <v>61</v>
      </c>
      <c r="D401" s="45">
        <v>120</v>
      </c>
      <c r="E401" s="45">
        <v>1.8728</v>
      </c>
      <c r="F401" s="45">
        <f t="shared" si="95"/>
        <v>224.73599999999999</v>
      </c>
      <c r="G401" s="46">
        <f t="shared" si="96"/>
        <v>0</v>
      </c>
      <c r="H401" s="47">
        <f t="shared" si="97"/>
        <v>0</v>
      </c>
      <c r="I401" s="46">
        <f t="shared" si="98"/>
        <v>0</v>
      </c>
      <c r="J401" s="47">
        <v>0</v>
      </c>
      <c r="K401" s="46">
        <f t="shared" si="99"/>
        <v>0</v>
      </c>
      <c r="L401" s="47">
        <v>0</v>
      </c>
      <c r="AZ401" s="49"/>
      <c r="BC401" s="50"/>
    </row>
    <row r="402" spans="1:55" s="59" customFormat="1" ht="27.75" customHeight="1" outlineLevel="1" x14ac:dyDescent="0.35">
      <c r="A402" s="42">
        <v>5</v>
      </c>
      <c r="B402" s="43" t="s">
        <v>283</v>
      </c>
      <c r="C402" s="44" t="s">
        <v>61</v>
      </c>
      <c r="D402" s="45">
        <v>75</v>
      </c>
      <c r="E402" s="45">
        <v>12.452199999999999</v>
      </c>
      <c r="F402" s="45">
        <f t="shared" si="95"/>
        <v>933.91499999999996</v>
      </c>
      <c r="G402" s="46">
        <f t="shared" si="96"/>
        <v>0</v>
      </c>
      <c r="H402" s="47">
        <f t="shared" si="97"/>
        <v>0</v>
      </c>
      <c r="I402" s="46">
        <f t="shared" si="98"/>
        <v>0</v>
      </c>
      <c r="J402" s="47">
        <v>0</v>
      </c>
      <c r="K402" s="46">
        <f t="shared" si="99"/>
        <v>0</v>
      </c>
      <c r="L402" s="47">
        <v>0</v>
      </c>
      <c r="AZ402" s="60"/>
      <c r="BC402" s="61"/>
    </row>
    <row r="403" spans="1:55" s="48" customFormat="1" ht="27.75" customHeight="1" outlineLevel="1" x14ac:dyDescent="0.25">
      <c r="A403" s="42">
        <v>6</v>
      </c>
      <c r="B403" s="43" t="s">
        <v>284</v>
      </c>
      <c r="C403" s="44" t="s">
        <v>61</v>
      </c>
      <c r="D403" s="45">
        <v>75</v>
      </c>
      <c r="E403" s="45">
        <v>2.8010000000000002</v>
      </c>
      <c r="F403" s="45">
        <f t="shared" si="95"/>
        <v>210.07500000000002</v>
      </c>
      <c r="G403" s="46">
        <f t="shared" si="96"/>
        <v>0</v>
      </c>
      <c r="H403" s="47">
        <f t="shared" si="97"/>
        <v>0</v>
      </c>
      <c r="I403" s="46">
        <f t="shared" si="98"/>
        <v>0</v>
      </c>
      <c r="J403" s="47">
        <v>0</v>
      </c>
      <c r="K403" s="46">
        <f t="shared" si="99"/>
        <v>0</v>
      </c>
      <c r="L403" s="47">
        <v>0</v>
      </c>
      <c r="AZ403" s="49"/>
      <c r="BC403" s="50"/>
    </row>
    <row r="404" spans="1:55" s="48" customFormat="1" ht="27.75" customHeight="1" outlineLevel="1" x14ac:dyDescent="0.25">
      <c r="A404" s="42">
        <v>7</v>
      </c>
      <c r="B404" s="43" t="s">
        <v>285</v>
      </c>
      <c r="C404" s="44" t="s">
        <v>61</v>
      </c>
      <c r="D404" s="45">
        <v>155</v>
      </c>
      <c r="E404" s="45">
        <v>10.606</v>
      </c>
      <c r="F404" s="45">
        <f t="shared" si="95"/>
        <v>1643.93</v>
      </c>
      <c r="G404" s="46">
        <f t="shared" si="96"/>
        <v>0</v>
      </c>
      <c r="H404" s="47">
        <f t="shared" si="97"/>
        <v>0</v>
      </c>
      <c r="I404" s="46">
        <f t="shared" si="98"/>
        <v>0</v>
      </c>
      <c r="J404" s="47">
        <v>0</v>
      </c>
      <c r="K404" s="46">
        <f t="shared" si="99"/>
        <v>0</v>
      </c>
      <c r="L404" s="47">
        <v>0</v>
      </c>
      <c r="AZ404" s="49"/>
      <c r="BC404" s="50"/>
    </row>
    <row r="405" spans="1:55" s="48" customFormat="1" ht="39.75" customHeight="1" outlineLevel="1" x14ac:dyDescent="0.25">
      <c r="A405" s="42">
        <v>8</v>
      </c>
      <c r="B405" s="43" t="s">
        <v>286</v>
      </c>
      <c r="C405" s="44" t="s">
        <v>61</v>
      </c>
      <c r="D405" s="45">
        <v>155</v>
      </c>
      <c r="E405" s="45">
        <v>4.2493999999999996</v>
      </c>
      <c r="F405" s="45">
        <f t="shared" si="95"/>
        <v>658.65699999999993</v>
      </c>
      <c r="G405" s="46">
        <f t="shared" si="96"/>
        <v>0</v>
      </c>
      <c r="H405" s="47">
        <f t="shared" si="97"/>
        <v>0</v>
      </c>
      <c r="I405" s="46">
        <f t="shared" si="98"/>
        <v>0</v>
      </c>
      <c r="J405" s="47">
        <v>0</v>
      </c>
      <c r="K405" s="46">
        <f t="shared" si="99"/>
        <v>0</v>
      </c>
      <c r="L405" s="47">
        <v>0</v>
      </c>
      <c r="AZ405" s="49"/>
      <c r="BC405" s="50"/>
    </row>
    <row r="406" spans="1:55" s="48" customFormat="1" ht="27.75" customHeight="1" outlineLevel="1" x14ac:dyDescent="0.25">
      <c r="A406" s="42">
        <v>9</v>
      </c>
      <c r="B406" s="43" t="s">
        <v>287</v>
      </c>
      <c r="C406" s="44" t="s">
        <v>61</v>
      </c>
      <c r="D406" s="45">
        <v>60</v>
      </c>
      <c r="E406" s="45">
        <v>11.738200000000001</v>
      </c>
      <c r="F406" s="45">
        <f t="shared" si="95"/>
        <v>704.29200000000003</v>
      </c>
      <c r="G406" s="46">
        <f t="shared" si="96"/>
        <v>0</v>
      </c>
      <c r="H406" s="47">
        <f t="shared" si="97"/>
        <v>0</v>
      </c>
      <c r="I406" s="46">
        <f t="shared" si="98"/>
        <v>0</v>
      </c>
      <c r="J406" s="47">
        <v>0</v>
      </c>
      <c r="K406" s="46">
        <f t="shared" si="99"/>
        <v>0</v>
      </c>
      <c r="L406" s="47">
        <v>0</v>
      </c>
      <c r="AZ406" s="49"/>
      <c r="BC406" s="50"/>
    </row>
    <row r="407" spans="1:55" s="48" customFormat="1" ht="27.75" customHeight="1" outlineLevel="1" x14ac:dyDescent="0.25">
      <c r="A407" s="42">
        <v>10</v>
      </c>
      <c r="B407" s="43" t="s">
        <v>288</v>
      </c>
      <c r="C407" s="44" t="s">
        <v>61</v>
      </c>
      <c r="D407" s="45">
        <v>60</v>
      </c>
      <c r="E407" s="45">
        <v>4.8817999999999993</v>
      </c>
      <c r="F407" s="45">
        <f t="shared" si="95"/>
        <v>292.90799999999996</v>
      </c>
      <c r="G407" s="46">
        <f t="shared" si="96"/>
        <v>0</v>
      </c>
      <c r="H407" s="47">
        <f t="shared" si="97"/>
        <v>0</v>
      </c>
      <c r="I407" s="46">
        <f t="shared" si="98"/>
        <v>0</v>
      </c>
      <c r="J407" s="47">
        <v>0</v>
      </c>
      <c r="K407" s="46">
        <f t="shared" si="99"/>
        <v>0</v>
      </c>
      <c r="L407" s="47">
        <v>0</v>
      </c>
      <c r="AZ407" s="49"/>
      <c r="BC407" s="50"/>
    </row>
    <row r="408" spans="1:55" s="59" customFormat="1" ht="27.75" customHeight="1" outlineLevel="1" x14ac:dyDescent="0.35">
      <c r="A408" s="42">
        <v>11</v>
      </c>
      <c r="B408" s="43" t="s">
        <v>289</v>
      </c>
      <c r="C408" s="44" t="s">
        <v>61</v>
      </c>
      <c r="D408" s="45">
        <v>85</v>
      </c>
      <c r="E408" s="45">
        <v>10.320399999999999</v>
      </c>
      <c r="F408" s="45">
        <f t="shared" si="95"/>
        <v>877.23399999999992</v>
      </c>
      <c r="G408" s="46">
        <f t="shared" si="96"/>
        <v>0</v>
      </c>
      <c r="H408" s="47">
        <f t="shared" si="97"/>
        <v>0</v>
      </c>
      <c r="I408" s="46">
        <f t="shared" si="98"/>
        <v>0</v>
      </c>
      <c r="J408" s="47">
        <v>0</v>
      </c>
      <c r="K408" s="46">
        <f t="shared" si="99"/>
        <v>0</v>
      </c>
      <c r="L408" s="47">
        <v>0</v>
      </c>
      <c r="AZ408" s="60"/>
      <c r="BC408" s="61"/>
    </row>
    <row r="409" spans="1:55" s="48" customFormat="1" ht="27.75" customHeight="1" outlineLevel="1" x14ac:dyDescent="0.25">
      <c r="A409" s="42">
        <v>12</v>
      </c>
      <c r="B409" s="43" t="s">
        <v>290</v>
      </c>
      <c r="C409" s="44" t="s">
        <v>61</v>
      </c>
      <c r="D409" s="45">
        <v>85</v>
      </c>
      <c r="E409" s="45">
        <v>15.428599999999999</v>
      </c>
      <c r="F409" s="45">
        <f t="shared" si="95"/>
        <v>1311.431</v>
      </c>
      <c r="G409" s="46">
        <f t="shared" si="96"/>
        <v>0</v>
      </c>
      <c r="H409" s="47">
        <f t="shared" si="97"/>
        <v>0</v>
      </c>
      <c r="I409" s="46">
        <f t="shared" si="98"/>
        <v>0</v>
      </c>
      <c r="J409" s="47">
        <v>0</v>
      </c>
      <c r="K409" s="46">
        <f t="shared" si="99"/>
        <v>0</v>
      </c>
      <c r="L409" s="47">
        <v>0</v>
      </c>
      <c r="AZ409" s="49"/>
      <c r="BC409" s="50"/>
    </row>
    <row r="410" spans="1:55" s="48" customFormat="1" ht="27.75" customHeight="1" outlineLevel="1" x14ac:dyDescent="0.25">
      <c r="A410" s="42">
        <v>13</v>
      </c>
      <c r="B410" s="43" t="s">
        <v>291</v>
      </c>
      <c r="C410" s="44" t="s">
        <v>61</v>
      </c>
      <c r="D410" s="45">
        <v>43</v>
      </c>
      <c r="E410" s="45">
        <v>16.246600000000001</v>
      </c>
      <c r="F410" s="45">
        <f t="shared" si="95"/>
        <v>698.60380000000009</v>
      </c>
      <c r="G410" s="46">
        <f t="shared" si="96"/>
        <v>0</v>
      </c>
      <c r="H410" s="47">
        <f t="shared" si="97"/>
        <v>0</v>
      </c>
      <c r="I410" s="46">
        <f t="shared" si="98"/>
        <v>0</v>
      </c>
      <c r="J410" s="47">
        <v>0</v>
      </c>
      <c r="K410" s="46">
        <f t="shared" si="99"/>
        <v>0</v>
      </c>
      <c r="L410" s="47">
        <v>0</v>
      </c>
      <c r="AZ410" s="49"/>
      <c r="BC410" s="50"/>
    </row>
    <row r="411" spans="1:55" s="48" customFormat="1" ht="27.75" customHeight="1" outlineLevel="1" x14ac:dyDescent="0.25">
      <c r="A411" s="42">
        <v>14</v>
      </c>
      <c r="B411" s="43" t="s">
        <v>292</v>
      </c>
      <c r="C411" s="44" t="s">
        <v>93</v>
      </c>
      <c r="D411" s="45">
        <v>43</v>
      </c>
      <c r="E411" s="45">
        <v>8.7476000000000003</v>
      </c>
      <c r="F411" s="45">
        <f t="shared" si="95"/>
        <v>376.14679999999998</v>
      </c>
      <c r="G411" s="46">
        <f t="shared" si="96"/>
        <v>0</v>
      </c>
      <c r="H411" s="47">
        <f t="shared" si="97"/>
        <v>0</v>
      </c>
      <c r="I411" s="46">
        <f t="shared" si="98"/>
        <v>0</v>
      </c>
      <c r="J411" s="47">
        <v>0</v>
      </c>
      <c r="K411" s="46">
        <f t="shared" si="99"/>
        <v>0</v>
      </c>
      <c r="L411" s="47">
        <v>0</v>
      </c>
      <c r="AZ411" s="49"/>
      <c r="BC411" s="50"/>
    </row>
    <row r="412" spans="1:55" s="48" customFormat="1" ht="15.45" customHeight="1" outlineLevel="1" x14ac:dyDescent="0.25">
      <c r="A412" s="42">
        <v>15</v>
      </c>
      <c r="B412" s="43" t="s">
        <v>293</v>
      </c>
      <c r="C412" s="44" t="s">
        <v>93</v>
      </c>
      <c r="D412" s="45">
        <v>3</v>
      </c>
      <c r="E412" s="45">
        <v>10</v>
      </c>
      <c r="F412" s="45">
        <f t="shared" si="95"/>
        <v>30</v>
      </c>
      <c r="G412" s="46">
        <f t="shared" si="96"/>
        <v>0</v>
      </c>
      <c r="H412" s="47">
        <f t="shared" si="97"/>
        <v>0</v>
      </c>
      <c r="I412" s="46">
        <f t="shared" si="98"/>
        <v>0</v>
      </c>
      <c r="J412" s="47">
        <v>0</v>
      </c>
      <c r="K412" s="46">
        <f t="shared" si="99"/>
        <v>0</v>
      </c>
      <c r="L412" s="47">
        <v>0</v>
      </c>
      <c r="AZ412" s="49"/>
      <c r="BC412" s="50"/>
    </row>
    <row r="413" spans="1:55" s="48" customFormat="1" ht="15.45" customHeight="1" outlineLevel="1" x14ac:dyDescent="0.25">
      <c r="A413" s="42">
        <v>16</v>
      </c>
      <c r="B413" s="43" t="s">
        <v>294</v>
      </c>
      <c r="C413" s="44" t="s">
        <v>93</v>
      </c>
      <c r="D413" s="45">
        <v>3</v>
      </c>
      <c r="E413" s="45">
        <v>12</v>
      </c>
      <c r="F413" s="45">
        <f t="shared" si="95"/>
        <v>36</v>
      </c>
      <c r="G413" s="46">
        <f t="shared" si="96"/>
        <v>0</v>
      </c>
      <c r="H413" s="47">
        <f t="shared" si="97"/>
        <v>0</v>
      </c>
      <c r="I413" s="46">
        <f t="shared" si="98"/>
        <v>0</v>
      </c>
      <c r="J413" s="47">
        <v>0</v>
      </c>
      <c r="K413" s="46">
        <f t="shared" si="99"/>
        <v>0</v>
      </c>
      <c r="L413" s="47">
        <v>0</v>
      </c>
      <c r="AZ413" s="49"/>
      <c r="BC413" s="50"/>
    </row>
    <row r="414" spans="1:55" s="48" customFormat="1" ht="15.45" customHeight="1" outlineLevel="1" x14ac:dyDescent="0.25">
      <c r="A414" s="42">
        <v>17</v>
      </c>
      <c r="B414" s="43" t="s">
        <v>295</v>
      </c>
      <c r="C414" s="44" t="s">
        <v>93</v>
      </c>
      <c r="D414" s="45">
        <v>9</v>
      </c>
      <c r="E414" s="45">
        <v>15</v>
      </c>
      <c r="F414" s="45">
        <f t="shared" si="95"/>
        <v>135</v>
      </c>
      <c r="G414" s="46">
        <f t="shared" si="96"/>
        <v>0</v>
      </c>
      <c r="H414" s="47">
        <f t="shared" si="97"/>
        <v>0</v>
      </c>
      <c r="I414" s="46">
        <f t="shared" si="98"/>
        <v>0</v>
      </c>
      <c r="J414" s="47">
        <v>0</v>
      </c>
      <c r="K414" s="46">
        <f t="shared" si="99"/>
        <v>0</v>
      </c>
      <c r="L414" s="47">
        <v>0</v>
      </c>
      <c r="AZ414" s="49"/>
      <c r="BC414" s="50"/>
    </row>
    <row r="415" spans="1:55" s="48" customFormat="1" ht="15.45" customHeight="1" outlineLevel="1" x14ac:dyDescent="0.25">
      <c r="A415" s="42">
        <v>18</v>
      </c>
      <c r="B415" s="43" t="s">
        <v>296</v>
      </c>
      <c r="C415" s="44" t="s">
        <v>93</v>
      </c>
      <c r="D415" s="45">
        <v>5</v>
      </c>
      <c r="E415" s="45">
        <v>18</v>
      </c>
      <c r="F415" s="45">
        <f t="shared" si="95"/>
        <v>90</v>
      </c>
      <c r="G415" s="46">
        <f t="shared" si="96"/>
        <v>0</v>
      </c>
      <c r="H415" s="47">
        <f t="shared" si="97"/>
        <v>0</v>
      </c>
      <c r="I415" s="46">
        <f t="shared" si="98"/>
        <v>0</v>
      </c>
      <c r="J415" s="47">
        <v>0</v>
      </c>
      <c r="K415" s="46">
        <f t="shared" si="99"/>
        <v>0</v>
      </c>
      <c r="L415" s="47">
        <v>0</v>
      </c>
      <c r="AZ415" s="49"/>
      <c r="BC415" s="50"/>
    </row>
    <row r="416" spans="1:55" s="48" customFormat="1" ht="15.45" customHeight="1" outlineLevel="1" x14ac:dyDescent="0.25">
      <c r="A416" s="42">
        <v>19</v>
      </c>
      <c r="B416" s="43" t="s">
        <v>297</v>
      </c>
      <c r="C416" s="44" t="s">
        <v>93</v>
      </c>
      <c r="D416" s="45">
        <v>6</v>
      </c>
      <c r="E416" s="45">
        <v>21</v>
      </c>
      <c r="F416" s="45">
        <f t="shared" si="95"/>
        <v>126</v>
      </c>
      <c r="G416" s="46">
        <f t="shared" si="96"/>
        <v>0</v>
      </c>
      <c r="H416" s="47">
        <f t="shared" si="97"/>
        <v>0</v>
      </c>
      <c r="I416" s="46">
        <f t="shared" si="98"/>
        <v>0</v>
      </c>
      <c r="J416" s="47">
        <v>0</v>
      </c>
      <c r="K416" s="46">
        <f t="shared" si="99"/>
        <v>0</v>
      </c>
      <c r="L416" s="47">
        <v>0</v>
      </c>
      <c r="AZ416" s="49"/>
      <c r="BC416" s="50"/>
    </row>
    <row r="417" spans="1:55" s="48" customFormat="1" ht="15.45" customHeight="1" outlineLevel="1" x14ac:dyDescent="0.25">
      <c r="A417" s="42">
        <v>20</v>
      </c>
      <c r="B417" s="43" t="s">
        <v>298</v>
      </c>
      <c r="C417" s="44" t="s">
        <v>93</v>
      </c>
      <c r="D417" s="45">
        <v>5</v>
      </c>
      <c r="E417" s="45">
        <v>25</v>
      </c>
      <c r="F417" s="45">
        <f t="shared" si="95"/>
        <v>125</v>
      </c>
      <c r="G417" s="46">
        <f t="shared" si="96"/>
        <v>0</v>
      </c>
      <c r="H417" s="47">
        <f t="shared" si="97"/>
        <v>0</v>
      </c>
      <c r="I417" s="46">
        <f t="shared" si="98"/>
        <v>0</v>
      </c>
      <c r="J417" s="47">
        <v>0</v>
      </c>
      <c r="K417" s="46">
        <f t="shared" si="99"/>
        <v>0</v>
      </c>
      <c r="L417" s="47">
        <v>0</v>
      </c>
      <c r="AZ417" s="49"/>
      <c r="BC417" s="50"/>
    </row>
    <row r="418" spans="1:55" s="48" customFormat="1" ht="15.45" customHeight="1" outlineLevel="1" x14ac:dyDescent="0.25">
      <c r="A418" s="42">
        <v>21</v>
      </c>
      <c r="B418" s="43" t="s">
        <v>299</v>
      </c>
      <c r="C418" s="44" t="s">
        <v>93</v>
      </c>
      <c r="D418" s="45">
        <v>9</v>
      </c>
      <c r="E418" s="45">
        <v>29</v>
      </c>
      <c r="F418" s="45">
        <f t="shared" si="95"/>
        <v>261</v>
      </c>
      <c r="G418" s="46">
        <f t="shared" si="96"/>
        <v>0</v>
      </c>
      <c r="H418" s="47">
        <f t="shared" si="97"/>
        <v>0</v>
      </c>
      <c r="I418" s="46">
        <f t="shared" si="98"/>
        <v>0</v>
      </c>
      <c r="J418" s="47">
        <v>0</v>
      </c>
      <c r="K418" s="46">
        <f t="shared" si="99"/>
        <v>0</v>
      </c>
      <c r="L418" s="47">
        <v>0</v>
      </c>
      <c r="AZ418" s="49"/>
      <c r="BC418" s="50"/>
    </row>
    <row r="419" spans="1:55" s="48" customFormat="1" ht="15.45" customHeight="1" outlineLevel="1" x14ac:dyDescent="0.25">
      <c r="A419" s="42">
        <v>22</v>
      </c>
      <c r="B419" s="43" t="s">
        <v>300</v>
      </c>
      <c r="C419" s="44" t="s">
        <v>93</v>
      </c>
      <c r="D419" s="45">
        <v>5</v>
      </c>
      <c r="E419" s="45">
        <v>31</v>
      </c>
      <c r="F419" s="45">
        <f t="shared" si="95"/>
        <v>155</v>
      </c>
      <c r="G419" s="46">
        <f t="shared" si="96"/>
        <v>0</v>
      </c>
      <c r="H419" s="47">
        <f t="shared" si="97"/>
        <v>0</v>
      </c>
      <c r="I419" s="46">
        <f t="shared" si="98"/>
        <v>0</v>
      </c>
      <c r="J419" s="47">
        <v>0</v>
      </c>
      <c r="K419" s="46">
        <f t="shared" si="99"/>
        <v>0</v>
      </c>
      <c r="L419" s="47">
        <v>0</v>
      </c>
      <c r="AZ419" s="49"/>
      <c r="BC419" s="50"/>
    </row>
    <row r="420" spans="1:55" s="48" customFormat="1" ht="15.45" customHeight="1" outlineLevel="1" x14ac:dyDescent="0.25">
      <c r="A420" s="42">
        <v>23</v>
      </c>
      <c r="B420" s="43" t="s">
        <v>301</v>
      </c>
      <c r="C420" s="44" t="s">
        <v>93</v>
      </c>
      <c r="D420" s="45">
        <v>3</v>
      </c>
      <c r="E420" s="45">
        <v>36</v>
      </c>
      <c r="F420" s="45">
        <f t="shared" si="95"/>
        <v>108</v>
      </c>
      <c r="G420" s="46">
        <f t="shared" si="96"/>
        <v>0</v>
      </c>
      <c r="H420" s="47">
        <f t="shared" si="97"/>
        <v>0</v>
      </c>
      <c r="I420" s="46">
        <f t="shared" si="98"/>
        <v>0</v>
      </c>
      <c r="J420" s="47">
        <v>0</v>
      </c>
      <c r="K420" s="46">
        <f t="shared" si="99"/>
        <v>0</v>
      </c>
      <c r="L420" s="47">
        <v>0</v>
      </c>
      <c r="AZ420" s="49"/>
      <c r="BC420" s="50"/>
    </row>
    <row r="421" spans="1:55" s="48" customFormat="1" ht="15.45" customHeight="1" outlineLevel="1" x14ac:dyDescent="0.25">
      <c r="A421" s="42">
        <v>24</v>
      </c>
      <c r="B421" s="43" t="s">
        <v>302</v>
      </c>
      <c r="C421" s="44" t="s">
        <v>93</v>
      </c>
      <c r="D421" s="45">
        <v>1</v>
      </c>
      <c r="E421" s="45">
        <v>39</v>
      </c>
      <c r="F421" s="45">
        <f t="shared" si="95"/>
        <v>39</v>
      </c>
      <c r="G421" s="46">
        <f t="shared" si="96"/>
        <v>0</v>
      </c>
      <c r="H421" s="47">
        <f t="shared" si="97"/>
        <v>0</v>
      </c>
      <c r="I421" s="46">
        <f t="shared" si="98"/>
        <v>0</v>
      </c>
      <c r="J421" s="47">
        <v>0</v>
      </c>
      <c r="K421" s="46">
        <f t="shared" si="99"/>
        <v>0</v>
      </c>
      <c r="L421" s="47">
        <v>0</v>
      </c>
      <c r="AZ421" s="49"/>
      <c r="BC421" s="50"/>
    </row>
    <row r="422" spans="1:55" s="48" customFormat="1" ht="15.45" customHeight="1" outlineLevel="1" x14ac:dyDescent="0.25">
      <c r="A422" s="42">
        <v>25</v>
      </c>
      <c r="B422" s="43" t="s">
        <v>303</v>
      </c>
      <c r="C422" s="44" t="s">
        <v>93</v>
      </c>
      <c r="D422" s="45">
        <v>3</v>
      </c>
      <c r="E422" s="45">
        <v>44</v>
      </c>
      <c r="F422" s="45">
        <f t="shared" si="95"/>
        <v>132</v>
      </c>
      <c r="G422" s="46">
        <f t="shared" si="96"/>
        <v>0</v>
      </c>
      <c r="H422" s="47">
        <f t="shared" si="97"/>
        <v>0</v>
      </c>
      <c r="I422" s="46">
        <f t="shared" si="98"/>
        <v>0</v>
      </c>
      <c r="J422" s="47">
        <v>0</v>
      </c>
      <c r="K422" s="46">
        <f t="shared" si="99"/>
        <v>0</v>
      </c>
      <c r="L422" s="47">
        <v>0</v>
      </c>
      <c r="AZ422" s="49"/>
      <c r="BC422" s="50"/>
    </row>
    <row r="423" spans="1:55" s="48" customFormat="1" ht="15.45" customHeight="1" outlineLevel="1" x14ac:dyDescent="0.25">
      <c r="A423" s="42">
        <v>26</v>
      </c>
      <c r="B423" s="43" t="s">
        <v>304</v>
      </c>
      <c r="C423" s="44" t="s">
        <v>93</v>
      </c>
      <c r="D423" s="45">
        <v>2</v>
      </c>
      <c r="E423" s="45">
        <v>46</v>
      </c>
      <c r="F423" s="45">
        <f t="shared" si="95"/>
        <v>92</v>
      </c>
      <c r="G423" s="46">
        <f t="shared" si="96"/>
        <v>0</v>
      </c>
      <c r="H423" s="47">
        <f t="shared" si="97"/>
        <v>0</v>
      </c>
      <c r="I423" s="46">
        <f t="shared" si="98"/>
        <v>0</v>
      </c>
      <c r="J423" s="47">
        <v>0</v>
      </c>
      <c r="K423" s="46">
        <f t="shared" si="99"/>
        <v>0</v>
      </c>
      <c r="L423" s="47">
        <v>0</v>
      </c>
      <c r="AZ423" s="49"/>
      <c r="BC423" s="50"/>
    </row>
    <row r="424" spans="1:55" s="48" customFormat="1" ht="15.45" customHeight="1" outlineLevel="1" x14ac:dyDescent="0.25">
      <c r="A424" s="42">
        <v>27</v>
      </c>
      <c r="B424" s="43" t="s">
        <v>305</v>
      </c>
      <c r="C424" s="44" t="s">
        <v>93</v>
      </c>
      <c r="D424" s="45">
        <v>464</v>
      </c>
      <c r="E424" s="45">
        <v>17.100000000000001</v>
      </c>
      <c r="F424" s="45">
        <f t="shared" si="95"/>
        <v>7934.4000000000005</v>
      </c>
      <c r="G424" s="46">
        <f t="shared" si="96"/>
        <v>0</v>
      </c>
      <c r="H424" s="47">
        <f t="shared" si="97"/>
        <v>0</v>
      </c>
      <c r="I424" s="46">
        <f t="shared" si="98"/>
        <v>0</v>
      </c>
      <c r="J424" s="47">
        <v>0</v>
      </c>
      <c r="K424" s="46">
        <f t="shared" si="99"/>
        <v>0</v>
      </c>
      <c r="L424" s="47">
        <v>0</v>
      </c>
      <c r="AZ424" s="49"/>
      <c r="BC424" s="50"/>
    </row>
    <row r="425" spans="1:55" s="48" customFormat="1" ht="27.75" customHeight="1" outlineLevel="1" x14ac:dyDescent="0.25">
      <c r="A425" s="42">
        <v>28</v>
      </c>
      <c r="B425" s="43" t="s">
        <v>306</v>
      </c>
      <c r="C425" s="44" t="s">
        <v>93</v>
      </c>
      <c r="D425" s="45">
        <v>4</v>
      </c>
      <c r="E425" s="45">
        <v>140</v>
      </c>
      <c r="F425" s="45">
        <f t="shared" si="95"/>
        <v>560</v>
      </c>
      <c r="G425" s="46">
        <f t="shared" si="96"/>
        <v>0</v>
      </c>
      <c r="H425" s="47">
        <f t="shared" si="97"/>
        <v>0</v>
      </c>
      <c r="I425" s="46">
        <f t="shared" si="98"/>
        <v>0</v>
      </c>
      <c r="J425" s="47">
        <v>0</v>
      </c>
      <c r="K425" s="46">
        <f t="shared" si="99"/>
        <v>0</v>
      </c>
      <c r="L425" s="47">
        <v>0</v>
      </c>
      <c r="AZ425" s="49"/>
      <c r="BC425" s="50"/>
    </row>
    <row r="426" spans="1:55" s="48" customFormat="1" ht="27.75" customHeight="1" outlineLevel="1" x14ac:dyDescent="0.25">
      <c r="A426" s="42">
        <v>29</v>
      </c>
      <c r="B426" s="43" t="s">
        <v>307</v>
      </c>
      <c r="C426" s="44" t="s">
        <v>93</v>
      </c>
      <c r="D426" s="45">
        <v>4</v>
      </c>
      <c r="E426" s="45">
        <v>324.32540000000012</v>
      </c>
      <c r="F426" s="45">
        <f t="shared" si="95"/>
        <v>1297.3016000000005</v>
      </c>
      <c r="G426" s="46">
        <f t="shared" si="96"/>
        <v>0</v>
      </c>
      <c r="H426" s="47">
        <f t="shared" si="97"/>
        <v>0</v>
      </c>
      <c r="I426" s="46">
        <f t="shared" si="98"/>
        <v>0</v>
      </c>
      <c r="J426" s="47">
        <v>0</v>
      </c>
      <c r="K426" s="46">
        <f t="shared" si="99"/>
        <v>0</v>
      </c>
      <c r="L426" s="47">
        <v>0</v>
      </c>
      <c r="AZ426" s="49"/>
      <c r="BC426" s="50"/>
    </row>
    <row r="427" spans="1:55" s="48" customFormat="1" ht="15.45" customHeight="1" outlineLevel="1" x14ac:dyDescent="0.25">
      <c r="A427" s="42">
        <v>30</v>
      </c>
      <c r="B427" s="43" t="s">
        <v>308</v>
      </c>
      <c r="C427" s="44" t="s">
        <v>93</v>
      </c>
      <c r="D427" s="45">
        <v>54</v>
      </c>
      <c r="E427" s="45">
        <v>11.1</v>
      </c>
      <c r="F427" s="45">
        <f t="shared" si="95"/>
        <v>599.4</v>
      </c>
      <c r="G427" s="46">
        <f t="shared" si="96"/>
        <v>0</v>
      </c>
      <c r="H427" s="47">
        <f t="shared" si="97"/>
        <v>0</v>
      </c>
      <c r="I427" s="46">
        <f t="shared" si="98"/>
        <v>0</v>
      </c>
      <c r="J427" s="47">
        <v>0</v>
      </c>
      <c r="K427" s="46">
        <f t="shared" si="99"/>
        <v>0</v>
      </c>
      <c r="L427" s="47">
        <v>0</v>
      </c>
      <c r="AZ427" s="49"/>
      <c r="BC427" s="50"/>
    </row>
    <row r="428" spans="1:55" s="48" customFormat="1" ht="15.45" customHeight="1" outlineLevel="1" x14ac:dyDescent="0.25">
      <c r="A428" s="42">
        <v>31</v>
      </c>
      <c r="B428" s="43" t="s">
        <v>309</v>
      </c>
      <c r="C428" s="44" t="s">
        <v>234</v>
      </c>
      <c r="D428" s="45">
        <v>28</v>
      </c>
      <c r="E428" s="45">
        <v>1.8952</v>
      </c>
      <c r="F428" s="45">
        <f t="shared" si="95"/>
        <v>53.065600000000003</v>
      </c>
      <c r="G428" s="46">
        <f t="shared" si="96"/>
        <v>0</v>
      </c>
      <c r="H428" s="47">
        <f t="shared" si="97"/>
        <v>0</v>
      </c>
      <c r="I428" s="46">
        <f t="shared" si="98"/>
        <v>0</v>
      </c>
      <c r="J428" s="47">
        <v>0</v>
      </c>
      <c r="K428" s="46">
        <f t="shared" si="99"/>
        <v>0</v>
      </c>
      <c r="L428" s="47">
        <v>0</v>
      </c>
      <c r="AZ428" s="49"/>
      <c r="BC428" s="50"/>
    </row>
    <row r="429" spans="1:55" s="48" customFormat="1" ht="15.45" customHeight="1" outlineLevel="1" x14ac:dyDescent="0.25">
      <c r="A429" s="42">
        <v>32</v>
      </c>
      <c r="B429" s="43" t="s">
        <v>310</v>
      </c>
      <c r="C429" s="44" t="s">
        <v>93</v>
      </c>
      <c r="D429" s="45">
        <v>28</v>
      </c>
      <c r="E429" s="45">
        <v>9.1</v>
      </c>
      <c r="F429" s="45">
        <f t="shared" si="95"/>
        <v>254.79999999999998</v>
      </c>
      <c r="G429" s="46">
        <f t="shared" si="96"/>
        <v>0</v>
      </c>
      <c r="H429" s="47">
        <f t="shared" si="97"/>
        <v>0</v>
      </c>
      <c r="I429" s="46">
        <f t="shared" si="98"/>
        <v>0</v>
      </c>
      <c r="J429" s="47">
        <v>0</v>
      </c>
      <c r="K429" s="46">
        <f t="shared" si="99"/>
        <v>0</v>
      </c>
      <c r="L429" s="47">
        <v>0</v>
      </c>
      <c r="AZ429" s="49"/>
      <c r="BC429" s="50"/>
    </row>
    <row r="430" spans="1:55" s="48" customFormat="1" ht="15.45" customHeight="1" outlineLevel="1" x14ac:dyDescent="0.25">
      <c r="A430" s="42">
        <v>33</v>
      </c>
      <c r="B430" s="43" t="s">
        <v>311</v>
      </c>
      <c r="C430" s="44" t="s">
        <v>93</v>
      </c>
      <c r="D430" s="45">
        <v>10</v>
      </c>
      <c r="E430" s="45">
        <v>23.060199999999998</v>
      </c>
      <c r="F430" s="45">
        <f t="shared" ref="F430:F461" si="100">+E430*D430</f>
        <v>230.60199999999998</v>
      </c>
      <c r="G430" s="46">
        <f t="shared" ref="G430:G447" si="101">I430+K430</f>
        <v>0</v>
      </c>
      <c r="H430" s="47">
        <f t="shared" ref="H430:H447" si="102">J430+L430</f>
        <v>0</v>
      </c>
      <c r="I430" s="46">
        <f t="shared" ref="I430:I461" si="103">J430/F430</f>
        <v>0</v>
      </c>
      <c r="J430" s="47">
        <v>0</v>
      </c>
      <c r="K430" s="46">
        <f t="shared" ref="K430:K461" si="104">L430/F430</f>
        <v>0</v>
      </c>
      <c r="L430" s="47">
        <v>0</v>
      </c>
      <c r="AZ430" s="49"/>
      <c r="BC430" s="50"/>
    </row>
    <row r="431" spans="1:55" s="48" customFormat="1" ht="15.45" customHeight="1" outlineLevel="1" x14ac:dyDescent="0.25">
      <c r="A431" s="42">
        <v>34</v>
      </c>
      <c r="B431" s="43" t="s">
        <v>312</v>
      </c>
      <c r="C431" s="44" t="s">
        <v>93</v>
      </c>
      <c r="D431" s="45">
        <v>10</v>
      </c>
      <c r="E431" s="45">
        <v>0.1</v>
      </c>
      <c r="F431" s="45">
        <f t="shared" si="100"/>
        <v>1</v>
      </c>
      <c r="G431" s="46">
        <f t="shared" si="101"/>
        <v>0</v>
      </c>
      <c r="H431" s="47">
        <f t="shared" si="102"/>
        <v>0</v>
      </c>
      <c r="I431" s="46">
        <f t="shared" si="103"/>
        <v>0</v>
      </c>
      <c r="J431" s="47">
        <v>0</v>
      </c>
      <c r="K431" s="46">
        <f t="shared" si="104"/>
        <v>0</v>
      </c>
      <c r="L431" s="47">
        <v>0</v>
      </c>
      <c r="AZ431" s="49"/>
      <c r="BC431" s="50"/>
    </row>
    <row r="432" spans="1:55" s="48" customFormat="1" ht="27.75" customHeight="1" outlineLevel="1" x14ac:dyDescent="0.25">
      <c r="A432" s="42">
        <v>35</v>
      </c>
      <c r="B432" s="43" t="s">
        <v>207</v>
      </c>
      <c r="C432" s="44" t="s">
        <v>93</v>
      </c>
      <c r="D432" s="45">
        <v>20</v>
      </c>
      <c r="E432" s="45">
        <v>3.3212000000000002</v>
      </c>
      <c r="F432" s="45">
        <f t="shared" si="100"/>
        <v>66.424000000000007</v>
      </c>
      <c r="G432" s="46">
        <f t="shared" si="101"/>
        <v>0</v>
      </c>
      <c r="H432" s="47">
        <f t="shared" si="102"/>
        <v>0</v>
      </c>
      <c r="I432" s="46">
        <f t="shared" si="103"/>
        <v>0</v>
      </c>
      <c r="J432" s="47">
        <v>0</v>
      </c>
      <c r="K432" s="46">
        <f t="shared" si="104"/>
        <v>0</v>
      </c>
      <c r="L432" s="47">
        <v>0</v>
      </c>
      <c r="AZ432" s="49"/>
      <c r="BC432" s="50"/>
    </row>
    <row r="433" spans="1:55" s="48" customFormat="1" ht="15.45" customHeight="1" outlineLevel="1" x14ac:dyDescent="0.25">
      <c r="A433" s="42">
        <v>36</v>
      </c>
      <c r="B433" s="43" t="s">
        <v>313</v>
      </c>
      <c r="C433" s="44" t="s">
        <v>93</v>
      </c>
      <c r="D433" s="45">
        <v>4</v>
      </c>
      <c r="E433" s="45">
        <v>4.8817999999999993</v>
      </c>
      <c r="F433" s="45">
        <f t="shared" si="100"/>
        <v>19.527199999999997</v>
      </c>
      <c r="G433" s="46">
        <f t="shared" si="101"/>
        <v>0</v>
      </c>
      <c r="H433" s="47">
        <f t="shared" si="102"/>
        <v>0</v>
      </c>
      <c r="I433" s="46">
        <f t="shared" si="103"/>
        <v>0</v>
      </c>
      <c r="J433" s="47">
        <v>0</v>
      </c>
      <c r="K433" s="46">
        <f t="shared" si="104"/>
        <v>0</v>
      </c>
      <c r="L433" s="47">
        <v>0</v>
      </c>
      <c r="AZ433" s="49"/>
      <c r="BC433" s="50"/>
    </row>
    <row r="434" spans="1:55" s="48" customFormat="1" ht="27.75" customHeight="1" outlineLevel="1" x14ac:dyDescent="0.25">
      <c r="A434" s="42">
        <v>37</v>
      </c>
      <c r="B434" s="43" t="s">
        <v>221</v>
      </c>
      <c r="C434" s="44" t="s">
        <v>93</v>
      </c>
      <c r="D434" s="45">
        <v>14</v>
      </c>
      <c r="E434" s="45">
        <v>6.4423999999999992</v>
      </c>
      <c r="F434" s="45">
        <f t="shared" si="100"/>
        <v>90.193599999999989</v>
      </c>
      <c r="G434" s="46">
        <f t="shared" si="101"/>
        <v>0</v>
      </c>
      <c r="H434" s="47">
        <f t="shared" si="102"/>
        <v>0</v>
      </c>
      <c r="I434" s="46">
        <f t="shared" si="103"/>
        <v>0</v>
      </c>
      <c r="J434" s="47">
        <v>0</v>
      </c>
      <c r="K434" s="46">
        <f t="shared" si="104"/>
        <v>0</v>
      </c>
      <c r="L434" s="47">
        <v>0</v>
      </c>
      <c r="AZ434" s="49"/>
      <c r="BC434" s="50"/>
    </row>
    <row r="435" spans="1:55" s="48" customFormat="1" ht="27.75" customHeight="1" outlineLevel="1" x14ac:dyDescent="0.25">
      <c r="A435" s="42">
        <v>38</v>
      </c>
      <c r="B435" s="43" t="s">
        <v>231</v>
      </c>
      <c r="C435" s="44" t="s">
        <v>93</v>
      </c>
      <c r="D435" s="45">
        <v>2</v>
      </c>
      <c r="E435" s="45">
        <v>8.5231999999999992</v>
      </c>
      <c r="F435" s="45">
        <f t="shared" si="100"/>
        <v>17.046399999999998</v>
      </c>
      <c r="G435" s="46">
        <f t="shared" si="101"/>
        <v>0</v>
      </c>
      <c r="H435" s="47">
        <f t="shared" si="102"/>
        <v>0</v>
      </c>
      <c r="I435" s="46">
        <f t="shared" si="103"/>
        <v>0</v>
      </c>
      <c r="J435" s="47">
        <v>0</v>
      </c>
      <c r="K435" s="46">
        <f t="shared" si="104"/>
        <v>0</v>
      </c>
      <c r="L435" s="47">
        <v>0</v>
      </c>
      <c r="AZ435" s="49"/>
      <c r="BC435" s="50"/>
    </row>
    <row r="436" spans="1:55" s="48" customFormat="1" ht="15.45" customHeight="1" outlineLevel="1" x14ac:dyDescent="0.25">
      <c r="A436" s="42">
        <v>39</v>
      </c>
      <c r="B436" s="43" t="s">
        <v>314</v>
      </c>
      <c r="C436" s="44" t="s">
        <v>93</v>
      </c>
      <c r="D436" s="45">
        <v>2</v>
      </c>
      <c r="E436" s="45">
        <v>10.0838</v>
      </c>
      <c r="F436" s="45">
        <f t="shared" si="100"/>
        <v>20.1676</v>
      </c>
      <c r="G436" s="46">
        <f t="shared" si="101"/>
        <v>0</v>
      </c>
      <c r="H436" s="47">
        <f t="shared" si="102"/>
        <v>0</v>
      </c>
      <c r="I436" s="46">
        <f t="shared" si="103"/>
        <v>0</v>
      </c>
      <c r="J436" s="47">
        <v>0</v>
      </c>
      <c r="K436" s="46">
        <f t="shared" si="104"/>
        <v>0</v>
      </c>
      <c r="L436" s="47">
        <v>0</v>
      </c>
      <c r="AZ436" s="49"/>
      <c r="BC436" s="50"/>
    </row>
    <row r="437" spans="1:55" s="48" customFormat="1" ht="15.45" customHeight="1" outlineLevel="1" x14ac:dyDescent="0.25">
      <c r="A437" s="42">
        <v>40</v>
      </c>
      <c r="B437" s="43" t="s">
        <v>315</v>
      </c>
      <c r="C437" s="44" t="s">
        <v>93</v>
      </c>
      <c r="D437" s="45">
        <v>5</v>
      </c>
      <c r="E437" s="45">
        <v>11.644399999999999</v>
      </c>
      <c r="F437" s="45">
        <f t="shared" si="100"/>
        <v>58.221999999999994</v>
      </c>
      <c r="G437" s="46">
        <f t="shared" si="101"/>
        <v>0</v>
      </c>
      <c r="H437" s="47">
        <f t="shared" si="102"/>
        <v>0</v>
      </c>
      <c r="I437" s="46">
        <f t="shared" si="103"/>
        <v>0</v>
      </c>
      <c r="J437" s="47">
        <v>0</v>
      </c>
      <c r="K437" s="46">
        <f t="shared" si="104"/>
        <v>0</v>
      </c>
      <c r="L437" s="47">
        <v>0</v>
      </c>
      <c r="AZ437" s="49"/>
      <c r="BC437" s="50"/>
    </row>
    <row r="438" spans="1:55" s="48" customFormat="1" ht="15.45" customHeight="1" outlineLevel="1" x14ac:dyDescent="0.25">
      <c r="A438" s="42">
        <v>41</v>
      </c>
      <c r="B438" s="43" t="s">
        <v>316</v>
      </c>
      <c r="C438" s="44" t="s">
        <v>93</v>
      </c>
      <c r="D438" s="45">
        <v>1</v>
      </c>
      <c r="E438" s="45">
        <v>695.13819999999998</v>
      </c>
      <c r="F438" s="45">
        <f t="shared" si="100"/>
        <v>695.13819999999998</v>
      </c>
      <c r="G438" s="46">
        <f t="shared" si="101"/>
        <v>0</v>
      </c>
      <c r="H438" s="47">
        <f t="shared" si="102"/>
        <v>0</v>
      </c>
      <c r="I438" s="46">
        <f t="shared" si="103"/>
        <v>0</v>
      </c>
      <c r="J438" s="47">
        <v>0</v>
      </c>
      <c r="K438" s="46">
        <f t="shared" si="104"/>
        <v>0</v>
      </c>
      <c r="L438" s="47">
        <v>0</v>
      </c>
      <c r="AZ438" s="49"/>
      <c r="BC438" s="50"/>
    </row>
    <row r="439" spans="1:55" s="48" customFormat="1" ht="15.45" customHeight="1" outlineLevel="1" x14ac:dyDescent="0.25">
      <c r="A439" s="42">
        <v>42</v>
      </c>
      <c r="B439" s="43" t="s">
        <v>317</v>
      </c>
      <c r="C439" s="44" t="s">
        <v>93</v>
      </c>
      <c r="D439" s="45">
        <v>4</v>
      </c>
      <c r="E439" s="45">
        <v>640.50700000000006</v>
      </c>
      <c r="F439" s="45">
        <f t="shared" si="100"/>
        <v>2562.0280000000002</v>
      </c>
      <c r="G439" s="46">
        <f t="shared" si="101"/>
        <v>0</v>
      </c>
      <c r="H439" s="47">
        <f t="shared" si="102"/>
        <v>0</v>
      </c>
      <c r="I439" s="46">
        <f t="shared" si="103"/>
        <v>0</v>
      </c>
      <c r="J439" s="47">
        <v>0</v>
      </c>
      <c r="K439" s="46">
        <f t="shared" si="104"/>
        <v>0</v>
      </c>
      <c r="L439" s="47">
        <v>0</v>
      </c>
      <c r="AZ439" s="49"/>
      <c r="BC439" s="50"/>
    </row>
    <row r="440" spans="1:55" s="48" customFormat="1" ht="27.75" customHeight="1" outlineLevel="1" x14ac:dyDescent="0.25">
      <c r="A440" s="42">
        <v>43</v>
      </c>
      <c r="B440" s="43" t="s">
        <v>318</v>
      </c>
      <c r="C440" s="44" t="s">
        <v>93</v>
      </c>
      <c r="D440" s="45">
        <v>4</v>
      </c>
      <c r="E440" s="45">
        <v>35.137</v>
      </c>
      <c r="F440" s="45">
        <f t="shared" si="100"/>
        <v>140.548</v>
      </c>
      <c r="G440" s="46">
        <f t="shared" si="101"/>
        <v>0</v>
      </c>
      <c r="H440" s="47">
        <f t="shared" si="102"/>
        <v>0</v>
      </c>
      <c r="I440" s="46">
        <f t="shared" si="103"/>
        <v>0</v>
      </c>
      <c r="J440" s="47">
        <v>0</v>
      </c>
      <c r="K440" s="46">
        <f t="shared" si="104"/>
        <v>0</v>
      </c>
      <c r="L440" s="47">
        <v>0</v>
      </c>
      <c r="AZ440" s="49"/>
      <c r="BC440" s="50"/>
    </row>
    <row r="441" spans="1:55" s="48" customFormat="1" ht="27.75" customHeight="1" outlineLevel="1" x14ac:dyDescent="0.25">
      <c r="A441" s="42">
        <v>44</v>
      </c>
      <c r="B441" s="43" t="s">
        <v>319</v>
      </c>
      <c r="C441" s="44" t="s">
        <v>93</v>
      </c>
      <c r="D441" s="45">
        <v>4</v>
      </c>
      <c r="E441" s="45">
        <v>350.1</v>
      </c>
      <c r="F441" s="45">
        <f t="shared" si="100"/>
        <v>1400.4</v>
      </c>
      <c r="G441" s="46">
        <f t="shared" si="101"/>
        <v>0</v>
      </c>
      <c r="H441" s="47">
        <f t="shared" si="102"/>
        <v>0</v>
      </c>
      <c r="I441" s="46">
        <f t="shared" si="103"/>
        <v>0</v>
      </c>
      <c r="J441" s="47">
        <v>0</v>
      </c>
      <c r="K441" s="46">
        <f t="shared" si="104"/>
        <v>0</v>
      </c>
      <c r="L441" s="47">
        <v>0</v>
      </c>
      <c r="AZ441" s="49"/>
      <c r="BC441" s="50"/>
    </row>
    <row r="442" spans="1:55" s="48" customFormat="1" ht="15.45" customHeight="1" outlineLevel="1" x14ac:dyDescent="0.25">
      <c r="A442" s="42">
        <v>45</v>
      </c>
      <c r="B442" s="43" t="s">
        <v>320</v>
      </c>
      <c r="C442" s="44" t="s">
        <v>93</v>
      </c>
      <c r="D442" s="45">
        <v>55</v>
      </c>
      <c r="E442" s="45">
        <v>30.1</v>
      </c>
      <c r="F442" s="45">
        <f t="shared" si="100"/>
        <v>1655.5</v>
      </c>
      <c r="G442" s="46">
        <f t="shared" si="101"/>
        <v>0</v>
      </c>
      <c r="H442" s="47">
        <f t="shared" si="102"/>
        <v>0</v>
      </c>
      <c r="I442" s="46">
        <f t="shared" si="103"/>
        <v>0</v>
      </c>
      <c r="J442" s="47">
        <v>0</v>
      </c>
      <c r="K442" s="46">
        <f t="shared" si="104"/>
        <v>0</v>
      </c>
      <c r="L442" s="47">
        <v>0</v>
      </c>
      <c r="AZ442" s="49"/>
      <c r="BC442" s="50"/>
    </row>
    <row r="443" spans="1:55" s="48" customFormat="1" ht="15.45" customHeight="1" outlineLevel="1" x14ac:dyDescent="0.25">
      <c r="A443" s="42">
        <v>46</v>
      </c>
      <c r="B443" s="43" t="s">
        <v>321</v>
      </c>
      <c r="C443" s="44" t="s">
        <v>234</v>
      </c>
      <c r="D443" s="45">
        <v>11</v>
      </c>
      <c r="E443" s="45">
        <v>3.2416</v>
      </c>
      <c r="F443" s="45">
        <f t="shared" si="100"/>
        <v>35.657600000000002</v>
      </c>
      <c r="G443" s="46">
        <f t="shared" si="101"/>
        <v>0</v>
      </c>
      <c r="H443" s="47">
        <f t="shared" si="102"/>
        <v>0</v>
      </c>
      <c r="I443" s="46">
        <f t="shared" si="103"/>
        <v>0</v>
      </c>
      <c r="J443" s="47">
        <v>0</v>
      </c>
      <c r="K443" s="46">
        <f t="shared" si="104"/>
        <v>0</v>
      </c>
      <c r="L443" s="47">
        <v>0</v>
      </c>
      <c r="AZ443" s="49"/>
      <c r="BC443" s="50"/>
    </row>
    <row r="444" spans="1:55" s="48" customFormat="1" ht="15.45" customHeight="1" outlineLevel="1" x14ac:dyDescent="0.25">
      <c r="A444" s="42">
        <v>47</v>
      </c>
      <c r="B444" s="43" t="s">
        <v>322</v>
      </c>
      <c r="C444" s="44" t="s">
        <v>93</v>
      </c>
      <c r="D444" s="45">
        <v>11</v>
      </c>
      <c r="E444" s="45">
        <v>13.205</v>
      </c>
      <c r="F444" s="45">
        <f t="shared" si="100"/>
        <v>145.255</v>
      </c>
      <c r="G444" s="46">
        <f t="shared" si="101"/>
        <v>0</v>
      </c>
      <c r="H444" s="47">
        <f t="shared" si="102"/>
        <v>0</v>
      </c>
      <c r="I444" s="46">
        <f t="shared" si="103"/>
        <v>0</v>
      </c>
      <c r="J444" s="47">
        <v>0</v>
      </c>
      <c r="K444" s="46">
        <f t="shared" si="104"/>
        <v>0</v>
      </c>
      <c r="L444" s="47">
        <v>0</v>
      </c>
      <c r="AZ444" s="49"/>
      <c r="BC444" s="50"/>
    </row>
    <row r="445" spans="1:55" s="48" customFormat="1" ht="15.45" customHeight="1" outlineLevel="1" x14ac:dyDescent="0.25">
      <c r="A445" s="42">
        <v>48</v>
      </c>
      <c r="B445" s="43" t="s">
        <v>323</v>
      </c>
      <c r="C445" s="44" t="s">
        <v>234</v>
      </c>
      <c r="D445" s="45">
        <v>2</v>
      </c>
      <c r="E445" s="45">
        <v>4.4656000000000002</v>
      </c>
      <c r="F445" s="45">
        <f t="shared" si="100"/>
        <v>8.9312000000000005</v>
      </c>
      <c r="G445" s="46">
        <f t="shared" si="101"/>
        <v>0</v>
      </c>
      <c r="H445" s="47">
        <f t="shared" si="102"/>
        <v>0</v>
      </c>
      <c r="I445" s="46">
        <f t="shared" si="103"/>
        <v>0</v>
      </c>
      <c r="J445" s="47">
        <v>0</v>
      </c>
      <c r="K445" s="46">
        <f t="shared" si="104"/>
        <v>0</v>
      </c>
      <c r="L445" s="47">
        <v>0</v>
      </c>
      <c r="AZ445" s="49"/>
      <c r="BC445" s="50"/>
    </row>
    <row r="446" spans="1:55" s="48" customFormat="1" ht="15.45" customHeight="1" outlineLevel="1" x14ac:dyDescent="0.25">
      <c r="A446" s="42">
        <v>49</v>
      </c>
      <c r="B446" s="43" t="s">
        <v>324</v>
      </c>
      <c r="C446" s="44" t="s">
        <v>93</v>
      </c>
      <c r="D446" s="45">
        <v>2</v>
      </c>
      <c r="E446" s="45">
        <v>16.173200000000001</v>
      </c>
      <c r="F446" s="45">
        <f t="shared" si="100"/>
        <v>32.346400000000003</v>
      </c>
      <c r="G446" s="46">
        <f t="shared" si="101"/>
        <v>0</v>
      </c>
      <c r="H446" s="47">
        <f t="shared" si="102"/>
        <v>0</v>
      </c>
      <c r="I446" s="46">
        <f t="shared" si="103"/>
        <v>0</v>
      </c>
      <c r="J446" s="47">
        <v>0</v>
      </c>
      <c r="K446" s="46">
        <f t="shared" si="104"/>
        <v>0</v>
      </c>
      <c r="L446" s="47">
        <v>0</v>
      </c>
      <c r="AZ446" s="49"/>
      <c r="BC446" s="50"/>
    </row>
    <row r="447" spans="1:55" s="48" customFormat="1" ht="27.75" customHeight="1" outlineLevel="1" x14ac:dyDescent="0.25">
      <c r="A447" s="42">
        <v>50</v>
      </c>
      <c r="B447" s="43" t="s">
        <v>325</v>
      </c>
      <c r="C447" s="44" t="s">
        <v>110</v>
      </c>
      <c r="D447" s="45">
        <v>2.92</v>
      </c>
      <c r="E447" s="45">
        <v>508.24360000000001</v>
      </c>
      <c r="F447" s="45">
        <f t="shared" si="100"/>
        <v>1484.071312</v>
      </c>
      <c r="G447" s="46">
        <f t="shared" si="101"/>
        <v>0</v>
      </c>
      <c r="H447" s="47">
        <f t="shared" si="102"/>
        <v>0</v>
      </c>
      <c r="I447" s="46">
        <f t="shared" si="103"/>
        <v>0</v>
      </c>
      <c r="J447" s="47">
        <v>0</v>
      </c>
      <c r="K447" s="46">
        <f t="shared" si="104"/>
        <v>0</v>
      </c>
      <c r="L447" s="47">
        <v>0</v>
      </c>
      <c r="AZ447" s="49"/>
      <c r="BC447" s="50"/>
    </row>
    <row r="448" spans="1:55" s="56" customFormat="1" ht="17.25" customHeight="1" x14ac:dyDescent="0.3">
      <c r="A448" s="62">
        <v>2.2000000000000002</v>
      </c>
      <c r="B448" s="51" t="s">
        <v>326</v>
      </c>
      <c r="C448" s="52">
        <v>0</v>
      </c>
      <c r="D448" s="53"/>
      <c r="E448" s="53"/>
      <c r="F448" s="53"/>
      <c r="G448" s="54"/>
      <c r="H448" s="55"/>
      <c r="I448" s="54"/>
      <c r="J448" s="55"/>
      <c r="K448" s="54"/>
      <c r="L448" s="55">
        <v>0</v>
      </c>
      <c r="AZ448" s="57"/>
      <c r="BC448" s="58"/>
    </row>
    <row r="449" spans="1:55" s="48" customFormat="1" ht="15.45" customHeight="1" outlineLevel="1" x14ac:dyDescent="0.25">
      <c r="A449" s="42">
        <v>1</v>
      </c>
      <c r="B449" s="43" t="s">
        <v>327</v>
      </c>
      <c r="C449" s="44" t="s">
        <v>93</v>
      </c>
      <c r="D449" s="45">
        <v>10</v>
      </c>
      <c r="E449" s="45">
        <v>13.814</v>
      </c>
      <c r="F449" s="45">
        <f t="shared" ref="F449:F465" si="105">+E449*D449</f>
        <v>138.13999999999999</v>
      </c>
      <c r="G449" s="46">
        <f t="shared" ref="G449:G465" si="106">I449+K449</f>
        <v>0</v>
      </c>
      <c r="H449" s="47">
        <f t="shared" ref="H449:H465" si="107">J449+L449</f>
        <v>0</v>
      </c>
      <c r="I449" s="46">
        <f t="shared" ref="I449:I465" si="108">J449/F449</f>
        <v>0</v>
      </c>
      <c r="J449" s="47">
        <v>0</v>
      </c>
      <c r="K449" s="46">
        <f t="shared" ref="K449:K465" si="109">L449/F449</f>
        <v>0</v>
      </c>
      <c r="L449" s="47">
        <v>0</v>
      </c>
      <c r="AZ449" s="49"/>
      <c r="BC449" s="50"/>
    </row>
    <row r="450" spans="1:55" s="48" customFormat="1" ht="27.75" customHeight="1" outlineLevel="1" x14ac:dyDescent="0.25">
      <c r="A450" s="42">
        <v>2</v>
      </c>
      <c r="B450" s="43" t="s">
        <v>328</v>
      </c>
      <c r="C450" s="44" t="s">
        <v>93</v>
      </c>
      <c r="D450" s="45">
        <v>3</v>
      </c>
      <c r="E450" s="45">
        <v>101.36360000000001</v>
      </c>
      <c r="F450" s="45">
        <f t="shared" si="105"/>
        <v>304.0908</v>
      </c>
      <c r="G450" s="46">
        <f t="shared" si="106"/>
        <v>0</v>
      </c>
      <c r="H450" s="47">
        <f t="shared" si="107"/>
        <v>0</v>
      </c>
      <c r="I450" s="46">
        <f t="shared" si="108"/>
        <v>0</v>
      </c>
      <c r="J450" s="47">
        <v>0</v>
      </c>
      <c r="K450" s="46">
        <f t="shared" si="109"/>
        <v>0</v>
      </c>
      <c r="L450" s="47">
        <v>0</v>
      </c>
      <c r="AZ450" s="49"/>
      <c r="BC450" s="50"/>
    </row>
    <row r="451" spans="1:55" s="48" customFormat="1" ht="27.75" customHeight="1" outlineLevel="1" x14ac:dyDescent="0.25">
      <c r="A451" s="42">
        <v>3</v>
      </c>
      <c r="B451" s="43" t="s">
        <v>329</v>
      </c>
      <c r="C451" s="44" t="s">
        <v>93</v>
      </c>
      <c r="D451" s="45">
        <v>3</v>
      </c>
      <c r="E451" s="45">
        <v>692.83100000000002</v>
      </c>
      <c r="F451" s="45">
        <f t="shared" si="105"/>
        <v>2078.4929999999999</v>
      </c>
      <c r="G451" s="46">
        <f t="shared" si="106"/>
        <v>0</v>
      </c>
      <c r="H451" s="47">
        <f t="shared" si="107"/>
        <v>0</v>
      </c>
      <c r="I451" s="46">
        <f t="shared" si="108"/>
        <v>0</v>
      </c>
      <c r="J451" s="47">
        <v>0</v>
      </c>
      <c r="K451" s="46">
        <f t="shared" si="109"/>
        <v>0</v>
      </c>
      <c r="L451" s="47">
        <v>0</v>
      </c>
      <c r="AZ451" s="49"/>
      <c r="BC451" s="50"/>
    </row>
    <row r="452" spans="1:55" s="48" customFormat="1" ht="15.45" customHeight="1" outlineLevel="1" x14ac:dyDescent="0.25">
      <c r="A452" s="42">
        <v>4</v>
      </c>
      <c r="B452" s="43" t="s">
        <v>330</v>
      </c>
      <c r="C452" s="44" t="s">
        <v>93</v>
      </c>
      <c r="D452" s="45">
        <v>2</v>
      </c>
      <c r="E452" s="45">
        <v>1680.3235999999999</v>
      </c>
      <c r="F452" s="45">
        <f t="shared" si="105"/>
        <v>3360.6471999999999</v>
      </c>
      <c r="G452" s="46">
        <f t="shared" si="106"/>
        <v>0</v>
      </c>
      <c r="H452" s="47">
        <f t="shared" si="107"/>
        <v>0</v>
      </c>
      <c r="I452" s="46">
        <f t="shared" si="108"/>
        <v>0</v>
      </c>
      <c r="J452" s="47">
        <v>0</v>
      </c>
      <c r="K452" s="46">
        <f t="shared" si="109"/>
        <v>0</v>
      </c>
      <c r="L452" s="47">
        <v>0</v>
      </c>
      <c r="AZ452" s="49"/>
      <c r="BC452" s="50"/>
    </row>
    <row r="453" spans="1:55" s="48" customFormat="1" ht="27.75" customHeight="1" outlineLevel="1" x14ac:dyDescent="0.25">
      <c r="A453" s="42">
        <v>5</v>
      </c>
      <c r="B453" s="43" t="s">
        <v>331</v>
      </c>
      <c r="C453" s="44" t="s">
        <v>93</v>
      </c>
      <c r="D453" s="45">
        <v>2</v>
      </c>
      <c r="E453" s="45">
        <v>73.486999999999981</v>
      </c>
      <c r="F453" s="45">
        <f t="shared" si="105"/>
        <v>146.97399999999996</v>
      </c>
      <c r="G453" s="46">
        <f t="shared" si="106"/>
        <v>0</v>
      </c>
      <c r="H453" s="47">
        <f t="shared" si="107"/>
        <v>0</v>
      </c>
      <c r="I453" s="46">
        <f t="shared" si="108"/>
        <v>0</v>
      </c>
      <c r="J453" s="47">
        <v>0</v>
      </c>
      <c r="K453" s="46">
        <f t="shared" si="109"/>
        <v>0</v>
      </c>
      <c r="L453" s="47">
        <v>0</v>
      </c>
      <c r="AZ453" s="49"/>
      <c r="BC453" s="50"/>
    </row>
    <row r="454" spans="1:55" s="48" customFormat="1" ht="27.75" customHeight="1" outlineLevel="1" x14ac:dyDescent="0.25">
      <c r="A454" s="42">
        <v>6</v>
      </c>
      <c r="B454" s="43" t="s">
        <v>332</v>
      </c>
      <c r="C454" s="44" t="s">
        <v>93</v>
      </c>
      <c r="D454" s="45">
        <v>7</v>
      </c>
      <c r="E454" s="45">
        <v>15.4102</v>
      </c>
      <c r="F454" s="45">
        <f t="shared" si="105"/>
        <v>107.87139999999999</v>
      </c>
      <c r="G454" s="46">
        <f t="shared" si="106"/>
        <v>0</v>
      </c>
      <c r="H454" s="47">
        <f t="shared" si="107"/>
        <v>0</v>
      </c>
      <c r="I454" s="46">
        <f t="shared" si="108"/>
        <v>0</v>
      </c>
      <c r="J454" s="47">
        <v>0</v>
      </c>
      <c r="K454" s="46">
        <f t="shared" si="109"/>
        <v>0</v>
      </c>
      <c r="L454" s="47">
        <v>0</v>
      </c>
      <c r="AZ454" s="49"/>
      <c r="BC454" s="50"/>
    </row>
    <row r="455" spans="1:55" s="48" customFormat="1" ht="27.75" customHeight="1" outlineLevel="1" x14ac:dyDescent="0.25">
      <c r="A455" s="42">
        <v>7</v>
      </c>
      <c r="B455" s="43" t="s">
        <v>333</v>
      </c>
      <c r="C455" s="44" t="s">
        <v>93</v>
      </c>
      <c r="D455" s="45">
        <v>6</v>
      </c>
      <c r="E455" s="45">
        <v>17.552199999999999</v>
      </c>
      <c r="F455" s="45">
        <f t="shared" si="105"/>
        <v>105.31319999999999</v>
      </c>
      <c r="G455" s="46">
        <f t="shared" si="106"/>
        <v>0</v>
      </c>
      <c r="H455" s="47">
        <f t="shared" si="107"/>
        <v>0</v>
      </c>
      <c r="I455" s="46">
        <f t="shared" si="108"/>
        <v>0</v>
      </c>
      <c r="J455" s="47">
        <v>0</v>
      </c>
      <c r="K455" s="46">
        <f t="shared" si="109"/>
        <v>0</v>
      </c>
      <c r="L455" s="47">
        <v>0</v>
      </c>
      <c r="AZ455" s="49"/>
      <c r="BC455" s="50"/>
    </row>
    <row r="456" spans="1:55" s="48" customFormat="1" ht="15.45" customHeight="1" outlineLevel="1" x14ac:dyDescent="0.25">
      <c r="A456" s="42">
        <v>8</v>
      </c>
      <c r="B456" s="43" t="s">
        <v>334</v>
      </c>
      <c r="C456" s="44" t="s">
        <v>93</v>
      </c>
      <c r="D456" s="45">
        <v>4</v>
      </c>
      <c r="E456" s="45">
        <v>31.515999999999998</v>
      </c>
      <c r="F456" s="45">
        <f t="shared" si="105"/>
        <v>126.06399999999999</v>
      </c>
      <c r="G456" s="46">
        <f t="shared" si="106"/>
        <v>0</v>
      </c>
      <c r="H456" s="47">
        <f t="shared" si="107"/>
        <v>0</v>
      </c>
      <c r="I456" s="46">
        <f t="shared" si="108"/>
        <v>0</v>
      </c>
      <c r="J456" s="47">
        <v>0</v>
      </c>
      <c r="K456" s="46">
        <f t="shared" si="109"/>
        <v>0</v>
      </c>
      <c r="L456" s="47">
        <v>0</v>
      </c>
      <c r="AZ456" s="49"/>
      <c r="BC456" s="50"/>
    </row>
    <row r="457" spans="1:55" s="48" customFormat="1" ht="27.75" customHeight="1" outlineLevel="1" x14ac:dyDescent="0.25">
      <c r="A457" s="42">
        <v>9</v>
      </c>
      <c r="B457" s="43" t="s">
        <v>335</v>
      </c>
      <c r="C457" s="44" t="s">
        <v>93</v>
      </c>
      <c r="D457" s="45">
        <v>12</v>
      </c>
      <c r="E457" s="45">
        <v>18.919</v>
      </c>
      <c r="F457" s="45">
        <f t="shared" si="105"/>
        <v>227.02800000000002</v>
      </c>
      <c r="G457" s="46">
        <f t="shared" si="106"/>
        <v>0</v>
      </c>
      <c r="H457" s="47">
        <f t="shared" si="107"/>
        <v>0</v>
      </c>
      <c r="I457" s="46">
        <f t="shared" si="108"/>
        <v>0</v>
      </c>
      <c r="J457" s="47">
        <v>0</v>
      </c>
      <c r="K457" s="46">
        <f t="shared" si="109"/>
        <v>0</v>
      </c>
      <c r="L457" s="47">
        <v>0</v>
      </c>
      <c r="AZ457" s="49"/>
      <c r="BC457" s="50"/>
    </row>
    <row r="458" spans="1:55" s="48" customFormat="1" ht="15.45" customHeight="1" outlineLevel="1" x14ac:dyDescent="0.25">
      <c r="A458" s="42">
        <v>10</v>
      </c>
      <c r="B458" s="43" t="s">
        <v>336</v>
      </c>
      <c r="C458" s="44" t="s">
        <v>93</v>
      </c>
      <c r="D458" s="45">
        <v>12</v>
      </c>
      <c r="E458" s="45">
        <v>12.684799999999999</v>
      </c>
      <c r="F458" s="45">
        <f t="shared" si="105"/>
        <v>152.2176</v>
      </c>
      <c r="G458" s="46">
        <f t="shared" si="106"/>
        <v>0</v>
      </c>
      <c r="H458" s="47">
        <f t="shared" si="107"/>
        <v>0</v>
      </c>
      <c r="I458" s="46">
        <f t="shared" si="108"/>
        <v>0</v>
      </c>
      <c r="J458" s="47">
        <v>0</v>
      </c>
      <c r="K458" s="46">
        <f t="shared" si="109"/>
        <v>0</v>
      </c>
      <c r="L458" s="47">
        <v>0</v>
      </c>
      <c r="AZ458" s="49"/>
      <c r="BC458" s="50"/>
    </row>
    <row r="459" spans="1:55" s="48" customFormat="1" ht="27.75" customHeight="1" outlineLevel="1" x14ac:dyDescent="0.25">
      <c r="A459" s="42">
        <v>11</v>
      </c>
      <c r="B459" s="43" t="s">
        <v>337</v>
      </c>
      <c r="C459" s="44" t="s">
        <v>93</v>
      </c>
      <c r="D459" s="45">
        <v>4</v>
      </c>
      <c r="E459" s="45">
        <v>21.6934</v>
      </c>
      <c r="F459" s="45">
        <f t="shared" si="105"/>
        <v>86.773600000000002</v>
      </c>
      <c r="G459" s="46">
        <f t="shared" si="106"/>
        <v>0</v>
      </c>
      <c r="H459" s="47">
        <f t="shared" si="107"/>
        <v>0</v>
      </c>
      <c r="I459" s="46">
        <f t="shared" si="108"/>
        <v>0</v>
      </c>
      <c r="J459" s="47">
        <v>0</v>
      </c>
      <c r="K459" s="46">
        <f t="shared" si="109"/>
        <v>0</v>
      </c>
      <c r="L459" s="47">
        <v>0</v>
      </c>
      <c r="AZ459" s="49"/>
      <c r="BC459" s="50"/>
    </row>
    <row r="460" spans="1:55" s="48" customFormat="1" ht="27.75" customHeight="1" outlineLevel="1" x14ac:dyDescent="0.25">
      <c r="A460" s="42">
        <v>12</v>
      </c>
      <c r="B460" s="43" t="s">
        <v>338</v>
      </c>
      <c r="C460" s="44" t="s">
        <v>93</v>
      </c>
      <c r="D460" s="45">
        <v>2</v>
      </c>
      <c r="E460" s="45">
        <v>2.3643999999999998</v>
      </c>
      <c r="F460" s="45">
        <f t="shared" si="105"/>
        <v>4.7287999999999997</v>
      </c>
      <c r="G460" s="46">
        <f t="shared" si="106"/>
        <v>0</v>
      </c>
      <c r="H460" s="47">
        <f t="shared" si="107"/>
        <v>0</v>
      </c>
      <c r="I460" s="46">
        <f t="shared" si="108"/>
        <v>0</v>
      </c>
      <c r="J460" s="47">
        <v>0</v>
      </c>
      <c r="K460" s="46">
        <f t="shared" si="109"/>
        <v>0</v>
      </c>
      <c r="L460" s="47">
        <v>0</v>
      </c>
      <c r="AZ460" s="49"/>
      <c r="BC460" s="50"/>
    </row>
    <row r="461" spans="1:55" s="48" customFormat="1" ht="15.45" customHeight="1" outlineLevel="1" x14ac:dyDescent="0.25">
      <c r="A461" s="42">
        <v>13</v>
      </c>
      <c r="B461" s="43" t="s">
        <v>339</v>
      </c>
      <c r="C461" s="44" t="s">
        <v>93</v>
      </c>
      <c r="D461" s="45">
        <v>10</v>
      </c>
      <c r="E461" s="45">
        <v>10.298</v>
      </c>
      <c r="F461" s="45">
        <f t="shared" si="105"/>
        <v>102.98</v>
      </c>
      <c r="G461" s="46">
        <f t="shared" si="106"/>
        <v>0</v>
      </c>
      <c r="H461" s="47">
        <f t="shared" si="107"/>
        <v>0</v>
      </c>
      <c r="I461" s="46">
        <f t="shared" si="108"/>
        <v>0</v>
      </c>
      <c r="J461" s="47">
        <v>0</v>
      </c>
      <c r="K461" s="46">
        <f t="shared" si="109"/>
        <v>0</v>
      </c>
      <c r="L461" s="47">
        <v>0</v>
      </c>
      <c r="AZ461" s="49"/>
      <c r="BC461" s="50"/>
    </row>
    <row r="462" spans="1:55" s="48" customFormat="1" ht="27.75" customHeight="1" outlineLevel="1" x14ac:dyDescent="0.25">
      <c r="A462" s="42">
        <v>14</v>
      </c>
      <c r="B462" s="43" t="s">
        <v>340</v>
      </c>
      <c r="C462" s="44" t="s">
        <v>98</v>
      </c>
      <c r="D462" s="45">
        <v>35.1</v>
      </c>
      <c r="E462" s="45">
        <v>39.625</v>
      </c>
      <c r="F462" s="45">
        <f t="shared" si="105"/>
        <v>1390.8375000000001</v>
      </c>
      <c r="G462" s="46">
        <f t="shared" si="106"/>
        <v>0</v>
      </c>
      <c r="H462" s="47">
        <f t="shared" si="107"/>
        <v>0</v>
      </c>
      <c r="I462" s="46">
        <f t="shared" si="108"/>
        <v>0</v>
      </c>
      <c r="J462" s="47">
        <v>0</v>
      </c>
      <c r="K462" s="46">
        <f t="shared" si="109"/>
        <v>0</v>
      </c>
      <c r="L462" s="47">
        <v>0</v>
      </c>
      <c r="AZ462" s="49"/>
      <c r="BC462" s="50"/>
    </row>
    <row r="463" spans="1:55" s="48" customFormat="1" ht="27.75" customHeight="1" outlineLevel="1" x14ac:dyDescent="0.25">
      <c r="A463" s="42">
        <v>15</v>
      </c>
      <c r="B463" s="43" t="s">
        <v>341</v>
      </c>
      <c r="C463" s="44" t="s">
        <v>98</v>
      </c>
      <c r="D463" s="45">
        <v>22</v>
      </c>
      <c r="E463" s="45">
        <v>37.6768</v>
      </c>
      <c r="F463" s="45">
        <f t="shared" si="105"/>
        <v>828.88959999999997</v>
      </c>
      <c r="G463" s="46">
        <f t="shared" si="106"/>
        <v>0</v>
      </c>
      <c r="H463" s="47">
        <f t="shared" si="107"/>
        <v>0</v>
      </c>
      <c r="I463" s="46">
        <f t="shared" si="108"/>
        <v>0</v>
      </c>
      <c r="J463" s="47">
        <v>0</v>
      </c>
      <c r="K463" s="46">
        <f t="shared" si="109"/>
        <v>0</v>
      </c>
      <c r="L463" s="47">
        <v>0</v>
      </c>
      <c r="AZ463" s="49"/>
      <c r="BC463" s="50"/>
    </row>
    <row r="464" spans="1:55" s="48" customFormat="1" ht="27.75" customHeight="1" outlineLevel="1" x14ac:dyDescent="0.25">
      <c r="A464" s="42">
        <v>16</v>
      </c>
      <c r="B464" s="43" t="s">
        <v>342</v>
      </c>
      <c r="C464" s="44" t="s">
        <v>98</v>
      </c>
      <c r="D464" s="45">
        <v>35.200000000000003</v>
      </c>
      <c r="E464" s="45">
        <v>35.4328</v>
      </c>
      <c r="F464" s="45">
        <f t="shared" si="105"/>
        <v>1247.2345600000001</v>
      </c>
      <c r="G464" s="46">
        <f t="shared" si="106"/>
        <v>0</v>
      </c>
      <c r="H464" s="47">
        <f t="shared" si="107"/>
        <v>0</v>
      </c>
      <c r="I464" s="46">
        <f t="shared" si="108"/>
        <v>0</v>
      </c>
      <c r="J464" s="47">
        <v>0</v>
      </c>
      <c r="K464" s="46">
        <f t="shared" si="109"/>
        <v>0</v>
      </c>
      <c r="L464" s="47">
        <v>0</v>
      </c>
      <c r="AZ464" s="49"/>
      <c r="BC464" s="50"/>
    </row>
    <row r="465" spans="1:55" s="48" customFormat="1" ht="15.45" customHeight="1" outlineLevel="1" x14ac:dyDescent="0.25">
      <c r="A465" s="42">
        <v>17</v>
      </c>
      <c r="B465" s="43" t="s">
        <v>343</v>
      </c>
      <c r="C465" s="44" t="s">
        <v>61</v>
      </c>
      <c r="D465" s="45">
        <v>6</v>
      </c>
      <c r="E465" s="45">
        <v>17.886800000000001</v>
      </c>
      <c r="F465" s="45">
        <f t="shared" si="105"/>
        <v>107.32080000000001</v>
      </c>
      <c r="G465" s="46">
        <f t="shared" si="106"/>
        <v>0</v>
      </c>
      <c r="H465" s="47">
        <f t="shared" si="107"/>
        <v>0</v>
      </c>
      <c r="I465" s="46">
        <f t="shared" si="108"/>
        <v>0</v>
      </c>
      <c r="J465" s="47">
        <v>0</v>
      </c>
      <c r="K465" s="46">
        <f t="shared" si="109"/>
        <v>0</v>
      </c>
      <c r="L465" s="47">
        <v>0</v>
      </c>
      <c r="AZ465" s="49"/>
      <c r="BC465" s="50"/>
    </row>
    <row r="466" spans="1:55" s="56" customFormat="1" ht="17.25" customHeight="1" x14ac:dyDescent="0.3">
      <c r="A466" s="62">
        <v>2.21</v>
      </c>
      <c r="B466" s="51" t="s">
        <v>344</v>
      </c>
      <c r="C466" s="52">
        <v>0</v>
      </c>
      <c r="D466" s="53"/>
      <c r="E466" s="53"/>
      <c r="F466" s="53"/>
      <c r="G466" s="54"/>
      <c r="H466" s="55"/>
      <c r="I466" s="54"/>
      <c r="J466" s="55"/>
      <c r="K466" s="54"/>
      <c r="L466" s="55">
        <v>0</v>
      </c>
      <c r="AZ466" s="57"/>
      <c r="BC466" s="58"/>
    </row>
    <row r="467" spans="1:55" s="48" customFormat="1" ht="15.45" customHeight="1" outlineLevel="1" x14ac:dyDescent="0.25">
      <c r="A467" s="42">
        <v>18</v>
      </c>
      <c r="B467" s="43" t="s">
        <v>345</v>
      </c>
      <c r="C467" s="44" t="s">
        <v>234</v>
      </c>
      <c r="D467" s="45">
        <v>13</v>
      </c>
      <c r="E467" s="45">
        <v>68.317599999999999</v>
      </c>
      <c r="F467" s="45">
        <f>+E467*D467</f>
        <v>888.12879999999996</v>
      </c>
      <c r="G467" s="46">
        <f t="shared" ref="G467:H471" si="110">I467+K467</f>
        <v>0</v>
      </c>
      <c r="H467" s="47">
        <f t="shared" si="110"/>
        <v>0</v>
      </c>
      <c r="I467" s="46">
        <f>J467/F467</f>
        <v>0</v>
      </c>
      <c r="J467" s="47">
        <v>0</v>
      </c>
      <c r="K467" s="46">
        <f>L467/F467</f>
        <v>0</v>
      </c>
      <c r="L467" s="47">
        <v>0</v>
      </c>
      <c r="AZ467" s="49"/>
      <c r="BC467" s="50"/>
    </row>
    <row r="468" spans="1:55" s="48" customFormat="1" ht="27.75" customHeight="1" outlineLevel="1" x14ac:dyDescent="0.25">
      <c r="A468" s="42">
        <v>19</v>
      </c>
      <c r="B468" s="43" t="s">
        <v>346</v>
      </c>
      <c r="C468" s="44" t="s">
        <v>93</v>
      </c>
      <c r="D468" s="45">
        <v>13</v>
      </c>
      <c r="E468" s="45">
        <v>684.57920000000013</v>
      </c>
      <c r="F468" s="45">
        <f>+E468*D468</f>
        <v>8899.5296000000017</v>
      </c>
      <c r="G468" s="46">
        <f t="shared" si="110"/>
        <v>0</v>
      </c>
      <c r="H468" s="47">
        <f t="shared" si="110"/>
        <v>0</v>
      </c>
      <c r="I468" s="46">
        <f>J468/F468</f>
        <v>0</v>
      </c>
      <c r="J468" s="47">
        <v>0</v>
      </c>
      <c r="K468" s="46">
        <f>L468/F468</f>
        <v>0</v>
      </c>
      <c r="L468" s="47">
        <v>0</v>
      </c>
      <c r="AZ468" s="49"/>
      <c r="BC468" s="50"/>
    </row>
    <row r="469" spans="1:55" s="48" customFormat="1" ht="27.75" customHeight="1" outlineLevel="1" x14ac:dyDescent="0.25">
      <c r="A469" s="42">
        <v>20</v>
      </c>
      <c r="B469" s="43" t="s">
        <v>347</v>
      </c>
      <c r="C469" s="44" t="s">
        <v>93</v>
      </c>
      <c r="D469" s="45">
        <v>3</v>
      </c>
      <c r="E469" s="45">
        <v>754.7654</v>
      </c>
      <c r="F469" s="45">
        <f>+E469*D469</f>
        <v>2264.2961999999998</v>
      </c>
      <c r="G469" s="46">
        <f t="shared" si="110"/>
        <v>0</v>
      </c>
      <c r="H469" s="47">
        <f t="shared" si="110"/>
        <v>0</v>
      </c>
      <c r="I469" s="46">
        <f>J469/F469</f>
        <v>0</v>
      </c>
      <c r="J469" s="47">
        <v>0</v>
      </c>
      <c r="K469" s="46">
        <f>L469/F469</f>
        <v>0</v>
      </c>
      <c r="L469" s="47">
        <v>0</v>
      </c>
      <c r="AZ469" s="49"/>
      <c r="BC469" s="50"/>
    </row>
    <row r="470" spans="1:55" s="48" customFormat="1" ht="15.45" customHeight="1" outlineLevel="1" x14ac:dyDescent="0.25">
      <c r="A470" s="42">
        <v>21</v>
      </c>
      <c r="B470" s="43" t="s">
        <v>348</v>
      </c>
      <c r="C470" s="44" t="s">
        <v>234</v>
      </c>
      <c r="D470" s="45">
        <v>2</v>
      </c>
      <c r="E470" s="45">
        <v>76.395999999999987</v>
      </c>
      <c r="F470" s="45">
        <f>+E470*D470</f>
        <v>152.79199999999997</v>
      </c>
      <c r="G470" s="46">
        <f t="shared" si="110"/>
        <v>0</v>
      </c>
      <c r="H470" s="47">
        <f t="shared" si="110"/>
        <v>0</v>
      </c>
      <c r="I470" s="46">
        <f>J470/F470</f>
        <v>0</v>
      </c>
      <c r="J470" s="47">
        <v>0</v>
      </c>
      <c r="K470" s="46">
        <f>L470/F470</f>
        <v>0</v>
      </c>
      <c r="L470" s="47">
        <v>0</v>
      </c>
      <c r="AZ470" s="49"/>
      <c r="BC470" s="50"/>
    </row>
    <row r="471" spans="1:55" s="48" customFormat="1" ht="15.45" customHeight="1" outlineLevel="1" x14ac:dyDescent="0.25">
      <c r="A471" s="42">
        <v>22</v>
      </c>
      <c r="B471" s="43" t="s">
        <v>349</v>
      </c>
      <c r="C471" s="44" t="s">
        <v>93</v>
      </c>
      <c r="D471" s="45">
        <v>2</v>
      </c>
      <c r="E471" s="45">
        <v>1628.0383999999999</v>
      </c>
      <c r="F471" s="45">
        <f>+E471*D471</f>
        <v>3256.0767999999998</v>
      </c>
      <c r="G471" s="46">
        <f t="shared" si="110"/>
        <v>0</v>
      </c>
      <c r="H471" s="47">
        <f t="shared" si="110"/>
        <v>0</v>
      </c>
      <c r="I471" s="46">
        <f>J471/F471</f>
        <v>0</v>
      </c>
      <c r="J471" s="47">
        <v>0</v>
      </c>
      <c r="K471" s="46">
        <f>L471/F471</f>
        <v>0</v>
      </c>
      <c r="L471" s="47">
        <v>0</v>
      </c>
      <c r="AZ471" s="49"/>
      <c r="BC471" s="50"/>
    </row>
    <row r="472" spans="1:55" s="56" customFormat="1" ht="17.25" customHeight="1" x14ac:dyDescent="0.3">
      <c r="A472" s="62">
        <v>2.2200000000000002</v>
      </c>
      <c r="B472" s="51" t="s">
        <v>350</v>
      </c>
      <c r="C472" s="52">
        <v>0</v>
      </c>
      <c r="D472" s="53"/>
      <c r="E472" s="53"/>
      <c r="F472" s="53"/>
      <c r="G472" s="54"/>
      <c r="H472" s="55"/>
      <c r="I472" s="54"/>
      <c r="J472" s="55"/>
      <c r="K472" s="54"/>
      <c r="L472" s="55">
        <v>0</v>
      </c>
      <c r="AZ472" s="57"/>
      <c r="BC472" s="58"/>
    </row>
    <row r="473" spans="1:55" s="48" customFormat="1" ht="15.45" customHeight="1" outlineLevel="1" x14ac:dyDescent="0.25">
      <c r="A473" s="42">
        <v>1</v>
      </c>
      <c r="B473" s="43" t="s">
        <v>351</v>
      </c>
      <c r="C473" s="44" t="s">
        <v>93</v>
      </c>
      <c r="D473" s="45">
        <v>1</v>
      </c>
      <c r="E473" s="45">
        <v>199.95679999999999</v>
      </c>
      <c r="F473" s="45">
        <f t="shared" ref="F473:F504" si="111">+E473*D473</f>
        <v>199.95679999999999</v>
      </c>
      <c r="G473" s="46">
        <f t="shared" ref="G473:G504" si="112">I473+K473</f>
        <v>0</v>
      </c>
      <c r="H473" s="47">
        <f t="shared" ref="H473:H504" si="113">J473+L473</f>
        <v>0</v>
      </c>
      <c r="I473" s="46">
        <f t="shared" ref="I473:I504" si="114">J473/F473</f>
        <v>0</v>
      </c>
      <c r="J473" s="47">
        <v>0</v>
      </c>
      <c r="K473" s="46">
        <f t="shared" ref="K473:K504" si="115">L473/F473</f>
        <v>0</v>
      </c>
      <c r="L473" s="47">
        <v>0</v>
      </c>
      <c r="AZ473" s="49"/>
      <c r="BC473" s="50"/>
    </row>
    <row r="474" spans="1:55" s="48" customFormat="1" ht="27.75" customHeight="1" outlineLevel="1" x14ac:dyDescent="0.25">
      <c r="A474" s="42">
        <v>2</v>
      </c>
      <c r="B474" s="43" t="s">
        <v>352</v>
      </c>
      <c r="C474" s="44" t="s">
        <v>93</v>
      </c>
      <c r="D474" s="45">
        <v>1</v>
      </c>
      <c r="E474" s="45">
        <v>39.523000000000003</v>
      </c>
      <c r="F474" s="45">
        <f t="shared" si="111"/>
        <v>39.523000000000003</v>
      </c>
      <c r="G474" s="46">
        <f t="shared" si="112"/>
        <v>0</v>
      </c>
      <c r="H474" s="47">
        <f t="shared" si="113"/>
        <v>0</v>
      </c>
      <c r="I474" s="46">
        <f t="shared" si="114"/>
        <v>0</v>
      </c>
      <c r="J474" s="47">
        <v>0</v>
      </c>
      <c r="K474" s="46">
        <f t="shared" si="115"/>
        <v>0</v>
      </c>
      <c r="L474" s="47">
        <v>0</v>
      </c>
      <c r="AZ474" s="49"/>
      <c r="BC474" s="50"/>
    </row>
    <row r="475" spans="1:55" s="48" customFormat="1" ht="15.45" customHeight="1" outlineLevel="1" x14ac:dyDescent="0.25">
      <c r="A475" s="42">
        <v>3</v>
      </c>
      <c r="B475" s="43" t="s">
        <v>353</v>
      </c>
      <c r="C475" s="44" t="s">
        <v>93</v>
      </c>
      <c r="D475" s="45">
        <v>1</v>
      </c>
      <c r="E475" s="45">
        <v>344.5320000000001</v>
      </c>
      <c r="F475" s="45">
        <f t="shared" si="111"/>
        <v>344.5320000000001</v>
      </c>
      <c r="G475" s="46">
        <f t="shared" si="112"/>
        <v>0</v>
      </c>
      <c r="H475" s="47">
        <f t="shared" si="113"/>
        <v>0</v>
      </c>
      <c r="I475" s="46">
        <f t="shared" si="114"/>
        <v>0</v>
      </c>
      <c r="J475" s="47">
        <v>0</v>
      </c>
      <c r="K475" s="46">
        <f t="shared" si="115"/>
        <v>0</v>
      </c>
      <c r="L475" s="47">
        <v>0</v>
      </c>
      <c r="AZ475" s="49"/>
      <c r="BC475" s="50"/>
    </row>
    <row r="476" spans="1:55" s="48" customFormat="1" ht="15.45" customHeight="1" outlineLevel="1" x14ac:dyDescent="0.25">
      <c r="A476" s="42">
        <v>4</v>
      </c>
      <c r="B476" s="43" t="s">
        <v>354</v>
      </c>
      <c r="C476" s="44" t="s">
        <v>93</v>
      </c>
      <c r="D476" s="45">
        <v>1</v>
      </c>
      <c r="E476" s="45">
        <v>146.4</v>
      </c>
      <c r="F476" s="45">
        <f t="shared" si="111"/>
        <v>146.4</v>
      </c>
      <c r="G476" s="46">
        <f t="shared" si="112"/>
        <v>0</v>
      </c>
      <c r="H476" s="47">
        <f t="shared" si="113"/>
        <v>0</v>
      </c>
      <c r="I476" s="46">
        <f t="shared" si="114"/>
        <v>0</v>
      </c>
      <c r="J476" s="47">
        <v>0</v>
      </c>
      <c r="K476" s="46">
        <f t="shared" si="115"/>
        <v>0</v>
      </c>
      <c r="L476" s="47">
        <v>0</v>
      </c>
      <c r="AZ476" s="49"/>
      <c r="BC476" s="50"/>
    </row>
    <row r="477" spans="1:55" s="48" customFormat="1" ht="15.45" customHeight="1" outlineLevel="1" x14ac:dyDescent="0.25">
      <c r="A477" s="42">
        <v>5</v>
      </c>
      <c r="B477" s="43" t="s">
        <v>355</v>
      </c>
      <c r="C477" s="44" t="s">
        <v>93</v>
      </c>
      <c r="D477" s="45">
        <v>1</v>
      </c>
      <c r="E477" s="45">
        <v>133.85</v>
      </c>
      <c r="F477" s="45">
        <f t="shared" si="111"/>
        <v>133.85</v>
      </c>
      <c r="G477" s="46">
        <f t="shared" si="112"/>
        <v>0</v>
      </c>
      <c r="H477" s="47">
        <f t="shared" si="113"/>
        <v>0</v>
      </c>
      <c r="I477" s="46">
        <f t="shared" si="114"/>
        <v>0</v>
      </c>
      <c r="J477" s="47">
        <v>0</v>
      </c>
      <c r="K477" s="46">
        <f t="shared" si="115"/>
        <v>0</v>
      </c>
      <c r="L477" s="47">
        <v>0</v>
      </c>
      <c r="AZ477" s="49"/>
      <c r="BC477" s="50"/>
    </row>
    <row r="478" spans="1:55" s="48" customFormat="1" ht="15.45" customHeight="1" outlineLevel="1" x14ac:dyDescent="0.25">
      <c r="A478" s="42">
        <v>6</v>
      </c>
      <c r="B478" s="43" t="s">
        <v>356</v>
      </c>
      <c r="C478" s="44" t="s">
        <v>93</v>
      </c>
      <c r="D478" s="45">
        <v>3</v>
      </c>
      <c r="E478" s="45">
        <v>37.299999999999997</v>
      </c>
      <c r="F478" s="45">
        <f t="shared" si="111"/>
        <v>111.89999999999999</v>
      </c>
      <c r="G478" s="46">
        <f t="shared" si="112"/>
        <v>0</v>
      </c>
      <c r="H478" s="47">
        <f t="shared" si="113"/>
        <v>0</v>
      </c>
      <c r="I478" s="46">
        <f t="shared" si="114"/>
        <v>0</v>
      </c>
      <c r="J478" s="47">
        <v>0</v>
      </c>
      <c r="K478" s="46">
        <f t="shared" si="115"/>
        <v>0</v>
      </c>
      <c r="L478" s="47">
        <v>0</v>
      </c>
      <c r="AZ478" s="49"/>
      <c r="BC478" s="50"/>
    </row>
    <row r="479" spans="1:55" s="48" customFormat="1" ht="15.45" customHeight="1" outlineLevel="1" x14ac:dyDescent="0.25">
      <c r="A479" s="42">
        <v>7</v>
      </c>
      <c r="B479" s="43" t="s">
        <v>357</v>
      </c>
      <c r="C479" s="44" t="s">
        <v>93</v>
      </c>
      <c r="D479" s="45">
        <v>1</v>
      </c>
      <c r="E479" s="45">
        <v>32.450000000000003</v>
      </c>
      <c r="F479" s="45">
        <f t="shared" si="111"/>
        <v>32.450000000000003</v>
      </c>
      <c r="G479" s="46">
        <f t="shared" si="112"/>
        <v>0</v>
      </c>
      <c r="H479" s="47">
        <f t="shared" si="113"/>
        <v>0</v>
      </c>
      <c r="I479" s="46">
        <f t="shared" si="114"/>
        <v>0</v>
      </c>
      <c r="J479" s="47">
        <v>0</v>
      </c>
      <c r="K479" s="46">
        <f t="shared" si="115"/>
        <v>0</v>
      </c>
      <c r="L479" s="47">
        <v>0</v>
      </c>
      <c r="AZ479" s="49"/>
      <c r="BC479" s="50"/>
    </row>
    <row r="480" spans="1:55" s="48" customFormat="1" ht="15.45" customHeight="1" outlineLevel="1" x14ac:dyDescent="0.25">
      <c r="A480" s="42">
        <v>8</v>
      </c>
      <c r="B480" s="43" t="s">
        <v>358</v>
      </c>
      <c r="C480" s="44" t="s">
        <v>93</v>
      </c>
      <c r="D480" s="45">
        <v>1</v>
      </c>
      <c r="E480" s="45">
        <v>25.8126</v>
      </c>
      <c r="F480" s="45">
        <f t="shared" si="111"/>
        <v>25.8126</v>
      </c>
      <c r="G480" s="46">
        <f t="shared" si="112"/>
        <v>0</v>
      </c>
      <c r="H480" s="47">
        <f t="shared" si="113"/>
        <v>0</v>
      </c>
      <c r="I480" s="46">
        <f t="shared" si="114"/>
        <v>0</v>
      </c>
      <c r="J480" s="47">
        <v>0</v>
      </c>
      <c r="K480" s="46">
        <f t="shared" si="115"/>
        <v>0</v>
      </c>
      <c r="L480" s="47">
        <v>0</v>
      </c>
      <c r="AZ480" s="49"/>
      <c r="BC480" s="50"/>
    </row>
    <row r="481" spans="1:55" s="48" customFormat="1" ht="15.45" customHeight="1" outlineLevel="1" x14ac:dyDescent="0.25">
      <c r="A481" s="42">
        <v>9</v>
      </c>
      <c r="B481" s="43" t="s">
        <v>359</v>
      </c>
      <c r="C481" s="44" t="s">
        <v>93</v>
      </c>
      <c r="D481" s="45">
        <v>5</v>
      </c>
      <c r="E481" s="45">
        <v>22.5</v>
      </c>
      <c r="F481" s="45">
        <f t="shared" si="111"/>
        <v>112.5</v>
      </c>
      <c r="G481" s="46">
        <f t="shared" si="112"/>
        <v>0</v>
      </c>
      <c r="H481" s="47">
        <f t="shared" si="113"/>
        <v>0</v>
      </c>
      <c r="I481" s="46">
        <f t="shared" si="114"/>
        <v>0</v>
      </c>
      <c r="J481" s="47">
        <v>0</v>
      </c>
      <c r="K481" s="46">
        <f t="shared" si="115"/>
        <v>0</v>
      </c>
      <c r="L481" s="47">
        <v>0</v>
      </c>
      <c r="AZ481" s="49"/>
      <c r="BC481" s="50"/>
    </row>
    <row r="482" spans="1:55" s="48" customFormat="1" ht="15.45" customHeight="1" outlineLevel="1" x14ac:dyDescent="0.25">
      <c r="A482" s="42">
        <v>10</v>
      </c>
      <c r="B482" s="43" t="s">
        <v>360</v>
      </c>
      <c r="C482" s="44" t="s">
        <v>93</v>
      </c>
      <c r="D482" s="45">
        <v>2</v>
      </c>
      <c r="E482" s="45">
        <v>21.79</v>
      </c>
      <c r="F482" s="45">
        <f t="shared" si="111"/>
        <v>43.58</v>
      </c>
      <c r="G482" s="46">
        <f t="shared" si="112"/>
        <v>0</v>
      </c>
      <c r="H482" s="47">
        <f t="shared" si="113"/>
        <v>0</v>
      </c>
      <c r="I482" s="46">
        <f t="shared" si="114"/>
        <v>0</v>
      </c>
      <c r="J482" s="47">
        <v>0</v>
      </c>
      <c r="K482" s="46">
        <f t="shared" si="115"/>
        <v>0</v>
      </c>
      <c r="L482" s="47">
        <v>0</v>
      </c>
      <c r="AZ482" s="49"/>
      <c r="BC482" s="50"/>
    </row>
    <row r="483" spans="1:55" s="48" customFormat="1" ht="15.45" customHeight="1" outlineLevel="1" x14ac:dyDescent="0.25">
      <c r="A483" s="42">
        <v>11</v>
      </c>
      <c r="B483" s="43" t="s">
        <v>361</v>
      </c>
      <c r="C483" s="44" t="s">
        <v>93</v>
      </c>
      <c r="D483" s="45">
        <v>1</v>
      </c>
      <c r="E483" s="45">
        <v>21.498000000000001</v>
      </c>
      <c r="F483" s="45">
        <f t="shared" si="111"/>
        <v>21.498000000000001</v>
      </c>
      <c r="G483" s="46">
        <f t="shared" si="112"/>
        <v>0</v>
      </c>
      <c r="H483" s="47">
        <f t="shared" si="113"/>
        <v>0</v>
      </c>
      <c r="I483" s="46">
        <f t="shared" si="114"/>
        <v>0</v>
      </c>
      <c r="J483" s="47">
        <v>0</v>
      </c>
      <c r="K483" s="46">
        <f t="shared" si="115"/>
        <v>0</v>
      </c>
      <c r="L483" s="47">
        <v>0</v>
      </c>
      <c r="AZ483" s="49"/>
      <c r="BC483" s="50"/>
    </row>
    <row r="484" spans="1:55" s="48" customFormat="1" ht="15.45" customHeight="1" outlineLevel="1" x14ac:dyDescent="0.25">
      <c r="A484" s="42">
        <v>12</v>
      </c>
      <c r="B484" s="43" t="s">
        <v>362</v>
      </c>
      <c r="C484" s="44" t="s">
        <v>93</v>
      </c>
      <c r="D484" s="45">
        <v>16</v>
      </c>
      <c r="E484" s="45">
        <v>13.8704</v>
      </c>
      <c r="F484" s="45">
        <f t="shared" si="111"/>
        <v>221.9264</v>
      </c>
      <c r="G484" s="46">
        <f t="shared" si="112"/>
        <v>0</v>
      </c>
      <c r="H484" s="47">
        <f t="shared" si="113"/>
        <v>0</v>
      </c>
      <c r="I484" s="46">
        <f t="shared" si="114"/>
        <v>0</v>
      </c>
      <c r="J484" s="47">
        <v>0</v>
      </c>
      <c r="K484" s="46">
        <f t="shared" si="115"/>
        <v>0</v>
      </c>
      <c r="L484" s="47">
        <v>0</v>
      </c>
      <c r="AZ484" s="49"/>
      <c r="BC484" s="50"/>
    </row>
    <row r="485" spans="1:55" s="48" customFormat="1" ht="15.45" customHeight="1" outlineLevel="1" x14ac:dyDescent="0.25">
      <c r="A485" s="42">
        <v>13</v>
      </c>
      <c r="B485" s="43" t="s">
        <v>363</v>
      </c>
      <c r="C485" s="44" t="s">
        <v>93</v>
      </c>
      <c r="D485" s="45">
        <v>1</v>
      </c>
      <c r="E485" s="45">
        <v>438.2</v>
      </c>
      <c r="F485" s="45">
        <f t="shared" si="111"/>
        <v>438.2</v>
      </c>
      <c r="G485" s="46">
        <f t="shared" si="112"/>
        <v>0</v>
      </c>
      <c r="H485" s="47">
        <f t="shared" si="113"/>
        <v>0</v>
      </c>
      <c r="I485" s="46">
        <f t="shared" si="114"/>
        <v>0</v>
      </c>
      <c r="J485" s="47">
        <v>0</v>
      </c>
      <c r="K485" s="46">
        <f t="shared" si="115"/>
        <v>0</v>
      </c>
      <c r="L485" s="47">
        <v>0</v>
      </c>
      <c r="AZ485" s="49"/>
      <c r="BC485" s="50"/>
    </row>
    <row r="486" spans="1:55" s="48" customFormat="1" ht="15.45" customHeight="1" outlineLevel="1" x14ac:dyDescent="0.25">
      <c r="A486" s="42">
        <v>14</v>
      </c>
      <c r="B486" s="43" t="s">
        <v>364</v>
      </c>
      <c r="C486" s="44" t="s">
        <v>93</v>
      </c>
      <c r="D486" s="45">
        <v>1</v>
      </c>
      <c r="E486" s="45">
        <v>37.358199999999997</v>
      </c>
      <c r="F486" s="45">
        <f t="shared" si="111"/>
        <v>37.358199999999997</v>
      </c>
      <c r="G486" s="46">
        <f t="shared" si="112"/>
        <v>0</v>
      </c>
      <c r="H486" s="47">
        <f t="shared" si="113"/>
        <v>0</v>
      </c>
      <c r="I486" s="46">
        <f t="shared" si="114"/>
        <v>0</v>
      </c>
      <c r="J486" s="47">
        <v>0</v>
      </c>
      <c r="K486" s="46">
        <f t="shared" si="115"/>
        <v>0</v>
      </c>
      <c r="L486" s="47">
        <v>0</v>
      </c>
      <c r="AZ486" s="49"/>
      <c r="BC486" s="50"/>
    </row>
    <row r="487" spans="1:55" s="48" customFormat="1" ht="41.7" customHeight="1" outlineLevel="1" x14ac:dyDescent="0.25">
      <c r="A487" s="42">
        <v>15</v>
      </c>
      <c r="B487" s="43" t="s">
        <v>365</v>
      </c>
      <c r="C487" s="44" t="s">
        <v>93</v>
      </c>
      <c r="D487" s="45">
        <v>3</v>
      </c>
      <c r="E487" s="45">
        <v>24.017400000000009</v>
      </c>
      <c r="F487" s="45">
        <f t="shared" si="111"/>
        <v>72.052200000000028</v>
      </c>
      <c r="G487" s="46">
        <f t="shared" si="112"/>
        <v>0</v>
      </c>
      <c r="H487" s="47">
        <f t="shared" si="113"/>
        <v>0</v>
      </c>
      <c r="I487" s="46">
        <f t="shared" si="114"/>
        <v>0</v>
      </c>
      <c r="J487" s="47">
        <v>0</v>
      </c>
      <c r="K487" s="46">
        <f t="shared" si="115"/>
        <v>0</v>
      </c>
      <c r="L487" s="47">
        <v>0</v>
      </c>
      <c r="AZ487" s="49"/>
      <c r="BC487" s="50"/>
    </row>
    <row r="488" spans="1:55" s="48" customFormat="1" ht="15.45" customHeight="1" outlineLevel="1" x14ac:dyDescent="0.25">
      <c r="A488" s="42">
        <v>16</v>
      </c>
      <c r="B488" s="43" t="s">
        <v>366</v>
      </c>
      <c r="C488" s="44" t="s">
        <v>93</v>
      </c>
      <c r="D488" s="45">
        <v>3</v>
      </c>
      <c r="E488" s="45">
        <v>37.445</v>
      </c>
      <c r="F488" s="45">
        <f t="shared" si="111"/>
        <v>112.33500000000001</v>
      </c>
      <c r="G488" s="46">
        <f t="shared" si="112"/>
        <v>0</v>
      </c>
      <c r="H488" s="47">
        <f t="shared" si="113"/>
        <v>0</v>
      </c>
      <c r="I488" s="46">
        <f t="shared" si="114"/>
        <v>0</v>
      </c>
      <c r="J488" s="47">
        <v>0</v>
      </c>
      <c r="K488" s="46">
        <f t="shared" si="115"/>
        <v>0</v>
      </c>
      <c r="L488" s="47">
        <v>0</v>
      </c>
      <c r="AZ488" s="49"/>
      <c r="BC488" s="50"/>
    </row>
    <row r="489" spans="1:55" s="48" customFormat="1" ht="27.75" customHeight="1" outlineLevel="1" x14ac:dyDescent="0.25">
      <c r="A489" s="42">
        <v>17</v>
      </c>
      <c r="B489" s="43" t="s">
        <v>367</v>
      </c>
      <c r="C489" s="44" t="s">
        <v>93</v>
      </c>
      <c r="D489" s="45">
        <v>1</v>
      </c>
      <c r="E489" s="45">
        <v>21.79</v>
      </c>
      <c r="F489" s="45">
        <f t="shared" si="111"/>
        <v>21.79</v>
      </c>
      <c r="G489" s="46">
        <f t="shared" si="112"/>
        <v>0</v>
      </c>
      <c r="H489" s="47">
        <f t="shared" si="113"/>
        <v>0</v>
      </c>
      <c r="I489" s="46">
        <f t="shared" si="114"/>
        <v>0</v>
      </c>
      <c r="J489" s="47">
        <v>0</v>
      </c>
      <c r="K489" s="46">
        <f t="shared" si="115"/>
        <v>0</v>
      </c>
      <c r="L489" s="47">
        <v>0</v>
      </c>
      <c r="AZ489" s="49"/>
      <c r="BC489" s="50"/>
    </row>
    <row r="490" spans="1:55" s="48" customFormat="1" ht="27.75" customHeight="1" outlineLevel="1" x14ac:dyDescent="0.25">
      <c r="A490" s="42">
        <v>18</v>
      </c>
      <c r="B490" s="43" t="s">
        <v>368</v>
      </c>
      <c r="C490" s="44" t="s">
        <v>93</v>
      </c>
      <c r="D490" s="45">
        <v>1</v>
      </c>
      <c r="E490" s="45">
        <v>28.231999999999999</v>
      </c>
      <c r="F490" s="45">
        <f t="shared" si="111"/>
        <v>28.231999999999999</v>
      </c>
      <c r="G490" s="46">
        <f t="shared" si="112"/>
        <v>0</v>
      </c>
      <c r="H490" s="47">
        <f t="shared" si="113"/>
        <v>0</v>
      </c>
      <c r="I490" s="46">
        <f t="shared" si="114"/>
        <v>0</v>
      </c>
      <c r="J490" s="47">
        <v>0</v>
      </c>
      <c r="K490" s="46">
        <f t="shared" si="115"/>
        <v>0</v>
      </c>
      <c r="L490" s="47">
        <v>0</v>
      </c>
      <c r="AZ490" s="49"/>
      <c r="BC490" s="50"/>
    </row>
    <row r="491" spans="1:55" s="48" customFormat="1" ht="27.75" customHeight="1" outlineLevel="1" x14ac:dyDescent="0.25">
      <c r="A491" s="42">
        <v>19</v>
      </c>
      <c r="B491" s="43" t="s">
        <v>369</v>
      </c>
      <c r="C491" s="44" t="s">
        <v>93</v>
      </c>
      <c r="D491" s="45">
        <v>1</v>
      </c>
      <c r="E491" s="45">
        <v>24.017400000000009</v>
      </c>
      <c r="F491" s="45">
        <f t="shared" si="111"/>
        <v>24.017400000000009</v>
      </c>
      <c r="G491" s="46">
        <f t="shared" si="112"/>
        <v>0</v>
      </c>
      <c r="H491" s="47">
        <f t="shared" si="113"/>
        <v>0</v>
      </c>
      <c r="I491" s="46">
        <f t="shared" si="114"/>
        <v>0</v>
      </c>
      <c r="J491" s="47">
        <v>0</v>
      </c>
      <c r="K491" s="46">
        <f t="shared" si="115"/>
        <v>0</v>
      </c>
      <c r="L491" s="47">
        <v>0</v>
      </c>
      <c r="AZ491" s="49"/>
      <c r="BC491" s="50"/>
    </row>
    <row r="492" spans="1:55" s="48" customFormat="1" ht="27.75" customHeight="1" outlineLevel="1" x14ac:dyDescent="0.25">
      <c r="A492" s="42">
        <v>20</v>
      </c>
      <c r="B492" s="43" t="s">
        <v>370</v>
      </c>
      <c r="C492" s="44" t="s">
        <v>93</v>
      </c>
      <c r="D492" s="45">
        <v>1</v>
      </c>
      <c r="E492" s="45">
        <v>19.97</v>
      </c>
      <c r="F492" s="45">
        <f t="shared" si="111"/>
        <v>19.97</v>
      </c>
      <c r="G492" s="46">
        <f t="shared" si="112"/>
        <v>0</v>
      </c>
      <c r="H492" s="47">
        <f t="shared" si="113"/>
        <v>0</v>
      </c>
      <c r="I492" s="46">
        <f t="shared" si="114"/>
        <v>0</v>
      </c>
      <c r="J492" s="47">
        <v>0</v>
      </c>
      <c r="K492" s="46">
        <f t="shared" si="115"/>
        <v>0</v>
      </c>
      <c r="L492" s="47">
        <v>0</v>
      </c>
      <c r="AZ492" s="49"/>
      <c r="BC492" s="50"/>
    </row>
    <row r="493" spans="1:55" s="48" customFormat="1" ht="15.45" customHeight="1" outlineLevel="1" x14ac:dyDescent="0.25">
      <c r="A493" s="42">
        <v>21</v>
      </c>
      <c r="B493" s="43" t="s">
        <v>357</v>
      </c>
      <c r="C493" s="44" t="s">
        <v>93</v>
      </c>
      <c r="D493" s="45">
        <v>1</v>
      </c>
      <c r="E493" s="45">
        <v>5.3921999999999999</v>
      </c>
      <c r="F493" s="45">
        <f t="shared" si="111"/>
        <v>5.3921999999999999</v>
      </c>
      <c r="G493" s="46">
        <f t="shared" si="112"/>
        <v>0</v>
      </c>
      <c r="H493" s="47">
        <f t="shared" si="113"/>
        <v>0</v>
      </c>
      <c r="I493" s="46">
        <f t="shared" si="114"/>
        <v>0</v>
      </c>
      <c r="J493" s="47">
        <v>0</v>
      </c>
      <c r="K493" s="46">
        <f t="shared" si="115"/>
        <v>0</v>
      </c>
      <c r="L493" s="47">
        <v>0</v>
      </c>
      <c r="AZ493" s="49"/>
      <c r="BC493" s="50"/>
    </row>
    <row r="494" spans="1:55" s="48" customFormat="1" ht="15.45" customHeight="1" outlineLevel="1" x14ac:dyDescent="0.25">
      <c r="A494" s="42">
        <v>22</v>
      </c>
      <c r="B494" s="43" t="s">
        <v>371</v>
      </c>
      <c r="C494" s="44" t="s">
        <v>93</v>
      </c>
      <c r="D494" s="45">
        <v>1</v>
      </c>
      <c r="E494" s="45">
        <v>5.3921999999999999</v>
      </c>
      <c r="F494" s="45">
        <f t="shared" si="111"/>
        <v>5.3921999999999999</v>
      </c>
      <c r="G494" s="46">
        <f t="shared" si="112"/>
        <v>0</v>
      </c>
      <c r="H494" s="47">
        <f t="shared" si="113"/>
        <v>0</v>
      </c>
      <c r="I494" s="46">
        <f t="shared" si="114"/>
        <v>0</v>
      </c>
      <c r="J494" s="47">
        <v>0</v>
      </c>
      <c r="K494" s="46">
        <f t="shared" si="115"/>
        <v>0</v>
      </c>
      <c r="L494" s="47">
        <v>0</v>
      </c>
      <c r="AZ494" s="49"/>
      <c r="BC494" s="50"/>
    </row>
    <row r="495" spans="1:55" s="48" customFormat="1" ht="15.45" customHeight="1" outlineLevel="1" x14ac:dyDescent="0.25">
      <c r="A495" s="42">
        <v>23</v>
      </c>
      <c r="B495" s="43" t="s">
        <v>359</v>
      </c>
      <c r="C495" s="44" t="s">
        <v>93</v>
      </c>
      <c r="D495" s="45">
        <v>3</v>
      </c>
      <c r="E495" s="45">
        <v>25.8126</v>
      </c>
      <c r="F495" s="45">
        <f t="shared" si="111"/>
        <v>77.437799999999996</v>
      </c>
      <c r="G495" s="46">
        <f t="shared" si="112"/>
        <v>0</v>
      </c>
      <c r="H495" s="47">
        <f t="shared" si="113"/>
        <v>0</v>
      </c>
      <c r="I495" s="46">
        <f t="shared" si="114"/>
        <v>0</v>
      </c>
      <c r="J495" s="47">
        <v>0</v>
      </c>
      <c r="K495" s="46">
        <f t="shared" si="115"/>
        <v>0</v>
      </c>
      <c r="L495" s="47">
        <v>0</v>
      </c>
      <c r="AZ495" s="49"/>
      <c r="BC495" s="50"/>
    </row>
    <row r="496" spans="1:55" s="48" customFormat="1" ht="15.45" customHeight="1" outlineLevel="1" x14ac:dyDescent="0.25">
      <c r="A496" s="42">
        <v>24</v>
      </c>
      <c r="B496" s="43" t="s">
        <v>360</v>
      </c>
      <c r="C496" s="44" t="s">
        <v>93</v>
      </c>
      <c r="D496" s="45">
        <v>1</v>
      </c>
      <c r="E496" s="45">
        <v>21.498000000000001</v>
      </c>
      <c r="F496" s="45">
        <f t="shared" si="111"/>
        <v>21.498000000000001</v>
      </c>
      <c r="G496" s="46">
        <f t="shared" si="112"/>
        <v>0</v>
      </c>
      <c r="H496" s="47">
        <f t="shared" si="113"/>
        <v>0</v>
      </c>
      <c r="I496" s="46">
        <f t="shared" si="114"/>
        <v>0</v>
      </c>
      <c r="J496" s="47">
        <v>0</v>
      </c>
      <c r="K496" s="46">
        <f t="shared" si="115"/>
        <v>0</v>
      </c>
      <c r="L496" s="47">
        <v>0</v>
      </c>
      <c r="AZ496" s="49"/>
      <c r="BC496" s="50"/>
    </row>
    <row r="497" spans="1:55" s="48" customFormat="1" ht="15.45" customHeight="1" outlineLevel="1" x14ac:dyDescent="0.25">
      <c r="A497" s="42">
        <v>25</v>
      </c>
      <c r="B497" s="43" t="s">
        <v>372</v>
      </c>
      <c r="C497" s="44" t="s">
        <v>93</v>
      </c>
      <c r="D497" s="45">
        <v>1</v>
      </c>
      <c r="E497" s="45">
        <v>5.3411999999999988</v>
      </c>
      <c r="F497" s="45">
        <f t="shared" si="111"/>
        <v>5.3411999999999988</v>
      </c>
      <c r="G497" s="46">
        <f t="shared" si="112"/>
        <v>0</v>
      </c>
      <c r="H497" s="47">
        <f t="shared" si="113"/>
        <v>0</v>
      </c>
      <c r="I497" s="46">
        <f t="shared" si="114"/>
        <v>0</v>
      </c>
      <c r="J497" s="47">
        <v>0</v>
      </c>
      <c r="K497" s="46">
        <f t="shared" si="115"/>
        <v>0</v>
      </c>
      <c r="L497" s="47">
        <v>0</v>
      </c>
      <c r="AZ497" s="49"/>
      <c r="BC497" s="50"/>
    </row>
    <row r="498" spans="1:55" s="48" customFormat="1" ht="15.45" customHeight="1" outlineLevel="1" x14ac:dyDescent="0.25">
      <c r="A498" s="42">
        <v>26</v>
      </c>
      <c r="B498" s="43" t="s">
        <v>362</v>
      </c>
      <c r="C498" s="44" t="s">
        <v>93</v>
      </c>
      <c r="D498" s="45">
        <v>7</v>
      </c>
      <c r="E498" s="45">
        <v>12.656599999999999</v>
      </c>
      <c r="F498" s="45">
        <f t="shared" si="111"/>
        <v>88.596199999999996</v>
      </c>
      <c r="G498" s="46">
        <f t="shared" si="112"/>
        <v>0</v>
      </c>
      <c r="H498" s="47">
        <f t="shared" si="113"/>
        <v>0</v>
      </c>
      <c r="I498" s="46">
        <f t="shared" si="114"/>
        <v>0</v>
      </c>
      <c r="J498" s="47">
        <v>0</v>
      </c>
      <c r="K498" s="46">
        <f t="shared" si="115"/>
        <v>0</v>
      </c>
      <c r="L498" s="47">
        <v>0</v>
      </c>
      <c r="AZ498" s="49"/>
      <c r="BC498" s="50"/>
    </row>
    <row r="499" spans="1:55" s="48" customFormat="1" ht="27.75" customHeight="1" outlineLevel="1" x14ac:dyDescent="0.25">
      <c r="A499" s="42">
        <v>27</v>
      </c>
      <c r="B499" s="43" t="s">
        <v>373</v>
      </c>
      <c r="C499" s="44" t="s">
        <v>93</v>
      </c>
      <c r="D499" s="45">
        <v>1</v>
      </c>
      <c r="E499" s="45">
        <v>5.3921999999999999</v>
      </c>
      <c r="F499" s="45">
        <f t="shared" si="111"/>
        <v>5.3921999999999999</v>
      </c>
      <c r="G499" s="46">
        <f t="shared" si="112"/>
        <v>0</v>
      </c>
      <c r="H499" s="47">
        <f t="shared" si="113"/>
        <v>0</v>
      </c>
      <c r="I499" s="46">
        <f t="shared" si="114"/>
        <v>0</v>
      </c>
      <c r="J499" s="47">
        <v>0</v>
      </c>
      <c r="K499" s="46">
        <f t="shared" si="115"/>
        <v>0</v>
      </c>
      <c r="L499" s="47">
        <v>0</v>
      </c>
      <c r="AZ499" s="49"/>
      <c r="BC499" s="50"/>
    </row>
    <row r="500" spans="1:55" s="48" customFormat="1" ht="27.75" customHeight="1" outlineLevel="1" x14ac:dyDescent="0.25">
      <c r="A500" s="42">
        <v>28</v>
      </c>
      <c r="B500" s="43" t="s">
        <v>374</v>
      </c>
      <c r="C500" s="44" t="s">
        <v>93</v>
      </c>
      <c r="D500" s="45">
        <v>1</v>
      </c>
      <c r="E500" s="45">
        <v>51.031200000000013</v>
      </c>
      <c r="F500" s="45">
        <f t="shared" si="111"/>
        <v>51.031200000000013</v>
      </c>
      <c r="G500" s="46">
        <f t="shared" si="112"/>
        <v>0</v>
      </c>
      <c r="H500" s="47">
        <f t="shared" si="113"/>
        <v>0</v>
      </c>
      <c r="I500" s="46">
        <f t="shared" si="114"/>
        <v>0</v>
      </c>
      <c r="J500" s="47">
        <v>0</v>
      </c>
      <c r="K500" s="46">
        <f t="shared" si="115"/>
        <v>0</v>
      </c>
      <c r="L500" s="47">
        <v>0</v>
      </c>
      <c r="AZ500" s="49"/>
      <c r="BC500" s="50"/>
    </row>
    <row r="501" spans="1:55" s="48" customFormat="1" ht="27.75" customHeight="1" outlineLevel="1" x14ac:dyDescent="0.25">
      <c r="A501" s="42">
        <v>29</v>
      </c>
      <c r="B501" s="43" t="s">
        <v>375</v>
      </c>
      <c r="C501" s="44" t="s">
        <v>93</v>
      </c>
      <c r="D501" s="45">
        <v>1</v>
      </c>
      <c r="E501" s="45">
        <v>21.498000000000001</v>
      </c>
      <c r="F501" s="45">
        <f t="shared" si="111"/>
        <v>21.498000000000001</v>
      </c>
      <c r="G501" s="46">
        <f t="shared" si="112"/>
        <v>0</v>
      </c>
      <c r="H501" s="47">
        <f t="shared" si="113"/>
        <v>0</v>
      </c>
      <c r="I501" s="46">
        <f t="shared" si="114"/>
        <v>0</v>
      </c>
      <c r="J501" s="47">
        <v>0</v>
      </c>
      <c r="K501" s="46">
        <f t="shared" si="115"/>
        <v>0</v>
      </c>
      <c r="L501" s="47">
        <v>0</v>
      </c>
      <c r="AZ501" s="49"/>
      <c r="BC501" s="50"/>
    </row>
    <row r="502" spans="1:55" s="48" customFormat="1" ht="27.75" customHeight="1" outlineLevel="1" x14ac:dyDescent="0.25">
      <c r="A502" s="42">
        <v>30</v>
      </c>
      <c r="B502" s="43" t="s">
        <v>370</v>
      </c>
      <c r="C502" s="44" t="s">
        <v>93</v>
      </c>
      <c r="D502" s="45">
        <v>1</v>
      </c>
      <c r="E502" s="45">
        <v>19.97</v>
      </c>
      <c r="F502" s="45">
        <f t="shared" si="111"/>
        <v>19.97</v>
      </c>
      <c r="G502" s="46">
        <f t="shared" si="112"/>
        <v>0</v>
      </c>
      <c r="H502" s="47">
        <f t="shared" si="113"/>
        <v>0</v>
      </c>
      <c r="I502" s="46">
        <f t="shared" si="114"/>
        <v>0</v>
      </c>
      <c r="J502" s="47">
        <v>0</v>
      </c>
      <c r="K502" s="46">
        <f t="shared" si="115"/>
        <v>0</v>
      </c>
      <c r="L502" s="47">
        <v>0</v>
      </c>
      <c r="AZ502" s="49"/>
      <c r="BC502" s="50"/>
    </row>
    <row r="503" spans="1:55" s="48" customFormat="1" ht="15.45" customHeight="1" outlineLevel="1" x14ac:dyDescent="0.25">
      <c r="A503" s="42">
        <v>31</v>
      </c>
      <c r="B503" s="43" t="s">
        <v>376</v>
      </c>
      <c r="C503" s="44" t="s">
        <v>93</v>
      </c>
      <c r="D503" s="45">
        <v>1</v>
      </c>
      <c r="E503" s="45">
        <v>5.3411999999999988</v>
      </c>
      <c r="F503" s="45">
        <f t="shared" si="111"/>
        <v>5.3411999999999988</v>
      </c>
      <c r="G503" s="46">
        <f t="shared" si="112"/>
        <v>0</v>
      </c>
      <c r="H503" s="47">
        <f t="shared" si="113"/>
        <v>0</v>
      </c>
      <c r="I503" s="46">
        <f t="shared" si="114"/>
        <v>0</v>
      </c>
      <c r="J503" s="47">
        <v>0</v>
      </c>
      <c r="K503" s="46">
        <f t="shared" si="115"/>
        <v>0</v>
      </c>
      <c r="L503" s="47">
        <v>0</v>
      </c>
      <c r="AZ503" s="49"/>
      <c r="BC503" s="50"/>
    </row>
    <row r="504" spans="1:55" s="48" customFormat="1" ht="15.45" customHeight="1" outlineLevel="1" x14ac:dyDescent="0.25">
      <c r="A504" s="42">
        <v>32</v>
      </c>
      <c r="B504" s="43" t="s">
        <v>377</v>
      </c>
      <c r="C504" s="44" t="s">
        <v>93</v>
      </c>
      <c r="D504" s="45">
        <v>1</v>
      </c>
      <c r="E504" s="45">
        <v>5.3921999999999999</v>
      </c>
      <c r="F504" s="45">
        <f t="shared" si="111"/>
        <v>5.3921999999999999</v>
      </c>
      <c r="G504" s="46">
        <f t="shared" si="112"/>
        <v>0</v>
      </c>
      <c r="H504" s="47">
        <f t="shared" si="113"/>
        <v>0</v>
      </c>
      <c r="I504" s="46">
        <f t="shared" si="114"/>
        <v>0</v>
      </c>
      <c r="J504" s="47">
        <v>0</v>
      </c>
      <c r="K504" s="46">
        <f t="shared" si="115"/>
        <v>0</v>
      </c>
      <c r="L504" s="47">
        <v>0</v>
      </c>
      <c r="AZ504" s="49"/>
      <c r="BC504" s="50"/>
    </row>
    <row r="505" spans="1:55" s="48" customFormat="1" ht="15.45" customHeight="1" outlineLevel="1" x14ac:dyDescent="0.25">
      <c r="A505" s="42">
        <v>33</v>
      </c>
      <c r="B505" s="43" t="s">
        <v>378</v>
      </c>
      <c r="C505" s="44" t="s">
        <v>93</v>
      </c>
      <c r="D505" s="45">
        <v>7</v>
      </c>
      <c r="E505" s="45">
        <v>5.3921999999999999</v>
      </c>
      <c r="F505" s="45">
        <f t="shared" ref="F505:F536" si="116">+E505*D505</f>
        <v>37.745399999999997</v>
      </c>
      <c r="G505" s="46">
        <f t="shared" ref="G505:G536" si="117">I505+K505</f>
        <v>0</v>
      </c>
      <c r="H505" s="47">
        <f t="shared" ref="H505:H536" si="118">J505+L505</f>
        <v>0</v>
      </c>
      <c r="I505" s="46">
        <f t="shared" ref="I505:I536" si="119">J505/F505</f>
        <v>0</v>
      </c>
      <c r="J505" s="47">
        <v>0</v>
      </c>
      <c r="K505" s="46">
        <f t="shared" ref="K505:K536" si="120">L505/F505</f>
        <v>0</v>
      </c>
      <c r="L505" s="47">
        <v>0</v>
      </c>
      <c r="AZ505" s="49"/>
      <c r="BC505" s="50"/>
    </row>
    <row r="506" spans="1:55" s="48" customFormat="1" ht="15.45" customHeight="1" outlineLevel="1" x14ac:dyDescent="0.25">
      <c r="A506" s="42">
        <v>34</v>
      </c>
      <c r="B506" s="43" t="s">
        <v>372</v>
      </c>
      <c r="C506" s="44" t="s">
        <v>93</v>
      </c>
      <c r="D506" s="45">
        <v>6</v>
      </c>
      <c r="E506" s="45">
        <v>133.85</v>
      </c>
      <c r="F506" s="45">
        <f t="shared" si="116"/>
        <v>803.09999999999991</v>
      </c>
      <c r="G506" s="46">
        <f t="shared" si="117"/>
        <v>0</v>
      </c>
      <c r="H506" s="47">
        <f t="shared" si="118"/>
        <v>0</v>
      </c>
      <c r="I506" s="46">
        <f t="shared" si="119"/>
        <v>0</v>
      </c>
      <c r="J506" s="47">
        <v>0</v>
      </c>
      <c r="K506" s="46">
        <f t="shared" si="120"/>
        <v>0</v>
      </c>
      <c r="L506" s="47">
        <v>0</v>
      </c>
      <c r="AZ506" s="49"/>
      <c r="BC506" s="50"/>
    </row>
    <row r="507" spans="1:55" s="48" customFormat="1" ht="15.45" customHeight="1" outlineLevel="1" x14ac:dyDescent="0.25">
      <c r="A507" s="42">
        <v>35</v>
      </c>
      <c r="B507" s="43" t="s">
        <v>362</v>
      </c>
      <c r="C507" s="44" t="s">
        <v>93</v>
      </c>
      <c r="D507" s="45">
        <v>15</v>
      </c>
      <c r="E507" s="45">
        <v>28.7624</v>
      </c>
      <c r="F507" s="45">
        <f t="shared" si="116"/>
        <v>431.43599999999998</v>
      </c>
      <c r="G507" s="46">
        <f t="shared" si="117"/>
        <v>0</v>
      </c>
      <c r="H507" s="47">
        <f t="shared" si="118"/>
        <v>0</v>
      </c>
      <c r="I507" s="46">
        <f t="shared" si="119"/>
        <v>0</v>
      </c>
      <c r="J507" s="47">
        <v>0</v>
      </c>
      <c r="K507" s="46">
        <f t="shared" si="120"/>
        <v>0</v>
      </c>
      <c r="L507" s="47">
        <v>0</v>
      </c>
      <c r="AZ507" s="49"/>
      <c r="BC507" s="50"/>
    </row>
    <row r="508" spans="1:55" s="48" customFormat="1" ht="27.75" customHeight="1" outlineLevel="1" x14ac:dyDescent="0.25">
      <c r="A508" s="42">
        <v>36</v>
      </c>
      <c r="B508" s="43" t="s">
        <v>379</v>
      </c>
      <c r="C508" s="44" t="s">
        <v>93</v>
      </c>
      <c r="D508" s="45">
        <v>1</v>
      </c>
      <c r="E508" s="45">
        <v>5.3411999999999988</v>
      </c>
      <c r="F508" s="45">
        <f t="shared" si="116"/>
        <v>5.3411999999999988</v>
      </c>
      <c r="G508" s="46">
        <f t="shared" si="117"/>
        <v>0</v>
      </c>
      <c r="H508" s="47">
        <f t="shared" si="118"/>
        <v>0</v>
      </c>
      <c r="I508" s="46">
        <f t="shared" si="119"/>
        <v>0</v>
      </c>
      <c r="J508" s="47">
        <v>0</v>
      </c>
      <c r="K508" s="46">
        <f t="shared" si="120"/>
        <v>0</v>
      </c>
      <c r="L508" s="47">
        <v>0</v>
      </c>
      <c r="AZ508" s="49"/>
      <c r="BC508" s="50"/>
    </row>
    <row r="509" spans="1:55" s="48" customFormat="1" ht="27.75" customHeight="1" outlineLevel="1" x14ac:dyDescent="0.25">
      <c r="A509" s="42">
        <v>37</v>
      </c>
      <c r="B509" s="43" t="s">
        <v>370</v>
      </c>
      <c r="C509" s="44" t="s">
        <v>93</v>
      </c>
      <c r="D509" s="45">
        <v>1</v>
      </c>
      <c r="E509" s="45">
        <v>19.97</v>
      </c>
      <c r="F509" s="45">
        <f t="shared" si="116"/>
        <v>19.97</v>
      </c>
      <c r="G509" s="46">
        <f t="shared" si="117"/>
        <v>0</v>
      </c>
      <c r="H509" s="47">
        <f t="shared" si="118"/>
        <v>0</v>
      </c>
      <c r="I509" s="46">
        <f t="shared" si="119"/>
        <v>0</v>
      </c>
      <c r="J509" s="47">
        <v>0</v>
      </c>
      <c r="K509" s="46">
        <f t="shared" si="120"/>
        <v>0</v>
      </c>
      <c r="L509" s="47">
        <v>0</v>
      </c>
      <c r="AZ509" s="49"/>
      <c r="BC509" s="50"/>
    </row>
    <row r="510" spans="1:55" s="48" customFormat="1" ht="15.45" customHeight="1" outlineLevel="1" x14ac:dyDescent="0.25">
      <c r="A510" s="42">
        <v>38</v>
      </c>
      <c r="B510" s="43" t="s">
        <v>380</v>
      </c>
      <c r="C510" s="44" t="s">
        <v>93</v>
      </c>
      <c r="D510" s="45">
        <v>1</v>
      </c>
      <c r="E510" s="45">
        <v>5.3921999999999999</v>
      </c>
      <c r="F510" s="45">
        <f t="shared" si="116"/>
        <v>5.3921999999999999</v>
      </c>
      <c r="G510" s="46">
        <f t="shared" si="117"/>
        <v>0</v>
      </c>
      <c r="H510" s="47">
        <f t="shared" si="118"/>
        <v>0</v>
      </c>
      <c r="I510" s="46">
        <f t="shared" si="119"/>
        <v>0</v>
      </c>
      <c r="J510" s="47">
        <v>0</v>
      </c>
      <c r="K510" s="46">
        <f t="shared" si="120"/>
        <v>0</v>
      </c>
      <c r="L510" s="47">
        <v>0</v>
      </c>
      <c r="AZ510" s="49"/>
      <c r="BC510" s="50"/>
    </row>
    <row r="511" spans="1:55" s="48" customFormat="1" ht="15.45" customHeight="1" outlineLevel="1" x14ac:dyDescent="0.25">
      <c r="A511" s="42">
        <v>39</v>
      </c>
      <c r="B511" s="43" t="s">
        <v>381</v>
      </c>
      <c r="C511" s="44" t="s">
        <v>93</v>
      </c>
      <c r="D511" s="45">
        <v>2</v>
      </c>
      <c r="E511" s="45">
        <v>5.3921999999999999</v>
      </c>
      <c r="F511" s="45">
        <f t="shared" si="116"/>
        <v>10.7844</v>
      </c>
      <c r="G511" s="46">
        <f t="shared" si="117"/>
        <v>0</v>
      </c>
      <c r="H511" s="47">
        <f t="shared" si="118"/>
        <v>0</v>
      </c>
      <c r="I511" s="46">
        <f t="shared" si="119"/>
        <v>0</v>
      </c>
      <c r="J511" s="47">
        <v>0</v>
      </c>
      <c r="K511" s="46">
        <f t="shared" si="120"/>
        <v>0</v>
      </c>
      <c r="L511" s="47">
        <v>0</v>
      </c>
      <c r="AZ511" s="49"/>
      <c r="BC511" s="50"/>
    </row>
    <row r="512" spans="1:55" s="48" customFormat="1" ht="15.45" customHeight="1" outlineLevel="1" x14ac:dyDescent="0.25">
      <c r="A512" s="42">
        <v>40</v>
      </c>
      <c r="B512" s="43" t="s">
        <v>382</v>
      </c>
      <c r="C512" s="44" t="s">
        <v>93</v>
      </c>
      <c r="D512" s="45">
        <v>1</v>
      </c>
      <c r="E512" s="45">
        <v>21.79</v>
      </c>
      <c r="F512" s="45">
        <f t="shared" si="116"/>
        <v>21.79</v>
      </c>
      <c r="G512" s="46">
        <f t="shared" si="117"/>
        <v>0</v>
      </c>
      <c r="H512" s="47">
        <f t="shared" si="118"/>
        <v>0</v>
      </c>
      <c r="I512" s="46">
        <f t="shared" si="119"/>
        <v>0</v>
      </c>
      <c r="J512" s="47">
        <v>0</v>
      </c>
      <c r="K512" s="46">
        <f t="shared" si="120"/>
        <v>0</v>
      </c>
      <c r="L512" s="47">
        <v>0</v>
      </c>
      <c r="AZ512" s="49"/>
      <c r="BC512" s="50"/>
    </row>
    <row r="513" spans="1:55" s="48" customFormat="1" ht="15.45" customHeight="1" outlineLevel="1" x14ac:dyDescent="0.25">
      <c r="A513" s="42">
        <v>41</v>
      </c>
      <c r="B513" s="43" t="s">
        <v>378</v>
      </c>
      <c r="C513" s="44" t="s">
        <v>93</v>
      </c>
      <c r="D513" s="45">
        <v>12</v>
      </c>
      <c r="E513" s="45">
        <v>21.498000000000001</v>
      </c>
      <c r="F513" s="45">
        <f t="shared" si="116"/>
        <v>257.976</v>
      </c>
      <c r="G513" s="46">
        <f t="shared" si="117"/>
        <v>0</v>
      </c>
      <c r="H513" s="47">
        <f t="shared" si="118"/>
        <v>0</v>
      </c>
      <c r="I513" s="46">
        <f t="shared" si="119"/>
        <v>0</v>
      </c>
      <c r="J513" s="47">
        <v>0</v>
      </c>
      <c r="K513" s="46">
        <f t="shared" si="120"/>
        <v>0</v>
      </c>
      <c r="L513" s="47">
        <v>0</v>
      </c>
      <c r="AZ513" s="49"/>
      <c r="BC513" s="50"/>
    </row>
    <row r="514" spans="1:55" s="48" customFormat="1" ht="15.45" customHeight="1" outlineLevel="1" x14ac:dyDescent="0.25">
      <c r="A514" s="42">
        <v>42</v>
      </c>
      <c r="B514" s="43" t="s">
        <v>372</v>
      </c>
      <c r="C514" s="44" t="s">
        <v>93</v>
      </c>
      <c r="D514" s="45">
        <v>10</v>
      </c>
      <c r="E514" s="45">
        <v>5.3921999999999999</v>
      </c>
      <c r="F514" s="45">
        <f t="shared" si="116"/>
        <v>53.921999999999997</v>
      </c>
      <c r="G514" s="46">
        <f t="shared" si="117"/>
        <v>0</v>
      </c>
      <c r="H514" s="47">
        <f t="shared" si="118"/>
        <v>0</v>
      </c>
      <c r="I514" s="46">
        <f t="shared" si="119"/>
        <v>0</v>
      </c>
      <c r="J514" s="47">
        <v>0</v>
      </c>
      <c r="K514" s="46">
        <f t="shared" si="120"/>
        <v>0</v>
      </c>
      <c r="L514" s="47">
        <v>0</v>
      </c>
      <c r="AZ514" s="49"/>
      <c r="BC514" s="50"/>
    </row>
    <row r="515" spans="1:55" s="48" customFormat="1" ht="15.45" customHeight="1" outlineLevel="1" x14ac:dyDescent="0.25">
      <c r="A515" s="42">
        <v>43</v>
      </c>
      <c r="B515" s="43" t="s">
        <v>362</v>
      </c>
      <c r="C515" s="44" t="s">
        <v>93</v>
      </c>
      <c r="D515" s="45">
        <v>26</v>
      </c>
      <c r="E515" s="45">
        <v>12.656599999999999</v>
      </c>
      <c r="F515" s="45">
        <f t="shared" si="116"/>
        <v>329.07159999999999</v>
      </c>
      <c r="G515" s="46">
        <f t="shared" si="117"/>
        <v>0</v>
      </c>
      <c r="H515" s="47">
        <f t="shared" si="118"/>
        <v>0</v>
      </c>
      <c r="I515" s="46">
        <f t="shared" si="119"/>
        <v>0</v>
      </c>
      <c r="J515" s="47">
        <v>0</v>
      </c>
      <c r="K515" s="46">
        <f t="shared" si="120"/>
        <v>0</v>
      </c>
      <c r="L515" s="47">
        <v>0</v>
      </c>
      <c r="AZ515" s="49"/>
      <c r="BC515" s="50"/>
    </row>
    <row r="516" spans="1:55" s="48" customFormat="1" ht="27.75" customHeight="1" outlineLevel="1" x14ac:dyDescent="0.25">
      <c r="A516" s="42">
        <v>44</v>
      </c>
      <c r="B516" s="43" t="s">
        <v>369</v>
      </c>
      <c r="C516" s="44" t="s">
        <v>93</v>
      </c>
      <c r="D516" s="45">
        <v>1</v>
      </c>
      <c r="E516" s="45">
        <v>32.450000000000003</v>
      </c>
      <c r="F516" s="45">
        <f t="shared" si="116"/>
        <v>32.450000000000003</v>
      </c>
      <c r="G516" s="46">
        <f t="shared" si="117"/>
        <v>0</v>
      </c>
      <c r="H516" s="47">
        <f t="shared" si="118"/>
        <v>0</v>
      </c>
      <c r="I516" s="46">
        <f t="shared" si="119"/>
        <v>0</v>
      </c>
      <c r="J516" s="47">
        <v>0</v>
      </c>
      <c r="K516" s="46">
        <f t="shared" si="120"/>
        <v>0</v>
      </c>
      <c r="L516" s="47">
        <v>0</v>
      </c>
      <c r="AZ516" s="49"/>
      <c r="BC516" s="50"/>
    </row>
    <row r="517" spans="1:55" s="48" customFormat="1" ht="27.75" customHeight="1" outlineLevel="1" x14ac:dyDescent="0.25">
      <c r="A517" s="42">
        <v>45</v>
      </c>
      <c r="B517" s="43" t="s">
        <v>370</v>
      </c>
      <c r="C517" s="44" t="s">
        <v>93</v>
      </c>
      <c r="D517" s="45">
        <v>1</v>
      </c>
      <c r="E517" s="45">
        <v>37.128799999999998</v>
      </c>
      <c r="F517" s="45">
        <f t="shared" si="116"/>
        <v>37.128799999999998</v>
      </c>
      <c r="G517" s="46">
        <f t="shared" si="117"/>
        <v>0</v>
      </c>
      <c r="H517" s="47">
        <f t="shared" si="118"/>
        <v>0</v>
      </c>
      <c r="I517" s="46">
        <f t="shared" si="119"/>
        <v>0</v>
      </c>
      <c r="J517" s="47">
        <v>0</v>
      </c>
      <c r="K517" s="46">
        <f t="shared" si="120"/>
        <v>0</v>
      </c>
      <c r="L517" s="47">
        <v>0</v>
      </c>
      <c r="AZ517" s="49"/>
      <c r="BC517" s="50"/>
    </row>
    <row r="518" spans="1:55" s="48" customFormat="1" ht="15.45" customHeight="1" outlineLevel="1" x14ac:dyDescent="0.25">
      <c r="A518" s="42">
        <v>46</v>
      </c>
      <c r="B518" s="43" t="s">
        <v>356</v>
      </c>
      <c r="C518" s="44" t="s">
        <v>93</v>
      </c>
      <c r="D518" s="45">
        <v>1</v>
      </c>
      <c r="E518" s="45">
        <v>5.3411999999999988</v>
      </c>
      <c r="F518" s="45">
        <f t="shared" si="116"/>
        <v>5.3411999999999988</v>
      </c>
      <c r="G518" s="46">
        <f t="shared" si="117"/>
        <v>0</v>
      </c>
      <c r="H518" s="47">
        <f t="shared" si="118"/>
        <v>0</v>
      </c>
      <c r="I518" s="46">
        <f t="shared" si="119"/>
        <v>0</v>
      </c>
      <c r="J518" s="47">
        <v>0</v>
      </c>
      <c r="K518" s="46">
        <f t="shared" si="120"/>
        <v>0</v>
      </c>
      <c r="L518" s="47">
        <v>0</v>
      </c>
      <c r="AZ518" s="49"/>
      <c r="BC518" s="50"/>
    </row>
    <row r="519" spans="1:55" s="48" customFormat="1" ht="15.45" customHeight="1" outlineLevel="1" x14ac:dyDescent="0.25">
      <c r="A519" s="42">
        <v>47</v>
      </c>
      <c r="B519" s="43" t="s">
        <v>383</v>
      </c>
      <c r="C519" s="44" t="s">
        <v>93</v>
      </c>
      <c r="D519" s="45">
        <v>1</v>
      </c>
      <c r="E519" s="45">
        <v>5.3921999999999999</v>
      </c>
      <c r="F519" s="45">
        <f t="shared" si="116"/>
        <v>5.3921999999999999</v>
      </c>
      <c r="G519" s="46">
        <f t="shared" si="117"/>
        <v>0</v>
      </c>
      <c r="H519" s="47">
        <f t="shared" si="118"/>
        <v>0</v>
      </c>
      <c r="I519" s="46">
        <f t="shared" si="119"/>
        <v>0</v>
      </c>
      <c r="J519" s="47">
        <v>0</v>
      </c>
      <c r="K519" s="46">
        <f t="shared" si="120"/>
        <v>0</v>
      </c>
      <c r="L519" s="47">
        <v>0</v>
      </c>
      <c r="AZ519" s="49"/>
      <c r="BC519" s="50"/>
    </row>
    <row r="520" spans="1:55" s="48" customFormat="1" ht="15.45" customHeight="1" outlineLevel="1" x14ac:dyDescent="0.25">
      <c r="A520" s="42">
        <v>48</v>
      </c>
      <c r="B520" s="43" t="s">
        <v>382</v>
      </c>
      <c r="C520" s="44" t="s">
        <v>93</v>
      </c>
      <c r="D520" s="45">
        <v>1</v>
      </c>
      <c r="E520" s="45">
        <v>5.3921999999999999</v>
      </c>
      <c r="F520" s="45">
        <f t="shared" si="116"/>
        <v>5.3921999999999999</v>
      </c>
      <c r="G520" s="46">
        <f t="shared" si="117"/>
        <v>0</v>
      </c>
      <c r="H520" s="47">
        <f t="shared" si="118"/>
        <v>0</v>
      </c>
      <c r="I520" s="46">
        <f t="shared" si="119"/>
        <v>0</v>
      </c>
      <c r="J520" s="47">
        <v>0</v>
      </c>
      <c r="K520" s="46">
        <f t="shared" si="120"/>
        <v>0</v>
      </c>
      <c r="L520" s="47">
        <v>0</v>
      </c>
      <c r="AZ520" s="49"/>
      <c r="BC520" s="50"/>
    </row>
    <row r="521" spans="1:55" s="48" customFormat="1" ht="15.45" customHeight="1" outlineLevel="1" x14ac:dyDescent="0.25">
      <c r="A521" s="42">
        <v>49</v>
      </c>
      <c r="B521" s="43" t="s">
        <v>384</v>
      </c>
      <c r="C521" s="44" t="s">
        <v>93</v>
      </c>
      <c r="D521" s="45">
        <v>2</v>
      </c>
      <c r="E521" s="45">
        <v>32.450000000000003</v>
      </c>
      <c r="F521" s="45">
        <f t="shared" si="116"/>
        <v>64.900000000000006</v>
      </c>
      <c r="G521" s="46">
        <f t="shared" si="117"/>
        <v>0</v>
      </c>
      <c r="H521" s="47">
        <f t="shared" si="118"/>
        <v>0</v>
      </c>
      <c r="I521" s="46">
        <f t="shared" si="119"/>
        <v>0</v>
      </c>
      <c r="J521" s="47">
        <v>0</v>
      </c>
      <c r="K521" s="46">
        <f t="shared" si="120"/>
        <v>0</v>
      </c>
      <c r="L521" s="47">
        <v>0</v>
      </c>
      <c r="AZ521" s="49"/>
      <c r="BC521" s="50"/>
    </row>
    <row r="522" spans="1:55" s="48" customFormat="1" ht="15.45" customHeight="1" outlineLevel="1" x14ac:dyDescent="0.25">
      <c r="A522" s="42">
        <v>50</v>
      </c>
      <c r="B522" s="43" t="s">
        <v>378</v>
      </c>
      <c r="C522" s="44" t="s">
        <v>93</v>
      </c>
      <c r="D522" s="45">
        <v>16</v>
      </c>
      <c r="E522" s="45">
        <v>7.9931999999999999</v>
      </c>
      <c r="F522" s="45">
        <f t="shared" si="116"/>
        <v>127.8912</v>
      </c>
      <c r="G522" s="46">
        <f t="shared" si="117"/>
        <v>0</v>
      </c>
      <c r="H522" s="47">
        <f t="shared" si="118"/>
        <v>0</v>
      </c>
      <c r="I522" s="46">
        <f t="shared" si="119"/>
        <v>0</v>
      </c>
      <c r="J522" s="47">
        <v>0</v>
      </c>
      <c r="K522" s="46">
        <f t="shared" si="120"/>
        <v>0</v>
      </c>
      <c r="L522" s="47">
        <v>0</v>
      </c>
      <c r="AZ522" s="49"/>
      <c r="BC522" s="50"/>
    </row>
    <row r="523" spans="1:55" s="48" customFormat="1" ht="15.45" customHeight="1" outlineLevel="1" x14ac:dyDescent="0.25">
      <c r="A523" s="42">
        <v>51</v>
      </c>
      <c r="B523" s="43" t="s">
        <v>372</v>
      </c>
      <c r="C523" s="44" t="s">
        <v>93</v>
      </c>
      <c r="D523" s="45">
        <v>6</v>
      </c>
      <c r="E523" s="45">
        <v>5.3411999999999988</v>
      </c>
      <c r="F523" s="45">
        <f t="shared" si="116"/>
        <v>32.047199999999989</v>
      </c>
      <c r="G523" s="46">
        <f t="shared" si="117"/>
        <v>0</v>
      </c>
      <c r="H523" s="47">
        <f t="shared" si="118"/>
        <v>0</v>
      </c>
      <c r="I523" s="46">
        <f t="shared" si="119"/>
        <v>0</v>
      </c>
      <c r="J523" s="47">
        <v>0</v>
      </c>
      <c r="K523" s="46">
        <f t="shared" si="120"/>
        <v>0</v>
      </c>
      <c r="L523" s="47">
        <v>0</v>
      </c>
      <c r="AZ523" s="49"/>
      <c r="BC523" s="50"/>
    </row>
    <row r="524" spans="1:55" s="48" customFormat="1" ht="15.45" customHeight="1" outlineLevel="1" x14ac:dyDescent="0.25">
      <c r="A524" s="42">
        <v>52</v>
      </c>
      <c r="B524" s="43" t="s">
        <v>362</v>
      </c>
      <c r="C524" s="44" t="s">
        <v>93</v>
      </c>
      <c r="D524" s="45">
        <v>27</v>
      </c>
      <c r="E524" s="45">
        <v>12.656599999999999</v>
      </c>
      <c r="F524" s="45">
        <f t="shared" si="116"/>
        <v>341.72819999999996</v>
      </c>
      <c r="G524" s="46">
        <f t="shared" si="117"/>
        <v>0</v>
      </c>
      <c r="H524" s="47">
        <f t="shared" si="118"/>
        <v>0</v>
      </c>
      <c r="I524" s="46">
        <f t="shared" si="119"/>
        <v>0</v>
      </c>
      <c r="J524" s="47">
        <v>0</v>
      </c>
      <c r="K524" s="46">
        <f t="shared" si="120"/>
        <v>0</v>
      </c>
      <c r="L524" s="47">
        <v>0</v>
      </c>
      <c r="AZ524" s="49"/>
      <c r="BC524" s="50"/>
    </row>
    <row r="525" spans="1:55" s="48" customFormat="1" ht="15.45" customHeight="1" outlineLevel="1" x14ac:dyDescent="0.25">
      <c r="A525" s="42">
        <v>53</v>
      </c>
      <c r="B525" s="43" t="s">
        <v>385</v>
      </c>
      <c r="C525" s="44" t="s">
        <v>93</v>
      </c>
      <c r="D525" s="45">
        <v>1</v>
      </c>
      <c r="E525" s="45">
        <v>5.3921999999999999</v>
      </c>
      <c r="F525" s="45">
        <f t="shared" si="116"/>
        <v>5.3921999999999999</v>
      </c>
      <c r="G525" s="46">
        <f t="shared" si="117"/>
        <v>0</v>
      </c>
      <c r="H525" s="47">
        <f t="shared" si="118"/>
        <v>0</v>
      </c>
      <c r="I525" s="46">
        <f t="shared" si="119"/>
        <v>0</v>
      </c>
      <c r="J525" s="47">
        <v>0</v>
      </c>
      <c r="K525" s="46">
        <f t="shared" si="120"/>
        <v>0</v>
      </c>
      <c r="L525" s="47">
        <v>0</v>
      </c>
      <c r="AZ525" s="49"/>
      <c r="BC525" s="50"/>
    </row>
    <row r="526" spans="1:55" s="48" customFormat="1" ht="27.75" customHeight="1" outlineLevel="1" x14ac:dyDescent="0.25">
      <c r="A526" s="42">
        <v>54</v>
      </c>
      <c r="B526" s="43" t="s">
        <v>386</v>
      </c>
      <c r="C526" s="44" t="s">
        <v>93</v>
      </c>
      <c r="D526" s="45">
        <v>1</v>
      </c>
      <c r="E526" s="45">
        <v>36.394399999999997</v>
      </c>
      <c r="F526" s="45">
        <f t="shared" si="116"/>
        <v>36.394399999999997</v>
      </c>
      <c r="G526" s="46">
        <f t="shared" si="117"/>
        <v>0</v>
      </c>
      <c r="H526" s="47">
        <f t="shared" si="118"/>
        <v>0</v>
      </c>
      <c r="I526" s="46">
        <f t="shared" si="119"/>
        <v>0</v>
      </c>
      <c r="J526" s="47">
        <v>0</v>
      </c>
      <c r="K526" s="46">
        <f t="shared" si="120"/>
        <v>0</v>
      </c>
      <c r="L526" s="47">
        <v>0</v>
      </c>
      <c r="AZ526" s="49"/>
      <c r="BC526" s="50"/>
    </row>
    <row r="527" spans="1:55" s="48" customFormat="1" ht="15.45" customHeight="1" outlineLevel="1" x14ac:dyDescent="0.25">
      <c r="A527" s="42">
        <v>55</v>
      </c>
      <c r="B527" s="43" t="s">
        <v>387</v>
      </c>
      <c r="C527" s="44" t="s">
        <v>93</v>
      </c>
      <c r="D527" s="45">
        <v>1</v>
      </c>
      <c r="E527" s="45">
        <v>7.9931999999999999</v>
      </c>
      <c r="F527" s="45">
        <f t="shared" si="116"/>
        <v>7.9931999999999999</v>
      </c>
      <c r="G527" s="46">
        <f t="shared" si="117"/>
        <v>0</v>
      </c>
      <c r="H527" s="47">
        <f t="shared" si="118"/>
        <v>0</v>
      </c>
      <c r="I527" s="46">
        <f t="shared" si="119"/>
        <v>0</v>
      </c>
      <c r="J527" s="47">
        <v>0</v>
      </c>
      <c r="K527" s="46">
        <f t="shared" si="120"/>
        <v>0</v>
      </c>
      <c r="L527" s="47">
        <v>0</v>
      </c>
      <c r="AZ527" s="49"/>
      <c r="BC527" s="50"/>
    </row>
    <row r="528" spans="1:55" s="48" customFormat="1" ht="27.75" customHeight="1" outlineLevel="1" x14ac:dyDescent="0.25">
      <c r="A528" s="42">
        <v>56</v>
      </c>
      <c r="B528" s="43" t="s">
        <v>388</v>
      </c>
      <c r="C528" s="44" t="s">
        <v>93</v>
      </c>
      <c r="D528" s="45">
        <v>1</v>
      </c>
      <c r="E528" s="45">
        <v>31.788</v>
      </c>
      <c r="F528" s="45">
        <f t="shared" si="116"/>
        <v>31.788</v>
      </c>
      <c r="G528" s="46">
        <f t="shared" si="117"/>
        <v>0</v>
      </c>
      <c r="H528" s="47">
        <f t="shared" si="118"/>
        <v>0</v>
      </c>
      <c r="I528" s="46">
        <f t="shared" si="119"/>
        <v>0</v>
      </c>
      <c r="J528" s="47">
        <v>0</v>
      </c>
      <c r="K528" s="46">
        <f t="shared" si="120"/>
        <v>0</v>
      </c>
      <c r="L528" s="47">
        <v>0</v>
      </c>
      <c r="AZ528" s="49"/>
      <c r="BC528" s="50"/>
    </row>
    <row r="529" spans="1:55" s="48" customFormat="1" ht="15.45" customHeight="1" outlineLevel="1" x14ac:dyDescent="0.25">
      <c r="A529" s="42">
        <v>57</v>
      </c>
      <c r="B529" s="43" t="s">
        <v>389</v>
      </c>
      <c r="C529" s="44" t="s">
        <v>61</v>
      </c>
      <c r="D529" s="45">
        <v>0.5</v>
      </c>
      <c r="E529" s="45">
        <v>7.6</v>
      </c>
      <c r="F529" s="45">
        <f t="shared" si="116"/>
        <v>3.8</v>
      </c>
      <c r="G529" s="46">
        <f t="shared" si="117"/>
        <v>0</v>
      </c>
      <c r="H529" s="47">
        <f t="shared" si="118"/>
        <v>0</v>
      </c>
      <c r="I529" s="46">
        <f t="shared" si="119"/>
        <v>0</v>
      </c>
      <c r="J529" s="47">
        <v>0</v>
      </c>
      <c r="K529" s="46">
        <f t="shared" si="120"/>
        <v>0</v>
      </c>
      <c r="L529" s="47">
        <v>0</v>
      </c>
      <c r="AZ529" s="49"/>
      <c r="BC529" s="50"/>
    </row>
    <row r="530" spans="1:55" s="48" customFormat="1" ht="27.75" customHeight="1" outlineLevel="1" x14ac:dyDescent="0.25">
      <c r="A530" s="42">
        <v>58</v>
      </c>
      <c r="B530" s="43" t="s">
        <v>390</v>
      </c>
      <c r="C530" s="44" t="s">
        <v>93</v>
      </c>
      <c r="D530" s="45">
        <v>1</v>
      </c>
      <c r="E530" s="45">
        <v>5.3921999999999999</v>
      </c>
      <c r="F530" s="45">
        <f t="shared" si="116"/>
        <v>5.3921999999999999</v>
      </c>
      <c r="G530" s="46">
        <f t="shared" si="117"/>
        <v>0</v>
      </c>
      <c r="H530" s="47">
        <f t="shared" si="118"/>
        <v>0</v>
      </c>
      <c r="I530" s="46">
        <f t="shared" si="119"/>
        <v>0</v>
      </c>
      <c r="J530" s="47">
        <v>0</v>
      </c>
      <c r="K530" s="46">
        <f t="shared" si="120"/>
        <v>0</v>
      </c>
      <c r="L530" s="47">
        <v>0</v>
      </c>
      <c r="AZ530" s="49"/>
      <c r="BC530" s="50"/>
    </row>
    <row r="531" spans="1:55" s="48" customFormat="1" ht="27.75" customHeight="1" outlineLevel="1" x14ac:dyDescent="0.25">
      <c r="A531" s="42">
        <v>59</v>
      </c>
      <c r="B531" s="43" t="s">
        <v>370</v>
      </c>
      <c r="C531" s="44" t="s">
        <v>93</v>
      </c>
      <c r="D531" s="45">
        <v>1</v>
      </c>
      <c r="E531" s="45">
        <v>36.418799999999997</v>
      </c>
      <c r="F531" s="45">
        <f t="shared" si="116"/>
        <v>36.418799999999997</v>
      </c>
      <c r="G531" s="46">
        <f t="shared" si="117"/>
        <v>0</v>
      </c>
      <c r="H531" s="47">
        <f t="shared" si="118"/>
        <v>0</v>
      </c>
      <c r="I531" s="46">
        <f t="shared" si="119"/>
        <v>0</v>
      </c>
      <c r="J531" s="47">
        <v>0</v>
      </c>
      <c r="K531" s="46">
        <f t="shared" si="120"/>
        <v>0</v>
      </c>
      <c r="L531" s="47">
        <v>0</v>
      </c>
      <c r="AZ531" s="49"/>
      <c r="BC531" s="50"/>
    </row>
    <row r="532" spans="1:55" s="48" customFormat="1" ht="15.45" customHeight="1" outlineLevel="1" x14ac:dyDescent="0.25">
      <c r="A532" s="42">
        <v>60</v>
      </c>
      <c r="B532" s="43" t="s">
        <v>355</v>
      </c>
      <c r="C532" s="44" t="s">
        <v>93</v>
      </c>
      <c r="D532" s="45">
        <v>1</v>
      </c>
      <c r="E532" s="45">
        <v>21.498000000000001</v>
      </c>
      <c r="F532" s="45">
        <f t="shared" si="116"/>
        <v>21.498000000000001</v>
      </c>
      <c r="G532" s="46">
        <f t="shared" si="117"/>
        <v>0</v>
      </c>
      <c r="H532" s="47">
        <f t="shared" si="118"/>
        <v>0</v>
      </c>
      <c r="I532" s="46">
        <f t="shared" si="119"/>
        <v>0</v>
      </c>
      <c r="J532" s="47">
        <v>0</v>
      </c>
      <c r="K532" s="46">
        <f t="shared" si="120"/>
        <v>0</v>
      </c>
      <c r="L532" s="47">
        <v>0</v>
      </c>
      <c r="AZ532" s="49"/>
      <c r="BC532" s="50"/>
    </row>
    <row r="533" spans="1:55" s="48" customFormat="1" ht="15.45" customHeight="1" outlineLevel="1" x14ac:dyDescent="0.25">
      <c r="A533" s="42">
        <v>61</v>
      </c>
      <c r="B533" s="43" t="s">
        <v>383</v>
      </c>
      <c r="C533" s="44" t="s">
        <v>93</v>
      </c>
      <c r="D533" s="45">
        <v>1</v>
      </c>
      <c r="E533" s="45">
        <v>5.3921999999999999</v>
      </c>
      <c r="F533" s="45">
        <f t="shared" si="116"/>
        <v>5.3921999999999999</v>
      </c>
      <c r="G533" s="46">
        <f t="shared" si="117"/>
        <v>0</v>
      </c>
      <c r="H533" s="47">
        <f t="shared" si="118"/>
        <v>0</v>
      </c>
      <c r="I533" s="46">
        <f t="shared" si="119"/>
        <v>0</v>
      </c>
      <c r="J533" s="47">
        <v>0</v>
      </c>
      <c r="K533" s="46">
        <f t="shared" si="120"/>
        <v>0</v>
      </c>
      <c r="L533" s="47">
        <v>0</v>
      </c>
      <c r="AZ533" s="49"/>
      <c r="BC533" s="50"/>
    </row>
    <row r="534" spans="1:55" s="48" customFormat="1" ht="15.45" customHeight="1" outlineLevel="1" x14ac:dyDescent="0.25">
      <c r="A534" s="42">
        <v>62</v>
      </c>
      <c r="B534" s="43" t="s">
        <v>382</v>
      </c>
      <c r="C534" s="44" t="s">
        <v>93</v>
      </c>
      <c r="D534" s="45">
        <v>1</v>
      </c>
      <c r="E534" s="45">
        <v>425.9</v>
      </c>
      <c r="F534" s="45">
        <f t="shared" si="116"/>
        <v>425.9</v>
      </c>
      <c r="G534" s="46">
        <f t="shared" si="117"/>
        <v>0</v>
      </c>
      <c r="H534" s="47">
        <f t="shared" si="118"/>
        <v>0</v>
      </c>
      <c r="I534" s="46">
        <f t="shared" si="119"/>
        <v>0</v>
      </c>
      <c r="J534" s="47">
        <v>0</v>
      </c>
      <c r="K534" s="46">
        <f t="shared" si="120"/>
        <v>0</v>
      </c>
      <c r="L534" s="47">
        <v>0</v>
      </c>
      <c r="AZ534" s="49"/>
      <c r="BC534" s="50"/>
    </row>
    <row r="535" spans="1:55" s="48" customFormat="1" ht="15.45" customHeight="1" outlineLevel="1" x14ac:dyDescent="0.25">
      <c r="A535" s="42">
        <v>63</v>
      </c>
      <c r="B535" s="43" t="s">
        <v>384</v>
      </c>
      <c r="C535" s="44" t="s">
        <v>93</v>
      </c>
      <c r="D535" s="45">
        <v>4</v>
      </c>
      <c r="E535" s="45">
        <v>21.79</v>
      </c>
      <c r="F535" s="45">
        <f t="shared" si="116"/>
        <v>87.16</v>
      </c>
      <c r="G535" s="46">
        <f t="shared" si="117"/>
        <v>0</v>
      </c>
      <c r="H535" s="47">
        <f t="shared" si="118"/>
        <v>0</v>
      </c>
      <c r="I535" s="46">
        <f t="shared" si="119"/>
        <v>0</v>
      </c>
      <c r="J535" s="47">
        <v>0</v>
      </c>
      <c r="K535" s="46">
        <f t="shared" si="120"/>
        <v>0</v>
      </c>
      <c r="L535" s="47">
        <v>0</v>
      </c>
      <c r="AZ535" s="49"/>
      <c r="BC535" s="50"/>
    </row>
    <row r="536" spans="1:55" s="48" customFormat="1" ht="15.45" customHeight="1" outlineLevel="1" x14ac:dyDescent="0.25">
      <c r="A536" s="42">
        <v>64</v>
      </c>
      <c r="B536" s="43" t="s">
        <v>378</v>
      </c>
      <c r="C536" s="44" t="s">
        <v>93</v>
      </c>
      <c r="D536" s="45">
        <v>20</v>
      </c>
      <c r="E536" s="45">
        <v>21.498000000000001</v>
      </c>
      <c r="F536" s="45">
        <f t="shared" si="116"/>
        <v>429.96000000000004</v>
      </c>
      <c r="G536" s="46">
        <f t="shared" si="117"/>
        <v>0</v>
      </c>
      <c r="H536" s="47">
        <f t="shared" si="118"/>
        <v>0</v>
      </c>
      <c r="I536" s="46">
        <f t="shared" si="119"/>
        <v>0</v>
      </c>
      <c r="J536" s="47">
        <v>0</v>
      </c>
      <c r="K536" s="46">
        <f t="shared" si="120"/>
        <v>0</v>
      </c>
      <c r="L536" s="47">
        <v>0</v>
      </c>
      <c r="AZ536" s="49"/>
      <c r="BC536" s="50"/>
    </row>
    <row r="537" spans="1:55" s="48" customFormat="1" ht="15.45" customHeight="1" outlineLevel="1" x14ac:dyDescent="0.25">
      <c r="A537" s="42">
        <v>65</v>
      </c>
      <c r="B537" s="43" t="s">
        <v>372</v>
      </c>
      <c r="C537" s="44" t="s">
        <v>93</v>
      </c>
      <c r="D537" s="45">
        <v>6</v>
      </c>
      <c r="E537" s="45">
        <v>5.3921999999999999</v>
      </c>
      <c r="F537" s="45">
        <f t="shared" ref="F537:F568" si="121">+E537*D537</f>
        <v>32.353200000000001</v>
      </c>
      <c r="G537" s="46">
        <f t="shared" ref="G537:G568" si="122">I537+K537</f>
        <v>0</v>
      </c>
      <c r="H537" s="47">
        <f t="shared" ref="H537:H568" si="123">J537+L537</f>
        <v>0</v>
      </c>
      <c r="I537" s="46">
        <f t="shared" ref="I537:I568" si="124">J537/F537</f>
        <v>0</v>
      </c>
      <c r="J537" s="47">
        <v>0</v>
      </c>
      <c r="K537" s="46">
        <f t="shared" ref="K537:K568" si="125">L537/F537</f>
        <v>0</v>
      </c>
      <c r="L537" s="47">
        <v>0</v>
      </c>
      <c r="AZ537" s="49"/>
      <c r="BC537" s="50"/>
    </row>
    <row r="538" spans="1:55" s="48" customFormat="1" ht="15.45" customHeight="1" outlineLevel="1" x14ac:dyDescent="0.25">
      <c r="A538" s="42">
        <v>66</v>
      </c>
      <c r="B538" s="43" t="s">
        <v>362</v>
      </c>
      <c r="C538" s="44" t="s">
        <v>93</v>
      </c>
      <c r="D538" s="45">
        <v>33</v>
      </c>
      <c r="E538" s="45">
        <v>12.656599999999999</v>
      </c>
      <c r="F538" s="45">
        <f t="shared" si="121"/>
        <v>417.6678</v>
      </c>
      <c r="G538" s="46">
        <f t="shared" si="122"/>
        <v>0</v>
      </c>
      <c r="H538" s="47">
        <f t="shared" si="123"/>
        <v>0</v>
      </c>
      <c r="I538" s="46">
        <f t="shared" si="124"/>
        <v>0</v>
      </c>
      <c r="J538" s="47">
        <v>0</v>
      </c>
      <c r="K538" s="46">
        <f t="shared" si="125"/>
        <v>0</v>
      </c>
      <c r="L538" s="47">
        <v>0</v>
      </c>
      <c r="AZ538" s="49"/>
      <c r="BC538" s="50"/>
    </row>
    <row r="539" spans="1:55" s="48" customFormat="1" ht="15.45" customHeight="1" outlineLevel="1" x14ac:dyDescent="0.25">
      <c r="A539" s="42">
        <v>67</v>
      </c>
      <c r="B539" s="43" t="s">
        <v>385</v>
      </c>
      <c r="C539" s="44" t="s">
        <v>93</v>
      </c>
      <c r="D539" s="45">
        <v>1</v>
      </c>
      <c r="E539" s="45">
        <v>21.79</v>
      </c>
      <c r="F539" s="45">
        <f t="shared" si="121"/>
        <v>21.79</v>
      </c>
      <c r="G539" s="46">
        <f t="shared" si="122"/>
        <v>0</v>
      </c>
      <c r="H539" s="47">
        <f t="shared" si="123"/>
        <v>0</v>
      </c>
      <c r="I539" s="46">
        <f t="shared" si="124"/>
        <v>0</v>
      </c>
      <c r="J539" s="47">
        <v>0</v>
      </c>
      <c r="K539" s="46">
        <f t="shared" si="125"/>
        <v>0</v>
      </c>
      <c r="L539" s="47">
        <v>0</v>
      </c>
      <c r="AZ539" s="49"/>
      <c r="BC539" s="50"/>
    </row>
    <row r="540" spans="1:55" s="48" customFormat="1" ht="27.75" customHeight="1" outlineLevel="1" x14ac:dyDescent="0.25">
      <c r="A540" s="42">
        <v>68</v>
      </c>
      <c r="B540" s="43" t="s">
        <v>386</v>
      </c>
      <c r="C540" s="44" t="s">
        <v>93</v>
      </c>
      <c r="D540" s="45">
        <v>1</v>
      </c>
      <c r="E540" s="45">
        <v>35.392400000000002</v>
      </c>
      <c r="F540" s="45">
        <f t="shared" si="121"/>
        <v>35.392400000000002</v>
      </c>
      <c r="G540" s="46">
        <f t="shared" si="122"/>
        <v>0</v>
      </c>
      <c r="H540" s="47">
        <f t="shared" si="123"/>
        <v>0</v>
      </c>
      <c r="I540" s="46">
        <f t="shared" si="124"/>
        <v>0</v>
      </c>
      <c r="J540" s="47">
        <v>0</v>
      </c>
      <c r="K540" s="46">
        <f t="shared" si="125"/>
        <v>0</v>
      </c>
      <c r="L540" s="47">
        <v>0</v>
      </c>
      <c r="AZ540" s="49"/>
      <c r="BC540" s="50"/>
    </row>
    <row r="541" spans="1:55" s="48" customFormat="1" ht="15.45" customHeight="1" outlineLevel="1" x14ac:dyDescent="0.25">
      <c r="A541" s="42">
        <v>69</v>
      </c>
      <c r="B541" s="43" t="s">
        <v>387</v>
      </c>
      <c r="C541" s="44" t="s">
        <v>93</v>
      </c>
      <c r="D541" s="45">
        <v>1</v>
      </c>
      <c r="E541" s="45">
        <v>5.3921999999999999</v>
      </c>
      <c r="F541" s="45">
        <f t="shared" si="121"/>
        <v>5.3921999999999999</v>
      </c>
      <c r="G541" s="46">
        <f t="shared" si="122"/>
        <v>0</v>
      </c>
      <c r="H541" s="47">
        <f t="shared" si="123"/>
        <v>0</v>
      </c>
      <c r="I541" s="46">
        <f t="shared" si="124"/>
        <v>0</v>
      </c>
      <c r="J541" s="47">
        <v>0</v>
      </c>
      <c r="K541" s="46">
        <f t="shared" si="125"/>
        <v>0</v>
      </c>
      <c r="L541" s="47">
        <v>0</v>
      </c>
      <c r="AZ541" s="49"/>
      <c r="BC541" s="50"/>
    </row>
    <row r="542" spans="1:55" s="48" customFormat="1" ht="27.75" customHeight="1" outlineLevel="1" x14ac:dyDescent="0.25">
      <c r="A542" s="42">
        <v>70</v>
      </c>
      <c r="B542" s="43" t="s">
        <v>388</v>
      </c>
      <c r="C542" s="44" t="s">
        <v>93</v>
      </c>
      <c r="D542" s="45">
        <v>1</v>
      </c>
      <c r="E542" s="45">
        <v>15.3902</v>
      </c>
      <c r="F542" s="45">
        <f t="shared" si="121"/>
        <v>15.3902</v>
      </c>
      <c r="G542" s="46">
        <f t="shared" si="122"/>
        <v>0</v>
      </c>
      <c r="H542" s="47">
        <f t="shared" si="123"/>
        <v>0</v>
      </c>
      <c r="I542" s="46">
        <f t="shared" si="124"/>
        <v>0</v>
      </c>
      <c r="J542" s="47">
        <v>0</v>
      </c>
      <c r="K542" s="46">
        <f t="shared" si="125"/>
        <v>0</v>
      </c>
      <c r="L542" s="47">
        <v>0</v>
      </c>
      <c r="AZ542" s="49"/>
      <c r="BC542" s="50"/>
    </row>
    <row r="543" spans="1:55" s="48" customFormat="1" ht="15.45" customHeight="1" outlineLevel="1" x14ac:dyDescent="0.25">
      <c r="A543" s="42">
        <v>71</v>
      </c>
      <c r="B543" s="43" t="s">
        <v>389</v>
      </c>
      <c r="C543" s="44" t="s">
        <v>61</v>
      </c>
      <c r="D543" s="45">
        <v>0.5</v>
      </c>
      <c r="E543" s="45">
        <v>7.6</v>
      </c>
      <c r="F543" s="45">
        <f t="shared" si="121"/>
        <v>3.8</v>
      </c>
      <c r="G543" s="46">
        <f t="shared" si="122"/>
        <v>0</v>
      </c>
      <c r="H543" s="47">
        <f t="shared" si="123"/>
        <v>0</v>
      </c>
      <c r="I543" s="46">
        <f t="shared" si="124"/>
        <v>0</v>
      </c>
      <c r="J543" s="47">
        <v>0</v>
      </c>
      <c r="K543" s="46">
        <f t="shared" si="125"/>
        <v>0</v>
      </c>
      <c r="L543" s="47">
        <v>0</v>
      </c>
      <c r="AZ543" s="49"/>
      <c r="BC543" s="50"/>
    </row>
    <row r="544" spans="1:55" s="48" customFormat="1" ht="27.75" customHeight="1" outlineLevel="1" x14ac:dyDescent="0.25">
      <c r="A544" s="42">
        <v>72</v>
      </c>
      <c r="B544" s="43" t="s">
        <v>369</v>
      </c>
      <c r="C544" s="44" t="s">
        <v>93</v>
      </c>
      <c r="D544" s="45">
        <v>1</v>
      </c>
      <c r="E544" s="45">
        <v>51.811999999999998</v>
      </c>
      <c r="F544" s="45">
        <f t="shared" si="121"/>
        <v>51.811999999999998</v>
      </c>
      <c r="G544" s="46">
        <f t="shared" si="122"/>
        <v>0</v>
      </c>
      <c r="H544" s="47">
        <f t="shared" si="123"/>
        <v>0</v>
      </c>
      <c r="I544" s="46">
        <f t="shared" si="124"/>
        <v>0</v>
      </c>
      <c r="J544" s="47">
        <v>0</v>
      </c>
      <c r="K544" s="46">
        <f t="shared" si="125"/>
        <v>0</v>
      </c>
      <c r="L544" s="47">
        <v>0</v>
      </c>
      <c r="AZ544" s="49"/>
      <c r="BC544" s="50"/>
    </row>
    <row r="545" spans="1:55" s="48" customFormat="1" ht="27.75" customHeight="1" outlineLevel="1" x14ac:dyDescent="0.25">
      <c r="A545" s="42">
        <v>73</v>
      </c>
      <c r="B545" s="43" t="s">
        <v>370</v>
      </c>
      <c r="C545" s="44" t="s">
        <v>93</v>
      </c>
      <c r="D545" s="45">
        <v>1</v>
      </c>
      <c r="E545" s="45">
        <v>36.422199999999997</v>
      </c>
      <c r="F545" s="45">
        <f t="shared" si="121"/>
        <v>36.422199999999997</v>
      </c>
      <c r="G545" s="46">
        <f t="shared" si="122"/>
        <v>0</v>
      </c>
      <c r="H545" s="47">
        <f t="shared" si="123"/>
        <v>0</v>
      </c>
      <c r="I545" s="46">
        <f t="shared" si="124"/>
        <v>0</v>
      </c>
      <c r="J545" s="47">
        <v>0</v>
      </c>
      <c r="K545" s="46">
        <f t="shared" si="125"/>
        <v>0</v>
      </c>
      <c r="L545" s="47">
        <v>0</v>
      </c>
      <c r="AZ545" s="49"/>
      <c r="BC545" s="50"/>
    </row>
    <row r="546" spans="1:55" s="48" customFormat="1" ht="15.45" customHeight="1" outlineLevel="1" x14ac:dyDescent="0.25">
      <c r="A546" s="42">
        <v>74</v>
      </c>
      <c r="B546" s="43" t="s">
        <v>360</v>
      </c>
      <c r="C546" s="44" t="s">
        <v>93</v>
      </c>
      <c r="D546" s="45">
        <v>1</v>
      </c>
      <c r="E546" s="45">
        <v>20.79</v>
      </c>
      <c r="F546" s="45">
        <f t="shared" si="121"/>
        <v>20.79</v>
      </c>
      <c r="G546" s="46">
        <f t="shared" si="122"/>
        <v>0</v>
      </c>
      <c r="H546" s="47">
        <f t="shared" si="123"/>
        <v>0</v>
      </c>
      <c r="I546" s="46">
        <f t="shared" si="124"/>
        <v>0</v>
      </c>
      <c r="J546" s="47">
        <v>0</v>
      </c>
      <c r="K546" s="46">
        <f t="shared" si="125"/>
        <v>0</v>
      </c>
      <c r="L546" s="47">
        <v>0</v>
      </c>
      <c r="AZ546" s="49"/>
      <c r="BC546" s="50"/>
    </row>
    <row r="547" spans="1:55" s="48" customFormat="1" ht="15.45" customHeight="1" outlineLevel="1" x14ac:dyDescent="0.25">
      <c r="A547" s="42">
        <v>75</v>
      </c>
      <c r="B547" s="43" t="s">
        <v>383</v>
      </c>
      <c r="C547" s="44" t="s">
        <v>93</v>
      </c>
      <c r="D547" s="45">
        <v>1</v>
      </c>
      <c r="E547" s="45">
        <v>20.498000000000001</v>
      </c>
      <c r="F547" s="45">
        <f t="shared" si="121"/>
        <v>20.498000000000001</v>
      </c>
      <c r="G547" s="46">
        <f t="shared" si="122"/>
        <v>0</v>
      </c>
      <c r="H547" s="47">
        <f t="shared" si="123"/>
        <v>0</v>
      </c>
      <c r="I547" s="46">
        <f t="shared" si="124"/>
        <v>0</v>
      </c>
      <c r="J547" s="47">
        <v>0</v>
      </c>
      <c r="K547" s="46">
        <f t="shared" si="125"/>
        <v>0</v>
      </c>
      <c r="L547" s="47">
        <v>0</v>
      </c>
      <c r="AZ547" s="49"/>
      <c r="BC547" s="50"/>
    </row>
    <row r="548" spans="1:55" s="48" customFormat="1" ht="15.45" customHeight="1" outlineLevel="1" x14ac:dyDescent="0.25">
      <c r="A548" s="42">
        <v>76</v>
      </c>
      <c r="B548" s="43" t="s">
        <v>378</v>
      </c>
      <c r="C548" s="44" t="s">
        <v>93</v>
      </c>
      <c r="D548" s="45">
        <v>6</v>
      </c>
      <c r="E548" s="45">
        <v>4.3921999999999999</v>
      </c>
      <c r="F548" s="45">
        <f t="shared" si="121"/>
        <v>26.353200000000001</v>
      </c>
      <c r="G548" s="46">
        <f t="shared" si="122"/>
        <v>0</v>
      </c>
      <c r="H548" s="47">
        <f t="shared" si="123"/>
        <v>0</v>
      </c>
      <c r="I548" s="46">
        <f t="shared" si="124"/>
        <v>0</v>
      </c>
      <c r="J548" s="47">
        <v>0</v>
      </c>
      <c r="K548" s="46">
        <f t="shared" si="125"/>
        <v>0</v>
      </c>
      <c r="L548" s="47">
        <v>0</v>
      </c>
      <c r="AZ548" s="49"/>
      <c r="BC548" s="50"/>
    </row>
    <row r="549" spans="1:55" s="48" customFormat="1" ht="15.45" customHeight="1" outlineLevel="1" x14ac:dyDescent="0.25">
      <c r="A549" s="42">
        <v>77</v>
      </c>
      <c r="B549" s="43" t="s">
        <v>372</v>
      </c>
      <c r="C549" s="44" t="s">
        <v>93</v>
      </c>
      <c r="D549" s="45">
        <v>11</v>
      </c>
      <c r="E549" s="45">
        <v>4.3921999999999999</v>
      </c>
      <c r="F549" s="45">
        <f t="shared" si="121"/>
        <v>48.3142</v>
      </c>
      <c r="G549" s="46">
        <f t="shared" si="122"/>
        <v>0</v>
      </c>
      <c r="H549" s="47">
        <f t="shared" si="123"/>
        <v>0</v>
      </c>
      <c r="I549" s="46">
        <f t="shared" si="124"/>
        <v>0</v>
      </c>
      <c r="J549" s="47">
        <v>0</v>
      </c>
      <c r="K549" s="46">
        <f t="shared" si="125"/>
        <v>0</v>
      </c>
      <c r="L549" s="47">
        <v>0</v>
      </c>
      <c r="AZ549" s="49"/>
      <c r="BC549" s="50"/>
    </row>
    <row r="550" spans="1:55" s="48" customFormat="1" ht="15.45" customHeight="1" outlineLevel="1" x14ac:dyDescent="0.25">
      <c r="A550" s="42">
        <v>78</v>
      </c>
      <c r="B550" s="43" t="s">
        <v>362</v>
      </c>
      <c r="C550" s="44" t="s">
        <v>93</v>
      </c>
      <c r="D550" s="45">
        <v>19</v>
      </c>
      <c r="E550" s="45">
        <v>14.879799999999999</v>
      </c>
      <c r="F550" s="45">
        <f t="shared" si="121"/>
        <v>282.71620000000001</v>
      </c>
      <c r="G550" s="46">
        <f t="shared" si="122"/>
        <v>0</v>
      </c>
      <c r="H550" s="47">
        <f t="shared" si="123"/>
        <v>0</v>
      </c>
      <c r="I550" s="46">
        <f t="shared" si="124"/>
        <v>0</v>
      </c>
      <c r="J550" s="47">
        <v>0</v>
      </c>
      <c r="K550" s="46">
        <f t="shared" si="125"/>
        <v>0</v>
      </c>
      <c r="L550" s="47">
        <v>0</v>
      </c>
      <c r="AZ550" s="49"/>
      <c r="BC550" s="50"/>
    </row>
    <row r="551" spans="1:55" s="48" customFormat="1" ht="15.45" customHeight="1" outlineLevel="1" x14ac:dyDescent="0.25">
      <c r="A551" s="42">
        <v>79</v>
      </c>
      <c r="B551" s="43" t="s">
        <v>385</v>
      </c>
      <c r="C551" s="44" t="s">
        <v>93</v>
      </c>
      <c r="D551" s="45">
        <v>1</v>
      </c>
      <c r="E551" s="45">
        <v>15.887600000000001</v>
      </c>
      <c r="F551" s="45">
        <f t="shared" si="121"/>
        <v>15.887600000000001</v>
      </c>
      <c r="G551" s="46">
        <f t="shared" si="122"/>
        <v>0</v>
      </c>
      <c r="H551" s="47">
        <f t="shared" si="123"/>
        <v>0</v>
      </c>
      <c r="I551" s="46">
        <f t="shared" si="124"/>
        <v>0</v>
      </c>
      <c r="J551" s="47">
        <v>0</v>
      </c>
      <c r="K551" s="46">
        <f t="shared" si="125"/>
        <v>0</v>
      </c>
      <c r="L551" s="47">
        <v>0</v>
      </c>
      <c r="AZ551" s="49"/>
      <c r="BC551" s="50"/>
    </row>
    <row r="552" spans="1:55" s="48" customFormat="1" ht="27.75" customHeight="1" outlineLevel="1" x14ac:dyDescent="0.25">
      <c r="A552" s="42">
        <v>80</v>
      </c>
      <c r="B552" s="43" t="s">
        <v>386</v>
      </c>
      <c r="C552" s="44" t="s">
        <v>93</v>
      </c>
      <c r="D552" s="45">
        <v>1</v>
      </c>
      <c r="E552" s="45">
        <v>29.629000000000001</v>
      </c>
      <c r="F552" s="45">
        <f t="shared" si="121"/>
        <v>29.629000000000001</v>
      </c>
      <c r="G552" s="46">
        <f t="shared" si="122"/>
        <v>0</v>
      </c>
      <c r="H552" s="47">
        <f t="shared" si="123"/>
        <v>0</v>
      </c>
      <c r="I552" s="46">
        <f t="shared" si="124"/>
        <v>0</v>
      </c>
      <c r="J552" s="47">
        <v>0</v>
      </c>
      <c r="K552" s="46">
        <f t="shared" si="125"/>
        <v>0</v>
      </c>
      <c r="L552" s="47">
        <v>0</v>
      </c>
      <c r="AZ552" s="49"/>
      <c r="BC552" s="50"/>
    </row>
    <row r="553" spans="1:55" s="48" customFormat="1" ht="15.45" customHeight="1" outlineLevel="1" x14ac:dyDescent="0.25">
      <c r="A553" s="42">
        <v>81</v>
      </c>
      <c r="B553" s="43" t="s">
        <v>391</v>
      </c>
      <c r="C553" s="44" t="s">
        <v>93</v>
      </c>
      <c r="D553" s="45">
        <v>1</v>
      </c>
      <c r="E553" s="45">
        <v>13.990399999999999</v>
      </c>
      <c r="F553" s="45">
        <f t="shared" si="121"/>
        <v>13.990399999999999</v>
      </c>
      <c r="G553" s="46">
        <f t="shared" si="122"/>
        <v>0</v>
      </c>
      <c r="H553" s="47">
        <f t="shared" si="123"/>
        <v>0</v>
      </c>
      <c r="I553" s="46">
        <f t="shared" si="124"/>
        <v>0</v>
      </c>
      <c r="J553" s="47">
        <v>0</v>
      </c>
      <c r="K553" s="46">
        <f t="shared" si="125"/>
        <v>0</v>
      </c>
      <c r="L553" s="47">
        <v>0</v>
      </c>
      <c r="AZ553" s="49"/>
      <c r="BC553" s="50"/>
    </row>
    <row r="554" spans="1:55" s="48" customFormat="1" ht="27.75" customHeight="1" outlineLevel="1" x14ac:dyDescent="0.25">
      <c r="A554" s="42">
        <v>82</v>
      </c>
      <c r="B554" s="43" t="s">
        <v>388</v>
      </c>
      <c r="C554" s="44" t="s">
        <v>93</v>
      </c>
      <c r="D554" s="45">
        <v>1</v>
      </c>
      <c r="E554" s="45">
        <v>21.203800000000001</v>
      </c>
      <c r="F554" s="45">
        <f t="shared" si="121"/>
        <v>21.203800000000001</v>
      </c>
      <c r="G554" s="46">
        <f t="shared" si="122"/>
        <v>0</v>
      </c>
      <c r="H554" s="47">
        <f t="shared" si="123"/>
        <v>0</v>
      </c>
      <c r="I554" s="46">
        <f t="shared" si="124"/>
        <v>0</v>
      </c>
      <c r="J554" s="47">
        <v>0</v>
      </c>
      <c r="K554" s="46">
        <f t="shared" si="125"/>
        <v>0</v>
      </c>
      <c r="L554" s="47">
        <v>0</v>
      </c>
      <c r="AZ554" s="49"/>
      <c r="BC554" s="50"/>
    </row>
    <row r="555" spans="1:55" s="48" customFormat="1" ht="15.45" customHeight="1" outlineLevel="1" x14ac:dyDescent="0.25">
      <c r="A555" s="42">
        <v>83</v>
      </c>
      <c r="B555" s="43" t="s">
        <v>389</v>
      </c>
      <c r="C555" s="44" t="s">
        <v>61</v>
      </c>
      <c r="D555" s="45">
        <v>0.5</v>
      </c>
      <c r="E555" s="45">
        <v>7.6</v>
      </c>
      <c r="F555" s="45">
        <f t="shared" si="121"/>
        <v>3.8</v>
      </c>
      <c r="G555" s="46">
        <f t="shared" si="122"/>
        <v>0</v>
      </c>
      <c r="H555" s="47">
        <f t="shared" si="123"/>
        <v>0</v>
      </c>
      <c r="I555" s="46">
        <f t="shared" si="124"/>
        <v>0</v>
      </c>
      <c r="J555" s="47">
        <v>0</v>
      </c>
      <c r="K555" s="46">
        <f t="shared" si="125"/>
        <v>0</v>
      </c>
      <c r="L555" s="47">
        <v>0</v>
      </c>
      <c r="AZ555" s="49"/>
      <c r="BC555" s="50"/>
    </row>
    <row r="556" spans="1:55" s="48" customFormat="1" ht="27.75" customHeight="1" outlineLevel="1" x14ac:dyDescent="0.25">
      <c r="A556" s="42">
        <v>84</v>
      </c>
      <c r="B556" s="43" t="s">
        <v>392</v>
      </c>
      <c r="C556" s="44" t="s">
        <v>93</v>
      </c>
      <c r="D556" s="45">
        <v>1</v>
      </c>
      <c r="E556" s="45">
        <v>51.811999999999998</v>
      </c>
      <c r="F556" s="45">
        <f t="shared" si="121"/>
        <v>51.811999999999998</v>
      </c>
      <c r="G556" s="46">
        <f t="shared" si="122"/>
        <v>0</v>
      </c>
      <c r="H556" s="47">
        <f t="shared" si="123"/>
        <v>0</v>
      </c>
      <c r="I556" s="46">
        <f t="shared" si="124"/>
        <v>0</v>
      </c>
      <c r="J556" s="47">
        <v>0</v>
      </c>
      <c r="K556" s="46">
        <f t="shared" si="125"/>
        <v>0</v>
      </c>
      <c r="L556" s="47">
        <v>0</v>
      </c>
      <c r="AZ556" s="49"/>
      <c r="BC556" s="50"/>
    </row>
    <row r="557" spans="1:55" s="48" customFormat="1" ht="27.75" customHeight="1" outlineLevel="1" x14ac:dyDescent="0.25">
      <c r="A557" s="42">
        <v>85</v>
      </c>
      <c r="B557" s="43" t="s">
        <v>370</v>
      </c>
      <c r="C557" s="44" t="s">
        <v>93</v>
      </c>
      <c r="D557" s="45">
        <v>1</v>
      </c>
      <c r="E557" s="45">
        <v>36.422199999999997</v>
      </c>
      <c r="F557" s="45">
        <f t="shared" si="121"/>
        <v>36.422199999999997</v>
      </c>
      <c r="G557" s="46">
        <f t="shared" si="122"/>
        <v>0</v>
      </c>
      <c r="H557" s="47">
        <f t="shared" si="123"/>
        <v>0</v>
      </c>
      <c r="I557" s="46">
        <f t="shared" si="124"/>
        <v>0</v>
      </c>
      <c r="J557" s="47">
        <v>0</v>
      </c>
      <c r="K557" s="46">
        <f t="shared" si="125"/>
        <v>0</v>
      </c>
      <c r="L557" s="47">
        <v>0</v>
      </c>
      <c r="AZ557" s="49"/>
      <c r="BC557" s="50"/>
    </row>
    <row r="558" spans="1:55" s="48" customFormat="1" ht="15.45" customHeight="1" outlineLevel="1" x14ac:dyDescent="0.25">
      <c r="A558" s="42">
        <v>86</v>
      </c>
      <c r="B558" s="43" t="s">
        <v>357</v>
      </c>
      <c r="C558" s="44" t="s">
        <v>93</v>
      </c>
      <c r="D558" s="45">
        <v>1</v>
      </c>
      <c r="E558" s="45">
        <v>31.45</v>
      </c>
      <c r="F558" s="45">
        <f t="shared" si="121"/>
        <v>31.45</v>
      </c>
      <c r="G558" s="46">
        <f t="shared" si="122"/>
        <v>0</v>
      </c>
      <c r="H558" s="47">
        <f t="shared" si="123"/>
        <v>0</v>
      </c>
      <c r="I558" s="46">
        <f t="shared" si="124"/>
        <v>0</v>
      </c>
      <c r="J558" s="47">
        <v>0</v>
      </c>
      <c r="K558" s="46">
        <f t="shared" si="125"/>
        <v>0</v>
      </c>
      <c r="L558" s="47">
        <v>0</v>
      </c>
      <c r="AZ558" s="49"/>
      <c r="BC558" s="50"/>
    </row>
    <row r="559" spans="1:55" s="48" customFormat="1" ht="15.45" customHeight="1" outlineLevel="1" x14ac:dyDescent="0.25">
      <c r="A559" s="42">
        <v>87</v>
      </c>
      <c r="B559" s="43" t="s">
        <v>359</v>
      </c>
      <c r="C559" s="44" t="s">
        <v>93</v>
      </c>
      <c r="D559" s="45">
        <v>2</v>
      </c>
      <c r="E559" s="45">
        <v>21.5</v>
      </c>
      <c r="F559" s="45">
        <f t="shared" si="121"/>
        <v>43</v>
      </c>
      <c r="G559" s="46">
        <f t="shared" si="122"/>
        <v>0</v>
      </c>
      <c r="H559" s="47">
        <f t="shared" si="123"/>
        <v>0</v>
      </c>
      <c r="I559" s="46">
        <f t="shared" si="124"/>
        <v>0</v>
      </c>
      <c r="J559" s="47">
        <v>0</v>
      </c>
      <c r="K559" s="46">
        <f t="shared" si="125"/>
        <v>0</v>
      </c>
      <c r="L559" s="47">
        <v>0</v>
      </c>
      <c r="AZ559" s="49"/>
      <c r="BC559" s="50"/>
    </row>
    <row r="560" spans="1:55" s="48" customFormat="1" ht="15.45" customHeight="1" outlineLevel="1" x14ac:dyDescent="0.25">
      <c r="A560" s="42">
        <v>88</v>
      </c>
      <c r="B560" s="43" t="s">
        <v>382</v>
      </c>
      <c r="C560" s="44" t="s">
        <v>93</v>
      </c>
      <c r="D560" s="45">
        <v>1</v>
      </c>
      <c r="E560" s="45">
        <v>4.3411999999999988</v>
      </c>
      <c r="F560" s="45">
        <f t="shared" si="121"/>
        <v>4.3411999999999988</v>
      </c>
      <c r="G560" s="46">
        <f t="shared" si="122"/>
        <v>0</v>
      </c>
      <c r="H560" s="47">
        <f t="shared" si="123"/>
        <v>0</v>
      </c>
      <c r="I560" s="46">
        <f t="shared" si="124"/>
        <v>0</v>
      </c>
      <c r="J560" s="47">
        <v>0</v>
      </c>
      <c r="K560" s="46">
        <f t="shared" si="125"/>
        <v>0</v>
      </c>
      <c r="L560" s="47">
        <v>0</v>
      </c>
      <c r="AZ560" s="49"/>
      <c r="BC560" s="50"/>
    </row>
    <row r="561" spans="1:55" s="48" customFormat="1" ht="15.45" customHeight="1" outlineLevel="1" x14ac:dyDescent="0.25">
      <c r="A561" s="42">
        <v>89</v>
      </c>
      <c r="B561" s="43" t="s">
        <v>378</v>
      </c>
      <c r="C561" s="44" t="s">
        <v>93</v>
      </c>
      <c r="D561" s="45">
        <v>1</v>
      </c>
      <c r="E561" s="45">
        <v>4.3921999999999999</v>
      </c>
      <c r="F561" s="45">
        <f t="shared" si="121"/>
        <v>4.3921999999999999</v>
      </c>
      <c r="G561" s="46">
        <f t="shared" si="122"/>
        <v>0</v>
      </c>
      <c r="H561" s="47">
        <f t="shared" si="123"/>
        <v>0</v>
      </c>
      <c r="I561" s="46">
        <f t="shared" si="124"/>
        <v>0</v>
      </c>
      <c r="J561" s="47">
        <v>0</v>
      </c>
      <c r="K561" s="46">
        <f t="shared" si="125"/>
        <v>0</v>
      </c>
      <c r="L561" s="47">
        <v>0</v>
      </c>
      <c r="AZ561" s="49"/>
      <c r="BC561" s="50"/>
    </row>
    <row r="562" spans="1:55" s="48" customFormat="1" ht="15.45" customHeight="1" outlineLevel="1" x14ac:dyDescent="0.25">
      <c r="A562" s="42">
        <v>90</v>
      </c>
      <c r="B562" s="43" t="s">
        <v>372</v>
      </c>
      <c r="C562" s="44" t="s">
        <v>93</v>
      </c>
      <c r="D562" s="45">
        <v>1</v>
      </c>
      <c r="E562" s="45">
        <v>4.3921999999999999</v>
      </c>
      <c r="F562" s="45">
        <f t="shared" si="121"/>
        <v>4.3921999999999999</v>
      </c>
      <c r="G562" s="46">
        <f t="shared" si="122"/>
        <v>0</v>
      </c>
      <c r="H562" s="47">
        <f t="shared" si="123"/>
        <v>0</v>
      </c>
      <c r="I562" s="46">
        <f t="shared" si="124"/>
        <v>0</v>
      </c>
      <c r="J562" s="47">
        <v>0</v>
      </c>
      <c r="K562" s="46">
        <f t="shared" si="125"/>
        <v>0</v>
      </c>
      <c r="L562" s="47">
        <v>0</v>
      </c>
      <c r="AZ562" s="49"/>
      <c r="BC562" s="50"/>
    </row>
    <row r="563" spans="1:55" s="48" customFormat="1" ht="15.45" customHeight="1" outlineLevel="1" x14ac:dyDescent="0.25">
      <c r="A563" s="42">
        <v>91</v>
      </c>
      <c r="B563" s="43" t="s">
        <v>362</v>
      </c>
      <c r="C563" s="44" t="s">
        <v>93</v>
      </c>
      <c r="D563" s="45">
        <v>6</v>
      </c>
      <c r="E563" s="45">
        <v>14.879799999999999</v>
      </c>
      <c r="F563" s="45">
        <f t="shared" si="121"/>
        <v>89.27879999999999</v>
      </c>
      <c r="G563" s="46">
        <f t="shared" si="122"/>
        <v>0</v>
      </c>
      <c r="H563" s="47">
        <f t="shared" si="123"/>
        <v>0</v>
      </c>
      <c r="I563" s="46">
        <f t="shared" si="124"/>
        <v>0</v>
      </c>
      <c r="J563" s="47">
        <v>0</v>
      </c>
      <c r="K563" s="46">
        <f t="shared" si="125"/>
        <v>0</v>
      </c>
      <c r="L563" s="47">
        <v>0</v>
      </c>
      <c r="AZ563" s="49"/>
      <c r="BC563" s="50"/>
    </row>
    <row r="564" spans="1:55" s="48" customFormat="1" ht="27.75" customHeight="1" outlineLevel="1" x14ac:dyDescent="0.25">
      <c r="A564" s="42">
        <v>92</v>
      </c>
      <c r="B564" s="43" t="s">
        <v>393</v>
      </c>
      <c r="C564" s="44" t="s">
        <v>93</v>
      </c>
      <c r="D564" s="45">
        <v>1</v>
      </c>
      <c r="E564" s="45">
        <v>51.811999999999998</v>
      </c>
      <c r="F564" s="45">
        <f t="shared" si="121"/>
        <v>51.811999999999998</v>
      </c>
      <c r="G564" s="46">
        <f t="shared" si="122"/>
        <v>0</v>
      </c>
      <c r="H564" s="47">
        <f t="shared" si="123"/>
        <v>0</v>
      </c>
      <c r="I564" s="46">
        <f t="shared" si="124"/>
        <v>0</v>
      </c>
      <c r="J564" s="47">
        <v>0</v>
      </c>
      <c r="K564" s="46">
        <f t="shared" si="125"/>
        <v>0</v>
      </c>
      <c r="L564" s="47">
        <v>0</v>
      </c>
      <c r="AZ564" s="49"/>
      <c r="BC564" s="50"/>
    </row>
    <row r="565" spans="1:55" s="48" customFormat="1" ht="27.75" customHeight="1" outlineLevel="1" x14ac:dyDescent="0.25">
      <c r="A565" s="42">
        <v>93</v>
      </c>
      <c r="B565" s="43" t="s">
        <v>370</v>
      </c>
      <c r="C565" s="44" t="s">
        <v>93</v>
      </c>
      <c r="D565" s="45">
        <v>1</v>
      </c>
      <c r="E565" s="45">
        <v>36.422199999999997</v>
      </c>
      <c r="F565" s="45">
        <f t="shared" si="121"/>
        <v>36.422199999999997</v>
      </c>
      <c r="G565" s="46">
        <f t="shared" si="122"/>
        <v>0</v>
      </c>
      <c r="H565" s="47">
        <f t="shared" si="123"/>
        <v>0</v>
      </c>
      <c r="I565" s="46">
        <f t="shared" si="124"/>
        <v>0</v>
      </c>
      <c r="J565" s="47">
        <v>0</v>
      </c>
      <c r="K565" s="46">
        <f t="shared" si="125"/>
        <v>0</v>
      </c>
      <c r="L565" s="47">
        <v>0</v>
      </c>
      <c r="AZ565" s="49"/>
      <c r="BC565" s="50"/>
    </row>
    <row r="566" spans="1:55" s="48" customFormat="1" ht="15.45" customHeight="1" outlineLevel="1" x14ac:dyDescent="0.25">
      <c r="A566" s="42">
        <v>94</v>
      </c>
      <c r="B566" s="43" t="s">
        <v>357</v>
      </c>
      <c r="C566" s="44" t="s">
        <v>93</v>
      </c>
      <c r="D566" s="45">
        <v>1</v>
      </c>
      <c r="E566" s="45">
        <v>31.45</v>
      </c>
      <c r="F566" s="45">
        <f t="shared" si="121"/>
        <v>31.45</v>
      </c>
      <c r="G566" s="46">
        <f t="shared" si="122"/>
        <v>0</v>
      </c>
      <c r="H566" s="47">
        <f t="shared" si="123"/>
        <v>0</v>
      </c>
      <c r="I566" s="46">
        <f t="shared" si="124"/>
        <v>0</v>
      </c>
      <c r="J566" s="47">
        <v>0</v>
      </c>
      <c r="K566" s="46">
        <f t="shared" si="125"/>
        <v>0</v>
      </c>
      <c r="L566" s="47">
        <v>0</v>
      </c>
      <c r="AZ566" s="49"/>
      <c r="BC566" s="50"/>
    </row>
    <row r="567" spans="1:55" s="48" customFormat="1" ht="15.45" customHeight="1" outlineLevel="1" x14ac:dyDescent="0.25">
      <c r="A567" s="42">
        <v>95</v>
      </c>
      <c r="B567" s="43" t="s">
        <v>394</v>
      </c>
      <c r="C567" s="44" t="s">
        <v>93</v>
      </c>
      <c r="D567" s="45">
        <v>1</v>
      </c>
      <c r="E567" s="45">
        <v>6.9931999999999999</v>
      </c>
      <c r="F567" s="45">
        <f t="shared" si="121"/>
        <v>6.9931999999999999</v>
      </c>
      <c r="G567" s="46">
        <f t="shared" si="122"/>
        <v>0</v>
      </c>
      <c r="H567" s="47">
        <f t="shared" si="123"/>
        <v>0</v>
      </c>
      <c r="I567" s="46">
        <f t="shared" si="124"/>
        <v>0</v>
      </c>
      <c r="J567" s="47">
        <v>0</v>
      </c>
      <c r="K567" s="46">
        <f t="shared" si="125"/>
        <v>0</v>
      </c>
      <c r="L567" s="47">
        <v>0</v>
      </c>
      <c r="AZ567" s="49"/>
      <c r="BC567" s="50"/>
    </row>
    <row r="568" spans="1:55" s="48" customFormat="1" ht="15.45" customHeight="1" outlineLevel="1" x14ac:dyDescent="0.25">
      <c r="A568" s="42">
        <v>96</v>
      </c>
      <c r="B568" s="43" t="s">
        <v>382</v>
      </c>
      <c r="C568" s="44" t="s">
        <v>93</v>
      </c>
      <c r="D568" s="45">
        <v>1</v>
      </c>
      <c r="E568" s="45">
        <v>4.3411999999999988</v>
      </c>
      <c r="F568" s="45">
        <f t="shared" si="121"/>
        <v>4.3411999999999988</v>
      </c>
      <c r="G568" s="46">
        <f t="shared" si="122"/>
        <v>0</v>
      </c>
      <c r="H568" s="47">
        <f t="shared" si="123"/>
        <v>0</v>
      </c>
      <c r="I568" s="46">
        <f t="shared" si="124"/>
        <v>0</v>
      </c>
      <c r="J568" s="47">
        <v>0</v>
      </c>
      <c r="K568" s="46">
        <f t="shared" si="125"/>
        <v>0</v>
      </c>
      <c r="L568" s="47">
        <v>0</v>
      </c>
      <c r="AZ568" s="49"/>
      <c r="BC568" s="50"/>
    </row>
    <row r="569" spans="1:55" s="48" customFormat="1" ht="15.45" customHeight="1" outlineLevel="1" x14ac:dyDescent="0.25">
      <c r="A569" s="42">
        <v>97</v>
      </c>
      <c r="B569" s="43" t="s">
        <v>378</v>
      </c>
      <c r="C569" s="44" t="s">
        <v>93</v>
      </c>
      <c r="D569" s="45">
        <v>8</v>
      </c>
      <c r="E569" s="45">
        <v>4.3921999999999999</v>
      </c>
      <c r="F569" s="45">
        <f t="shared" ref="F569:F600" si="126">+E569*D569</f>
        <v>35.137599999999999</v>
      </c>
      <c r="G569" s="46">
        <f t="shared" ref="G569:G600" si="127">I569+K569</f>
        <v>0</v>
      </c>
      <c r="H569" s="47">
        <f t="shared" ref="H569:H600" si="128">J569+L569</f>
        <v>0</v>
      </c>
      <c r="I569" s="46">
        <f t="shared" ref="I569:I600" si="129">J569/F569</f>
        <v>0</v>
      </c>
      <c r="J569" s="47">
        <v>0</v>
      </c>
      <c r="K569" s="46">
        <f t="shared" ref="K569:K600" si="130">L569/F569</f>
        <v>0</v>
      </c>
      <c r="L569" s="47">
        <v>0</v>
      </c>
      <c r="AZ569" s="49"/>
      <c r="BC569" s="50"/>
    </row>
    <row r="570" spans="1:55" s="59" customFormat="1" ht="17.7" customHeight="1" outlineLevel="1" x14ac:dyDescent="0.35">
      <c r="A570" s="42">
        <v>98</v>
      </c>
      <c r="B570" s="43" t="s">
        <v>372</v>
      </c>
      <c r="C570" s="44" t="s">
        <v>93</v>
      </c>
      <c r="D570" s="45">
        <v>1</v>
      </c>
      <c r="E570" s="45">
        <v>4.3921999999999999</v>
      </c>
      <c r="F570" s="45">
        <f t="shared" si="126"/>
        <v>4.3921999999999999</v>
      </c>
      <c r="G570" s="46">
        <f t="shared" si="127"/>
        <v>0</v>
      </c>
      <c r="H570" s="47">
        <f t="shared" si="128"/>
        <v>0</v>
      </c>
      <c r="I570" s="46">
        <f t="shared" si="129"/>
        <v>0</v>
      </c>
      <c r="J570" s="47">
        <v>0</v>
      </c>
      <c r="K570" s="46">
        <f t="shared" si="130"/>
        <v>0</v>
      </c>
      <c r="L570" s="47">
        <v>0</v>
      </c>
      <c r="AZ570" s="60"/>
      <c r="BC570" s="61"/>
    </row>
    <row r="571" spans="1:55" s="48" customFormat="1" ht="15.45" customHeight="1" outlineLevel="1" x14ac:dyDescent="0.25">
      <c r="A571" s="42">
        <v>99</v>
      </c>
      <c r="B571" s="43" t="s">
        <v>362</v>
      </c>
      <c r="C571" s="44" t="s">
        <v>93</v>
      </c>
      <c r="D571" s="45">
        <v>12</v>
      </c>
      <c r="E571" s="45">
        <v>14.879799999999999</v>
      </c>
      <c r="F571" s="45">
        <f t="shared" si="126"/>
        <v>178.55759999999998</v>
      </c>
      <c r="G571" s="46">
        <f t="shared" si="127"/>
        <v>0</v>
      </c>
      <c r="H571" s="47">
        <f t="shared" si="128"/>
        <v>0</v>
      </c>
      <c r="I571" s="46">
        <f t="shared" si="129"/>
        <v>0</v>
      </c>
      <c r="J571" s="47">
        <v>0</v>
      </c>
      <c r="K571" s="46">
        <f t="shared" si="130"/>
        <v>0</v>
      </c>
      <c r="L571" s="47">
        <v>0</v>
      </c>
      <c r="AZ571" s="49"/>
      <c r="BC571" s="50"/>
    </row>
    <row r="572" spans="1:55" s="48" customFormat="1" ht="27.75" customHeight="1" outlineLevel="1" x14ac:dyDescent="0.25">
      <c r="A572" s="42">
        <v>100</v>
      </c>
      <c r="B572" s="43" t="s">
        <v>395</v>
      </c>
      <c r="C572" s="44" t="s">
        <v>93</v>
      </c>
      <c r="D572" s="45">
        <v>125</v>
      </c>
      <c r="E572" s="45">
        <v>3.9434</v>
      </c>
      <c r="F572" s="45">
        <f t="shared" si="126"/>
        <v>492.92500000000001</v>
      </c>
      <c r="G572" s="46">
        <f t="shared" si="127"/>
        <v>0</v>
      </c>
      <c r="H572" s="47">
        <f t="shared" si="128"/>
        <v>0</v>
      </c>
      <c r="I572" s="46">
        <f t="shared" si="129"/>
        <v>0</v>
      </c>
      <c r="J572" s="47">
        <v>0</v>
      </c>
      <c r="K572" s="46">
        <f t="shared" si="130"/>
        <v>0</v>
      </c>
      <c r="L572" s="47">
        <v>0</v>
      </c>
      <c r="AZ572" s="49"/>
      <c r="BC572" s="50"/>
    </row>
    <row r="573" spans="1:55" s="48" customFormat="1" ht="27.75" customHeight="1" outlineLevel="1" x14ac:dyDescent="0.25">
      <c r="A573" s="42">
        <v>101</v>
      </c>
      <c r="B573" s="43" t="s">
        <v>396</v>
      </c>
      <c r="C573" s="44" t="s">
        <v>93</v>
      </c>
      <c r="D573" s="45">
        <v>24</v>
      </c>
      <c r="E573" s="45">
        <v>4.4125999999999994</v>
      </c>
      <c r="F573" s="45">
        <f t="shared" si="126"/>
        <v>105.90239999999999</v>
      </c>
      <c r="G573" s="46">
        <f t="shared" si="127"/>
        <v>0</v>
      </c>
      <c r="H573" s="47">
        <f t="shared" si="128"/>
        <v>0</v>
      </c>
      <c r="I573" s="46">
        <f t="shared" si="129"/>
        <v>0</v>
      </c>
      <c r="J573" s="47">
        <v>0</v>
      </c>
      <c r="K573" s="46">
        <f t="shared" si="130"/>
        <v>0</v>
      </c>
      <c r="L573" s="47">
        <v>0</v>
      </c>
      <c r="AZ573" s="49"/>
      <c r="BC573" s="50"/>
    </row>
    <row r="574" spans="1:55" s="48" customFormat="1" ht="15.45" customHeight="1" outlineLevel="1" x14ac:dyDescent="0.25">
      <c r="A574" s="42">
        <v>102</v>
      </c>
      <c r="B574" s="43" t="s">
        <v>397</v>
      </c>
      <c r="C574" s="44" t="s">
        <v>93</v>
      </c>
      <c r="D574" s="45">
        <v>10</v>
      </c>
      <c r="E574" s="45">
        <v>5.1980000000000004</v>
      </c>
      <c r="F574" s="45">
        <f t="shared" si="126"/>
        <v>51.980000000000004</v>
      </c>
      <c r="G574" s="46">
        <f t="shared" si="127"/>
        <v>0</v>
      </c>
      <c r="H574" s="47">
        <f t="shared" si="128"/>
        <v>0</v>
      </c>
      <c r="I574" s="46">
        <f t="shared" si="129"/>
        <v>0</v>
      </c>
      <c r="J574" s="47">
        <v>0</v>
      </c>
      <c r="K574" s="46">
        <f t="shared" si="130"/>
        <v>0</v>
      </c>
      <c r="L574" s="47">
        <v>0</v>
      </c>
      <c r="AZ574" s="49"/>
      <c r="BC574" s="50"/>
    </row>
    <row r="575" spans="1:55" s="48" customFormat="1" ht="15.45" customHeight="1" outlineLevel="1" x14ac:dyDescent="0.25">
      <c r="A575" s="42">
        <v>103</v>
      </c>
      <c r="B575" s="43" t="s">
        <v>398</v>
      </c>
      <c r="C575" s="44" t="s">
        <v>93</v>
      </c>
      <c r="D575" s="45">
        <v>159</v>
      </c>
      <c r="E575" s="45">
        <v>4.5064000000000002</v>
      </c>
      <c r="F575" s="45">
        <f t="shared" si="126"/>
        <v>716.51760000000002</v>
      </c>
      <c r="G575" s="46">
        <f t="shared" si="127"/>
        <v>0</v>
      </c>
      <c r="H575" s="47">
        <f t="shared" si="128"/>
        <v>0</v>
      </c>
      <c r="I575" s="46">
        <f t="shared" si="129"/>
        <v>0</v>
      </c>
      <c r="J575" s="47">
        <v>0</v>
      </c>
      <c r="K575" s="46">
        <f t="shared" si="130"/>
        <v>0</v>
      </c>
      <c r="L575" s="47">
        <v>0</v>
      </c>
      <c r="AZ575" s="49"/>
      <c r="BC575" s="50"/>
    </row>
    <row r="576" spans="1:55" s="48" customFormat="1" ht="15.45" customHeight="1" outlineLevel="1" x14ac:dyDescent="0.25">
      <c r="A576" s="42">
        <v>104</v>
      </c>
      <c r="B576" s="43" t="s">
        <v>399</v>
      </c>
      <c r="C576" s="44" t="s">
        <v>93</v>
      </c>
      <c r="D576" s="45">
        <v>30</v>
      </c>
      <c r="E576" s="45">
        <v>5.1877999999999993</v>
      </c>
      <c r="F576" s="45">
        <f t="shared" si="126"/>
        <v>155.63399999999999</v>
      </c>
      <c r="G576" s="46">
        <f t="shared" si="127"/>
        <v>0</v>
      </c>
      <c r="H576" s="47">
        <f t="shared" si="128"/>
        <v>0</v>
      </c>
      <c r="I576" s="46">
        <f t="shared" si="129"/>
        <v>0</v>
      </c>
      <c r="J576" s="47">
        <v>0</v>
      </c>
      <c r="K576" s="46">
        <f t="shared" si="130"/>
        <v>0</v>
      </c>
      <c r="L576" s="47">
        <v>0</v>
      </c>
      <c r="AZ576" s="49"/>
      <c r="BC576" s="50"/>
    </row>
    <row r="577" spans="1:55" s="48" customFormat="1" ht="15.45" customHeight="1" outlineLevel="1" x14ac:dyDescent="0.25">
      <c r="A577" s="42">
        <v>105</v>
      </c>
      <c r="B577" s="43" t="s">
        <v>400</v>
      </c>
      <c r="C577" s="44" t="s">
        <v>93</v>
      </c>
      <c r="D577" s="45">
        <v>30</v>
      </c>
      <c r="E577" s="45">
        <v>9.1780000000000008</v>
      </c>
      <c r="F577" s="45">
        <f t="shared" si="126"/>
        <v>275.34000000000003</v>
      </c>
      <c r="G577" s="46">
        <f t="shared" si="127"/>
        <v>0</v>
      </c>
      <c r="H577" s="47">
        <f t="shared" si="128"/>
        <v>0</v>
      </c>
      <c r="I577" s="46">
        <f t="shared" si="129"/>
        <v>0</v>
      </c>
      <c r="J577" s="47">
        <v>0</v>
      </c>
      <c r="K577" s="46">
        <f t="shared" si="130"/>
        <v>0</v>
      </c>
      <c r="L577" s="47">
        <v>0</v>
      </c>
      <c r="AZ577" s="49"/>
      <c r="BC577" s="50"/>
    </row>
    <row r="578" spans="1:55" s="48" customFormat="1" ht="15.45" customHeight="1" outlineLevel="1" x14ac:dyDescent="0.25">
      <c r="A578" s="42">
        <v>106</v>
      </c>
      <c r="B578" s="43" t="s">
        <v>401</v>
      </c>
      <c r="C578" s="44" t="s">
        <v>93</v>
      </c>
      <c r="D578" s="45">
        <v>189</v>
      </c>
      <c r="E578" s="45">
        <v>0.9</v>
      </c>
      <c r="F578" s="45">
        <f t="shared" si="126"/>
        <v>170.1</v>
      </c>
      <c r="G578" s="46">
        <f t="shared" si="127"/>
        <v>0</v>
      </c>
      <c r="H578" s="47">
        <f t="shared" si="128"/>
        <v>0</v>
      </c>
      <c r="I578" s="46">
        <f t="shared" si="129"/>
        <v>0</v>
      </c>
      <c r="J578" s="47">
        <v>0</v>
      </c>
      <c r="K578" s="46">
        <f t="shared" si="130"/>
        <v>0</v>
      </c>
      <c r="L578" s="47">
        <v>0</v>
      </c>
      <c r="AZ578" s="49"/>
      <c r="BC578" s="50"/>
    </row>
    <row r="579" spans="1:55" s="48" customFormat="1" ht="27.75" customHeight="1" outlineLevel="1" x14ac:dyDescent="0.25">
      <c r="A579" s="42">
        <v>107</v>
      </c>
      <c r="B579" s="43" t="s">
        <v>402</v>
      </c>
      <c r="C579" s="44" t="s">
        <v>93</v>
      </c>
      <c r="D579" s="45">
        <v>70</v>
      </c>
      <c r="E579" s="45">
        <v>0.9</v>
      </c>
      <c r="F579" s="45">
        <f t="shared" si="126"/>
        <v>63</v>
      </c>
      <c r="G579" s="46">
        <f t="shared" si="127"/>
        <v>0</v>
      </c>
      <c r="H579" s="47">
        <f t="shared" si="128"/>
        <v>0</v>
      </c>
      <c r="I579" s="46">
        <f t="shared" si="129"/>
        <v>0</v>
      </c>
      <c r="J579" s="47">
        <v>0</v>
      </c>
      <c r="K579" s="46">
        <f t="shared" si="130"/>
        <v>0</v>
      </c>
      <c r="L579" s="47">
        <v>0</v>
      </c>
      <c r="AZ579" s="49"/>
      <c r="BC579" s="50"/>
    </row>
    <row r="580" spans="1:55" s="48" customFormat="1" ht="15.45" customHeight="1" outlineLevel="1" x14ac:dyDescent="0.25">
      <c r="A580" s="42">
        <v>108</v>
      </c>
      <c r="B580" s="43" t="s">
        <v>403</v>
      </c>
      <c r="C580" s="44" t="s">
        <v>93</v>
      </c>
      <c r="D580" s="45">
        <v>2</v>
      </c>
      <c r="E580" s="45">
        <v>21.5</v>
      </c>
      <c r="F580" s="45">
        <f t="shared" si="126"/>
        <v>43</v>
      </c>
      <c r="G580" s="46">
        <f t="shared" si="127"/>
        <v>0</v>
      </c>
      <c r="H580" s="47">
        <f t="shared" si="128"/>
        <v>0</v>
      </c>
      <c r="I580" s="46">
        <f t="shared" si="129"/>
        <v>0</v>
      </c>
      <c r="J580" s="47">
        <v>0</v>
      </c>
      <c r="K580" s="46">
        <f t="shared" si="130"/>
        <v>0</v>
      </c>
      <c r="L580" s="47">
        <v>0</v>
      </c>
      <c r="AZ580" s="49"/>
      <c r="BC580" s="50"/>
    </row>
    <row r="581" spans="1:55" s="48" customFormat="1" ht="15.45" customHeight="1" outlineLevel="1" x14ac:dyDescent="0.25">
      <c r="A581" s="42">
        <v>109</v>
      </c>
      <c r="B581" s="43" t="s">
        <v>404</v>
      </c>
      <c r="C581" s="44" t="s">
        <v>93</v>
      </c>
      <c r="D581" s="45">
        <v>1</v>
      </c>
      <c r="E581" s="45">
        <v>6.9931999999999999</v>
      </c>
      <c r="F581" s="45">
        <f t="shared" si="126"/>
        <v>6.9931999999999999</v>
      </c>
      <c r="G581" s="46">
        <f t="shared" si="127"/>
        <v>0</v>
      </c>
      <c r="H581" s="47">
        <f t="shared" si="128"/>
        <v>0</v>
      </c>
      <c r="I581" s="46">
        <f t="shared" si="129"/>
        <v>0</v>
      </c>
      <c r="J581" s="47">
        <v>0</v>
      </c>
      <c r="K581" s="46">
        <f t="shared" si="130"/>
        <v>0</v>
      </c>
      <c r="L581" s="47">
        <v>0</v>
      </c>
      <c r="AZ581" s="49"/>
      <c r="BC581" s="50"/>
    </row>
    <row r="582" spans="1:55" s="48" customFormat="1" ht="15.45" customHeight="1" outlineLevel="1" x14ac:dyDescent="0.25">
      <c r="A582" s="42">
        <v>110</v>
      </c>
      <c r="B582" s="43" t="s">
        <v>362</v>
      </c>
      <c r="C582" s="44" t="s">
        <v>93</v>
      </c>
      <c r="D582" s="45">
        <v>3</v>
      </c>
      <c r="E582" s="45">
        <v>14.879799999999999</v>
      </c>
      <c r="F582" s="45">
        <f t="shared" si="126"/>
        <v>44.639399999999995</v>
      </c>
      <c r="G582" s="46">
        <f t="shared" si="127"/>
        <v>0</v>
      </c>
      <c r="H582" s="47">
        <f t="shared" si="128"/>
        <v>0</v>
      </c>
      <c r="I582" s="46">
        <f t="shared" si="129"/>
        <v>0</v>
      </c>
      <c r="J582" s="47">
        <v>0</v>
      </c>
      <c r="K582" s="46">
        <f t="shared" si="130"/>
        <v>0</v>
      </c>
      <c r="L582" s="47">
        <v>0</v>
      </c>
      <c r="AZ582" s="49"/>
      <c r="BC582" s="50"/>
    </row>
    <row r="583" spans="1:55" s="48" customFormat="1" ht="15.45" customHeight="1" outlineLevel="1" x14ac:dyDescent="0.25">
      <c r="A583" s="42">
        <v>111</v>
      </c>
      <c r="B583" s="43" t="s">
        <v>405</v>
      </c>
      <c r="C583" s="44" t="s">
        <v>93</v>
      </c>
      <c r="D583" s="45">
        <v>2</v>
      </c>
      <c r="E583" s="45">
        <v>4.9735999999999994</v>
      </c>
      <c r="F583" s="45">
        <f t="shared" si="126"/>
        <v>9.9471999999999987</v>
      </c>
      <c r="G583" s="46">
        <f t="shared" si="127"/>
        <v>0</v>
      </c>
      <c r="H583" s="47">
        <f t="shared" si="128"/>
        <v>0</v>
      </c>
      <c r="I583" s="46">
        <f t="shared" si="129"/>
        <v>0</v>
      </c>
      <c r="J583" s="47">
        <v>0</v>
      </c>
      <c r="K583" s="46">
        <f t="shared" si="130"/>
        <v>0</v>
      </c>
      <c r="L583" s="47">
        <v>0</v>
      </c>
      <c r="AZ583" s="49"/>
      <c r="BC583" s="50"/>
    </row>
    <row r="584" spans="1:55" s="48" customFormat="1" ht="15.45" customHeight="1" outlineLevel="1" x14ac:dyDescent="0.25">
      <c r="A584" s="42">
        <v>112</v>
      </c>
      <c r="B584" s="43" t="s">
        <v>362</v>
      </c>
      <c r="C584" s="44" t="s">
        <v>93</v>
      </c>
      <c r="D584" s="45">
        <v>2</v>
      </c>
      <c r="E584" s="45">
        <v>14.879799999999999</v>
      </c>
      <c r="F584" s="45">
        <f t="shared" si="126"/>
        <v>29.759599999999999</v>
      </c>
      <c r="G584" s="46">
        <f t="shared" si="127"/>
        <v>0</v>
      </c>
      <c r="H584" s="47">
        <f t="shared" si="128"/>
        <v>0</v>
      </c>
      <c r="I584" s="46">
        <f t="shared" si="129"/>
        <v>0</v>
      </c>
      <c r="J584" s="47">
        <v>0</v>
      </c>
      <c r="K584" s="46">
        <f t="shared" si="130"/>
        <v>0</v>
      </c>
      <c r="L584" s="47">
        <v>0</v>
      </c>
      <c r="AZ584" s="49"/>
      <c r="BC584" s="50"/>
    </row>
    <row r="585" spans="1:55" s="48" customFormat="1" ht="15.45" customHeight="1" outlineLevel="1" x14ac:dyDescent="0.25">
      <c r="A585" s="42">
        <v>113</v>
      </c>
      <c r="B585" s="43" t="s">
        <v>406</v>
      </c>
      <c r="C585" s="44" t="s">
        <v>61</v>
      </c>
      <c r="D585" s="45">
        <v>2510</v>
      </c>
      <c r="E585" s="45">
        <v>0.9</v>
      </c>
      <c r="F585" s="45">
        <f t="shared" si="126"/>
        <v>2259</v>
      </c>
      <c r="G585" s="46">
        <f t="shared" si="127"/>
        <v>0</v>
      </c>
      <c r="H585" s="47">
        <f t="shared" si="128"/>
        <v>0</v>
      </c>
      <c r="I585" s="46">
        <f t="shared" si="129"/>
        <v>0</v>
      </c>
      <c r="J585" s="47">
        <v>0</v>
      </c>
      <c r="K585" s="46">
        <f t="shared" si="130"/>
        <v>0</v>
      </c>
      <c r="L585" s="47">
        <v>0</v>
      </c>
      <c r="AZ585" s="49"/>
      <c r="BC585" s="50"/>
    </row>
    <row r="586" spans="1:55" s="48" customFormat="1" ht="27.75" customHeight="1" outlineLevel="1" x14ac:dyDescent="0.25">
      <c r="A586" s="42">
        <v>114</v>
      </c>
      <c r="B586" s="43" t="s">
        <v>407</v>
      </c>
      <c r="C586" s="44" t="s">
        <v>61</v>
      </c>
      <c r="D586" s="45">
        <v>2510</v>
      </c>
      <c r="E586" s="45">
        <v>2.242</v>
      </c>
      <c r="F586" s="45">
        <f t="shared" si="126"/>
        <v>5627.42</v>
      </c>
      <c r="G586" s="46">
        <f t="shared" si="127"/>
        <v>0</v>
      </c>
      <c r="H586" s="47">
        <f t="shared" si="128"/>
        <v>0</v>
      </c>
      <c r="I586" s="46">
        <f t="shared" si="129"/>
        <v>0</v>
      </c>
      <c r="J586" s="47">
        <v>0</v>
      </c>
      <c r="K586" s="46">
        <f t="shared" si="130"/>
        <v>0</v>
      </c>
      <c r="L586" s="47">
        <v>0</v>
      </c>
      <c r="AZ586" s="49"/>
      <c r="BC586" s="50"/>
    </row>
    <row r="587" spans="1:55" s="48" customFormat="1" ht="41.7" customHeight="1" outlineLevel="1" x14ac:dyDescent="0.25">
      <c r="A587" s="42">
        <v>115</v>
      </c>
      <c r="B587" s="43" t="s">
        <v>408</v>
      </c>
      <c r="C587" s="44" t="s">
        <v>61</v>
      </c>
      <c r="D587" s="45">
        <v>232</v>
      </c>
      <c r="E587" s="45">
        <v>1.2098</v>
      </c>
      <c r="F587" s="45">
        <f t="shared" si="126"/>
        <v>280.67360000000002</v>
      </c>
      <c r="G587" s="46">
        <f t="shared" si="127"/>
        <v>0</v>
      </c>
      <c r="H587" s="47">
        <f t="shared" si="128"/>
        <v>0</v>
      </c>
      <c r="I587" s="46">
        <f t="shared" si="129"/>
        <v>0</v>
      </c>
      <c r="J587" s="47">
        <v>0</v>
      </c>
      <c r="K587" s="46">
        <f t="shared" si="130"/>
        <v>0</v>
      </c>
      <c r="L587" s="47">
        <v>0</v>
      </c>
      <c r="AZ587" s="49"/>
      <c r="BC587" s="50"/>
    </row>
    <row r="588" spans="1:55" s="48" customFormat="1" ht="41.7" customHeight="1" outlineLevel="1" x14ac:dyDescent="0.25">
      <c r="A588" s="42">
        <v>116</v>
      </c>
      <c r="B588" s="43" t="s">
        <v>409</v>
      </c>
      <c r="C588" s="44" t="s">
        <v>61</v>
      </c>
      <c r="D588" s="45">
        <v>50</v>
      </c>
      <c r="E588" s="45">
        <v>1.8728</v>
      </c>
      <c r="F588" s="45">
        <f t="shared" si="126"/>
        <v>93.64</v>
      </c>
      <c r="G588" s="46">
        <f t="shared" si="127"/>
        <v>0</v>
      </c>
      <c r="H588" s="47">
        <f t="shared" si="128"/>
        <v>0</v>
      </c>
      <c r="I588" s="46">
        <f t="shared" si="129"/>
        <v>0</v>
      </c>
      <c r="J588" s="47">
        <v>0</v>
      </c>
      <c r="K588" s="46">
        <f t="shared" si="130"/>
        <v>0</v>
      </c>
      <c r="L588" s="47">
        <v>0</v>
      </c>
      <c r="AZ588" s="49"/>
      <c r="BC588" s="50"/>
    </row>
    <row r="589" spans="1:55" s="48" customFormat="1" ht="27.75" customHeight="1" outlineLevel="1" x14ac:dyDescent="0.25">
      <c r="A589" s="42">
        <v>117</v>
      </c>
      <c r="B589" s="43" t="s">
        <v>410</v>
      </c>
      <c r="C589" s="44" t="s">
        <v>61</v>
      </c>
      <c r="D589" s="45">
        <v>282</v>
      </c>
      <c r="E589" s="45">
        <v>2.548</v>
      </c>
      <c r="F589" s="45">
        <f t="shared" si="126"/>
        <v>718.53600000000006</v>
      </c>
      <c r="G589" s="46">
        <f t="shared" si="127"/>
        <v>0</v>
      </c>
      <c r="H589" s="47">
        <f t="shared" si="128"/>
        <v>0</v>
      </c>
      <c r="I589" s="46">
        <f t="shared" si="129"/>
        <v>0</v>
      </c>
      <c r="J589" s="47">
        <v>0</v>
      </c>
      <c r="K589" s="46">
        <f t="shared" si="130"/>
        <v>0</v>
      </c>
      <c r="L589" s="47">
        <v>0</v>
      </c>
      <c r="AZ589" s="49"/>
      <c r="BC589" s="50"/>
    </row>
    <row r="590" spans="1:55" s="48" customFormat="1" ht="15.45" customHeight="1" outlineLevel="1" x14ac:dyDescent="0.25">
      <c r="A590" s="42">
        <v>118</v>
      </c>
      <c r="B590" s="43" t="s">
        <v>411</v>
      </c>
      <c r="C590" s="44" t="s">
        <v>61</v>
      </c>
      <c r="D590" s="45">
        <v>60</v>
      </c>
      <c r="E590" s="45">
        <v>2.7704</v>
      </c>
      <c r="F590" s="45">
        <f t="shared" si="126"/>
        <v>166.22399999999999</v>
      </c>
      <c r="G590" s="46">
        <f t="shared" si="127"/>
        <v>0</v>
      </c>
      <c r="H590" s="47">
        <f t="shared" si="128"/>
        <v>0</v>
      </c>
      <c r="I590" s="46">
        <f t="shared" si="129"/>
        <v>0</v>
      </c>
      <c r="J590" s="47">
        <v>0</v>
      </c>
      <c r="K590" s="46">
        <f t="shared" si="130"/>
        <v>0</v>
      </c>
      <c r="L590" s="47">
        <v>0</v>
      </c>
      <c r="AZ590" s="49"/>
      <c r="BC590" s="50"/>
    </row>
    <row r="591" spans="1:55" s="48" customFormat="1" ht="27.75" customHeight="1" outlineLevel="1" x14ac:dyDescent="0.25">
      <c r="A591" s="42">
        <v>119</v>
      </c>
      <c r="B591" s="43" t="s">
        <v>412</v>
      </c>
      <c r="C591" s="44" t="s">
        <v>61</v>
      </c>
      <c r="D591" s="45">
        <v>60</v>
      </c>
      <c r="E591" s="45">
        <v>2.5581999999999998</v>
      </c>
      <c r="F591" s="45">
        <f t="shared" si="126"/>
        <v>153.49199999999999</v>
      </c>
      <c r="G591" s="46">
        <f t="shared" si="127"/>
        <v>0</v>
      </c>
      <c r="H591" s="47">
        <f t="shared" si="128"/>
        <v>0</v>
      </c>
      <c r="I591" s="46">
        <f t="shared" si="129"/>
        <v>0</v>
      </c>
      <c r="J591" s="47">
        <v>0</v>
      </c>
      <c r="K591" s="46">
        <f t="shared" si="130"/>
        <v>0</v>
      </c>
      <c r="L591" s="47">
        <v>0</v>
      </c>
      <c r="AZ591" s="49"/>
      <c r="BC591" s="50"/>
    </row>
    <row r="592" spans="1:55" s="48" customFormat="1" ht="15.45" customHeight="1" outlineLevel="1" x14ac:dyDescent="0.25">
      <c r="A592" s="42">
        <v>120</v>
      </c>
      <c r="B592" s="43" t="s">
        <v>413</v>
      </c>
      <c r="C592" s="44" t="s">
        <v>61</v>
      </c>
      <c r="D592" s="45">
        <v>90</v>
      </c>
      <c r="E592" s="45">
        <v>5.0999999999999996</v>
      </c>
      <c r="F592" s="45">
        <f t="shared" si="126"/>
        <v>458.99999999999994</v>
      </c>
      <c r="G592" s="46">
        <f t="shared" si="127"/>
        <v>0</v>
      </c>
      <c r="H592" s="47">
        <f t="shared" si="128"/>
        <v>0</v>
      </c>
      <c r="I592" s="46">
        <f t="shared" si="129"/>
        <v>0</v>
      </c>
      <c r="J592" s="47">
        <v>0</v>
      </c>
      <c r="K592" s="46">
        <f t="shared" si="130"/>
        <v>0</v>
      </c>
      <c r="L592" s="47">
        <v>0</v>
      </c>
      <c r="AZ592" s="49"/>
      <c r="BC592" s="50"/>
    </row>
    <row r="593" spans="1:55" s="66" customFormat="1" ht="15.45" customHeight="1" outlineLevel="1" x14ac:dyDescent="0.3">
      <c r="A593" s="42">
        <v>121</v>
      </c>
      <c r="B593" s="43" t="s">
        <v>414</v>
      </c>
      <c r="C593" s="44" t="s">
        <v>61</v>
      </c>
      <c r="D593" s="45">
        <v>2140</v>
      </c>
      <c r="E593" s="45">
        <v>6.1</v>
      </c>
      <c r="F593" s="45">
        <f t="shared" si="126"/>
        <v>13054</v>
      </c>
      <c r="G593" s="46">
        <f t="shared" si="127"/>
        <v>0</v>
      </c>
      <c r="H593" s="47">
        <f t="shared" si="128"/>
        <v>0</v>
      </c>
      <c r="I593" s="46">
        <f t="shared" si="129"/>
        <v>0</v>
      </c>
      <c r="J593" s="47">
        <v>0</v>
      </c>
      <c r="K593" s="46">
        <f t="shared" si="130"/>
        <v>0</v>
      </c>
      <c r="L593" s="47">
        <v>0</v>
      </c>
      <c r="AZ593" s="67"/>
      <c r="BC593" s="68"/>
    </row>
    <row r="594" spans="1:55" s="48" customFormat="1" ht="15.45" customHeight="1" outlineLevel="1" x14ac:dyDescent="0.25">
      <c r="A594" s="42">
        <v>122</v>
      </c>
      <c r="B594" s="43" t="s">
        <v>415</v>
      </c>
      <c r="C594" s="44" t="s">
        <v>61</v>
      </c>
      <c r="D594" s="45">
        <v>25</v>
      </c>
      <c r="E594" s="45">
        <v>9.1</v>
      </c>
      <c r="F594" s="45">
        <f t="shared" si="126"/>
        <v>227.5</v>
      </c>
      <c r="G594" s="46">
        <f t="shared" si="127"/>
        <v>0</v>
      </c>
      <c r="H594" s="47">
        <f t="shared" si="128"/>
        <v>0</v>
      </c>
      <c r="I594" s="46">
        <f t="shared" si="129"/>
        <v>0</v>
      </c>
      <c r="J594" s="47">
        <v>0</v>
      </c>
      <c r="K594" s="46">
        <f t="shared" si="130"/>
        <v>0</v>
      </c>
      <c r="L594" s="47">
        <v>0</v>
      </c>
      <c r="AZ594" s="49"/>
      <c r="BC594" s="50"/>
    </row>
    <row r="595" spans="1:55" s="48" customFormat="1" ht="15.45" customHeight="1" outlineLevel="1" x14ac:dyDescent="0.25">
      <c r="A595" s="42">
        <v>123</v>
      </c>
      <c r="B595" s="43" t="s">
        <v>416</v>
      </c>
      <c r="C595" s="44" t="s">
        <v>61</v>
      </c>
      <c r="D595" s="45">
        <v>60</v>
      </c>
      <c r="E595" s="45">
        <v>5.0999999999999996</v>
      </c>
      <c r="F595" s="45">
        <f t="shared" si="126"/>
        <v>306</v>
      </c>
      <c r="G595" s="46">
        <f t="shared" si="127"/>
        <v>0</v>
      </c>
      <c r="H595" s="47">
        <f t="shared" si="128"/>
        <v>0</v>
      </c>
      <c r="I595" s="46">
        <f t="shared" si="129"/>
        <v>0</v>
      </c>
      <c r="J595" s="47">
        <v>0</v>
      </c>
      <c r="K595" s="46">
        <f t="shared" si="130"/>
        <v>0</v>
      </c>
      <c r="L595" s="47">
        <v>0</v>
      </c>
      <c r="AZ595" s="49"/>
      <c r="BC595" s="50"/>
    </row>
    <row r="596" spans="1:55" s="48" customFormat="1" ht="15.45" customHeight="1" outlineLevel="1" x14ac:dyDescent="0.25">
      <c r="A596" s="42">
        <v>124</v>
      </c>
      <c r="B596" s="43" t="s">
        <v>389</v>
      </c>
      <c r="C596" s="44" t="s">
        <v>61</v>
      </c>
      <c r="D596" s="45">
        <v>30</v>
      </c>
      <c r="E596" s="45">
        <v>7.6</v>
      </c>
      <c r="F596" s="45">
        <f t="shared" si="126"/>
        <v>228</v>
      </c>
      <c r="G596" s="46">
        <f t="shared" si="127"/>
        <v>0</v>
      </c>
      <c r="H596" s="47">
        <f t="shared" si="128"/>
        <v>0</v>
      </c>
      <c r="I596" s="46">
        <f t="shared" si="129"/>
        <v>0</v>
      </c>
      <c r="J596" s="47">
        <v>0</v>
      </c>
      <c r="K596" s="46">
        <f t="shared" si="130"/>
        <v>0</v>
      </c>
      <c r="L596" s="47">
        <v>0</v>
      </c>
      <c r="AZ596" s="49"/>
      <c r="BC596" s="50"/>
    </row>
    <row r="597" spans="1:55" s="59" customFormat="1" ht="17.7" customHeight="1" outlineLevel="1" x14ac:dyDescent="0.35">
      <c r="A597" s="42">
        <v>125</v>
      </c>
      <c r="B597" s="43" t="s">
        <v>417</v>
      </c>
      <c r="C597" s="44" t="s">
        <v>61</v>
      </c>
      <c r="D597" s="45">
        <v>60</v>
      </c>
      <c r="E597" s="45">
        <v>2.2999999999999998</v>
      </c>
      <c r="F597" s="45">
        <f t="shared" si="126"/>
        <v>138</v>
      </c>
      <c r="G597" s="46">
        <f t="shared" si="127"/>
        <v>0</v>
      </c>
      <c r="H597" s="47">
        <f t="shared" si="128"/>
        <v>0</v>
      </c>
      <c r="I597" s="46">
        <f t="shared" si="129"/>
        <v>0</v>
      </c>
      <c r="J597" s="47">
        <v>0</v>
      </c>
      <c r="K597" s="46">
        <f t="shared" si="130"/>
        <v>0</v>
      </c>
      <c r="L597" s="47">
        <v>0</v>
      </c>
      <c r="AZ597" s="60"/>
      <c r="BC597" s="61"/>
    </row>
    <row r="598" spans="1:55" s="48" customFormat="1" ht="15.45" customHeight="1" outlineLevel="1" x14ac:dyDescent="0.25">
      <c r="A598" s="42">
        <v>126</v>
      </c>
      <c r="B598" s="43" t="s">
        <v>418</v>
      </c>
      <c r="C598" s="44" t="s">
        <v>61</v>
      </c>
      <c r="D598" s="45">
        <v>105</v>
      </c>
      <c r="E598" s="45">
        <v>5.4099999999999993</v>
      </c>
      <c r="F598" s="45">
        <f t="shared" si="126"/>
        <v>568.04999999999995</v>
      </c>
      <c r="G598" s="46">
        <f t="shared" si="127"/>
        <v>0</v>
      </c>
      <c r="H598" s="47">
        <f t="shared" si="128"/>
        <v>0</v>
      </c>
      <c r="I598" s="46">
        <f t="shared" si="129"/>
        <v>0</v>
      </c>
      <c r="J598" s="47">
        <v>0</v>
      </c>
      <c r="K598" s="46">
        <f t="shared" si="130"/>
        <v>0</v>
      </c>
      <c r="L598" s="47">
        <v>0</v>
      </c>
      <c r="AZ598" s="49"/>
      <c r="BC598" s="50"/>
    </row>
    <row r="599" spans="1:55" s="48" customFormat="1" ht="15.45" customHeight="1" outlineLevel="1" x14ac:dyDescent="0.25">
      <c r="A599" s="42">
        <v>127</v>
      </c>
      <c r="B599" s="43" t="s">
        <v>419</v>
      </c>
      <c r="C599" s="44" t="s">
        <v>61</v>
      </c>
      <c r="D599" s="45">
        <v>60</v>
      </c>
      <c r="E599" s="45">
        <v>6.2209999999999992</v>
      </c>
      <c r="F599" s="45">
        <f t="shared" si="126"/>
        <v>373.25999999999993</v>
      </c>
      <c r="G599" s="46">
        <f t="shared" si="127"/>
        <v>0</v>
      </c>
      <c r="H599" s="47">
        <f t="shared" si="128"/>
        <v>0</v>
      </c>
      <c r="I599" s="46">
        <f t="shared" si="129"/>
        <v>0</v>
      </c>
      <c r="J599" s="47">
        <v>0</v>
      </c>
      <c r="K599" s="46">
        <f t="shared" si="130"/>
        <v>0</v>
      </c>
      <c r="L599" s="47">
        <v>0</v>
      </c>
      <c r="AZ599" s="49"/>
      <c r="BC599" s="50"/>
    </row>
    <row r="600" spans="1:55" s="48" customFormat="1" ht="15.45" customHeight="1" outlineLevel="1" x14ac:dyDescent="0.25">
      <c r="A600" s="42">
        <v>128</v>
      </c>
      <c r="B600" s="43" t="s">
        <v>420</v>
      </c>
      <c r="C600" s="44" t="s">
        <v>61</v>
      </c>
      <c r="D600" s="45">
        <v>70</v>
      </c>
      <c r="E600" s="45">
        <v>10.210000000000001</v>
      </c>
      <c r="F600" s="45">
        <f t="shared" si="126"/>
        <v>714.7</v>
      </c>
      <c r="G600" s="46">
        <f t="shared" si="127"/>
        <v>0</v>
      </c>
      <c r="H600" s="47">
        <f t="shared" si="128"/>
        <v>0</v>
      </c>
      <c r="I600" s="46">
        <f t="shared" si="129"/>
        <v>0</v>
      </c>
      <c r="J600" s="47">
        <v>0</v>
      </c>
      <c r="K600" s="46">
        <f t="shared" si="130"/>
        <v>0</v>
      </c>
      <c r="L600" s="47">
        <v>0</v>
      </c>
      <c r="AZ600" s="49"/>
      <c r="BC600" s="50"/>
    </row>
    <row r="601" spans="1:55" s="48" customFormat="1" ht="15.45" customHeight="1" outlineLevel="1" x14ac:dyDescent="0.25">
      <c r="A601" s="42">
        <v>129</v>
      </c>
      <c r="B601" s="43" t="s">
        <v>421</v>
      </c>
      <c r="C601" s="44" t="s">
        <v>61</v>
      </c>
      <c r="D601" s="45">
        <v>162</v>
      </c>
      <c r="E601" s="45">
        <v>15.41</v>
      </c>
      <c r="F601" s="45">
        <f t="shared" ref="F601:F632" si="131">+E601*D601</f>
        <v>2496.42</v>
      </c>
      <c r="G601" s="46">
        <f t="shared" ref="G601:G611" si="132">I601+K601</f>
        <v>0</v>
      </c>
      <c r="H601" s="47">
        <f t="shared" ref="H601:H611" si="133">J601+L601</f>
        <v>0</v>
      </c>
      <c r="I601" s="46">
        <f t="shared" ref="I601:I632" si="134">J601/F601</f>
        <v>0</v>
      </c>
      <c r="J601" s="47">
        <v>0</v>
      </c>
      <c r="K601" s="46">
        <f t="shared" ref="K601:K632" si="135">L601/F601</f>
        <v>0</v>
      </c>
      <c r="L601" s="47">
        <v>0</v>
      </c>
      <c r="AZ601" s="49"/>
      <c r="BC601" s="50"/>
    </row>
    <row r="602" spans="1:55" s="48" customFormat="1" ht="15.45" customHeight="1" outlineLevel="1" x14ac:dyDescent="0.25">
      <c r="A602" s="42">
        <v>130</v>
      </c>
      <c r="B602" s="43" t="s">
        <v>422</v>
      </c>
      <c r="C602" s="44" t="s">
        <v>61</v>
      </c>
      <c r="D602" s="45">
        <v>50</v>
      </c>
      <c r="E602" s="45">
        <v>42.2</v>
      </c>
      <c r="F602" s="45">
        <f t="shared" si="131"/>
        <v>2110</v>
      </c>
      <c r="G602" s="46">
        <f t="shared" si="132"/>
        <v>0</v>
      </c>
      <c r="H602" s="47">
        <f t="shared" si="133"/>
        <v>0</v>
      </c>
      <c r="I602" s="46">
        <f t="shared" si="134"/>
        <v>0</v>
      </c>
      <c r="J602" s="47">
        <v>0</v>
      </c>
      <c r="K602" s="46">
        <f t="shared" si="135"/>
        <v>0</v>
      </c>
      <c r="L602" s="47">
        <v>0</v>
      </c>
      <c r="AZ602" s="49"/>
      <c r="BC602" s="50"/>
    </row>
    <row r="603" spans="1:55" s="48" customFormat="1" ht="27.75" customHeight="1" outlineLevel="1" x14ac:dyDescent="0.25">
      <c r="A603" s="42">
        <v>131</v>
      </c>
      <c r="B603" s="43" t="s">
        <v>423</v>
      </c>
      <c r="C603" s="44" t="s">
        <v>61</v>
      </c>
      <c r="D603" s="45">
        <v>2852</v>
      </c>
      <c r="E603" s="45">
        <v>1.4119999999999999</v>
      </c>
      <c r="F603" s="45">
        <f t="shared" si="131"/>
        <v>4027.0239999999999</v>
      </c>
      <c r="G603" s="46">
        <f t="shared" si="132"/>
        <v>0</v>
      </c>
      <c r="H603" s="47">
        <f t="shared" si="133"/>
        <v>0</v>
      </c>
      <c r="I603" s="46">
        <f t="shared" si="134"/>
        <v>0</v>
      </c>
      <c r="J603" s="47">
        <v>0</v>
      </c>
      <c r="K603" s="46">
        <f t="shared" si="135"/>
        <v>0</v>
      </c>
      <c r="L603" s="47">
        <v>0</v>
      </c>
      <c r="AZ603" s="49"/>
      <c r="BC603" s="50"/>
    </row>
    <row r="604" spans="1:55" s="48" customFormat="1" ht="15.45" customHeight="1" outlineLevel="1" x14ac:dyDescent="0.25">
      <c r="A604" s="42">
        <v>132</v>
      </c>
      <c r="B604" s="43" t="s">
        <v>424</v>
      </c>
      <c r="C604" s="44" t="s">
        <v>61</v>
      </c>
      <c r="D604" s="45">
        <v>4</v>
      </c>
      <c r="E604" s="45">
        <v>70.099999999999994</v>
      </c>
      <c r="F604" s="45">
        <f t="shared" si="131"/>
        <v>280.39999999999998</v>
      </c>
      <c r="G604" s="46">
        <f t="shared" si="132"/>
        <v>0</v>
      </c>
      <c r="H604" s="47">
        <f t="shared" si="133"/>
        <v>0</v>
      </c>
      <c r="I604" s="46">
        <f t="shared" si="134"/>
        <v>0</v>
      </c>
      <c r="J604" s="47">
        <v>0</v>
      </c>
      <c r="K604" s="46">
        <f t="shared" si="135"/>
        <v>0</v>
      </c>
      <c r="L604" s="47">
        <v>0</v>
      </c>
      <c r="AZ604" s="49"/>
      <c r="BC604" s="50"/>
    </row>
    <row r="605" spans="1:55" s="48" customFormat="1" ht="27.75" customHeight="1" outlineLevel="1" x14ac:dyDescent="0.25">
      <c r="A605" s="42">
        <v>133</v>
      </c>
      <c r="B605" s="43" t="s">
        <v>425</v>
      </c>
      <c r="C605" s="44" t="s">
        <v>61</v>
      </c>
      <c r="D605" s="45">
        <v>4</v>
      </c>
      <c r="E605" s="45">
        <v>1.9461999999999999</v>
      </c>
      <c r="F605" s="45">
        <f t="shared" si="131"/>
        <v>7.7847999999999997</v>
      </c>
      <c r="G605" s="46">
        <f t="shared" si="132"/>
        <v>0</v>
      </c>
      <c r="H605" s="47">
        <f t="shared" si="133"/>
        <v>0</v>
      </c>
      <c r="I605" s="46">
        <f t="shared" si="134"/>
        <v>0</v>
      </c>
      <c r="J605" s="47">
        <v>0</v>
      </c>
      <c r="K605" s="46">
        <f t="shared" si="135"/>
        <v>0</v>
      </c>
      <c r="L605" s="47">
        <v>0</v>
      </c>
      <c r="AZ605" s="49"/>
      <c r="BC605" s="50"/>
    </row>
    <row r="606" spans="1:55" s="48" customFormat="1" ht="15.45" customHeight="1" outlineLevel="1" x14ac:dyDescent="0.25">
      <c r="A606" s="42">
        <v>134</v>
      </c>
      <c r="B606" s="43" t="s">
        <v>426</v>
      </c>
      <c r="C606" s="44" t="s">
        <v>130</v>
      </c>
      <c r="D606" s="45">
        <v>14.5</v>
      </c>
      <c r="E606" s="45">
        <v>1.4239999999999999</v>
      </c>
      <c r="F606" s="45">
        <f t="shared" si="131"/>
        <v>20.648</v>
      </c>
      <c r="G606" s="46">
        <f t="shared" si="132"/>
        <v>0</v>
      </c>
      <c r="H606" s="47">
        <f t="shared" si="133"/>
        <v>0</v>
      </c>
      <c r="I606" s="46">
        <f t="shared" si="134"/>
        <v>0</v>
      </c>
      <c r="J606" s="47">
        <v>0</v>
      </c>
      <c r="K606" s="46">
        <f t="shared" si="135"/>
        <v>0</v>
      </c>
      <c r="L606" s="47">
        <v>0</v>
      </c>
      <c r="AZ606" s="49"/>
      <c r="BC606" s="50"/>
    </row>
    <row r="607" spans="1:55" s="48" customFormat="1" ht="15.45" customHeight="1" outlineLevel="1" x14ac:dyDescent="0.25">
      <c r="A607" s="42">
        <v>135</v>
      </c>
      <c r="B607" s="43" t="s">
        <v>427</v>
      </c>
      <c r="C607" s="44" t="s">
        <v>93</v>
      </c>
      <c r="D607" s="45">
        <v>3</v>
      </c>
      <c r="E607" s="45">
        <v>11.116</v>
      </c>
      <c r="F607" s="45">
        <f t="shared" si="131"/>
        <v>33.347999999999999</v>
      </c>
      <c r="G607" s="46">
        <f t="shared" si="132"/>
        <v>0</v>
      </c>
      <c r="H607" s="47">
        <f t="shared" si="133"/>
        <v>0</v>
      </c>
      <c r="I607" s="46">
        <f t="shared" si="134"/>
        <v>0</v>
      </c>
      <c r="J607" s="47">
        <v>0</v>
      </c>
      <c r="K607" s="46">
        <f t="shared" si="135"/>
        <v>0</v>
      </c>
      <c r="L607" s="47">
        <v>0</v>
      </c>
      <c r="AZ607" s="49"/>
      <c r="BC607" s="50"/>
    </row>
    <row r="608" spans="1:55" s="48" customFormat="1" ht="15.45" customHeight="1" outlineLevel="1" x14ac:dyDescent="0.25">
      <c r="A608" s="42">
        <v>136</v>
      </c>
      <c r="B608" s="43" t="s">
        <v>428</v>
      </c>
      <c r="C608" s="44" t="s">
        <v>61</v>
      </c>
      <c r="D608" s="45">
        <v>5</v>
      </c>
      <c r="E608" s="45">
        <v>4.9429999999999996</v>
      </c>
      <c r="F608" s="45">
        <f t="shared" si="131"/>
        <v>24.714999999999996</v>
      </c>
      <c r="G608" s="46">
        <f t="shared" si="132"/>
        <v>0</v>
      </c>
      <c r="H608" s="47">
        <f t="shared" si="133"/>
        <v>0</v>
      </c>
      <c r="I608" s="46">
        <f t="shared" si="134"/>
        <v>0</v>
      </c>
      <c r="J608" s="47">
        <v>0</v>
      </c>
      <c r="K608" s="46">
        <f t="shared" si="135"/>
        <v>0</v>
      </c>
      <c r="L608" s="47">
        <v>0</v>
      </c>
      <c r="AZ608" s="49"/>
      <c r="BC608" s="50"/>
    </row>
    <row r="609" spans="1:55" s="48" customFormat="1" ht="27.75" customHeight="1" outlineLevel="1" x14ac:dyDescent="0.25">
      <c r="A609" s="42">
        <v>137</v>
      </c>
      <c r="B609" s="43" t="s">
        <v>429</v>
      </c>
      <c r="C609" s="44" t="s">
        <v>61</v>
      </c>
      <c r="D609" s="45">
        <v>5</v>
      </c>
      <c r="E609" s="45">
        <v>2.2726000000000002</v>
      </c>
      <c r="F609" s="45">
        <f t="shared" si="131"/>
        <v>11.363000000000001</v>
      </c>
      <c r="G609" s="46">
        <f t="shared" si="132"/>
        <v>0</v>
      </c>
      <c r="H609" s="47">
        <f t="shared" si="133"/>
        <v>0</v>
      </c>
      <c r="I609" s="46">
        <f t="shared" si="134"/>
        <v>0</v>
      </c>
      <c r="J609" s="47">
        <v>0</v>
      </c>
      <c r="K609" s="46">
        <f t="shared" si="135"/>
        <v>0</v>
      </c>
      <c r="L609" s="47">
        <v>0</v>
      </c>
      <c r="AZ609" s="49"/>
      <c r="BC609" s="50"/>
    </row>
    <row r="610" spans="1:55" s="48" customFormat="1" ht="15.45" customHeight="1" outlineLevel="1" x14ac:dyDescent="0.25">
      <c r="A610" s="42">
        <v>138</v>
      </c>
      <c r="B610" s="43" t="s">
        <v>430</v>
      </c>
      <c r="C610" s="44" t="s">
        <v>61</v>
      </c>
      <c r="D610" s="45">
        <v>15</v>
      </c>
      <c r="E610" s="45">
        <v>7.3807999999999998</v>
      </c>
      <c r="F610" s="45">
        <f t="shared" si="131"/>
        <v>110.712</v>
      </c>
      <c r="G610" s="46">
        <f t="shared" si="132"/>
        <v>0</v>
      </c>
      <c r="H610" s="47">
        <f t="shared" si="133"/>
        <v>0</v>
      </c>
      <c r="I610" s="46">
        <f t="shared" si="134"/>
        <v>0</v>
      </c>
      <c r="J610" s="47">
        <v>0</v>
      </c>
      <c r="K610" s="46">
        <f t="shared" si="135"/>
        <v>0</v>
      </c>
      <c r="L610" s="47">
        <v>0</v>
      </c>
      <c r="AZ610" s="49"/>
      <c r="BC610" s="50"/>
    </row>
    <row r="611" spans="1:55" s="48" customFormat="1" ht="15.45" customHeight="1" outlineLevel="1" x14ac:dyDescent="0.25">
      <c r="A611" s="42">
        <v>139</v>
      </c>
      <c r="B611" s="43" t="s">
        <v>431</v>
      </c>
      <c r="C611" s="44" t="s">
        <v>61</v>
      </c>
      <c r="D611" s="45">
        <v>15</v>
      </c>
      <c r="E611" s="45">
        <v>2.242</v>
      </c>
      <c r="F611" s="45">
        <f t="shared" si="131"/>
        <v>33.630000000000003</v>
      </c>
      <c r="G611" s="46">
        <f t="shared" si="132"/>
        <v>0</v>
      </c>
      <c r="H611" s="47">
        <f t="shared" si="133"/>
        <v>0</v>
      </c>
      <c r="I611" s="46">
        <f t="shared" si="134"/>
        <v>0</v>
      </c>
      <c r="J611" s="47">
        <v>0</v>
      </c>
      <c r="K611" s="46">
        <f t="shared" si="135"/>
        <v>0</v>
      </c>
      <c r="L611" s="47">
        <v>0</v>
      </c>
      <c r="AZ611" s="49"/>
      <c r="BC611" s="50"/>
    </row>
    <row r="612" spans="1:55" s="56" customFormat="1" ht="17.25" customHeight="1" x14ac:dyDescent="0.3">
      <c r="A612" s="62">
        <v>2.23</v>
      </c>
      <c r="B612" s="51" t="s">
        <v>432</v>
      </c>
      <c r="C612" s="52">
        <v>0</v>
      </c>
      <c r="D612" s="53"/>
      <c r="E612" s="53"/>
      <c r="F612" s="53"/>
      <c r="G612" s="54"/>
      <c r="H612" s="55"/>
      <c r="I612" s="54"/>
      <c r="J612" s="55"/>
      <c r="K612" s="54"/>
      <c r="L612" s="55">
        <v>0</v>
      </c>
      <c r="AZ612" s="57"/>
      <c r="BC612" s="58"/>
    </row>
    <row r="613" spans="1:55" s="48" customFormat="1" ht="27.75" customHeight="1" outlineLevel="1" x14ac:dyDescent="0.25">
      <c r="A613" s="42">
        <v>1</v>
      </c>
      <c r="B613" s="43" t="s">
        <v>433</v>
      </c>
      <c r="C613" s="44" t="s">
        <v>93</v>
      </c>
      <c r="D613" s="45">
        <v>179</v>
      </c>
      <c r="E613" s="45">
        <v>34.431199999999997</v>
      </c>
      <c r="F613" s="45">
        <f t="shared" ref="F613:F653" si="136">+E613*D613</f>
        <v>6163.1847999999991</v>
      </c>
      <c r="G613" s="46">
        <f t="shared" ref="G613:G653" si="137">I613+K613</f>
        <v>0</v>
      </c>
      <c r="H613" s="47">
        <f t="shared" ref="H613:H653" si="138">J613+L613</f>
        <v>0</v>
      </c>
      <c r="I613" s="46">
        <f t="shared" ref="I613:I653" si="139">J613/F613</f>
        <v>0</v>
      </c>
      <c r="J613" s="47">
        <v>0</v>
      </c>
      <c r="K613" s="46">
        <f t="shared" ref="K613:K653" si="140">L613/F613</f>
        <v>0</v>
      </c>
      <c r="L613" s="47">
        <v>0</v>
      </c>
      <c r="AZ613" s="49"/>
      <c r="BC613" s="50"/>
    </row>
    <row r="614" spans="1:55" s="48" customFormat="1" ht="15.45" customHeight="1" outlineLevel="1" x14ac:dyDescent="0.25">
      <c r="A614" s="42">
        <v>2</v>
      </c>
      <c r="B614" s="43" t="s">
        <v>434</v>
      </c>
      <c r="C614" s="44" t="s">
        <v>93</v>
      </c>
      <c r="D614" s="45">
        <v>43</v>
      </c>
      <c r="E614" s="45">
        <v>29.851400000000009</v>
      </c>
      <c r="F614" s="45">
        <f t="shared" si="136"/>
        <v>1283.6102000000003</v>
      </c>
      <c r="G614" s="46">
        <f t="shared" si="137"/>
        <v>0</v>
      </c>
      <c r="H614" s="47">
        <f t="shared" si="138"/>
        <v>0</v>
      </c>
      <c r="I614" s="46">
        <f t="shared" si="139"/>
        <v>0</v>
      </c>
      <c r="J614" s="47">
        <v>0</v>
      </c>
      <c r="K614" s="46">
        <f t="shared" si="140"/>
        <v>0</v>
      </c>
      <c r="L614" s="47">
        <v>0</v>
      </c>
      <c r="AZ614" s="49"/>
      <c r="BC614" s="50"/>
    </row>
    <row r="615" spans="1:55" s="48" customFormat="1" ht="15.45" customHeight="1" outlineLevel="1" x14ac:dyDescent="0.25">
      <c r="A615" s="42">
        <v>3</v>
      </c>
      <c r="B615" s="43" t="s">
        <v>435</v>
      </c>
      <c r="C615" s="44" t="s">
        <v>93</v>
      </c>
      <c r="D615" s="45">
        <v>28</v>
      </c>
      <c r="E615" s="45">
        <v>26.21</v>
      </c>
      <c r="F615" s="45">
        <f t="shared" si="136"/>
        <v>733.88</v>
      </c>
      <c r="G615" s="46">
        <f t="shared" si="137"/>
        <v>0</v>
      </c>
      <c r="H615" s="47">
        <f t="shared" si="138"/>
        <v>0</v>
      </c>
      <c r="I615" s="46">
        <f t="shared" si="139"/>
        <v>0</v>
      </c>
      <c r="J615" s="47">
        <v>0</v>
      </c>
      <c r="K615" s="46">
        <f t="shared" si="140"/>
        <v>0</v>
      </c>
      <c r="L615" s="47">
        <v>0</v>
      </c>
      <c r="AZ615" s="49"/>
      <c r="BC615" s="50"/>
    </row>
    <row r="616" spans="1:55" s="48" customFormat="1" ht="15.45" customHeight="1" outlineLevel="1" x14ac:dyDescent="0.25">
      <c r="A616" s="42">
        <v>4</v>
      </c>
      <c r="B616" s="43" t="s">
        <v>436</v>
      </c>
      <c r="C616" s="44" t="s">
        <v>93</v>
      </c>
      <c r="D616" s="45">
        <v>14</v>
      </c>
      <c r="E616" s="45">
        <v>45.68180000000001</v>
      </c>
      <c r="F616" s="45">
        <f t="shared" si="136"/>
        <v>639.54520000000014</v>
      </c>
      <c r="G616" s="46">
        <f t="shared" si="137"/>
        <v>0</v>
      </c>
      <c r="H616" s="47">
        <f t="shared" si="138"/>
        <v>0</v>
      </c>
      <c r="I616" s="46">
        <f t="shared" si="139"/>
        <v>0</v>
      </c>
      <c r="J616" s="47">
        <v>0</v>
      </c>
      <c r="K616" s="46">
        <f t="shared" si="140"/>
        <v>0</v>
      </c>
      <c r="L616" s="47">
        <v>0</v>
      </c>
      <c r="AZ616" s="49"/>
      <c r="BC616" s="50"/>
    </row>
    <row r="617" spans="1:55" s="48" customFormat="1" ht="27.75" customHeight="1" outlineLevel="1" x14ac:dyDescent="0.25">
      <c r="A617" s="42">
        <v>5</v>
      </c>
      <c r="B617" s="43" t="s">
        <v>437</v>
      </c>
      <c r="C617" s="44" t="s">
        <v>93</v>
      </c>
      <c r="D617" s="45">
        <v>12</v>
      </c>
      <c r="E617" s="45">
        <v>22.884799999999998</v>
      </c>
      <c r="F617" s="45">
        <f t="shared" si="136"/>
        <v>274.61759999999998</v>
      </c>
      <c r="G617" s="46">
        <f t="shared" si="137"/>
        <v>0</v>
      </c>
      <c r="H617" s="47">
        <f t="shared" si="138"/>
        <v>0</v>
      </c>
      <c r="I617" s="46">
        <f t="shared" si="139"/>
        <v>0</v>
      </c>
      <c r="J617" s="47">
        <v>0</v>
      </c>
      <c r="K617" s="46">
        <f t="shared" si="140"/>
        <v>0</v>
      </c>
      <c r="L617" s="47">
        <v>0</v>
      </c>
      <c r="AZ617" s="49"/>
      <c r="BC617" s="50"/>
    </row>
    <row r="618" spans="1:55" s="48" customFormat="1" ht="15.45" customHeight="1" outlineLevel="1" x14ac:dyDescent="0.25">
      <c r="A618" s="42">
        <v>6</v>
      </c>
      <c r="B618" s="43" t="s">
        <v>438</v>
      </c>
      <c r="C618" s="44" t="s">
        <v>93</v>
      </c>
      <c r="D618" s="45">
        <v>22</v>
      </c>
      <c r="E618" s="45">
        <v>90.714799999999983</v>
      </c>
      <c r="F618" s="45">
        <f t="shared" si="136"/>
        <v>1995.7255999999995</v>
      </c>
      <c r="G618" s="46">
        <f t="shared" si="137"/>
        <v>0</v>
      </c>
      <c r="H618" s="47">
        <f t="shared" si="138"/>
        <v>0</v>
      </c>
      <c r="I618" s="46">
        <f t="shared" si="139"/>
        <v>0</v>
      </c>
      <c r="J618" s="47">
        <v>0</v>
      </c>
      <c r="K618" s="46">
        <f t="shared" si="140"/>
        <v>0</v>
      </c>
      <c r="L618" s="47">
        <v>0</v>
      </c>
      <c r="AZ618" s="49"/>
      <c r="BC618" s="50"/>
    </row>
    <row r="619" spans="1:55" s="59" customFormat="1" ht="17.7" customHeight="1" outlineLevel="1" x14ac:dyDescent="0.35">
      <c r="A619" s="42">
        <v>7</v>
      </c>
      <c r="B619" s="43" t="s">
        <v>439</v>
      </c>
      <c r="C619" s="44" t="s">
        <v>93</v>
      </c>
      <c r="D619" s="45">
        <v>37</v>
      </c>
      <c r="E619" s="45">
        <v>23.9252</v>
      </c>
      <c r="F619" s="45">
        <f t="shared" si="136"/>
        <v>885.23239999999998</v>
      </c>
      <c r="G619" s="46">
        <f t="shared" si="137"/>
        <v>0</v>
      </c>
      <c r="H619" s="47">
        <f t="shared" si="138"/>
        <v>0</v>
      </c>
      <c r="I619" s="46">
        <f t="shared" si="139"/>
        <v>0</v>
      </c>
      <c r="J619" s="47">
        <v>0</v>
      </c>
      <c r="K619" s="46">
        <f t="shared" si="140"/>
        <v>0</v>
      </c>
      <c r="L619" s="47">
        <v>0</v>
      </c>
      <c r="AZ619" s="60"/>
      <c r="BC619" s="61"/>
    </row>
    <row r="620" spans="1:55" s="48" customFormat="1" ht="15.45" customHeight="1" outlineLevel="1" x14ac:dyDescent="0.25">
      <c r="A620" s="42">
        <v>8</v>
      </c>
      <c r="B620" s="43" t="s">
        <v>440</v>
      </c>
      <c r="C620" s="44" t="s">
        <v>93</v>
      </c>
      <c r="D620" s="45">
        <v>4</v>
      </c>
      <c r="E620" s="45">
        <v>18.305</v>
      </c>
      <c r="F620" s="45">
        <f t="shared" si="136"/>
        <v>73.22</v>
      </c>
      <c r="G620" s="46">
        <f t="shared" si="137"/>
        <v>0</v>
      </c>
      <c r="H620" s="47">
        <f t="shared" si="138"/>
        <v>0</v>
      </c>
      <c r="I620" s="46">
        <f t="shared" si="139"/>
        <v>0</v>
      </c>
      <c r="J620" s="47">
        <v>0</v>
      </c>
      <c r="K620" s="46">
        <f t="shared" si="140"/>
        <v>0</v>
      </c>
      <c r="L620" s="47">
        <v>0</v>
      </c>
      <c r="AZ620" s="49"/>
      <c r="BC620" s="50"/>
    </row>
    <row r="621" spans="1:55" s="48" customFormat="1" ht="15.45" customHeight="1" outlineLevel="1" x14ac:dyDescent="0.25">
      <c r="A621" s="42">
        <v>9</v>
      </c>
      <c r="B621" s="43" t="s">
        <v>441</v>
      </c>
      <c r="C621" s="44" t="s">
        <v>93</v>
      </c>
      <c r="D621" s="45">
        <v>140</v>
      </c>
      <c r="E621" s="45">
        <v>51.312199999999997</v>
      </c>
      <c r="F621" s="45">
        <f t="shared" si="136"/>
        <v>7183.7079999999996</v>
      </c>
      <c r="G621" s="46">
        <f t="shared" si="137"/>
        <v>0</v>
      </c>
      <c r="H621" s="47">
        <f t="shared" si="138"/>
        <v>0</v>
      </c>
      <c r="I621" s="46">
        <f t="shared" si="139"/>
        <v>0</v>
      </c>
      <c r="J621" s="47">
        <v>0</v>
      </c>
      <c r="K621" s="46">
        <f t="shared" si="140"/>
        <v>0</v>
      </c>
      <c r="L621" s="47">
        <v>0</v>
      </c>
      <c r="AZ621" s="49"/>
      <c r="BC621" s="50"/>
    </row>
    <row r="622" spans="1:55" s="48" customFormat="1" ht="15.45" customHeight="1" outlineLevel="1" x14ac:dyDescent="0.25">
      <c r="A622" s="42">
        <v>10</v>
      </c>
      <c r="B622" s="43" t="s">
        <v>442</v>
      </c>
      <c r="C622" s="44" t="s">
        <v>93</v>
      </c>
      <c r="D622" s="45">
        <v>9</v>
      </c>
      <c r="E622" s="45">
        <v>34.706600000000002</v>
      </c>
      <c r="F622" s="45">
        <f t="shared" si="136"/>
        <v>312.35939999999999</v>
      </c>
      <c r="G622" s="46">
        <f t="shared" si="137"/>
        <v>0</v>
      </c>
      <c r="H622" s="47">
        <f t="shared" si="138"/>
        <v>0</v>
      </c>
      <c r="I622" s="46">
        <f t="shared" si="139"/>
        <v>0</v>
      </c>
      <c r="J622" s="47">
        <v>0</v>
      </c>
      <c r="K622" s="46">
        <f t="shared" si="140"/>
        <v>0</v>
      </c>
      <c r="L622" s="47">
        <v>0</v>
      </c>
      <c r="AZ622" s="49"/>
      <c r="BC622" s="50"/>
    </row>
    <row r="623" spans="1:55" s="48" customFormat="1" ht="27.75" customHeight="1" outlineLevel="1" x14ac:dyDescent="0.25">
      <c r="A623" s="42">
        <v>11</v>
      </c>
      <c r="B623" s="43" t="s">
        <v>443</v>
      </c>
      <c r="C623" s="44" t="s">
        <v>93</v>
      </c>
      <c r="D623" s="45">
        <v>3</v>
      </c>
      <c r="E623" s="45">
        <v>100.58839999999999</v>
      </c>
      <c r="F623" s="45">
        <f t="shared" si="136"/>
        <v>301.76519999999999</v>
      </c>
      <c r="G623" s="46">
        <f t="shared" si="137"/>
        <v>0</v>
      </c>
      <c r="H623" s="47">
        <f t="shared" si="138"/>
        <v>0</v>
      </c>
      <c r="I623" s="46">
        <f t="shared" si="139"/>
        <v>0</v>
      </c>
      <c r="J623" s="47">
        <v>0</v>
      </c>
      <c r="K623" s="46">
        <f t="shared" si="140"/>
        <v>0</v>
      </c>
      <c r="L623" s="47">
        <v>0</v>
      </c>
      <c r="AZ623" s="49"/>
      <c r="BC623" s="50"/>
    </row>
    <row r="624" spans="1:55" s="48" customFormat="1" ht="15.45" customHeight="1" outlineLevel="1" x14ac:dyDescent="0.25">
      <c r="A624" s="42">
        <v>12</v>
      </c>
      <c r="B624" s="43" t="s">
        <v>444</v>
      </c>
      <c r="C624" s="44" t="s">
        <v>93</v>
      </c>
      <c r="D624" s="45">
        <v>4</v>
      </c>
      <c r="E624" s="45">
        <v>54.698600000000013</v>
      </c>
      <c r="F624" s="45">
        <f t="shared" si="136"/>
        <v>218.79440000000005</v>
      </c>
      <c r="G624" s="46">
        <f t="shared" si="137"/>
        <v>0</v>
      </c>
      <c r="H624" s="47">
        <f t="shared" si="138"/>
        <v>0</v>
      </c>
      <c r="I624" s="46">
        <f t="shared" si="139"/>
        <v>0</v>
      </c>
      <c r="J624" s="47">
        <v>0</v>
      </c>
      <c r="K624" s="46">
        <f t="shared" si="140"/>
        <v>0</v>
      </c>
      <c r="L624" s="47">
        <v>0</v>
      </c>
      <c r="AZ624" s="49"/>
      <c r="BC624" s="50"/>
    </row>
    <row r="625" spans="1:55" s="48" customFormat="1" ht="15.45" customHeight="1" outlineLevel="1" x14ac:dyDescent="0.25">
      <c r="A625" s="42">
        <v>13</v>
      </c>
      <c r="B625" s="43" t="s">
        <v>445</v>
      </c>
      <c r="C625" s="44" t="s">
        <v>93</v>
      </c>
      <c r="D625" s="45">
        <v>11</v>
      </c>
      <c r="E625" s="45">
        <v>45.68180000000001</v>
      </c>
      <c r="F625" s="45">
        <f t="shared" si="136"/>
        <v>502.49980000000011</v>
      </c>
      <c r="G625" s="46">
        <f t="shared" si="137"/>
        <v>0</v>
      </c>
      <c r="H625" s="47">
        <f t="shared" si="138"/>
        <v>0</v>
      </c>
      <c r="I625" s="46">
        <f t="shared" si="139"/>
        <v>0</v>
      </c>
      <c r="J625" s="47">
        <v>0</v>
      </c>
      <c r="K625" s="46">
        <f t="shared" si="140"/>
        <v>0</v>
      </c>
      <c r="L625" s="47">
        <v>0</v>
      </c>
      <c r="AZ625" s="49"/>
      <c r="BC625" s="50"/>
    </row>
    <row r="626" spans="1:55" s="48" customFormat="1" ht="15.45" customHeight="1" outlineLevel="1" x14ac:dyDescent="0.25">
      <c r="A626" s="42">
        <v>14</v>
      </c>
      <c r="B626" s="43" t="s">
        <v>446</v>
      </c>
      <c r="C626" s="44" t="s">
        <v>93</v>
      </c>
      <c r="D626" s="45">
        <v>506</v>
      </c>
      <c r="E626" s="45">
        <v>14.002599999999999</v>
      </c>
      <c r="F626" s="45">
        <f t="shared" si="136"/>
        <v>7085.3155999999999</v>
      </c>
      <c r="G626" s="46">
        <f t="shared" si="137"/>
        <v>0</v>
      </c>
      <c r="H626" s="47">
        <f t="shared" si="138"/>
        <v>0</v>
      </c>
      <c r="I626" s="46">
        <f t="shared" si="139"/>
        <v>0</v>
      </c>
      <c r="J626" s="47">
        <v>0</v>
      </c>
      <c r="K626" s="46">
        <f t="shared" si="140"/>
        <v>0</v>
      </c>
      <c r="L626" s="47">
        <v>0</v>
      </c>
      <c r="AZ626" s="49"/>
      <c r="BC626" s="50"/>
    </row>
    <row r="627" spans="1:55" s="48" customFormat="1" ht="15.45" customHeight="1" outlineLevel="1" x14ac:dyDescent="0.25">
      <c r="A627" s="42">
        <v>15</v>
      </c>
      <c r="B627" s="43" t="s">
        <v>447</v>
      </c>
      <c r="C627" s="44" t="s">
        <v>93</v>
      </c>
      <c r="D627" s="45">
        <v>11</v>
      </c>
      <c r="E627" s="45">
        <v>18.305</v>
      </c>
      <c r="F627" s="45">
        <f t="shared" si="136"/>
        <v>201.35499999999999</v>
      </c>
      <c r="G627" s="46">
        <f t="shared" si="137"/>
        <v>0</v>
      </c>
      <c r="H627" s="47">
        <f t="shared" si="138"/>
        <v>0</v>
      </c>
      <c r="I627" s="46">
        <f t="shared" si="139"/>
        <v>0</v>
      </c>
      <c r="J627" s="47">
        <v>0</v>
      </c>
      <c r="K627" s="46">
        <f t="shared" si="140"/>
        <v>0</v>
      </c>
      <c r="L627" s="47">
        <v>0</v>
      </c>
      <c r="AZ627" s="49"/>
      <c r="BC627" s="50"/>
    </row>
    <row r="628" spans="1:55" s="48" customFormat="1" ht="15.45" customHeight="1" outlineLevel="1" x14ac:dyDescent="0.25">
      <c r="A628" s="42">
        <v>16</v>
      </c>
      <c r="B628" s="43" t="s">
        <v>448</v>
      </c>
      <c r="C628" s="44" t="s">
        <v>93</v>
      </c>
      <c r="D628" s="45">
        <v>11</v>
      </c>
      <c r="E628" s="45">
        <v>14.6044</v>
      </c>
      <c r="F628" s="45">
        <f t="shared" si="136"/>
        <v>160.64840000000001</v>
      </c>
      <c r="G628" s="46">
        <f t="shared" si="137"/>
        <v>0</v>
      </c>
      <c r="H628" s="47">
        <f t="shared" si="138"/>
        <v>0</v>
      </c>
      <c r="I628" s="46">
        <f t="shared" si="139"/>
        <v>0</v>
      </c>
      <c r="J628" s="47">
        <v>0</v>
      </c>
      <c r="K628" s="46">
        <f t="shared" si="140"/>
        <v>0</v>
      </c>
      <c r="L628" s="47">
        <v>0</v>
      </c>
      <c r="AZ628" s="49"/>
      <c r="BC628" s="50"/>
    </row>
    <row r="629" spans="1:55" s="48" customFormat="1" ht="15.45" customHeight="1" outlineLevel="1" x14ac:dyDescent="0.25">
      <c r="A629" s="42">
        <v>17</v>
      </c>
      <c r="B629" s="43" t="s">
        <v>449</v>
      </c>
      <c r="C629" s="44" t="s">
        <v>93</v>
      </c>
      <c r="D629" s="45">
        <v>7</v>
      </c>
      <c r="E629" s="45">
        <v>12.929600000000001</v>
      </c>
      <c r="F629" s="45">
        <f t="shared" si="136"/>
        <v>90.507200000000012</v>
      </c>
      <c r="G629" s="46">
        <f t="shared" si="137"/>
        <v>0</v>
      </c>
      <c r="H629" s="47">
        <f t="shared" si="138"/>
        <v>0</v>
      </c>
      <c r="I629" s="46">
        <f t="shared" si="139"/>
        <v>0</v>
      </c>
      <c r="J629" s="47">
        <v>0</v>
      </c>
      <c r="K629" s="46">
        <f t="shared" si="140"/>
        <v>0</v>
      </c>
      <c r="L629" s="47">
        <v>0</v>
      </c>
      <c r="AZ629" s="49"/>
      <c r="BC629" s="50"/>
    </row>
    <row r="630" spans="1:55" s="48" customFormat="1" ht="15.45" customHeight="1" outlineLevel="1" x14ac:dyDescent="0.25">
      <c r="A630" s="42">
        <v>18</v>
      </c>
      <c r="B630" s="43" t="s">
        <v>450</v>
      </c>
      <c r="C630" s="44" t="s">
        <v>93</v>
      </c>
      <c r="D630" s="45">
        <v>7</v>
      </c>
      <c r="E630" s="45">
        <v>10.045</v>
      </c>
      <c r="F630" s="45">
        <f t="shared" si="136"/>
        <v>70.314999999999998</v>
      </c>
      <c r="G630" s="46">
        <f t="shared" si="137"/>
        <v>0</v>
      </c>
      <c r="H630" s="47">
        <f t="shared" si="138"/>
        <v>0</v>
      </c>
      <c r="I630" s="46">
        <f t="shared" si="139"/>
        <v>0</v>
      </c>
      <c r="J630" s="47">
        <v>0</v>
      </c>
      <c r="K630" s="46">
        <f t="shared" si="140"/>
        <v>0</v>
      </c>
      <c r="L630" s="47">
        <v>0</v>
      </c>
      <c r="AZ630" s="49"/>
      <c r="BC630" s="50"/>
    </row>
    <row r="631" spans="1:55" s="48" customFormat="1" ht="15.45" customHeight="1" outlineLevel="1" x14ac:dyDescent="0.25">
      <c r="A631" s="42">
        <v>19</v>
      </c>
      <c r="B631" s="43" t="s">
        <v>451</v>
      </c>
      <c r="C631" s="44" t="s">
        <v>93</v>
      </c>
      <c r="D631" s="45">
        <v>18</v>
      </c>
      <c r="E631" s="45">
        <v>21.007999999999999</v>
      </c>
      <c r="F631" s="45">
        <f t="shared" si="136"/>
        <v>378.14400000000001</v>
      </c>
      <c r="G631" s="46">
        <f t="shared" si="137"/>
        <v>0</v>
      </c>
      <c r="H631" s="47">
        <f t="shared" si="138"/>
        <v>0</v>
      </c>
      <c r="I631" s="46">
        <f t="shared" si="139"/>
        <v>0</v>
      </c>
      <c r="J631" s="47">
        <v>0</v>
      </c>
      <c r="K631" s="46">
        <f t="shared" si="140"/>
        <v>0</v>
      </c>
      <c r="L631" s="47">
        <v>0</v>
      </c>
      <c r="AZ631" s="49"/>
      <c r="BC631" s="50"/>
    </row>
    <row r="632" spans="1:55" s="48" customFormat="1" ht="15.45" customHeight="1" outlineLevel="1" x14ac:dyDescent="0.25">
      <c r="A632" s="42">
        <v>20</v>
      </c>
      <c r="B632" s="43" t="s">
        <v>452</v>
      </c>
      <c r="C632" s="44" t="s">
        <v>93</v>
      </c>
      <c r="D632" s="45">
        <v>18</v>
      </c>
      <c r="E632" s="45">
        <v>11.8504</v>
      </c>
      <c r="F632" s="45">
        <f t="shared" si="136"/>
        <v>213.30720000000002</v>
      </c>
      <c r="G632" s="46">
        <f t="shared" si="137"/>
        <v>0</v>
      </c>
      <c r="H632" s="47">
        <f t="shared" si="138"/>
        <v>0</v>
      </c>
      <c r="I632" s="46">
        <f t="shared" si="139"/>
        <v>0</v>
      </c>
      <c r="J632" s="47">
        <v>0</v>
      </c>
      <c r="K632" s="46">
        <f t="shared" si="140"/>
        <v>0</v>
      </c>
      <c r="L632" s="47">
        <v>0</v>
      </c>
      <c r="AZ632" s="49"/>
      <c r="BC632" s="50"/>
    </row>
    <row r="633" spans="1:55" s="48" customFormat="1" ht="15.45" customHeight="1" outlineLevel="1" x14ac:dyDescent="0.25">
      <c r="A633" s="42">
        <v>21</v>
      </c>
      <c r="B633" s="43" t="s">
        <v>453</v>
      </c>
      <c r="C633" s="44" t="s">
        <v>93</v>
      </c>
      <c r="D633" s="45">
        <v>10</v>
      </c>
      <c r="E633" s="45">
        <v>1.4443999999999999</v>
      </c>
      <c r="F633" s="45">
        <f t="shared" si="136"/>
        <v>14.443999999999999</v>
      </c>
      <c r="G633" s="46">
        <f t="shared" si="137"/>
        <v>0</v>
      </c>
      <c r="H633" s="47">
        <f t="shared" si="138"/>
        <v>0</v>
      </c>
      <c r="I633" s="46">
        <f t="shared" si="139"/>
        <v>0</v>
      </c>
      <c r="J633" s="47">
        <v>0</v>
      </c>
      <c r="K633" s="46">
        <f t="shared" si="140"/>
        <v>0</v>
      </c>
      <c r="L633" s="47">
        <v>0</v>
      </c>
      <c r="AZ633" s="49"/>
      <c r="BC633" s="50"/>
    </row>
    <row r="634" spans="1:55" s="48" customFormat="1" ht="15.45" customHeight="1" outlineLevel="1" x14ac:dyDescent="0.25">
      <c r="A634" s="42">
        <v>22</v>
      </c>
      <c r="B634" s="43" t="s">
        <v>454</v>
      </c>
      <c r="C634" s="44" t="s">
        <v>93</v>
      </c>
      <c r="D634" s="45">
        <v>8</v>
      </c>
      <c r="E634" s="45">
        <v>1.6177999999999999</v>
      </c>
      <c r="F634" s="45">
        <f t="shared" si="136"/>
        <v>12.942399999999999</v>
      </c>
      <c r="G634" s="46">
        <f t="shared" si="137"/>
        <v>0</v>
      </c>
      <c r="H634" s="47">
        <f t="shared" si="138"/>
        <v>0</v>
      </c>
      <c r="I634" s="46">
        <f t="shared" si="139"/>
        <v>0</v>
      </c>
      <c r="J634" s="47">
        <v>0</v>
      </c>
      <c r="K634" s="46">
        <f t="shared" si="140"/>
        <v>0</v>
      </c>
      <c r="L634" s="47">
        <v>0</v>
      </c>
      <c r="AZ634" s="49"/>
      <c r="BC634" s="50"/>
    </row>
    <row r="635" spans="1:55" s="48" customFormat="1" ht="15.45" customHeight="1" outlineLevel="1" x14ac:dyDescent="0.25">
      <c r="A635" s="42">
        <v>23</v>
      </c>
      <c r="B635" s="43" t="s">
        <v>455</v>
      </c>
      <c r="C635" s="44" t="s">
        <v>93</v>
      </c>
      <c r="D635" s="45">
        <v>7</v>
      </c>
      <c r="E635" s="45">
        <v>1.4443999999999999</v>
      </c>
      <c r="F635" s="45">
        <f t="shared" si="136"/>
        <v>10.110799999999999</v>
      </c>
      <c r="G635" s="46">
        <f t="shared" si="137"/>
        <v>0</v>
      </c>
      <c r="H635" s="47">
        <f t="shared" si="138"/>
        <v>0</v>
      </c>
      <c r="I635" s="46">
        <f t="shared" si="139"/>
        <v>0</v>
      </c>
      <c r="J635" s="47">
        <v>0</v>
      </c>
      <c r="K635" s="46">
        <f t="shared" si="140"/>
        <v>0</v>
      </c>
      <c r="L635" s="47">
        <v>0</v>
      </c>
      <c r="AZ635" s="49"/>
      <c r="BC635" s="50"/>
    </row>
    <row r="636" spans="1:55" s="48" customFormat="1" ht="15.45" customHeight="1" outlineLevel="1" x14ac:dyDescent="0.25">
      <c r="A636" s="42">
        <v>24</v>
      </c>
      <c r="B636" s="43" t="s">
        <v>456</v>
      </c>
      <c r="C636" s="44" t="s">
        <v>234</v>
      </c>
      <c r="D636" s="45">
        <v>2</v>
      </c>
      <c r="E636" s="45">
        <v>134.3912</v>
      </c>
      <c r="F636" s="45">
        <f t="shared" si="136"/>
        <v>268.7824</v>
      </c>
      <c r="G636" s="46">
        <f t="shared" si="137"/>
        <v>0</v>
      </c>
      <c r="H636" s="47">
        <f t="shared" si="138"/>
        <v>0</v>
      </c>
      <c r="I636" s="46">
        <f t="shared" si="139"/>
        <v>0</v>
      </c>
      <c r="J636" s="47">
        <v>0</v>
      </c>
      <c r="K636" s="46">
        <f t="shared" si="140"/>
        <v>0</v>
      </c>
      <c r="L636" s="47">
        <v>0</v>
      </c>
      <c r="AZ636" s="49"/>
      <c r="BC636" s="50"/>
    </row>
    <row r="637" spans="1:55" s="48" customFormat="1" ht="15.45" customHeight="1" outlineLevel="1" x14ac:dyDescent="0.25">
      <c r="A637" s="42">
        <v>25</v>
      </c>
      <c r="B637" s="43" t="s">
        <v>457</v>
      </c>
      <c r="C637" s="44" t="s">
        <v>93</v>
      </c>
      <c r="D637" s="45">
        <v>2</v>
      </c>
      <c r="E637" s="45">
        <v>16.807600000000001</v>
      </c>
      <c r="F637" s="45">
        <f t="shared" si="136"/>
        <v>33.615200000000002</v>
      </c>
      <c r="G637" s="46">
        <f t="shared" si="137"/>
        <v>0</v>
      </c>
      <c r="H637" s="47">
        <f t="shared" si="138"/>
        <v>0</v>
      </c>
      <c r="I637" s="46">
        <f t="shared" si="139"/>
        <v>0</v>
      </c>
      <c r="J637" s="47">
        <v>0</v>
      </c>
      <c r="K637" s="46">
        <f t="shared" si="140"/>
        <v>0</v>
      </c>
      <c r="L637" s="47">
        <v>0</v>
      </c>
      <c r="AZ637" s="49"/>
      <c r="BC637" s="50"/>
    </row>
    <row r="638" spans="1:55" s="48" customFormat="1" ht="15.45" customHeight="1" outlineLevel="1" x14ac:dyDescent="0.25">
      <c r="A638" s="42">
        <v>26</v>
      </c>
      <c r="B638" s="43" t="s">
        <v>458</v>
      </c>
      <c r="C638" s="44" t="s">
        <v>93</v>
      </c>
      <c r="D638" s="45">
        <v>7</v>
      </c>
      <c r="E638" s="45">
        <v>3.9434</v>
      </c>
      <c r="F638" s="45">
        <f t="shared" si="136"/>
        <v>27.6038</v>
      </c>
      <c r="G638" s="46">
        <f t="shared" si="137"/>
        <v>0</v>
      </c>
      <c r="H638" s="47">
        <f t="shared" si="138"/>
        <v>0</v>
      </c>
      <c r="I638" s="46">
        <f t="shared" si="139"/>
        <v>0</v>
      </c>
      <c r="J638" s="47">
        <v>0</v>
      </c>
      <c r="K638" s="46">
        <f t="shared" si="140"/>
        <v>0</v>
      </c>
      <c r="L638" s="47">
        <v>0</v>
      </c>
      <c r="AZ638" s="49"/>
      <c r="BC638" s="50"/>
    </row>
    <row r="639" spans="1:55" s="48" customFormat="1" ht="27.75" customHeight="1" outlineLevel="1" x14ac:dyDescent="0.25">
      <c r="A639" s="42">
        <v>27</v>
      </c>
      <c r="B639" s="43" t="s">
        <v>459</v>
      </c>
      <c r="C639" s="44" t="s">
        <v>93</v>
      </c>
      <c r="D639" s="45">
        <v>7</v>
      </c>
      <c r="E639" s="45">
        <v>3.7924000000000002</v>
      </c>
      <c r="F639" s="45">
        <f t="shared" si="136"/>
        <v>26.546800000000001</v>
      </c>
      <c r="G639" s="46">
        <f t="shared" si="137"/>
        <v>0</v>
      </c>
      <c r="H639" s="47">
        <f t="shared" si="138"/>
        <v>0</v>
      </c>
      <c r="I639" s="46">
        <f t="shared" si="139"/>
        <v>0</v>
      </c>
      <c r="J639" s="47">
        <v>0</v>
      </c>
      <c r="K639" s="46">
        <f t="shared" si="140"/>
        <v>0</v>
      </c>
      <c r="L639" s="47">
        <v>0</v>
      </c>
      <c r="AZ639" s="49"/>
      <c r="BC639" s="50"/>
    </row>
    <row r="640" spans="1:55" s="48" customFormat="1" ht="15.45" customHeight="1" outlineLevel="1" x14ac:dyDescent="0.25">
      <c r="A640" s="42">
        <v>28</v>
      </c>
      <c r="B640" s="43" t="s">
        <v>460</v>
      </c>
      <c r="C640" s="44" t="s">
        <v>93</v>
      </c>
      <c r="D640" s="45">
        <v>61</v>
      </c>
      <c r="E640" s="45">
        <v>4.1576000000000004</v>
      </c>
      <c r="F640" s="45">
        <f t="shared" si="136"/>
        <v>253.61360000000002</v>
      </c>
      <c r="G640" s="46">
        <f t="shared" si="137"/>
        <v>0</v>
      </c>
      <c r="H640" s="47">
        <f t="shared" si="138"/>
        <v>0</v>
      </c>
      <c r="I640" s="46">
        <f t="shared" si="139"/>
        <v>0</v>
      </c>
      <c r="J640" s="47">
        <v>0</v>
      </c>
      <c r="K640" s="46">
        <f t="shared" si="140"/>
        <v>0</v>
      </c>
      <c r="L640" s="47">
        <v>0</v>
      </c>
      <c r="AZ640" s="49"/>
      <c r="BC640" s="50"/>
    </row>
    <row r="641" spans="1:55" s="48" customFormat="1" ht="15.45" customHeight="1" outlineLevel="1" x14ac:dyDescent="0.25">
      <c r="A641" s="42">
        <v>29</v>
      </c>
      <c r="B641" s="43" t="s">
        <v>461</v>
      </c>
      <c r="C641" s="44" t="s">
        <v>93</v>
      </c>
      <c r="D641" s="45">
        <v>14</v>
      </c>
      <c r="E641" s="45">
        <v>4.4635999999999987</v>
      </c>
      <c r="F641" s="45">
        <f t="shared" si="136"/>
        <v>62.49039999999998</v>
      </c>
      <c r="G641" s="46">
        <f t="shared" si="137"/>
        <v>0</v>
      </c>
      <c r="H641" s="47">
        <f t="shared" si="138"/>
        <v>0</v>
      </c>
      <c r="I641" s="46">
        <f t="shared" si="139"/>
        <v>0</v>
      </c>
      <c r="J641" s="47">
        <v>0</v>
      </c>
      <c r="K641" s="46">
        <f t="shared" si="140"/>
        <v>0</v>
      </c>
      <c r="L641" s="47">
        <v>0</v>
      </c>
      <c r="AZ641" s="49"/>
      <c r="BC641" s="50"/>
    </row>
    <row r="642" spans="1:55" s="48" customFormat="1" ht="27.75" customHeight="1" outlineLevel="1" x14ac:dyDescent="0.25">
      <c r="A642" s="42">
        <v>30</v>
      </c>
      <c r="B642" s="43" t="s">
        <v>462</v>
      </c>
      <c r="C642" s="44" t="s">
        <v>93</v>
      </c>
      <c r="D642" s="45">
        <v>75</v>
      </c>
      <c r="E642" s="45">
        <v>3.8536000000000001</v>
      </c>
      <c r="F642" s="45">
        <f t="shared" si="136"/>
        <v>289.02</v>
      </c>
      <c r="G642" s="46">
        <f t="shared" si="137"/>
        <v>0</v>
      </c>
      <c r="H642" s="47">
        <f t="shared" si="138"/>
        <v>0</v>
      </c>
      <c r="I642" s="46">
        <f t="shared" si="139"/>
        <v>0</v>
      </c>
      <c r="J642" s="47">
        <v>0</v>
      </c>
      <c r="K642" s="46">
        <f t="shared" si="140"/>
        <v>0</v>
      </c>
      <c r="L642" s="47">
        <v>0</v>
      </c>
      <c r="AZ642" s="49"/>
      <c r="BC642" s="50"/>
    </row>
    <row r="643" spans="1:55" s="48" customFormat="1" ht="27.75" customHeight="1" outlineLevel="1" x14ac:dyDescent="0.25">
      <c r="A643" s="42">
        <v>31</v>
      </c>
      <c r="B643" s="43" t="s">
        <v>463</v>
      </c>
      <c r="C643" s="44" t="s">
        <v>93</v>
      </c>
      <c r="D643" s="45">
        <v>10</v>
      </c>
      <c r="E643" s="45">
        <v>6.5444000000000004</v>
      </c>
      <c r="F643" s="45">
        <f t="shared" si="136"/>
        <v>65.444000000000003</v>
      </c>
      <c r="G643" s="46">
        <f t="shared" si="137"/>
        <v>0</v>
      </c>
      <c r="H643" s="47">
        <f t="shared" si="138"/>
        <v>0</v>
      </c>
      <c r="I643" s="46">
        <f t="shared" si="139"/>
        <v>0</v>
      </c>
      <c r="J643" s="47">
        <v>0</v>
      </c>
      <c r="K643" s="46">
        <f t="shared" si="140"/>
        <v>0</v>
      </c>
      <c r="L643" s="47">
        <v>0</v>
      </c>
      <c r="AZ643" s="49"/>
      <c r="BC643" s="50"/>
    </row>
    <row r="644" spans="1:55" s="48" customFormat="1" ht="15.45" customHeight="1" outlineLevel="1" x14ac:dyDescent="0.25">
      <c r="A644" s="42">
        <v>32</v>
      </c>
      <c r="B644" s="43" t="s">
        <v>464</v>
      </c>
      <c r="C644" s="44" t="s">
        <v>93</v>
      </c>
      <c r="D644" s="45">
        <v>10</v>
      </c>
      <c r="E644" s="45">
        <v>9.1882000000000001</v>
      </c>
      <c r="F644" s="45">
        <f t="shared" si="136"/>
        <v>91.882000000000005</v>
      </c>
      <c r="G644" s="46">
        <f t="shared" si="137"/>
        <v>0</v>
      </c>
      <c r="H644" s="47">
        <f t="shared" si="138"/>
        <v>0</v>
      </c>
      <c r="I644" s="46">
        <f t="shared" si="139"/>
        <v>0</v>
      </c>
      <c r="J644" s="47">
        <v>0</v>
      </c>
      <c r="K644" s="46">
        <f t="shared" si="140"/>
        <v>0</v>
      </c>
      <c r="L644" s="47">
        <v>0</v>
      </c>
      <c r="AZ644" s="49"/>
      <c r="BC644" s="50"/>
    </row>
    <row r="645" spans="1:55" s="48" customFormat="1" ht="15.45" customHeight="1" outlineLevel="1" x14ac:dyDescent="0.25">
      <c r="A645" s="42">
        <v>33</v>
      </c>
      <c r="B645" s="43" t="s">
        <v>465</v>
      </c>
      <c r="C645" s="44" t="s">
        <v>93</v>
      </c>
      <c r="D645" s="45">
        <v>92</v>
      </c>
      <c r="E645" s="45">
        <v>0.9</v>
      </c>
      <c r="F645" s="45">
        <f t="shared" si="136"/>
        <v>82.8</v>
      </c>
      <c r="G645" s="46">
        <f t="shared" si="137"/>
        <v>0</v>
      </c>
      <c r="H645" s="47">
        <f t="shared" si="138"/>
        <v>0</v>
      </c>
      <c r="I645" s="46">
        <f t="shared" si="139"/>
        <v>0</v>
      </c>
      <c r="J645" s="47">
        <v>0</v>
      </c>
      <c r="K645" s="46">
        <f t="shared" si="140"/>
        <v>0</v>
      </c>
      <c r="L645" s="47">
        <v>0</v>
      </c>
      <c r="AZ645" s="49"/>
      <c r="BC645" s="50"/>
    </row>
    <row r="646" spans="1:55" s="48" customFormat="1" ht="27.75" customHeight="1" outlineLevel="1" x14ac:dyDescent="0.25">
      <c r="A646" s="42">
        <v>34</v>
      </c>
      <c r="B646" s="43" t="s">
        <v>402</v>
      </c>
      <c r="C646" s="44" t="s">
        <v>93</v>
      </c>
      <c r="D646" s="45">
        <v>50</v>
      </c>
      <c r="E646" s="45">
        <v>0.9</v>
      </c>
      <c r="F646" s="45">
        <f t="shared" si="136"/>
        <v>45</v>
      </c>
      <c r="G646" s="46">
        <f t="shared" si="137"/>
        <v>0</v>
      </c>
      <c r="H646" s="47">
        <f t="shared" si="138"/>
        <v>0</v>
      </c>
      <c r="I646" s="46">
        <f t="shared" si="139"/>
        <v>0</v>
      </c>
      <c r="J646" s="47">
        <v>0</v>
      </c>
      <c r="K646" s="46">
        <f t="shared" si="140"/>
        <v>0</v>
      </c>
      <c r="L646" s="47">
        <v>0</v>
      </c>
      <c r="AZ646" s="49"/>
      <c r="BC646" s="50"/>
    </row>
    <row r="647" spans="1:55" s="48" customFormat="1" ht="15.45" customHeight="1" outlineLevel="1" x14ac:dyDescent="0.25">
      <c r="A647" s="42">
        <v>35</v>
      </c>
      <c r="B647" s="43" t="s">
        <v>466</v>
      </c>
      <c r="C647" s="44" t="s">
        <v>61</v>
      </c>
      <c r="D647" s="45">
        <v>5480</v>
      </c>
      <c r="E647" s="45">
        <v>0.9</v>
      </c>
      <c r="F647" s="45">
        <f t="shared" si="136"/>
        <v>4932</v>
      </c>
      <c r="G647" s="46">
        <f t="shared" si="137"/>
        <v>0</v>
      </c>
      <c r="H647" s="47">
        <f t="shared" si="138"/>
        <v>0</v>
      </c>
      <c r="I647" s="46">
        <f t="shared" si="139"/>
        <v>0</v>
      </c>
      <c r="J647" s="47">
        <v>0</v>
      </c>
      <c r="K647" s="46">
        <f t="shared" si="140"/>
        <v>0</v>
      </c>
      <c r="L647" s="47">
        <v>0</v>
      </c>
      <c r="AZ647" s="49"/>
      <c r="BC647" s="50"/>
    </row>
    <row r="648" spans="1:55" s="48" customFormat="1" ht="27.75" customHeight="1" outlineLevel="1" x14ac:dyDescent="0.25">
      <c r="A648" s="42">
        <v>36</v>
      </c>
      <c r="B648" s="43" t="s">
        <v>407</v>
      </c>
      <c r="C648" s="44" t="s">
        <v>61</v>
      </c>
      <c r="D648" s="45">
        <v>5480</v>
      </c>
      <c r="E648" s="45">
        <v>2.242</v>
      </c>
      <c r="F648" s="45">
        <f t="shared" si="136"/>
        <v>12286.16</v>
      </c>
      <c r="G648" s="46">
        <f t="shared" si="137"/>
        <v>0</v>
      </c>
      <c r="H648" s="47">
        <f t="shared" si="138"/>
        <v>0</v>
      </c>
      <c r="I648" s="46">
        <f t="shared" si="139"/>
        <v>0</v>
      </c>
      <c r="J648" s="47">
        <v>0</v>
      </c>
      <c r="K648" s="46">
        <f t="shared" si="140"/>
        <v>0</v>
      </c>
      <c r="L648" s="47">
        <v>0</v>
      </c>
      <c r="AZ648" s="49"/>
      <c r="BC648" s="50"/>
    </row>
    <row r="649" spans="1:55" s="48" customFormat="1" ht="15.45" customHeight="1" outlineLevel="1" x14ac:dyDescent="0.25">
      <c r="A649" s="42">
        <v>37</v>
      </c>
      <c r="B649" s="43" t="s">
        <v>413</v>
      </c>
      <c r="C649" s="44" t="s">
        <v>61</v>
      </c>
      <c r="D649" s="45">
        <v>4900</v>
      </c>
      <c r="E649" s="45">
        <v>5.0999999999999996</v>
      </c>
      <c r="F649" s="45">
        <f t="shared" si="136"/>
        <v>24990</v>
      </c>
      <c r="G649" s="46">
        <f t="shared" si="137"/>
        <v>0</v>
      </c>
      <c r="H649" s="47">
        <f t="shared" si="138"/>
        <v>0</v>
      </c>
      <c r="I649" s="46">
        <f t="shared" si="139"/>
        <v>0</v>
      </c>
      <c r="J649" s="47">
        <v>0</v>
      </c>
      <c r="K649" s="46">
        <f t="shared" si="140"/>
        <v>0</v>
      </c>
      <c r="L649" s="47">
        <v>0</v>
      </c>
      <c r="AZ649" s="49"/>
      <c r="BC649" s="50"/>
    </row>
    <row r="650" spans="1:55" s="48" customFormat="1" ht="15.45" customHeight="1" outlineLevel="1" x14ac:dyDescent="0.25">
      <c r="A650" s="42">
        <v>38</v>
      </c>
      <c r="B650" s="43" t="s">
        <v>414</v>
      </c>
      <c r="C650" s="44" t="s">
        <v>61</v>
      </c>
      <c r="D650" s="45">
        <v>80</v>
      </c>
      <c r="E650" s="45">
        <v>6.1</v>
      </c>
      <c r="F650" s="45">
        <f t="shared" si="136"/>
        <v>488</v>
      </c>
      <c r="G650" s="46">
        <f t="shared" si="137"/>
        <v>0</v>
      </c>
      <c r="H650" s="47">
        <f t="shared" si="138"/>
        <v>0</v>
      </c>
      <c r="I650" s="46">
        <f t="shared" si="139"/>
        <v>0</v>
      </c>
      <c r="J650" s="47">
        <v>0</v>
      </c>
      <c r="K650" s="46">
        <f t="shared" si="140"/>
        <v>0</v>
      </c>
      <c r="L650" s="47">
        <v>0</v>
      </c>
      <c r="AZ650" s="49"/>
      <c r="BC650" s="50"/>
    </row>
    <row r="651" spans="1:55" s="48" customFormat="1" ht="15.45" customHeight="1" outlineLevel="1" x14ac:dyDescent="0.25">
      <c r="A651" s="42">
        <v>39</v>
      </c>
      <c r="B651" s="43" t="s">
        <v>467</v>
      </c>
      <c r="C651" s="44" t="s">
        <v>61</v>
      </c>
      <c r="D651" s="45">
        <v>200</v>
      </c>
      <c r="E651" s="45">
        <v>2.88</v>
      </c>
      <c r="F651" s="45">
        <f t="shared" si="136"/>
        <v>576</v>
      </c>
      <c r="G651" s="46">
        <f t="shared" si="137"/>
        <v>0</v>
      </c>
      <c r="H651" s="47">
        <f t="shared" si="138"/>
        <v>0</v>
      </c>
      <c r="I651" s="46">
        <f t="shared" si="139"/>
        <v>0</v>
      </c>
      <c r="J651" s="47">
        <v>0</v>
      </c>
      <c r="K651" s="46">
        <f t="shared" si="140"/>
        <v>0</v>
      </c>
      <c r="L651" s="47">
        <v>0</v>
      </c>
      <c r="AZ651" s="49"/>
      <c r="BC651" s="50"/>
    </row>
    <row r="652" spans="1:55" s="48" customFormat="1" ht="15.45" customHeight="1" outlineLevel="1" x14ac:dyDescent="0.25">
      <c r="A652" s="42">
        <v>40</v>
      </c>
      <c r="B652" s="43" t="s">
        <v>468</v>
      </c>
      <c r="C652" s="44" t="s">
        <v>61</v>
      </c>
      <c r="D652" s="45">
        <v>300</v>
      </c>
      <c r="E652" s="45">
        <v>4.4499999999999993</v>
      </c>
      <c r="F652" s="45">
        <f t="shared" si="136"/>
        <v>1334.9999999999998</v>
      </c>
      <c r="G652" s="46">
        <f t="shared" si="137"/>
        <v>0</v>
      </c>
      <c r="H652" s="47">
        <f t="shared" si="138"/>
        <v>0</v>
      </c>
      <c r="I652" s="46">
        <f t="shared" si="139"/>
        <v>0</v>
      </c>
      <c r="J652" s="47">
        <v>0</v>
      </c>
      <c r="K652" s="46">
        <f t="shared" si="140"/>
        <v>0</v>
      </c>
      <c r="L652" s="47">
        <v>0</v>
      </c>
      <c r="AZ652" s="49"/>
      <c r="BC652" s="50"/>
    </row>
    <row r="653" spans="1:55" s="48" customFormat="1" ht="27.75" customHeight="1" outlineLevel="1" x14ac:dyDescent="0.25">
      <c r="A653" s="42">
        <v>41</v>
      </c>
      <c r="B653" s="43" t="s">
        <v>469</v>
      </c>
      <c r="C653" s="44" t="s">
        <v>61</v>
      </c>
      <c r="D653" s="45">
        <v>5480</v>
      </c>
      <c r="E653" s="45">
        <v>2.0379999999999998</v>
      </c>
      <c r="F653" s="45">
        <f t="shared" si="136"/>
        <v>11168.24</v>
      </c>
      <c r="G653" s="46">
        <f t="shared" si="137"/>
        <v>0</v>
      </c>
      <c r="H653" s="47">
        <f t="shared" si="138"/>
        <v>0</v>
      </c>
      <c r="I653" s="46">
        <f t="shared" si="139"/>
        <v>0</v>
      </c>
      <c r="J653" s="47">
        <v>0</v>
      </c>
      <c r="K653" s="46">
        <f t="shared" si="140"/>
        <v>0</v>
      </c>
      <c r="L653" s="47">
        <v>0</v>
      </c>
      <c r="AZ653" s="49"/>
      <c r="BC653" s="50"/>
    </row>
    <row r="654" spans="1:55" s="56" customFormat="1" ht="17.25" customHeight="1" x14ac:dyDescent="0.3">
      <c r="A654" s="62">
        <v>2.2400000000000002</v>
      </c>
      <c r="B654" s="51" t="s">
        <v>470</v>
      </c>
      <c r="C654" s="52">
        <v>0</v>
      </c>
      <c r="D654" s="53"/>
      <c r="E654" s="53"/>
      <c r="F654" s="53"/>
      <c r="G654" s="54"/>
      <c r="H654" s="55"/>
      <c r="I654" s="54"/>
      <c r="J654" s="55"/>
      <c r="K654" s="54"/>
      <c r="L654" s="55">
        <v>0</v>
      </c>
      <c r="AZ654" s="57"/>
      <c r="BC654" s="58"/>
    </row>
    <row r="655" spans="1:55" s="48" customFormat="1" ht="15.45" customHeight="1" outlineLevel="1" x14ac:dyDescent="0.25">
      <c r="A655" s="42">
        <v>1</v>
      </c>
      <c r="B655" s="43" t="s">
        <v>471</v>
      </c>
      <c r="C655" s="44" t="s">
        <v>93</v>
      </c>
      <c r="D655" s="45">
        <v>1</v>
      </c>
      <c r="E655" s="45">
        <v>2219.5160000000001</v>
      </c>
      <c r="F655" s="45">
        <f t="shared" ref="F655:F676" si="141">+E655*D655</f>
        <v>2219.5160000000001</v>
      </c>
      <c r="G655" s="46">
        <f t="shared" ref="G655:G676" si="142">I655+K655</f>
        <v>0</v>
      </c>
      <c r="H655" s="47">
        <f t="shared" ref="H655:H676" si="143">J655+L655</f>
        <v>0</v>
      </c>
      <c r="I655" s="46">
        <f t="shared" ref="I655:I676" si="144">J655/F655</f>
        <v>0</v>
      </c>
      <c r="J655" s="47">
        <v>0</v>
      </c>
      <c r="K655" s="46">
        <f t="shared" ref="K655:K676" si="145">L655/F655</f>
        <v>0</v>
      </c>
      <c r="L655" s="47">
        <v>0</v>
      </c>
      <c r="AZ655" s="49"/>
      <c r="BC655" s="50"/>
    </row>
    <row r="656" spans="1:55" s="48" customFormat="1" ht="15.45" customHeight="1" outlineLevel="1" x14ac:dyDescent="0.25">
      <c r="A656" s="42">
        <v>2</v>
      </c>
      <c r="B656" s="43" t="s">
        <v>472</v>
      </c>
      <c r="C656" s="44" t="s">
        <v>93</v>
      </c>
      <c r="D656" s="45">
        <v>1</v>
      </c>
      <c r="E656" s="45">
        <v>172.60239999999999</v>
      </c>
      <c r="F656" s="45">
        <f t="shared" si="141"/>
        <v>172.60239999999999</v>
      </c>
      <c r="G656" s="46">
        <f t="shared" si="142"/>
        <v>0</v>
      </c>
      <c r="H656" s="47">
        <f t="shared" si="143"/>
        <v>0</v>
      </c>
      <c r="I656" s="46">
        <f t="shared" si="144"/>
        <v>0</v>
      </c>
      <c r="J656" s="47">
        <v>0</v>
      </c>
      <c r="K656" s="46">
        <f t="shared" si="145"/>
        <v>0</v>
      </c>
      <c r="L656" s="47">
        <v>0</v>
      </c>
      <c r="AZ656" s="49"/>
      <c r="BC656" s="50"/>
    </row>
    <row r="657" spans="1:55" s="48" customFormat="1" ht="15.45" customHeight="1" outlineLevel="1" x14ac:dyDescent="0.25">
      <c r="A657" s="42">
        <v>3</v>
      </c>
      <c r="B657" s="43" t="s">
        <v>473</v>
      </c>
      <c r="C657" s="44" t="s">
        <v>93</v>
      </c>
      <c r="D657" s="45">
        <v>1</v>
      </c>
      <c r="E657" s="45">
        <v>1310.0534</v>
      </c>
      <c r="F657" s="45">
        <f t="shared" si="141"/>
        <v>1310.0534</v>
      </c>
      <c r="G657" s="46">
        <f t="shared" si="142"/>
        <v>0</v>
      </c>
      <c r="H657" s="47">
        <f t="shared" si="143"/>
        <v>0</v>
      </c>
      <c r="I657" s="46">
        <f t="shared" si="144"/>
        <v>0</v>
      </c>
      <c r="J657" s="47">
        <v>0</v>
      </c>
      <c r="K657" s="46">
        <f t="shared" si="145"/>
        <v>0</v>
      </c>
      <c r="L657" s="47">
        <v>0</v>
      </c>
      <c r="AZ657" s="49"/>
      <c r="BC657" s="50"/>
    </row>
    <row r="658" spans="1:55" s="48" customFormat="1" ht="15.45" customHeight="1" outlineLevel="1" x14ac:dyDescent="0.25">
      <c r="A658" s="42">
        <v>4</v>
      </c>
      <c r="B658" s="43" t="s">
        <v>474</v>
      </c>
      <c r="C658" s="44" t="s">
        <v>93</v>
      </c>
      <c r="D658" s="45">
        <v>1</v>
      </c>
      <c r="E658" s="45">
        <v>120.63339999999999</v>
      </c>
      <c r="F658" s="45">
        <f t="shared" si="141"/>
        <v>120.63339999999999</v>
      </c>
      <c r="G658" s="46">
        <f t="shared" si="142"/>
        <v>0</v>
      </c>
      <c r="H658" s="47">
        <f t="shared" si="143"/>
        <v>0</v>
      </c>
      <c r="I658" s="46">
        <f t="shared" si="144"/>
        <v>0</v>
      </c>
      <c r="J658" s="47">
        <v>0</v>
      </c>
      <c r="K658" s="46">
        <f t="shared" si="145"/>
        <v>0</v>
      </c>
      <c r="L658" s="47">
        <v>0</v>
      </c>
      <c r="AZ658" s="49"/>
      <c r="BC658" s="50"/>
    </row>
    <row r="659" spans="1:55" s="48" customFormat="1" ht="15.45" customHeight="1" outlineLevel="1" x14ac:dyDescent="0.25">
      <c r="A659" s="42">
        <v>5</v>
      </c>
      <c r="B659" s="43" t="s">
        <v>475</v>
      </c>
      <c r="C659" s="44" t="s">
        <v>93</v>
      </c>
      <c r="D659" s="45">
        <v>140</v>
      </c>
      <c r="E659" s="45">
        <v>18.784400000000002</v>
      </c>
      <c r="F659" s="45">
        <f t="shared" si="141"/>
        <v>2629.8160000000003</v>
      </c>
      <c r="G659" s="46">
        <f t="shared" si="142"/>
        <v>0</v>
      </c>
      <c r="H659" s="47">
        <f t="shared" si="143"/>
        <v>0</v>
      </c>
      <c r="I659" s="46">
        <f t="shared" si="144"/>
        <v>0</v>
      </c>
      <c r="J659" s="47">
        <v>0</v>
      </c>
      <c r="K659" s="46">
        <f t="shared" si="145"/>
        <v>0</v>
      </c>
      <c r="L659" s="47">
        <v>0</v>
      </c>
      <c r="AZ659" s="49"/>
      <c r="BC659" s="50"/>
    </row>
    <row r="660" spans="1:55" s="48" customFormat="1" ht="27.75" customHeight="1" outlineLevel="1" x14ac:dyDescent="0.25">
      <c r="A660" s="42">
        <v>6</v>
      </c>
      <c r="B660" s="43" t="s">
        <v>476</v>
      </c>
      <c r="C660" s="44" t="s">
        <v>93</v>
      </c>
      <c r="D660" s="45">
        <v>4</v>
      </c>
      <c r="E660" s="45">
        <v>22.905200000000001</v>
      </c>
      <c r="F660" s="45">
        <f t="shared" si="141"/>
        <v>91.620800000000003</v>
      </c>
      <c r="G660" s="46">
        <f t="shared" si="142"/>
        <v>0</v>
      </c>
      <c r="H660" s="47">
        <f t="shared" si="143"/>
        <v>0</v>
      </c>
      <c r="I660" s="46">
        <f t="shared" si="144"/>
        <v>0</v>
      </c>
      <c r="J660" s="47">
        <v>0</v>
      </c>
      <c r="K660" s="46">
        <f t="shared" si="145"/>
        <v>0</v>
      </c>
      <c r="L660" s="47">
        <v>0</v>
      </c>
      <c r="AZ660" s="49"/>
      <c r="BC660" s="50"/>
    </row>
    <row r="661" spans="1:55" s="48" customFormat="1" ht="15.45" customHeight="1" outlineLevel="1" x14ac:dyDescent="0.25">
      <c r="A661" s="42">
        <v>7</v>
      </c>
      <c r="B661" s="43" t="s">
        <v>477</v>
      </c>
      <c r="C661" s="44" t="s">
        <v>93</v>
      </c>
      <c r="D661" s="45">
        <v>144</v>
      </c>
      <c r="E661" s="45">
        <v>28.1602</v>
      </c>
      <c r="F661" s="45">
        <f t="shared" si="141"/>
        <v>4055.0688</v>
      </c>
      <c r="G661" s="46">
        <f t="shared" si="142"/>
        <v>0</v>
      </c>
      <c r="H661" s="47">
        <f t="shared" si="143"/>
        <v>0</v>
      </c>
      <c r="I661" s="46">
        <f t="shared" si="144"/>
        <v>0</v>
      </c>
      <c r="J661" s="47">
        <v>0</v>
      </c>
      <c r="K661" s="46">
        <f t="shared" si="145"/>
        <v>0</v>
      </c>
      <c r="L661" s="47">
        <v>0</v>
      </c>
      <c r="AZ661" s="49"/>
      <c r="BC661" s="50"/>
    </row>
    <row r="662" spans="1:55" s="48" customFormat="1" ht="15.45" customHeight="1" outlineLevel="1" x14ac:dyDescent="0.25">
      <c r="A662" s="42">
        <v>8</v>
      </c>
      <c r="B662" s="43" t="s">
        <v>478</v>
      </c>
      <c r="C662" s="44" t="s">
        <v>93</v>
      </c>
      <c r="D662" s="45">
        <v>5</v>
      </c>
      <c r="E662" s="45">
        <v>22.905200000000001</v>
      </c>
      <c r="F662" s="45">
        <f t="shared" si="141"/>
        <v>114.52600000000001</v>
      </c>
      <c r="G662" s="46">
        <f t="shared" si="142"/>
        <v>0</v>
      </c>
      <c r="H662" s="47">
        <f t="shared" si="143"/>
        <v>0</v>
      </c>
      <c r="I662" s="46">
        <f t="shared" si="144"/>
        <v>0</v>
      </c>
      <c r="J662" s="47">
        <v>0</v>
      </c>
      <c r="K662" s="46">
        <f t="shared" si="145"/>
        <v>0</v>
      </c>
      <c r="L662" s="47">
        <v>0</v>
      </c>
      <c r="AZ662" s="49"/>
      <c r="BC662" s="50"/>
    </row>
    <row r="663" spans="1:55" s="48" customFormat="1" ht="27.75" customHeight="1" outlineLevel="1" x14ac:dyDescent="0.25">
      <c r="A663" s="42">
        <v>9</v>
      </c>
      <c r="B663" s="43" t="s">
        <v>479</v>
      </c>
      <c r="C663" s="44" t="s">
        <v>93</v>
      </c>
      <c r="D663" s="45">
        <v>5</v>
      </c>
      <c r="E663" s="45">
        <v>12.186999999999999</v>
      </c>
      <c r="F663" s="45">
        <f t="shared" si="141"/>
        <v>60.934999999999995</v>
      </c>
      <c r="G663" s="46">
        <f t="shared" si="142"/>
        <v>0</v>
      </c>
      <c r="H663" s="47">
        <f t="shared" si="143"/>
        <v>0</v>
      </c>
      <c r="I663" s="46">
        <f t="shared" si="144"/>
        <v>0</v>
      </c>
      <c r="J663" s="47">
        <v>0</v>
      </c>
      <c r="K663" s="46">
        <f t="shared" si="145"/>
        <v>0</v>
      </c>
      <c r="L663" s="47">
        <v>0</v>
      </c>
      <c r="AZ663" s="49"/>
      <c r="BC663" s="50"/>
    </row>
    <row r="664" spans="1:55" s="48" customFormat="1" ht="15.45" customHeight="1" outlineLevel="1" x14ac:dyDescent="0.25">
      <c r="A664" s="42">
        <v>10</v>
      </c>
      <c r="B664" s="43" t="s">
        <v>480</v>
      </c>
      <c r="C664" s="44" t="s">
        <v>61</v>
      </c>
      <c r="D664" s="45">
        <v>1330</v>
      </c>
      <c r="E664" s="45">
        <v>0.9</v>
      </c>
      <c r="F664" s="45">
        <f t="shared" si="141"/>
        <v>1197</v>
      </c>
      <c r="G664" s="46">
        <f t="shared" si="142"/>
        <v>0</v>
      </c>
      <c r="H664" s="47">
        <f t="shared" si="143"/>
        <v>0</v>
      </c>
      <c r="I664" s="46">
        <f t="shared" si="144"/>
        <v>0</v>
      </c>
      <c r="J664" s="47">
        <v>0</v>
      </c>
      <c r="K664" s="46">
        <f t="shared" si="145"/>
        <v>0</v>
      </c>
      <c r="L664" s="47">
        <v>0</v>
      </c>
      <c r="AZ664" s="49"/>
      <c r="BC664" s="50"/>
    </row>
    <row r="665" spans="1:55" s="48" customFormat="1" ht="27.75" customHeight="1" outlineLevel="1" x14ac:dyDescent="0.25">
      <c r="A665" s="42">
        <v>11</v>
      </c>
      <c r="B665" s="43" t="s">
        <v>469</v>
      </c>
      <c r="C665" s="44" t="s">
        <v>61</v>
      </c>
      <c r="D665" s="45">
        <v>420</v>
      </c>
      <c r="E665" s="45">
        <v>2.0379999999999998</v>
      </c>
      <c r="F665" s="45">
        <f t="shared" si="141"/>
        <v>855.95999999999992</v>
      </c>
      <c r="G665" s="46">
        <f t="shared" si="142"/>
        <v>0</v>
      </c>
      <c r="H665" s="47">
        <f t="shared" si="143"/>
        <v>0</v>
      </c>
      <c r="I665" s="46">
        <f t="shared" si="144"/>
        <v>0</v>
      </c>
      <c r="J665" s="47">
        <v>0</v>
      </c>
      <c r="K665" s="46">
        <f t="shared" si="145"/>
        <v>0</v>
      </c>
      <c r="L665" s="47">
        <v>0</v>
      </c>
      <c r="AZ665" s="49"/>
      <c r="BC665" s="50"/>
    </row>
    <row r="666" spans="1:55" s="48" customFormat="1" ht="27.75" customHeight="1" outlineLevel="1" x14ac:dyDescent="0.25">
      <c r="A666" s="42">
        <v>12</v>
      </c>
      <c r="B666" s="43" t="s">
        <v>425</v>
      </c>
      <c r="C666" s="44" t="s">
        <v>61</v>
      </c>
      <c r="D666" s="45">
        <v>910</v>
      </c>
      <c r="E666" s="45">
        <v>1.9461999999999999</v>
      </c>
      <c r="F666" s="45">
        <f t="shared" si="141"/>
        <v>1771.0419999999999</v>
      </c>
      <c r="G666" s="46">
        <f t="shared" si="142"/>
        <v>0</v>
      </c>
      <c r="H666" s="47">
        <f t="shared" si="143"/>
        <v>0</v>
      </c>
      <c r="I666" s="46">
        <f t="shared" si="144"/>
        <v>0</v>
      </c>
      <c r="J666" s="47">
        <v>0</v>
      </c>
      <c r="K666" s="46">
        <f t="shared" si="145"/>
        <v>0</v>
      </c>
      <c r="L666" s="47">
        <v>0</v>
      </c>
      <c r="AZ666" s="49"/>
      <c r="BC666" s="50"/>
    </row>
    <row r="667" spans="1:55" s="48" customFormat="1" ht="15.45" customHeight="1" outlineLevel="1" x14ac:dyDescent="0.25">
      <c r="A667" s="42">
        <v>13</v>
      </c>
      <c r="B667" s="43" t="s">
        <v>481</v>
      </c>
      <c r="C667" s="44" t="s">
        <v>93</v>
      </c>
      <c r="D667" s="45">
        <v>1</v>
      </c>
      <c r="E667" s="45">
        <v>39.429200000000002</v>
      </c>
      <c r="F667" s="45">
        <f t="shared" si="141"/>
        <v>39.429200000000002</v>
      </c>
      <c r="G667" s="46">
        <f t="shared" si="142"/>
        <v>0</v>
      </c>
      <c r="H667" s="47">
        <f t="shared" si="143"/>
        <v>0</v>
      </c>
      <c r="I667" s="46">
        <f t="shared" si="144"/>
        <v>0</v>
      </c>
      <c r="J667" s="47">
        <v>0</v>
      </c>
      <c r="K667" s="46">
        <f t="shared" si="145"/>
        <v>0</v>
      </c>
      <c r="L667" s="47">
        <v>0</v>
      </c>
      <c r="AZ667" s="49"/>
      <c r="BC667" s="50"/>
    </row>
    <row r="668" spans="1:55" s="48" customFormat="1" ht="15.45" customHeight="1" outlineLevel="1" x14ac:dyDescent="0.25">
      <c r="A668" s="42">
        <v>14</v>
      </c>
      <c r="B668" s="43" t="s">
        <v>482</v>
      </c>
      <c r="C668" s="44" t="s">
        <v>93</v>
      </c>
      <c r="D668" s="45">
        <v>1</v>
      </c>
      <c r="E668" s="45">
        <v>53.782600000000002</v>
      </c>
      <c r="F668" s="45">
        <f t="shared" si="141"/>
        <v>53.782600000000002</v>
      </c>
      <c r="G668" s="46">
        <f t="shared" si="142"/>
        <v>0</v>
      </c>
      <c r="H668" s="47">
        <f t="shared" si="143"/>
        <v>0</v>
      </c>
      <c r="I668" s="46">
        <f t="shared" si="144"/>
        <v>0</v>
      </c>
      <c r="J668" s="47">
        <v>0</v>
      </c>
      <c r="K668" s="46">
        <f t="shared" si="145"/>
        <v>0</v>
      </c>
      <c r="L668" s="47">
        <v>0</v>
      </c>
      <c r="AZ668" s="49"/>
      <c r="BC668" s="50"/>
    </row>
    <row r="669" spans="1:55" s="48" customFormat="1" ht="15.45" customHeight="1" outlineLevel="1" x14ac:dyDescent="0.25">
      <c r="A669" s="42">
        <v>15</v>
      </c>
      <c r="B669" s="43" t="s">
        <v>483</v>
      </c>
      <c r="C669" s="44" t="s">
        <v>93</v>
      </c>
      <c r="D669" s="45">
        <v>140</v>
      </c>
      <c r="E669" s="45">
        <v>2.6785999999999999</v>
      </c>
      <c r="F669" s="45">
        <f t="shared" si="141"/>
        <v>375.00399999999996</v>
      </c>
      <c r="G669" s="46">
        <f t="shared" si="142"/>
        <v>0</v>
      </c>
      <c r="H669" s="47">
        <f t="shared" si="143"/>
        <v>0</v>
      </c>
      <c r="I669" s="46">
        <f t="shared" si="144"/>
        <v>0</v>
      </c>
      <c r="J669" s="47">
        <v>0</v>
      </c>
      <c r="K669" s="46">
        <f t="shared" si="145"/>
        <v>0</v>
      </c>
      <c r="L669" s="47">
        <v>0</v>
      </c>
      <c r="AZ669" s="49"/>
      <c r="BC669" s="50"/>
    </row>
    <row r="670" spans="1:55" s="48" customFormat="1" ht="15.45" customHeight="1" outlineLevel="1" x14ac:dyDescent="0.25">
      <c r="A670" s="42">
        <v>16</v>
      </c>
      <c r="B670" s="43" t="s">
        <v>484</v>
      </c>
      <c r="C670" s="44" t="s">
        <v>61</v>
      </c>
      <c r="D670" s="45">
        <v>25</v>
      </c>
      <c r="E670" s="45">
        <v>0.9</v>
      </c>
      <c r="F670" s="45">
        <f t="shared" si="141"/>
        <v>22.5</v>
      </c>
      <c r="G670" s="46">
        <f t="shared" si="142"/>
        <v>0</v>
      </c>
      <c r="H670" s="47">
        <f t="shared" si="143"/>
        <v>0</v>
      </c>
      <c r="I670" s="46">
        <f t="shared" si="144"/>
        <v>0</v>
      </c>
      <c r="J670" s="47">
        <v>0</v>
      </c>
      <c r="K670" s="46">
        <f t="shared" si="145"/>
        <v>0</v>
      </c>
      <c r="L670" s="47">
        <v>0</v>
      </c>
      <c r="AZ670" s="49"/>
      <c r="BC670" s="50"/>
    </row>
    <row r="671" spans="1:55" s="48" customFormat="1" ht="27.75" customHeight="1" outlineLevel="1" x14ac:dyDescent="0.25">
      <c r="A671" s="42">
        <v>17</v>
      </c>
      <c r="B671" s="43" t="s">
        <v>469</v>
      </c>
      <c r="C671" s="44" t="s">
        <v>61</v>
      </c>
      <c r="D671" s="45">
        <v>25</v>
      </c>
      <c r="E671" s="45">
        <v>2.0379999999999998</v>
      </c>
      <c r="F671" s="45">
        <f t="shared" si="141"/>
        <v>50.949999999999996</v>
      </c>
      <c r="G671" s="46">
        <f t="shared" si="142"/>
        <v>0</v>
      </c>
      <c r="H671" s="47">
        <f t="shared" si="143"/>
        <v>0</v>
      </c>
      <c r="I671" s="46">
        <f t="shared" si="144"/>
        <v>0</v>
      </c>
      <c r="J671" s="47">
        <v>0</v>
      </c>
      <c r="K671" s="46">
        <f t="shared" si="145"/>
        <v>0</v>
      </c>
      <c r="L671" s="47">
        <v>0</v>
      </c>
      <c r="AZ671" s="49"/>
      <c r="BC671" s="50"/>
    </row>
    <row r="672" spans="1:55" s="48" customFormat="1" ht="27.75" customHeight="1" outlineLevel="1" x14ac:dyDescent="0.25">
      <c r="A672" s="42">
        <v>18</v>
      </c>
      <c r="B672" s="43" t="s">
        <v>485</v>
      </c>
      <c r="C672" s="44" t="s">
        <v>61</v>
      </c>
      <c r="D672" s="45">
        <v>20</v>
      </c>
      <c r="E672" s="45">
        <v>0.9</v>
      </c>
      <c r="F672" s="45">
        <f t="shared" si="141"/>
        <v>18</v>
      </c>
      <c r="G672" s="46">
        <f t="shared" si="142"/>
        <v>0</v>
      </c>
      <c r="H672" s="47">
        <f t="shared" si="143"/>
        <v>0</v>
      </c>
      <c r="I672" s="46">
        <f t="shared" si="144"/>
        <v>0</v>
      </c>
      <c r="J672" s="47">
        <v>0</v>
      </c>
      <c r="K672" s="46">
        <f t="shared" si="145"/>
        <v>0</v>
      </c>
      <c r="L672" s="47">
        <v>0</v>
      </c>
      <c r="AZ672" s="49"/>
      <c r="BC672" s="50"/>
    </row>
    <row r="673" spans="1:55" s="48" customFormat="1" ht="15.45" customHeight="1" outlineLevel="1" x14ac:dyDescent="0.25">
      <c r="A673" s="42">
        <v>19</v>
      </c>
      <c r="B673" s="43" t="s">
        <v>466</v>
      </c>
      <c r="C673" s="44" t="s">
        <v>61</v>
      </c>
      <c r="D673" s="45">
        <v>400</v>
      </c>
      <c r="E673" s="45">
        <v>0.9</v>
      </c>
      <c r="F673" s="45">
        <f t="shared" si="141"/>
        <v>360</v>
      </c>
      <c r="G673" s="46">
        <f t="shared" si="142"/>
        <v>0</v>
      </c>
      <c r="H673" s="47">
        <f t="shared" si="143"/>
        <v>0</v>
      </c>
      <c r="I673" s="46">
        <f t="shared" si="144"/>
        <v>0</v>
      </c>
      <c r="J673" s="47">
        <v>0</v>
      </c>
      <c r="K673" s="46">
        <f t="shared" si="145"/>
        <v>0</v>
      </c>
      <c r="L673" s="47">
        <v>0</v>
      </c>
      <c r="AZ673" s="49"/>
      <c r="BC673" s="50"/>
    </row>
    <row r="674" spans="1:55" s="48" customFormat="1" ht="27.75" customHeight="1" outlineLevel="1" x14ac:dyDescent="0.25">
      <c r="A674" s="42">
        <v>20</v>
      </c>
      <c r="B674" s="43" t="s">
        <v>407</v>
      </c>
      <c r="C674" s="44" t="s">
        <v>61</v>
      </c>
      <c r="D674" s="45">
        <v>420</v>
      </c>
      <c r="E674" s="45">
        <v>2.242</v>
      </c>
      <c r="F674" s="45">
        <f t="shared" si="141"/>
        <v>941.64</v>
      </c>
      <c r="G674" s="46">
        <f t="shared" si="142"/>
        <v>0</v>
      </c>
      <c r="H674" s="47">
        <f t="shared" si="143"/>
        <v>0</v>
      </c>
      <c r="I674" s="46">
        <f t="shared" si="144"/>
        <v>0</v>
      </c>
      <c r="J674" s="47">
        <v>0</v>
      </c>
      <c r="K674" s="46">
        <f t="shared" si="145"/>
        <v>0</v>
      </c>
      <c r="L674" s="47">
        <v>0</v>
      </c>
      <c r="AZ674" s="49"/>
      <c r="BC674" s="50"/>
    </row>
    <row r="675" spans="1:55" s="48" customFormat="1" ht="69.45" customHeight="1" outlineLevel="1" x14ac:dyDescent="0.25">
      <c r="A675" s="42">
        <v>21</v>
      </c>
      <c r="B675" s="43" t="s">
        <v>486</v>
      </c>
      <c r="C675" s="44" t="s">
        <v>93</v>
      </c>
      <c r="D675" s="45">
        <v>12</v>
      </c>
      <c r="E675" s="45">
        <v>423.66320000000007</v>
      </c>
      <c r="F675" s="45">
        <f t="shared" si="141"/>
        <v>5083.9584000000013</v>
      </c>
      <c r="G675" s="46">
        <f t="shared" si="142"/>
        <v>0</v>
      </c>
      <c r="H675" s="47">
        <f t="shared" si="143"/>
        <v>0</v>
      </c>
      <c r="I675" s="46">
        <f t="shared" si="144"/>
        <v>0</v>
      </c>
      <c r="J675" s="47">
        <v>0</v>
      </c>
      <c r="K675" s="46">
        <f t="shared" si="145"/>
        <v>0</v>
      </c>
      <c r="L675" s="47">
        <v>0</v>
      </c>
      <c r="AZ675" s="49"/>
      <c r="BC675" s="50"/>
    </row>
    <row r="676" spans="1:55" s="48" customFormat="1" ht="15.45" customHeight="1" outlineLevel="1" x14ac:dyDescent="0.25">
      <c r="A676" s="42">
        <v>22</v>
      </c>
      <c r="B676" s="43" t="s">
        <v>487</v>
      </c>
      <c r="C676" s="44" t="s">
        <v>93</v>
      </c>
      <c r="D676" s="45">
        <v>12</v>
      </c>
      <c r="E676" s="45">
        <v>25.538799999999998</v>
      </c>
      <c r="F676" s="45">
        <f t="shared" si="141"/>
        <v>306.46559999999999</v>
      </c>
      <c r="G676" s="46">
        <f t="shared" si="142"/>
        <v>0</v>
      </c>
      <c r="H676" s="47">
        <f t="shared" si="143"/>
        <v>0</v>
      </c>
      <c r="I676" s="46">
        <f t="shared" si="144"/>
        <v>0</v>
      </c>
      <c r="J676" s="47">
        <v>0</v>
      </c>
      <c r="K676" s="46">
        <f t="shared" si="145"/>
        <v>0</v>
      </c>
      <c r="L676" s="47">
        <v>0</v>
      </c>
      <c r="AZ676" s="49"/>
      <c r="BC676" s="50"/>
    </row>
    <row r="677" spans="1:55" s="56" customFormat="1" ht="17.25" customHeight="1" x14ac:dyDescent="0.3">
      <c r="A677" s="62">
        <v>2.25</v>
      </c>
      <c r="B677" s="51" t="s">
        <v>488</v>
      </c>
      <c r="C677" s="52">
        <v>0</v>
      </c>
      <c r="D677" s="53"/>
      <c r="E677" s="53"/>
      <c r="F677" s="53"/>
      <c r="G677" s="54"/>
      <c r="H677" s="55"/>
      <c r="I677" s="54"/>
      <c r="J677" s="55"/>
      <c r="K677" s="54"/>
      <c r="L677" s="55">
        <v>0</v>
      </c>
      <c r="AZ677" s="57"/>
      <c r="BC677" s="58"/>
    </row>
    <row r="678" spans="1:55" s="48" customFormat="1" ht="15.45" customHeight="1" outlineLevel="1" x14ac:dyDescent="0.25">
      <c r="A678" s="42">
        <v>1</v>
      </c>
      <c r="B678" s="43" t="s">
        <v>489</v>
      </c>
      <c r="C678" s="44" t="s">
        <v>93</v>
      </c>
      <c r="D678" s="45">
        <v>1</v>
      </c>
      <c r="E678" s="45">
        <v>505.99759999999998</v>
      </c>
      <c r="F678" s="45">
        <f t="shared" ref="F678:F697" si="146">+E678*D678</f>
        <v>505.99759999999998</v>
      </c>
      <c r="G678" s="46">
        <f t="shared" ref="G678:G697" si="147">I678+K678</f>
        <v>0</v>
      </c>
      <c r="H678" s="47">
        <f t="shared" ref="H678:H697" si="148">J678+L678</f>
        <v>0</v>
      </c>
      <c r="I678" s="46">
        <f t="shared" ref="I678:I697" si="149">J678/F678</f>
        <v>0</v>
      </c>
      <c r="J678" s="47">
        <v>0</v>
      </c>
      <c r="K678" s="46">
        <f t="shared" ref="K678:K697" si="150">L678/F678</f>
        <v>0</v>
      </c>
      <c r="L678" s="47">
        <v>0</v>
      </c>
      <c r="AZ678" s="49"/>
      <c r="BC678" s="50"/>
    </row>
    <row r="679" spans="1:55" s="48" customFormat="1" ht="15.45" customHeight="1" outlineLevel="1" x14ac:dyDescent="0.25">
      <c r="A679" s="42">
        <v>2</v>
      </c>
      <c r="B679" s="43" t="s">
        <v>490</v>
      </c>
      <c r="C679" s="44" t="s">
        <v>93</v>
      </c>
      <c r="D679" s="45">
        <v>1</v>
      </c>
      <c r="E679" s="45">
        <v>31.2712</v>
      </c>
      <c r="F679" s="45">
        <f t="shared" si="146"/>
        <v>31.2712</v>
      </c>
      <c r="G679" s="46">
        <f t="shared" si="147"/>
        <v>0</v>
      </c>
      <c r="H679" s="47">
        <f t="shared" si="148"/>
        <v>0</v>
      </c>
      <c r="I679" s="46">
        <f t="shared" si="149"/>
        <v>0</v>
      </c>
      <c r="J679" s="47">
        <v>0</v>
      </c>
      <c r="K679" s="46">
        <f t="shared" si="150"/>
        <v>0</v>
      </c>
      <c r="L679" s="47">
        <v>0</v>
      </c>
      <c r="AZ679" s="49"/>
      <c r="BC679" s="50"/>
    </row>
    <row r="680" spans="1:55" s="48" customFormat="1" ht="27.75" customHeight="1" outlineLevel="1" x14ac:dyDescent="0.25">
      <c r="A680" s="42">
        <v>3</v>
      </c>
      <c r="B680" s="43" t="s">
        <v>491</v>
      </c>
      <c r="C680" s="44" t="s">
        <v>234</v>
      </c>
      <c r="D680" s="45">
        <v>5</v>
      </c>
      <c r="E680" s="45">
        <v>93.101599999999991</v>
      </c>
      <c r="F680" s="45">
        <f t="shared" si="146"/>
        <v>465.50799999999992</v>
      </c>
      <c r="G680" s="46">
        <f t="shared" si="147"/>
        <v>0</v>
      </c>
      <c r="H680" s="47">
        <f t="shared" si="148"/>
        <v>0</v>
      </c>
      <c r="I680" s="46">
        <f t="shared" si="149"/>
        <v>0</v>
      </c>
      <c r="J680" s="47">
        <v>0</v>
      </c>
      <c r="K680" s="46">
        <f t="shared" si="150"/>
        <v>0</v>
      </c>
      <c r="L680" s="47">
        <v>0</v>
      </c>
      <c r="AZ680" s="49"/>
      <c r="BC680" s="50"/>
    </row>
    <row r="681" spans="1:55" s="48" customFormat="1" ht="27.75" customHeight="1" outlineLevel="1" x14ac:dyDescent="0.25">
      <c r="A681" s="42">
        <v>4</v>
      </c>
      <c r="B681" s="43" t="s">
        <v>492</v>
      </c>
      <c r="C681" s="44" t="s">
        <v>234</v>
      </c>
      <c r="D681" s="45">
        <v>13</v>
      </c>
      <c r="E681" s="45">
        <v>82.779199999999989</v>
      </c>
      <c r="F681" s="45">
        <f t="shared" si="146"/>
        <v>1076.1295999999998</v>
      </c>
      <c r="G681" s="46">
        <f t="shared" si="147"/>
        <v>0</v>
      </c>
      <c r="H681" s="47">
        <f t="shared" si="148"/>
        <v>0</v>
      </c>
      <c r="I681" s="46">
        <f t="shared" si="149"/>
        <v>0</v>
      </c>
      <c r="J681" s="47">
        <v>0</v>
      </c>
      <c r="K681" s="46">
        <f t="shared" si="150"/>
        <v>0</v>
      </c>
      <c r="L681" s="47">
        <v>0</v>
      </c>
      <c r="AZ681" s="49"/>
      <c r="BC681" s="50"/>
    </row>
    <row r="682" spans="1:55" s="48" customFormat="1" ht="15.45" customHeight="1" outlineLevel="1" x14ac:dyDescent="0.25">
      <c r="A682" s="42">
        <v>5</v>
      </c>
      <c r="B682" s="43" t="s">
        <v>493</v>
      </c>
      <c r="C682" s="44" t="s">
        <v>93</v>
      </c>
      <c r="D682" s="45">
        <v>4</v>
      </c>
      <c r="E682" s="45">
        <v>47.105680000000007</v>
      </c>
      <c r="F682" s="45">
        <f t="shared" si="146"/>
        <v>188.42272000000003</v>
      </c>
      <c r="G682" s="46">
        <f t="shared" si="147"/>
        <v>0</v>
      </c>
      <c r="H682" s="47">
        <f t="shared" si="148"/>
        <v>0</v>
      </c>
      <c r="I682" s="46">
        <f t="shared" si="149"/>
        <v>0</v>
      </c>
      <c r="J682" s="47">
        <v>0</v>
      </c>
      <c r="K682" s="46">
        <f t="shared" si="150"/>
        <v>0</v>
      </c>
      <c r="L682" s="47">
        <v>0</v>
      </c>
      <c r="AZ682" s="49"/>
      <c r="BC682" s="50"/>
    </row>
    <row r="683" spans="1:55" s="48" customFormat="1" ht="15.45" customHeight="1" outlineLevel="1" x14ac:dyDescent="0.25">
      <c r="A683" s="42">
        <v>6</v>
      </c>
      <c r="B683" s="43" t="s">
        <v>494</v>
      </c>
      <c r="C683" s="44" t="s">
        <v>93</v>
      </c>
      <c r="D683" s="45">
        <v>14</v>
      </c>
      <c r="E683" s="45">
        <v>41.124400000000001</v>
      </c>
      <c r="F683" s="45">
        <f t="shared" si="146"/>
        <v>575.74160000000006</v>
      </c>
      <c r="G683" s="46">
        <f t="shared" si="147"/>
        <v>0</v>
      </c>
      <c r="H683" s="47">
        <f t="shared" si="148"/>
        <v>0</v>
      </c>
      <c r="I683" s="46">
        <f t="shared" si="149"/>
        <v>0</v>
      </c>
      <c r="J683" s="47">
        <v>0</v>
      </c>
      <c r="K683" s="46">
        <f t="shared" si="150"/>
        <v>0</v>
      </c>
      <c r="L683" s="47">
        <v>0</v>
      </c>
      <c r="AZ683" s="49"/>
      <c r="BC683" s="50"/>
    </row>
    <row r="684" spans="1:55" s="48" customFormat="1" ht="15.45" customHeight="1" outlineLevel="1" x14ac:dyDescent="0.25">
      <c r="A684" s="42">
        <v>7</v>
      </c>
      <c r="B684" s="43" t="s">
        <v>495</v>
      </c>
      <c r="C684" s="44" t="s">
        <v>93</v>
      </c>
      <c r="D684" s="45">
        <v>1</v>
      </c>
      <c r="E684" s="45">
        <v>579.28460000000007</v>
      </c>
      <c r="F684" s="45">
        <f t="shared" si="146"/>
        <v>579.28460000000007</v>
      </c>
      <c r="G684" s="46">
        <f t="shared" si="147"/>
        <v>0</v>
      </c>
      <c r="H684" s="47">
        <f t="shared" si="148"/>
        <v>0</v>
      </c>
      <c r="I684" s="46">
        <f t="shared" si="149"/>
        <v>0</v>
      </c>
      <c r="J684" s="47">
        <v>0</v>
      </c>
      <c r="K684" s="46">
        <f t="shared" si="150"/>
        <v>0</v>
      </c>
      <c r="L684" s="47">
        <v>0</v>
      </c>
      <c r="AZ684" s="49"/>
      <c r="BC684" s="50"/>
    </row>
    <row r="685" spans="1:55" s="48" customFormat="1" ht="15.45" customHeight="1" outlineLevel="1" x14ac:dyDescent="0.25">
      <c r="A685" s="42">
        <v>8</v>
      </c>
      <c r="B685" s="43" t="s">
        <v>496</v>
      </c>
      <c r="C685" s="44" t="s">
        <v>93</v>
      </c>
      <c r="D685" s="45">
        <v>1</v>
      </c>
      <c r="E685" s="45">
        <v>42.052599999999998</v>
      </c>
      <c r="F685" s="45">
        <f t="shared" si="146"/>
        <v>42.052599999999998</v>
      </c>
      <c r="G685" s="46">
        <f t="shared" si="147"/>
        <v>0</v>
      </c>
      <c r="H685" s="47">
        <f t="shared" si="148"/>
        <v>0</v>
      </c>
      <c r="I685" s="46">
        <f t="shared" si="149"/>
        <v>0</v>
      </c>
      <c r="J685" s="47">
        <v>0</v>
      </c>
      <c r="K685" s="46">
        <f t="shared" si="150"/>
        <v>0</v>
      </c>
      <c r="L685" s="47">
        <v>0</v>
      </c>
      <c r="AZ685" s="49"/>
      <c r="BC685" s="50"/>
    </row>
    <row r="686" spans="1:55" s="48" customFormat="1" ht="15.45" customHeight="1" outlineLevel="1" x14ac:dyDescent="0.25">
      <c r="A686" s="42">
        <v>9</v>
      </c>
      <c r="B686" s="43" t="s">
        <v>497</v>
      </c>
      <c r="C686" s="44" t="s">
        <v>93</v>
      </c>
      <c r="D686" s="45">
        <v>2</v>
      </c>
      <c r="E686" s="45">
        <v>72.364999999999995</v>
      </c>
      <c r="F686" s="45">
        <f t="shared" si="146"/>
        <v>144.72999999999999</v>
      </c>
      <c r="G686" s="46">
        <f t="shared" si="147"/>
        <v>0</v>
      </c>
      <c r="H686" s="47">
        <f t="shared" si="148"/>
        <v>0</v>
      </c>
      <c r="I686" s="46">
        <f t="shared" si="149"/>
        <v>0</v>
      </c>
      <c r="J686" s="47">
        <v>0</v>
      </c>
      <c r="K686" s="46">
        <f t="shared" si="150"/>
        <v>0</v>
      </c>
      <c r="L686" s="47">
        <v>0</v>
      </c>
      <c r="AZ686" s="49"/>
      <c r="BC686" s="50"/>
    </row>
    <row r="687" spans="1:55" s="48" customFormat="1" ht="15.45" customHeight="1" outlineLevel="1" x14ac:dyDescent="0.25">
      <c r="A687" s="42">
        <v>10</v>
      </c>
      <c r="B687" s="43" t="s">
        <v>498</v>
      </c>
      <c r="C687" s="44" t="s">
        <v>93</v>
      </c>
      <c r="D687" s="45">
        <v>36</v>
      </c>
      <c r="E687" s="45">
        <v>0.9</v>
      </c>
      <c r="F687" s="45">
        <f t="shared" si="146"/>
        <v>32.4</v>
      </c>
      <c r="G687" s="46">
        <f t="shared" si="147"/>
        <v>0</v>
      </c>
      <c r="H687" s="47">
        <f t="shared" si="148"/>
        <v>0</v>
      </c>
      <c r="I687" s="46">
        <f t="shared" si="149"/>
        <v>0</v>
      </c>
      <c r="J687" s="47">
        <v>0</v>
      </c>
      <c r="K687" s="46">
        <f t="shared" si="150"/>
        <v>0</v>
      </c>
      <c r="L687" s="47">
        <v>0</v>
      </c>
      <c r="AZ687" s="49"/>
      <c r="BC687" s="50"/>
    </row>
    <row r="688" spans="1:55" s="48" customFormat="1" ht="27.75" customHeight="1" outlineLevel="1" x14ac:dyDescent="0.25">
      <c r="A688" s="42">
        <v>11</v>
      </c>
      <c r="B688" s="43" t="s">
        <v>499</v>
      </c>
      <c r="C688" s="44" t="s">
        <v>61</v>
      </c>
      <c r="D688" s="45">
        <v>320</v>
      </c>
      <c r="E688" s="45">
        <v>0.9</v>
      </c>
      <c r="F688" s="45">
        <f t="shared" si="146"/>
        <v>288</v>
      </c>
      <c r="G688" s="46">
        <f t="shared" si="147"/>
        <v>0</v>
      </c>
      <c r="H688" s="47">
        <f t="shared" si="148"/>
        <v>0</v>
      </c>
      <c r="I688" s="46">
        <f t="shared" si="149"/>
        <v>0</v>
      </c>
      <c r="J688" s="47">
        <v>0</v>
      </c>
      <c r="K688" s="46">
        <f t="shared" si="150"/>
        <v>0</v>
      </c>
      <c r="L688" s="47">
        <v>0</v>
      </c>
      <c r="AZ688" s="49"/>
      <c r="BC688" s="50"/>
    </row>
    <row r="689" spans="1:55" s="48" customFormat="1" ht="27.75" customHeight="1" outlineLevel="1" x14ac:dyDescent="0.25">
      <c r="A689" s="42">
        <v>12</v>
      </c>
      <c r="B689" s="43" t="s">
        <v>407</v>
      </c>
      <c r="C689" s="44" t="s">
        <v>61</v>
      </c>
      <c r="D689" s="45">
        <v>320</v>
      </c>
      <c r="E689" s="45">
        <v>2.242</v>
      </c>
      <c r="F689" s="45">
        <f t="shared" si="146"/>
        <v>717.44</v>
      </c>
      <c r="G689" s="46">
        <f t="shared" si="147"/>
        <v>0</v>
      </c>
      <c r="H689" s="47">
        <f t="shared" si="148"/>
        <v>0</v>
      </c>
      <c r="I689" s="46">
        <f t="shared" si="149"/>
        <v>0</v>
      </c>
      <c r="J689" s="47">
        <v>0</v>
      </c>
      <c r="K689" s="46">
        <f t="shared" si="150"/>
        <v>0</v>
      </c>
      <c r="L689" s="47">
        <v>0</v>
      </c>
      <c r="AZ689" s="49"/>
      <c r="BC689" s="50"/>
    </row>
    <row r="690" spans="1:55" s="48" customFormat="1" ht="15.45" customHeight="1" outlineLevel="1" x14ac:dyDescent="0.25">
      <c r="A690" s="42">
        <v>13</v>
      </c>
      <c r="B690" s="43" t="s">
        <v>500</v>
      </c>
      <c r="C690" s="44" t="s">
        <v>93</v>
      </c>
      <c r="D690" s="45">
        <v>1</v>
      </c>
      <c r="E690" s="45">
        <v>1499.0083999999999</v>
      </c>
      <c r="F690" s="45">
        <f t="shared" si="146"/>
        <v>1499.0083999999999</v>
      </c>
      <c r="G690" s="46">
        <f t="shared" si="147"/>
        <v>0</v>
      </c>
      <c r="H690" s="47">
        <f t="shared" si="148"/>
        <v>0</v>
      </c>
      <c r="I690" s="46">
        <f t="shared" si="149"/>
        <v>0</v>
      </c>
      <c r="J690" s="47">
        <v>0</v>
      </c>
      <c r="K690" s="46">
        <f t="shared" si="150"/>
        <v>0</v>
      </c>
      <c r="L690" s="47">
        <v>0</v>
      </c>
      <c r="AZ690" s="49"/>
      <c r="BC690" s="50"/>
    </row>
    <row r="691" spans="1:55" s="48" customFormat="1" ht="15.45" customHeight="1" outlineLevel="1" x14ac:dyDescent="0.25">
      <c r="A691" s="42">
        <v>14</v>
      </c>
      <c r="B691" s="43" t="s">
        <v>501</v>
      </c>
      <c r="C691" s="44" t="s">
        <v>93</v>
      </c>
      <c r="D691" s="45">
        <v>1</v>
      </c>
      <c r="E691" s="45">
        <v>56.618200000000002</v>
      </c>
      <c r="F691" s="45">
        <f t="shared" si="146"/>
        <v>56.618200000000002</v>
      </c>
      <c r="G691" s="46">
        <f t="shared" si="147"/>
        <v>0</v>
      </c>
      <c r="H691" s="47">
        <f t="shared" si="148"/>
        <v>0</v>
      </c>
      <c r="I691" s="46">
        <f t="shared" si="149"/>
        <v>0</v>
      </c>
      <c r="J691" s="47">
        <v>0</v>
      </c>
      <c r="K691" s="46">
        <f t="shared" si="150"/>
        <v>0</v>
      </c>
      <c r="L691" s="47">
        <v>0</v>
      </c>
      <c r="AZ691" s="49"/>
      <c r="BC691" s="50"/>
    </row>
    <row r="692" spans="1:55" s="48" customFormat="1" ht="15.45" customHeight="1" outlineLevel="1" x14ac:dyDescent="0.25">
      <c r="A692" s="42">
        <v>15</v>
      </c>
      <c r="B692" s="43" t="s">
        <v>502</v>
      </c>
      <c r="C692" s="44" t="s">
        <v>93</v>
      </c>
      <c r="D692" s="45">
        <v>4</v>
      </c>
      <c r="E692" s="45">
        <v>125.048</v>
      </c>
      <c r="F692" s="45">
        <f t="shared" si="146"/>
        <v>500.19200000000001</v>
      </c>
      <c r="G692" s="46">
        <f t="shared" si="147"/>
        <v>0</v>
      </c>
      <c r="H692" s="47">
        <f t="shared" si="148"/>
        <v>0</v>
      </c>
      <c r="I692" s="46">
        <f t="shared" si="149"/>
        <v>0</v>
      </c>
      <c r="J692" s="47">
        <v>0</v>
      </c>
      <c r="K692" s="46">
        <f t="shared" si="150"/>
        <v>0</v>
      </c>
      <c r="L692" s="47">
        <v>0</v>
      </c>
      <c r="AZ692" s="49"/>
      <c r="BC692" s="50"/>
    </row>
    <row r="693" spans="1:55" s="48" customFormat="1" ht="15.45" customHeight="1" outlineLevel="1" x14ac:dyDescent="0.25">
      <c r="A693" s="42">
        <v>16</v>
      </c>
      <c r="B693" s="43" t="s">
        <v>503</v>
      </c>
      <c r="C693" s="44" t="s">
        <v>93</v>
      </c>
      <c r="D693" s="45">
        <v>4</v>
      </c>
      <c r="E693" s="45">
        <v>13.411</v>
      </c>
      <c r="F693" s="45">
        <f t="shared" si="146"/>
        <v>53.643999999999998</v>
      </c>
      <c r="G693" s="46">
        <f t="shared" si="147"/>
        <v>0</v>
      </c>
      <c r="H693" s="47">
        <f t="shared" si="148"/>
        <v>0</v>
      </c>
      <c r="I693" s="46">
        <f t="shared" si="149"/>
        <v>0</v>
      </c>
      <c r="J693" s="47">
        <v>0</v>
      </c>
      <c r="K693" s="46">
        <f t="shared" si="150"/>
        <v>0</v>
      </c>
      <c r="L693" s="47">
        <v>0</v>
      </c>
      <c r="AZ693" s="49"/>
      <c r="BC693" s="50"/>
    </row>
    <row r="694" spans="1:55" s="48" customFormat="1" ht="15.45" customHeight="1" outlineLevel="1" x14ac:dyDescent="0.25">
      <c r="A694" s="42">
        <v>17</v>
      </c>
      <c r="B694" s="43" t="s">
        <v>504</v>
      </c>
      <c r="C694" s="44" t="s">
        <v>61</v>
      </c>
      <c r="D694" s="45">
        <v>880</v>
      </c>
      <c r="E694" s="45">
        <v>1.2709999999999999</v>
      </c>
      <c r="F694" s="45">
        <f t="shared" si="146"/>
        <v>1118.48</v>
      </c>
      <c r="G694" s="46">
        <f t="shared" si="147"/>
        <v>0</v>
      </c>
      <c r="H694" s="47">
        <f t="shared" si="148"/>
        <v>0</v>
      </c>
      <c r="I694" s="46">
        <f t="shared" si="149"/>
        <v>0</v>
      </c>
      <c r="J694" s="47">
        <v>0</v>
      </c>
      <c r="K694" s="46">
        <f t="shared" si="150"/>
        <v>0</v>
      </c>
      <c r="L694" s="47">
        <v>0</v>
      </c>
      <c r="AZ694" s="49"/>
      <c r="BC694" s="50"/>
    </row>
    <row r="695" spans="1:55" s="48" customFormat="1" ht="27.75" customHeight="1" outlineLevel="1" x14ac:dyDescent="0.25">
      <c r="A695" s="42">
        <v>18</v>
      </c>
      <c r="B695" s="43" t="s">
        <v>469</v>
      </c>
      <c r="C695" s="44" t="s">
        <v>61</v>
      </c>
      <c r="D695" s="45">
        <v>320</v>
      </c>
      <c r="E695" s="45">
        <v>2.0379999999999998</v>
      </c>
      <c r="F695" s="45">
        <f t="shared" si="146"/>
        <v>652.16</v>
      </c>
      <c r="G695" s="46">
        <f t="shared" si="147"/>
        <v>0</v>
      </c>
      <c r="H695" s="47">
        <f t="shared" si="148"/>
        <v>0</v>
      </c>
      <c r="I695" s="46">
        <f t="shared" si="149"/>
        <v>0</v>
      </c>
      <c r="J695" s="47">
        <v>0</v>
      </c>
      <c r="K695" s="46">
        <f t="shared" si="150"/>
        <v>0</v>
      </c>
      <c r="L695" s="47">
        <v>0</v>
      </c>
      <c r="AZ695" s="49"/>
      <c r="BC695" s="50"/>
    </row>
    <row r="696" spans="1:55" s="48" customFormat="1" ht="27.75" customHeight="1" outlineLevel="1" x14ac:dyDescent="0.25">
      <c r="A696" s="42">
        <v>19</v>
      </c>
      <c r="B696" s="43" t="s">
        <v>425</v>
      </c>
      <c r="C696" s="44" t="s">
        <v>61</v>
      </c>
      <c r="D696" s="45">
        <v>560</v>
      </c>
      <c r="E696" s="45">
        <v>1.9461999999999999</v>
      </c>
      <c r="F696" s="45">
        <f t="shared" si="146"/>
        <v>1089.8720000000001</v>
      </c>
      <c r="G696" s="46">
        <f t="shared" si="147"/>
        <v>0</v>
      </c>
      <c r="H696" s="47">
        <f t="shared" si="148"/>
        <v>0</v>
      </c>
      <c r="I696" s="46">
        <f t="shared" si="149"/>
        <v>0</v>
      </c>
      <c r="J696" s="47">
        <v>0</v>
      </c>
      <c r="K696" s="46">
        <f t="shared" si="150"/>
        <v>0</v>
      </c>
      <c r="L696" s="47">
        <v>0</v>
      </c>
      <c r="AZ696" s="49"/>
      <c r="BC696" s="50"/>
    </row>
    <row r="697" spans="1:55" s="48" customFormat="1" ht="15.45" customHeight="1" outlineLevel="1" x14ac:dyDescent="0.25">
      <c r="A697" s="42">
        <v>20</v>
      </c>
      <c r="B697" s="43" t="s">
        <v>505</v>
      </c>
      <c r="C697" s="44" t="s">
        <v>93</v>
      </c>
      <c r="D697" s="45">
        <v>2</v>
      </c>
      <c r="E697" s="45">
        <v>103.4342</v>
      </c>
      <c r="F697" s="45">
        <f t="shared" si="146"/>
        <v>206.86840000000001</v>
      </c>
      <c r="G697" s="46">
        <f t="shared" si="147"/>
        <v>0</v>
      </c>
      <c r="H697" s="47">
        <f t="shared" si="148"/>
        <v>0</v>
      </c>
      <c r="I697" s="46">
        <f t="shared" si="149"/>
        <v>0</v>
      </c>
      <c r="J697" s="47">
        <v>0</v>
      </c>
      <c r="K697" s="46">
        <f t="shared" si="150"/>
        <v>0</v>
      </c>
      <c r="L697" s="47">
        <v>0</v>
      </c>
      <c r="AZ697" s="49"/>
      <c r="BC697" s="50"/>
    </row>
    <row r="698" spans="1:55" s="56" customFormat="1" ht="17.25" customHeight="1" x14ac:dyDescent="0.3">
      <c r="A698" s="62">
        <v>2.2599999999999998</v>
      </c>
      <c r="B698" s="51" t="s">
        <v>506</v>
      </c>
      <c r="C698" s="52">
        <v>0</v>
      </c>
      <c r="D698" s="53"/>
      <c r="E698" s="53"/>
      <c r="F698" s="53"/>
      <c r="G698" s="54"/>
      <c r="H698" s="55"/>
      <c r="I698" s="54"/>
      <c r="J698" s="55"/>
      <c r="K698" s="54"/>
      <c r="L698" s="55">
        <v>0</v>
      </c>
      <c r="AZ698" s="57"/>
      <c r="BC698" s="58"/>
    </row>
    <row r="699" spans="1:55" s="48" customFormat="1" ht="27.75" customHeight="1" outlineLevel="1" x14ac:dyDescent="0.25">
      <c r="A699" s="42">
        <v>1</v>
      </c>
      <c r="B699" s="43" t="s">
        <v>507</v>
      </c>
      <c r="C699" s="44" t="s">
        <v>93</v>
      </c>
      <c r="D699" s="45">
        <v>1</v>
      </c>
      <c r="E699" s="45">
        <v>6381.2281999999996</v>
      </c>
      <c r="F699" s="45">
        <f t="shared" ref="F699:F719" si="151">+E699*D699</f>
        <v>6381.2281999999996</v>
      </c>
      <c r="G699" s="46">
        <f t="shared" ref="G699:G719" si="152">I699+K699</f>
        <v>0</v>
      </c>
      <c r="H699" s="47">
        <f t="shared" ref="H699:H719" si="153">J699+L699</f>
        <v>0</v>
      </c>
      <c r="I699" s="46">
        <f t="shared" ref="I699:I719" si="154">J699/F699</f>
        <v>0</v>
      </c>
      <c r="J699" s="47">
        <v>0</v>
      </c>
      <c r="K699" s="46">
        <f t="shared" ref="K699:K719" si="155">L699/F699</f>
        <v>0</v>
      </c>
      <c r="L699" s="47">
        <v>0</v>
      </c>
      <c r="AZ699" s="49"/>
      <c r="BC699" s="50"/>
    </row>
    <row r="700" spans="1:55" s="48" customFormat="1" ht="15.45" customHeight="1" outlineLevel="1" x14ac:dyDescent="0.25">
      <c r="A700" s="42">
        <v>2</v>
      </c>
      <c r="B700" s="43" t="s">
        <v>508</v>
      </c>
      <c r="C700" s="44" t="s">
        <v>93</v>
      </c>
      <c r="D700" s="45">
        <v>1</v>
      </c>
      <c r="E700" s="45">
        <v>206.648</v>
      </c>
      <c r="F700" s="45">
        <f t="shared" si="151"/>
        <v>206.648</v>
      </c>
      <c r="G700" s="46">
        <f t="shared" si="152"/>
        <v>0</v>
      </c>
      <c r="H700" s="47">
        <f t="shared" si="153"/>
        <v>0</v>
      </c>
      <c r="I700" s="46">
        <f t="shared" si="154"/>
        <v>0</v>
      </c>
      <c r="J700" s="47">
        <v>0</v>
      </c>
      <c r="K700" s="46">
        <f t="shared" si="155"/>
        <v>0</v>
      </c>
      <c r="L700" s="47">
        <v>0</v>
      </c>
      <c r="AZ700" s="49"/>
      <c r="BC700" s="50"/>
    </row>
    <row r="701" spans="1:55" s="48" customFormat="1" ht="15.45" customHeight="1" outlineLevel="1" x14ac:dyDescent="0.25">
      <c r="A701" s="42">
        <v>3</v>
      </c>
      <c r="B701" s="43" t="s">
        <v>509</v>
      </c>
      <c r="C701" s="44" t="s">
        <v>93</v>
      </c>
      <c r="D701" s="45">
        <v>2</v>
      </c>
      <c r="E701" s="45">
        <v>112.4</v>
      </c>
      <c r="F701" s="45">
        <f t="shared" si="151"/>
        <v>224.8</v>
      </c>
      <c r="G701" s="46">
        <f t="shared" si="152"/>
        <v>0</v>
      </c>
      <c r="H701" s="47">
        <f t="shared" si="153"/>
        <v>0</v>
      </c>
      <c r="I701" s="46">
        <f t="shared" si="154"/>
        <v>0</v>
      </c>
      <c r="J701" s="47">
        <v>0</v>
      </c>
      <c r="K701" s="46">
        <f t="shared" si="155"/>
        <v>0</v>
      </c>
      <c r="L701" s="47">
        <v>0</v>
      </c>
      <c r="AZ701" s="49"/>
      <c r="BC701" s="50"/>
    </row>
    <row r="702" spans="1:55" s="48" customFormat="1" ht="15.45" customHeight="1" outlineLevel="1" x14ac:dyDescent="0.25">
      <c r="A702" s="42">
        <v>4</v>
      </c>
      <c r="B702" s="43" t="s">
        <v>482</v>
      </c>
      <c r="C702" s="44" t="s">
        <v>93</v>
      </c>
      <c r="D702" s="45">
        <v>2</v>
      </c>
      <c r="E702" s="45">
        <v>53.782600000000002</v>
      </c>
      <c r="F702" s="45">
        <f t="shared" si="151"/>
        <v>107.5652</v>
      </c>
      <c r="G702" s="46">
        <f t="shared" si="152"/>
        <v>0</v>
      </c>
      <c r="H702" s="47">
        <f t="shared" si="153"/>
        <v>0</v>
      </c>
      <c r="I702" s="46">
        <f t="shared" si="154"/>
        <v>0</v>
      </c>
      <c r="J702" s="47">
        <v>0</v>
      </c>
      <c r="K702" s="46">
        <f t="shared" si="155"/>
        <v>0</v>
      </c>
      <c r="L702" s="47">
        <v>0</v>
      </c>
      <c r="AZ702" s="49"/>
      <c r="BC702" s="50"/>
    </row>
    <row r="703" spans="1:55" s="48" customFormat="1" ht="27.75" customHeight="1" outlineLevel="1" x14ac:dyDescent="0.25">
      <c r="A703" s="42">
        <v>5</v>
      </c>
      <c r="B703" s="43" t="s">
        <v>510</v>
      </c>
      <c r="C703" s="44" t="s">
        <v>93</v>
      </c>
      <c r="D703" s="45">
        <v>36</v>
      </c>
      <c r="E703" s="45">
        <v>30.035</v>
      </c>
      <c r="F703" s="45">
        <f t="shared" si="151"/>
        <v>1081.26</v>
      </c>
      <c r="G703" s="46">
        <f t="shared" si="152"/>
        <v>0</v>
      </c>
      <c r="H703" s="47">
        <f t="shared" si="153"/>
        <v>0</v>
      </c>
      <c r="I703" s="46">
        <f t="shared" si="154"/>
        <v>0</v>
      </c>
      <c r="J703" s="47">
        <v>0</v>
      </c>
      <c r="K703" s="46">
        <f t="shared" si="155"/>
        <v>0</v>
      </c>
      <c r="L703" s="47">
        <v>0</v>
      </c>
      <c r="AZ703" s="49"/>
      <c r="BC703" s="50"/>
    </row>
    <row r="704" spans="1:55" s="59" customFormat="1" ht="27.75" customHeight="1" outlineLevel="1" x14ac:dyDescent="0.35">
      <c r="A704" s="42">
        <v>6</v>
      </c>
      <c r="B704" s="43" t="s">
        <v>511</v>
      </c>
      <c r="C704" s="44" t="s">
        <v>234</v>
      </c>
      <c r="D704" s="45">
        <v>19</v>
      </c>
      <c r="E704" s="45">
        <v>39.429200000000002</v>
      </c>
      <c r="F704" s="45">
        <f t="shared" si="151"/>
        <v>749.15480000000002</v>
      </c>
      <c r="G704" s="46">
        <f t="shared" si="152"/>
        <v>0</v>
      </c>
      <c r="H704" s="47">
        <f t="shared" si="153"/>
        <v>0</v>
      </c>
      <c r="I704" s="46">
        <f t="shared" si="154"/>
        <v>0</v>
      </c>
      <c r="J704" s="47">
        <v>0</v>
      </c>
      <c r="K704" s="46">
        <f t="shared" si="155"/>
        <v>0</v>
      </c>
      <c r="L704" s="47">
        <v>0</v>
      </c>
      <c r="AZ704" s="60"/>
      <c r="BC704" s="61"/>
    </row>
    <row r="705" spans="1:55" s="48" customFormat="1" ht="27.75" customHeight="1" outlineLevel="1" x14ac:dyDescent="0.25">
      <c r="A705" s="42">
        <v>7</v>
      </c>
      <c r="B705" s="43" t="s">
        <v>512</v>
      </c>
      <c r="C705" s="44" t="s">
        <v>93</v>
      </c>
      <c r="D705" s="45">
        <v>55</v>
      </c>
      <c r="E705" s="45">
        <v>62.207800000000013</v>
      </c>
      <c r="F705" s="45">
        <f t="shared" si="151"/>
        <v>3421.4290000000005</v>
      </c>
      <c r="G705" s="46">
        <f t="shared" si="152"/>
        <v>0</v>
      </c>
      <c r="H705" s="47">
        <f t="shared" si="153"/>
        <v>0</v>
      </c>
      <c r="I705" s="46">
        <f t="shared" si="154"/>
        <v>0</v>
      </c>
      <c r="J705" s="47">
        <v>0</v>
      </c>
      <c r="K705" s="46">
        <f t="shared" si="155"/>
        <v>0</v>
      </c>
      <c r="L705" s="47">
        <v>0</v>
      </c>
      <c r="AZ705" s="49"/>
      <c r="BC705" s="50"/>
    </row>
    <row r="706" spans="1:55" s="48" customFormat="1" ht="15.45" customHeight="1" outlineLevel="1" x14ac:dyDescent="0.25">
      <c r="A706" s="42">
        <v>8</v>
      </c>
      <c r="B706" s="43" t="s">
        <v>513</v>
      </c>
      <c r="C706" s="44" t="s">
        <v>234</v>
      </c>
      <c r="D706" s="45">
        <v>1</v>
      </c>
      <c r="E706" s="45">
        <v>77.617999999999995</v>
      </c>
      <c r="F706" s="45">
        <f t="shared" si="151"/>
        <v>77.617999999999995</v>
      </c>
      <c r="G706" s="46">
        <f t="shared" si="152"/>
        <v>0</v>
      </c>
      <c r="H706" s="47">
        <f t="shared" si="153"/>
        <v>0</v>
      </c>
      <c r="I706" s="46">
        <f t="shared" si="154"/>
        <v>0</v>
      </c>
      <c r="J706" s="47">
        <v>0</v>
      </c>
      <c r="K706" s="46">
        <f t="shared" si="155"/>
        <v>0</v>
      </c>
      <c r="L706" s="47">
        <v>0</v>
      </c>
      <c r="AZ706" s="49"/>
      <c r="BC706" s="50"/>
    </row>
    <row r="707" spans="1:55" s="48" customFormat="1" ht="15.45" customHeight="1" outlineLevel="1" x14ac:dyDescent="0.25">
      <c r="A707" s="42">
        <v>9</v>
      </c>
      <c r="B707" s="43" t="s">
        <v>514</v>
      </c>
      <c r="C707" s="44" t="s">
        <v>93</v>
      </c>
      <c r="D707" s="45">
        <v>1</v>
      </c>
      <c r="E707" s="45">
        <v>38.166400000000003</v>
      </c>
      <c r="F707" s="45">
        <f t="shared" si="151"/>
        <v>38.166400000000003</v>
      </c>
      <c r="G707" s="46">
        <f t="shared" si="152"/>
        <v>0</v>
      </c>
      <c r="H707" s="47">
        <f t="shared" si="153"/>
        <v>0</v>
      </c>
      <c r="I707" s="46">
        <f t="shared" si="154"/>
        <v>0</v>
      </c>
      <c r="J707" s="47">
        <v>0</v>
      </c>
      <c r="K707" s="46">
        <f t="shared" si="155"/>
        <v>0</v>
      </c>
      <c r="L707" s="47">
        <v>0</v>
      </c>
      <c r="AZ707" s="49"/>
      <c r="BC707" s="50"/>
    </row>
    <row r="708" spans="1:55" s="48" customFormat="1" ht="15.45" customHeight="1" outlineLevel="1" x14ac:dyDescent="0.25">
      <c r="A708" s="42">
        <v>10</v>
      </c>
      <c r="B708" s="43" t="s">
        <v>515</v>
      </c>
      <c r="C708" s="44" t="s">
        <v>93</v>
      </c>
      <c r="D708" s="45">
        <v>1</v>
      </c>
      <c r="E708" s="45">
        <v>210.779</v>
      </c>
      <c r="F708" s="45">
        <f t="shared" si="151"/>
        <v>210.779</v>
      </c>
      <c r="G708" s="46">
        <f t="shared" si="152"/>
        <v>0</v>
      </c>
      <c r="H708" s="47">
        <f t="shared" si="153"/>
        <v>0</v>
      </c>
      <c r="I708" s="46">
        <f t="shared" si="154"/>
        <v>0</v>
      </c>
      <c r="J708" s="47">
        <v>0</v>
      </c>
      <c r="K708" s="46">
        <f t="shared" si="155"/>
        <v>0</v>
      </c>
      <c r="L708" s="47">
        <v>0</v>
      </c>
      <c r="AZ708" s="49"/>
      <c r="BC708" s="50"/>
    </row>
    <row r="709" spans="1:55" s="48" customFormat="1" ht="41.7" customHeight="1" outlineLevel="1" x14ac:dyDescent="0.25">
      <c r="A709" s="42">
        <v>11</v>
      </c>
      <c r="B709" s="43" t="s">
        <v>516</v>
      </c>
      <c r="C709" s="44" t="s">
        <v>93</v>
      </c>
      <c r="D709" s="45">
        <v>1</v>
      </c>
      <c r="E709" s="45">
        <v>364.58480000000009</v>
      </c>
      <c r="F709" s="45">
        <f t="shared" si="151"/>
        <v>364.58480000000009</v>
      </c>
      <c r="G709" s="46">
        <f t="shared" si="152"/>
        <v>0</v>
      </c>
      <c r="H709" s="47">
        <f t="shared" si="153"/>
        <v>0</v>
      </c>
      <c r="I709" s="46">
        <f t="shared" si="154"/>
        <v>0</v>
      </c>
      <c r="J709" s="47">
        <v>0</v>
      </c>
      <c r="K709" s="46">
        <f t="shared" si="155"/>
        <v>0</v>
      </c>
      <c r="L709" s="47">
        <v>0</v>
      </c>
      <c r="AZ709" s="49"/>
      <c r="BC709" s="50"/>
    </row>
    <row r="710" spans="1:55" s="48" customFormat="1" ht="27.75" customHeight="1" outlineLevel="1" x14ac:dyDescent="0.25">
      <c r="A710" s="42">
        <v>12</v>
      </c>
      <c r="B710" s="43" t="s">
        <v>517</v>
      </c>
      <c r="C710" s="44" t="s">
        <v>93</v>
      </c>
      <c r="D710" s="45">
        <v>1</v>
      </c>
      <c r="E710" s="45">
        <v>62.207800000000013</v>
      </c>
      <c r="F710" s="45">
        <f t="shared" si="151"/>
        <v>62.207800000000013</v>
      </c>
      <c r="G710" s="46">
        <f t="shared" si="152"/>
        <v>0</v>
      </c>
      <c r="H710" s="47">
        <f t="shared" si="153"/>
        <v>0</v>
      </c>
      <c r="I710" s="46">
        <f t="shared" si="154"/>
        <v>0</v>
      </c>
      <c r="J710" s="47">
        <v>0</v>
      </c>
      <c r="K710" s="46">
        <f t="shared" si="155"/>
        <v>0</v>
      </c>
      <c r="L710" s="47">
        <v>0</v>
      </c>
      <c r="AZ710" s="49"/>
      <c r="BC710" s="50"/>
    </row>
    <row r="711" spans="1:55" s="48" customFormat="1" ht="15.45" customHeight="1" outlineLevel="1" x14ac:dyDescent="0.25">
      <c r="A711" s="42">
        <v>13</v>
      </c>
      <c r="B711" s="43" t="s">
        <v>518</v>
      </c>
      <c r="C711" s="44" t="s">
        <v>61</v>
      </c>
      <c r="D711" s="45">
        <v>740</v>
      </c>
      <c r="E711" s="45">
        <v>1.3526</v>
      </c>
      <c r="F711" s="45">
        <f t="shared" si="151"/>
        <v>1000.924</v>
      </c>
      <c r="G711" s="46">
        <f t="shared" si="152"/>
        <v>0</v>
      </c>
      <c r="H711" s="47">
        <f t="shared" si="153"/>
        <v>0</v>
      </c>
      <c r="I711" s="46">
        <f t="shared" si="154"/>
        <v>0</v>
      </c>
      <c r="J711" s="47">
        <v>0</v>
      </c>
      <c r="K711" s="46">
        <f t="shared" si="155"/>
        <v>0</v>
      </c>
      <c r="L711" s="47">
        <v>0</v>
      </c>
      <c r="AZ711" s="49"/>
      <c r="BC711" s="50"/>
    </row>
    <row r="712" spans="1:55" s="48" customFormat="1" ht="15.45" customHeight="1" outlineLevel="1" x14ac:dyDescent="0.25">
      <c r="A712" s="42">
        <v>14</v>
      </c>
      <c r="B712" s="43" t="s">
        <v>519</v>
      </c>
      <c r="C712" s="44" t="s">
        <v>61</v>
      </c>
      <c r="D712" s="45">
        <v>40</v>
      </c>
      <c r="E712" s="45">
        <v>0.9</v>
      </c>
      <c r="F712" s="45">
        <f t="shared" si="151"/>
        <v>36</v>
      </c>
      <c r="G712" s="46">
        <f t="shared" si="152"/>
        <v>0</v>
      </c>
      <c r="H712" s="47">
        <f t="shared" si="153"/>
        <v>0</v>
      </c>
      <c r="I712" s="46">
        <f t="shared" si="154"/>
        <v>0</v>
      </c>
      <c r="J712" s="47">
        <v>0</v>
      </c>
      <c r="K712" s="46">
        <f t="shared" si="155"/>
        <v>0</v>
      </c>
      <c r="L712" s="47">
        <v>0</v>
      </c>
      <c r="AZ712" s="49"/>
      <c r="BC712" s="50"/>
    </row>
    <row r="713" spans="1:55" s="48" customFormat="1" ht="15.45" customHeight="1" outlineLevel="1" x14ac:dyDescent="0.25">
      <c r="A713" s="42">
        <v>15</v>
      </c>
      <c r="B713" s="43" t="s">
        <v>520</v>
      </c>
      <c r="C713" s="44" t="s">
        <v>61</v>
      </c>
      <c r="D713" s="45">
        <v>40</v>
      </c>
      <c r="E713" s="45">
        <v>2.4847999999999999</v>
      </c>
      <c r="F713" s="45">
        <f t="shared" si="151"/>
        <v>99.391999999999996</v>
      </c>
      <c r="G713" s="46">
        <f t="shared" si="152"/>
        <v>0</v>
      </c>
      <c r="H713" s="47">
        <f t="shared" si="153"/>
        <v>0</v>
      </c>
      <c r="I713" s="46">
        <f t="shared" si="154"/>
        <v>0</v>
      </c>
      <c r="J713" s="47">
        <v>0</v>
      </c>
      <c r="K713" s="46">
        <f t="shared" si="155"/>
        <v>0</v>
      </c>
      <c r="L713" s="47">
        <v>0</v>
      </c>
      <c r="AZ713" s="49"/>
      <c r="BC713" s="50"/>
    </row>
    <row r="714" spans="1:55" s="48" customFormat="1" ht="27.75" customHeight="1" outlineLevel="1" x14ac:dyDescent="0.25">
      <c r="A714" s="42">
        <v>16</v>
      </c>
      <c r="B714" s="43" t="s">
        <v>469</v>
      </c>
      <c r="C714" s="44" t="s">
        <v>61</v>
      </c>
      <c r="D714" s="45">
        <v>400</v>
      </c>
      <c r="E714" s="45">
        <v>2.0379999999999998</v>
      </c>
      <c r="F714" s="45">
        <f t="shared" si="151"/>
        <v>815.19999999999993</v>
      </c>
      <c r="G714" s="46">
        <f t="shared" si="152"/>
        <v>0</v>
      </c>
      <c r="H714" s="47">
        <f t="shared" si="153"/>
        <v>0</v>
      </c>
      <c r="I714" s="46">
        <f t="shared" si="154"/>
        <v>0</v>
      </c>
      <c r="J714" s="47">
        <v>0</v>
      </c>
      <c r="K714" s="46">
        <f t="shared" si="155"/>
        <v>0</v>
      </c>
      <c r="L714" s="47">
        <v>0</v>
      </c>
      <c r="AZ714" s="49"/>
      <c r="BC714" s="50"/>
    </row>
    <row r="715" spans="1:55" s="48" customFormat="1" ht="27.75" customHeight="1" outlineLevel="1" x14ac:dyDescent="0.25">
      <c r="A715" s="42">
        <v>17</v>
      </c>
      <c r="B715" s="43" t="s">
        <v>425</v>
      </c>
      <c r="C715" s="44" t="s">
        <v>61</v>
      </c>
      <c r="D715" s="45">
        <v>420</v>
      </c>
      <c r="E715" s="45">
        <v>1.9461999999999999</v>
      </c>
      <c r="F715" s="45">
        <f t="shared" si="151"/>
        <v>817.404</v>
      </c>
      <c r="G715" s="46">
        <f t="shared" si="152"/>
        <v>0</v>
      </c>
      <c r="H715" s="47">
        <f t="shared" si="153"/>
        <v>0</v>
      </c>
      <c r="I715" s="46">
        <f t="shared" si="154"/>
        <v>0</v>
      </c>
      <c r="J715" s="47">
        <v>0</v>
      </c>
      <c r="K715" s="46">
        <f t="shared" si="155"/>
        <v>0</v>
      </c>
      <c r="L715" s="47">
        <v>0</v>
      </c>
      <c r="AZ715" s="49"/>
      <c r="BC715" s="50"/>
    </row>
    <row r="716" spans="1:55" s="48" customFormat="1" ht="15.45" customHeight="1" outlineLevel="1" x14ac:dyDescent="0.25">
      <c r="A716" s="42">
        <v>18</v>
      </c>
      <c r="B716" s="43" t="s">
        <v>466</v>
      </c>
      <c r="C716" s="44" t="s">
        <v>61</v>
      </c>
      <c r="D716" s="45">
        <v>400</v>
      </c>
      <c r="E716" s="45">
        <v>0.9</v>
      </c>
      <c r="F716" s="45">
        <f t="shared" si="151"/>
        <v>360</v>
      </c>
      <c r="G716" s="46">
        <f t="shared" si="152"/>
        <v>0</v>
      </c>
      <c r="H716" s="47">
        <f t="shared" si="153"/>
        <v>0</v>
      </c>
      <c r="I716" s="46">
        <f t="shared" si="154"/>
        <v>0</v>
      </c>
      <c r="J716" s="47">
        <v>0</v>
      </c>
      <c r="K716" s="46">
        <f t="shared" si="155"/>
        <v>0</v>
      </c>
      <c r="L716" s="47">
        <v>0</v>
      </c>
      <c r="AZ716" s="49"/>
      <c r="BC716" s="50"/>
    </row>
    <row r="717" spans="1:55" s="48" customFormat="1" ht="27.75" customHeight="1" outlineLevel="1" x14ac:dyDescent="0.25">
      <c r="A717" s="42">
        <v>19</v>
      </c>
      <c r="B717" s="43" t="s">
        <v>407</v>
      </c>
      <c r="C717" s="44" t="s">
        <v>61</v>
      </c>
      <c r="D717" s="45">
        <v>400</v>
      </c>
      <c r="E717" s="45">
        <v>2.242</v>
      </c>
      <c r="F717" s="45">
        <f t="shared" si="151"/>
        <v>896.8</v>
      </c>
      <c r="G717" s="46">
        <f t="shared" si="152"/>
        <v>0</v>
      </c>
      <c r="H717" s="47">
        <f t="shared" si="153"/>
        <v>0</v>
      </c>
      <c r="I717" s="46">
        <f t="shared" si="154"/>
        <v>0</v>
      </c>
      <c r="J717" s="47">
        <v>0</v>
      </c>
      <c r="K717" s="46">
        <f t="shared" si="155"/>
        <v>0</v>
      </c>
      <c r="L717" s="47">
        <v>0</v>
      </c>
      <c r="AZ717" s="49"/>
      <c r="BC717" s="50"/>
    </row>
    <row r="718" spans="1:55" s="48" customFormat="1" ht="15.45" customHeight="1" outlineLevel="1" x14ac:dyDescent="0.25">
      <c r="A718" s="42">
        <v>20</v>
      </c>
      <c r="B718" s="43" t="s">
        <v>521</v>
      </c>
      <c r="C718" s="44" t="s">
        <v>93</v>
      </c>
      <c r="D718" s="45">
        <v>1</v>
      </c>
      <c r="E718" s="45">
        <v>743.41280000000006</v>
      </c>
      <c r="F718" s="45">
        <f t="shared" si="151"/>
        <v>743.41280000000006</v>
      </c>
      <c r="G718" s="46">
        <f t="shared" si="152"/>
        <v>0</v>
      </c>
      <c r="H718" s="47">
        <f t="shared" si="153"/>
        <v>0</v>
      </c>
      <c r="I718" s="46">
        <f t="shared" si="154"/>
        <v>0</v>
      </c>
      <c r="J718" s="47">
        <v>0</v>
      </c>
      <c r="K718" s="46">
        <f t="shared" si="155"/>
        <v>0</v>
      </c>
      <c r="L718" s="47">
        <v>0</v>
      </c>
      <c r="AZ718" s="49"/>
      <c r="BC718" s="50"/>
    </row>
    <row r="719" spans="1:55" s="48" customFormat="1" ht="15.45" customHeight="1" outlineLevel="1" x14ac:dyDescent="0.25">
      <c r="A719" s="42">
        <v>21</v>
      </c>
      <c r="B719" s="43" t="s">
        <v>482</v>
      </c>
      <c r="C719" s="44" t="s">
        <v>93</v>
      </c>
      <c r="D719" s="45">
        <v>1</v>
      </c>
      <c r="E719" s="45">
        <v>53.782600000000002</v>
      </c>
      <c r="F719" s="45">
        <f t="shared" si="151"/>
        <v>53.782600000000002</v>
      </c>
      <c r="G719" s="46">
        <f t="shared" si="152"/>
        <v>0</v>
      </c>
      <c r="H719" s="47">
        <f t="shared" si="153"/>
        <v>0</v>
      </c>
      <c r="I719" s="46">
        <f t="shared" si="154"/>
        <v>0</v>
      </c>
      <c r="J719" s="47">
        <v>0</v>
      </c>
      <c r="K719" s="46">
        <f t="shared" si="155"/>
        <v>0</v>
      </c>
      <c r="L719" s="47">
        <v>0</v>
      </c>
      <c r="AZ719" s="49"/>
      <c r="BC719" s="50"/>
    </row>
    <row r="720" spans="1:55" s="56" customFormat="1" ht="27" customHeight="1" x14ac:dyDescent="0.3">
      <c r="A720" s="62">
        <v>2.27</v>
      </c>
      <c r="B720" s="51" t="s">
        <v>522</v>
      </c>
      <c r="C720" s="52">
        <v>0</v>
      </c>
      <c r="D720" s="53"/>
      <c r="E720" s="53"/>
      <c r="F720" s="53"/>
      <c r="G720" s="54"/>
      <c r="H720" s="55"/>
      <c r="I720" s="54"/>
      <c r="J720" s="55"/>
      <c r="K720" s="54"/>
      <c r="L720" s="55">
        <v>0</v>
      </c>
      <c r="AZ720" s="57"/>
      <c r="BC720" s="58"/>
    </row>
    <row r="721" spans="1:55" s="48" customFormat="1" ht="15.45" customHeight="1" outlineLevel="1" x14ac:dyDescent="0.25">
      <c r="A721" s="42">
        <v>1</v>
      </c>
      <c r="B721" s="43" t="s">
        <v>523</v>
      </c>
      <c r="C721" s="44" t="s">
        <v>93</v>
      </c>
      <c r="D721" s="45">
        <v>1</v>
      </c>
      <c r="E721" s="45">
        <v>131.29040000000001</v>
      </c>
      <c r="F721" s="45">
        <f t="shared" ref="F721:F744" si="156">+E721*D721</f>
        <v>131.29040000000001</v>
      </c>
      <c r="G721" s="46">
        <f t="shared" ref="G721:G744" si="157">I721+K721</f>
        <v>0</v>
      </c>
      <c r="H721" s="47">
        <f t="shared" ref="H721:H744" si="158">J721+L721</f>
        <v>0</v>
      </c>
      <c r="I721" s="46">
        <f t="shared" ref="I721:I744" si="159">J721/F721</f>
        <v>0</v>
      </c>
      <c r="J721" s="47">
        <v>0</v>
      </c>
      <c r="K721" s="46">
        <f t="shared" ref="K721:K744" si="160">L721/F721</f>
        <v>0</v>
      </c>
      <c r="L721" s="47">
        <v>0</v>
      </c>
      <c r="AZ721" s="49"/>
      <c r="BC721" s="50"/>
    </row>
    <row r="722" spans="1:55" s="48" customFormat="1" ht="27.75" customHeight="1" outlineLevel="1" x14ac:dyDescent="0.25">
      <c r="A722" s="42">
        <v>2</v>
      </c>
      <c r="B722" s="43" t="s">
        <v>524</v>
      </c>
      <c r="C722" s="44" t="s">
        <v>93</v>
      </c>
      <c r="D722" s="45">
        <v>1</v>
      </c>
      <c r="E722" s="45">
        <v>884.82560000000001</v>
      </c>
      <c r="F722" s="45">
        <f t="shared" si="156"/>
        <v>884.82560000000001</v>
      </c>
      <c r="G722" s="46">
        <f t="shared" si="157"/>
        <v>0</v>
      </c>
      <c r="H722" s="47">
        <f t="shared" si="158"/>
        <v>0</v>
      </c>
      <c r="I722" s="46">
        <f t="shared" si="159"/>
        <v>0</v>
      </c>
      <c r="J722" s="47">
        <v>0</v>
      </c>
      <c r="K722" s="46">
        <f t="shared" si="160"/>
        <v>0</v>
      </c>
      <c r="L722" s="47">
        <v>0</v>
      </c>
      <c r="AZ722" s="49"/>
      <c r="BC722" s="50"/>
    </row>
    <row r="723" spans="1:55" s="48" customFormat="1" ht="15.45" customHeight="1" outlineLevel="1" x14ac:dyDescent="0.25">
      <c r="A723" s="42">
        <v>3</v>
      </c>
      <c r="B723" s="43" t="s">
        <v>525</v>
      </c>
      <c r="C723" s="44" t="s">
        <v>93</v>
      </c>
      <c r="D723" s="45">
        <v>1</v>
      </c>
      <c r="E723" s="45">
        <v>139.54419999999999</v>
      </c>
      <c r="F723" s="45">
        <f t="shared" si="156"/>
        <v>139.54419999999999</v>
      </c>
      <c r="G723" s="46">
        <f t="shared" si="157"/>
        <v>0</v>
      </c>
      <c r="H723" s="47">
        <f t="shared" si="158"/>
        <v>0</v>
      </c>
      <c r="I723" s="46">
        <f t="shared" si="159"/>
        <v>0</v>
      </c>
      <c r="J723" s="47">
        <v>0</v>
      </c>
      <c r="K723" s="46">
        <f t="shared" si="160"/>
        <v>0</v>
      </c>
      <c r="L723" s="47">
        <v>0</v>
      </c>
      <c r="AZ723" s="49"/>
      <c r="BC723" s="50"/>
    </row>
    <row r="724" spans="1:55" s="48" customFormat="1" ht="15.45" customHeight="1" outlineLevel="1" x14ac:dyDescent="0.25">
      <c r="A724" s="42">
        <v>4</v>
      </c>
      <c r="B724" s="43" t="s">
        <v>526</v>
      </c>
      <c r="C724" s="44" t="s">
        <v>93</v>
      </c>
      <c r="D724" s="45">
        <v>2</v>
      </c>
      <c r="E724" s="45">
        <v>279.93500000000012</v>
      </c>
      <c r="F724" s="45">
        <f t="shared" si="156"/>
        <v>559.87000000000023</v>
      </c>
      <c r="G724" s="46">
        <f t="shared" si="157"/>
        <v>0</v>
      </c>
      <c r="H724" s="47">
        <f t="shared" si="158"/>
        <v>0</v>
      </c>
      <c r="I724" s="46">
        <f t="shared" si="159"/>
        <v>0</v>
      </c>
      <c r="J724" s="47">
        <v>0</v>
      </c>
      <c r="K724" s="46">
        <f t="shared" si="160"/>
        <v>0</v>
      </c>
      <c r="L724" s="47">
        <v>0</v>
      </c>
      <c r="AZ724" s="49"/>
      <c r="BC724" s="50"/>
    </row>
    <row r="725" spans="1:55" s="48" customFormat="1" ht="15.45" customHeight="1" outlineLevel="1" x14ac:dyDescent="0.25">
      <c r="A725" s="42">
        <v>5</v>
      </c>
      <c r="B725" s="43" t="s">
        <v>496</v>
      </c>
      <c r="C725" s="44" t="s">
        <v>93</v>
      </c>
      <c r="D725" s="45">
        <v>2</v>
      </c>
      <c r="E725" s="45">
        <v>42.052599999999998</v>
      </c>
      <c r="F725" s="45">
        <f t="shared" si="156"/>
        <v>84.105199999999996</v>
      </c>
      <c r="G725" s="46">
        <f t="shared" si="157"/>
        <v>0</v>
      </c>
      <c r="H725" s="47">
        <f t="shared" si="158"/>
        <v>0</v>
      </c>
      <c r="I725" s="46">
        <f t="shared" si="159"/>
        <v>0</v>
      </c>
      <c r="J725" s="47">
        <v>0</v>
      </c>
      <c r="K725" s="46">
        <f t="shared" si="160"/>
        <v>0</v>
      </c>
      <c r="L725" s="47">
        <v>0</v>
      </c>
      <c r="AZ725" s="49"/>
      <c r="BC725" s="50"/>
    </row>
    <row r="726" spans="1:55" s="48" customFormat="1" ht="27.75" customHeight="1" outlineLevel="1" x14ac:dyDescent="0.25">
      <c r="A726" s="42">
        <v>6</v>
      </c>
      <c r="B726" s="43" t="s">
        <v>527</v>
      </c>
      <c r="C726" s="44" t="s">
        <v>93</v>
      </c>
      <c r="D726" s="45">
        <v>1</v>
      </c>
      <c r="E726" s="45">
        <v>159.167</v>
      </c>
      <c r="F726" s="45">
        <f t="shared" si="156"/>
        <v>159.167</v>
      </c>
      <c r="G726" s="46">
        <f t="shared" si="157"/>
        <v>0</v>
      </c>
      <c r="H726" s="47">
        <f t="shared" si="158"/>
        <v>0</v>
      </c>
      <c r="I726" s="46">
        <f t="shared" si="159"/>
        <v>0</v>
      </c>
      <c r="J726" s="47">
        <v>0</v>
      </c>
      <c r="K726" s="46">
        <f t="shared" si="160"/>
        <v>0</v>
      </c>
      <c r="L726" s="47">
        <v>0</v>
      </c>
      <c r="AZ726" s="49"/>
      <c r="BC726" s="50"/>
    </row>
    <row r="727" spans="1:55" s="48" customFormat="1" ht="15.45" customHeight="1" outlineLevel="1" x14ac:dyDescent="0.25">
      <c r="A727" s="42">
        <v>7</v>
      </c>
      <c r="B727" s="43" t="s">
        <v>525</v>
      </c>
      <c r="C727" s="44" t="s">
        <v>93</v>
      </c>
      <c r="D727" s="45">
        <v>1</v>
      </c>
      <c r="E727" s="45">
        <v>139.54419999999999</v>
      </c>
      <c r="F727" s="45">
        <f t="shared" si="156"/>
        <v>139.54419999999999</v>
      </c>
      <c r="G727" s="46">
        <f t="shared" si="157"/>
        <v>0</v>
      </c>
      <c r="H727" s="47">
        <f t="shared" si="158"/>
        <v>0</v>
      </c>
      <c r="I727" s="46">
        <f t="shared" si="159"/>
        <v>0</v>
      </c>
      <c r="J727" s="47">
        <v>0</v>
      </c>
      <c r="K727" s="46">
        <f t="shared" si="160"/>
        <v>0</v>
      </c>
      <c r="L727" s="47">
        <v>0</v>
      </c>
      <c r="AZ727" s="49"/>
      <c r="BC727" s="50"/>
    </row>
    <row r="728" spans="1:55" s="48" customFormat="1" ht="27.75" customHeight="1" outlineLevel="1" x14ac:dyDescent="0.25">
      <c r="A728" s="42">
        <v>8</v>
      </c>
      <c r="B728" s="43" t="s">
        <v>528</v>
      </c>
      <c r="C728" s="44" t="s">
        <v>93</v>
      </c>
      <c r="D728" s="45">
        <v>1</v>
      </c>
      <c r="E728" s="45">
        <v>199.4264</v>
      </c>
      <c r="F728" s="45">
        <f t="shared" si="156"/>
        <v>199.4264</v>
      </c>
      <c r="G728" s="46">
        <f t="shared" si="157"/>
        <v>0</v>
      </c>
      <c r="H728" s="47">
        <f t="shared" si="158"/>
        <v>0</v>
      </c>
      <c r="I728" s="46">
        <f t="shared" si="159"/>
        <v>0</v>
      </c>
      <c r="J728" s="47">
        <v>0</v>
      </c>
      <c r="K728" s="46">
        <f t="shared" si="160"/>
        <v>0</v>
      </c>
      <c r="L728" s="47">
        <v>0</v>
      </c>
      <c r="AZ728" s="49"/>
      <c r="BC728" s="50"/>
    </row>
    <row r="729" spans="1:55" s="48" customFormat="1" ht="27.75" customHeight="1" outlineLevel="1" x14ac:dyDescent="0.25">
      <c r="A729" s="42">
        <v>9</v>
      </c>
      <c r="B729" s="43" t="s">
        <v>529</v>
      </c>
      <c r="C729" s="44" t="s">
        <v>93</v>
      </c>
      <c r="D729" s="45">
        <v>1</v>
      </c>
      <c r="E729" s="45">
        <v>13.2478</v>
      </c>
      <c r="F729" s="45">
        <f t="shared" si="156"/>
        <v>13.2478</v>
      </c>
      <c r="G729" s="46">
        <f t="shared" si="157"/>
        <v>0</v>
      </c>
      <c r="H729" s="47">
        <f t="shared" si="158"/>
        <v>0</v>
      </c>
      <c r="I729" s="46">
        <f t="shared" si="159"/>
        <v>0</v>
      </c>
      <c r="J729" s="47">
        <v>0</v>
      </c>
      <c r="K729" s="46">
        <f t="shared" si="160"/>
        <v>0</v>
      </c>
      <c r="L729" s="47">
        <v>0</v>
      </c>
      <c r="AZ729" s="49"/>
      <c r="BC729" s="50"/>
    </row>
    <row r="730" spans="1:55" s="48" customFormat="1" ht="15.45" customHeight="1" outlineLevel="1" x14ac:dyDescent="0.25">
      <c r="A730" s="42">
        <v>10</v>
      </c>
      <c r="B730" s="43" t="s">
        <v>530</v>
      </c>
      <c r="C730" s="44" t="s">
        <v>93</v>
      </c>
      <c r="D730" s="45">
        <v>13</v>
      </c>
      <c r="E730" s="45">
        <v>10.1858</v>
      </c>
      <c r="F730" s="45">
        <f t="shared" si="156"/>
        <v>132.41540000000001</v>
      </c>
      <c r="G730" s="46">
        <f t="shared" si="157"/>
        <v>0</v>
      </c>
      <c r="H730" s="47">
        <f t="shared" si="158"/>
        <v>0</v>
      </c>
      <c r="I730" s="46">
        <f t="shared" si="159"/>
        <v>0</v>
      </c>
      <c r="J730" s="47">
        <v>0</v>
      </c>
      <c r="K730" s="46">
        <f t="shared" si="160"/>
        <v>0</v>
      </c>
      <c r="L730" s="47">
        <v>0</v>
      </c>
      <c r="AZ730" s="49"/>
      <c r="BC730" s="50"/>
    </row>
    <row r="731" spans="1:55" s="48" customFormat="1" ht="15.45" customHeight="1" outlineLevel="1" x14ac:dyDescent="0.25">
      <c r="A731" s="42">
        <v>11</v>
      </c>
      <c r="B731" s="43" t="s">
        <v>531</v>
      </c>
      <c r="C731" s="44" t="s">
        <v>93</v>
      </c>
      <c r="D731" s="45">
        <v>13</v>
      </c>
      <c r="E731" s="45">
        <v>12.676600000000001</v>
      </c>
      <c r="F731" s="45">
        <f t="shared" si="156"/>
        <v>164.79580000000001</v>
      </c>
      <c r="G731" s="46">
        <f t="shared" si="157"/>
        <v>0</v>
      </c>
      <c r="H731" s="47">
        <f t="shared" si="158"/>
        <v>0</v>
      </c>
      <c r="I731" s="46">
        <f t="shared" si="159"/>
        <v>0</v>
      </c>
      <c r="J731" s="47">
        <v>0</v>
      </c>
      <c r="K731" s="46">
        <f t="shared" si="160"/>
        <v>0</v>
      </c>
      <c r="L731" s="47">
        <v>0</v>
      </c>
      <c r="AZ731" s="49"/>
      <c r="BC731" s="50"/>
    </row>
    <row r="732" spans="1:55" s="48" customFormat="1" ht="15.45" customHeight="1" outlineLevel="1" x14ac:dyDescent="0.25">
      <c r="A732" s="42">
        <v>12</v>
      </c>
      <c r="B732" s="43" t="s">
        <v>532</v>
      </c>
      <c r="C732" s="44" t="s">
        <v>93</v>
      </c>
      <c r="D732" s="45">
        <v>23</v>
      </c>
      <c r="E732" s="45">
        <v>9.4615999999999989</v>
      </c>
      <c r="F732" s="45">
        <f t="shared" si="156"/>
        <v>217.61679999999998</v>
      </c>
      <c r="G732" s="46">
        <f t="shared" si="157"/>
        <v>0</v>
      </c>
      <c r="H732" s="47">
        <f t="shared" si="158"/>
        <v>0</v>
      </c>
      <c r="I732" s="46">
        <f t="shared" si="159"/>
        <v>0</v>
      </c>
      <c r="J732" s="47">
        <v>0</v>
      </c>
      <c r="K732" s="46">
        <f t="shared" si="160"/>
        <v>0</v>
      </c>
      <c r="L732" s="47">
        <v>0</v>
      </c>
      <c r="AZ732" s="49"/>
      <c r="BC732" s="50"/>
    </row>
    <row r="733" spans="1:55" s="48" customFormat="1" ht="15.45" customHeight="1" outlineLevel="1" x14ac:dyDescent="0.25">
      <c r="A733" s="42">
        <v>13</v>
      </c>
      <c r="B733" s="43" t="s">
        <v>531</v>
      </c>
      <c r="C733" s="44" t="s">
        <v>93</v>
      </c>
      <c r="D733" s="45">
        <v>23</v>
      </c>
      <c r="E733" s="45">
        <v>12.676600000000001</v>
      </c>
      <c r="F733" s="45">
        <f t="shared" si="156"/>
        <v>291.56180000000001</v>
      </c>
      <c r="G733" s="46">
        <f t="shared" si="157"/>
        <v>0</v>
      </c>
      <c r="H733" s="47">
        <f t="shared" si="158"/>
        <v>0</v>
      </c>
      <c r="I733" s="46">
        <f t="shared" si="159"/>
        <v>0</v>
      </c>
      <c r="J733" s="47">
        <v>0</v>
      </c>
      <c r="K733" s="46">
        <f t="shared" si="160"/>
        <v>0</v>
      </c>
      <c r="L733" s="47">
        <v>0</v>
      </c>
      <c r="AZ733" s="49"/>
      <c r="BC733" s="50"/>
    </row>
    <row r="734" spans="1:55" s="48" customFormat="1" ht="15.45" customHeight="1" outlineLevel="1" x14ac:dyDescent="0.25">
      <c r="A734" s="42">
        <v>14</v>
      </c>
      <c r="B734" s="43" t="s">
        <v>533</v>
      </c>
      <c r="C734" s="44" t="s">
        <v>93</v>
      </c>
      <c r="D734" s="45">
        <v>1</v>
      </c>
      <c r="E734" s="45">
        <v>98.262799999999984</v>
      </c>
      <c r="F734" s="45">
        <f t="shared" si="156"/>
        <v>98.262799999999984</v>
      </c>
      <c r="G734" s="46">
        <f t="shared" si="157"/>
        <v>0</v>
      </c>
      <c r="H734" s="47">
        <f t="shared" si="158"/>
        <v>0</v>
      </c>
      <c r="I734" s="46">
        <f t="shared" si="159"/>
        <v>0</v>
      </c>
      <c r="J734" s="47">
        <v>0</v>
      </c>
      <c r="K734" s="46">
        <f t="shared" si="160"/>
        <v>0</v>
      </c>
      <c r="L734" s="47">
        <v>0</v>
      </c>
      <c r="AZ734" s="49"/>
      <c r="BC734" s="50"/>
    </row>
    <row r="735" spans="1:55" s="48" customFormat="1" ht="27.75" customHeight="1" outlineLevel="1" x14ac:dyDescent="0.25">
      <c r="A735" s="42">
        <v>15</v>
      </c>
      <c r="B735" s="43" t="s">
        <v>529</v>
      </c>
      <c r="C735" s="44" t="s">
        <v>93</v>
      </c>
      <c r="D735" s="45">
        <v>1</v>
      </c>
      <c r="E735" s="45">
        <v>13.2478</v>
      </c>
      <c r="F735" s="45">
        <f t="shared" si="156"/>
        <v>13.2478</v>
      </c>
      <c r="G735" s="46">
        <f t="shared" si="157"/>
        <v>0</v>
      </c>
      <c r="H735" s="47">
        <f t="shared" si="158"/>
        <v>0</v>
      </c>
      <c r="I735" s="46">
        <f t="shared" si="159"/>
        <v>0</v>
      </c>
      <c r="J735" s="47">
        <v>0</v>
      </c>
      <c r="K735" s="46">
        <f t="shared" si="160"/>
        <v>0</v>
      </c>
      <c r="L735" s="47">
        <v>0</v>
      </c>
      <c r="AZ735" s="49"/>
      <c r="BC735" s="50"/>
    </row>
    <row r="736" spans="1:55" s="48" customFormat="1" ht="15.45" customHeight="1" outlineLevel="1" x14ac:dyDescent="0.25">
      <c r="A736" s="42">
        <v>16</v>
      </c>
      <c r="B736" s="43" t="s">
        <v>534</v>
      </c>
      <c r="C736" s="44" t="s">
        <v>93</v>
      </c>
      <c r="D736" s="45">
        <v>2</v>
      </c>
      <c r="E736" s="45">
        <v>16.122199999999999</v>
      </c>
      <c r="F736" s="45">
        <f t="shared" si="156"/>
        <v>32.244399999999999</v>
      </c>
      <c r="G736" s="46">
        <f t="shared" si="157"/>
        <v>0</v>
      </c>
      <c r="H736" s="47">
        <f t="shared" si="158"/>
        <v>0</v>
      </c>
      <c r="I736" s="46">
        <f t="shared" si="159"/>
        <v>0</v>
      </c>
      <c r="J736" s="47">
        <v>0</v>
      </c>
      <c r="K736" s="46">
        <f t="shared" si="160"/>
        <v>0</v>
      </c>
      <c r="L736" s="47">
        <v>0</v>
      </c>
      <c r="AZ736" s="49"/>
      <c r="BC736" s="50"/>
    </row>
    <row r="737" spans="1:55" s="48" customFormat="1" ht="27.75" customHeight="1" outlineLevel="1" x14ac:dyDescent="0.25">
      <c r="A737" s="42">
        <v>17</v>
      </c>
      <c r="B737" s="43" t="s">
        <v>535</v>
      </c>
      <c r="C737" s="44" t="s">
        <v>93</v>
      </c>
      <c r="D737" s="45">
        <v>1</v>
      </c>
      <c r="E737" s="45">
        <v>70.396399999999986</v>
      </c>
      <c r="F737" s="45">
        <f t="shared" si="156"/>
        <v>70.396399999999986</v>
      </c>
      <c r="G737" s="46">
        <f t="shared" si="157"/>
        <v>0</v>
      </c>
      <c r="H737" s="47">
        <f t="shared" si="158"/>
        <v>0</v>
      </c>
      <c r="I737" s="46">
        <f t="shared" si="159"/>
        <v>0</v>
      </c>
      <c r="J737" s="47">
        <v>0</v>
      </c>
      <c r="K737" s="46">
        <f t="shared" si="160"/>
        <v>0</v>
      </c>
      <c r="L737" s="47">
        <v>0</v>
      </c>
      <c r="AZ737" s="49"/>
      <c r="BC737" s="50"/>
    </row>
    <row r="738" spans="1:55" s="48" customFormat="1" ht="15.45" customHeight="1" outlineLevel="1" x14ac:dyDescent="0.25">
      <c r="A738" s="42">
        <v>18</v>
      </c>
      <c r="B738" s="43" t="s">
        <v>536</v>
      </c>
      <c r="C738" s="44" t="s">
        <v>93</v>
      </c>
      <c r="D738" s="45">
        <v>1</v>
      </c>
      <c r="E738" s="45">
        <v>15.950799999999999</v>
      </c>
      <c r="F738" s="45">
        <f t="shared" si="156"/>
        <v>15.950799999999999</v>
      </c>
      <c r="G738" s="46">
        <f t="shared" si="157"/>
        <v>0</v>
      </c>
      <c r="H738" s="47">
        <f t="shared" si="158"/>
        <v>0</v>
      </c>
      <c r="I738" s="46">
        <f t="shared" si="159"/>
        <v>0</v>
      </c>
      <c r="J738" s="47">
        <v>0</v>
      </c>
      <c r="K738" s="46">
        <f t="shared" si="160"/>
        <v>0</v>
      </c>
      <c r="L738" s="47">
        <v>0</v>
      </c>
      <c r="AZ738" s="49"/>
      <c r="BC738" s="50"/>
    </row>
    <row r="739" spans="1:55" s="48" customFormat="1" ht="15.45" customHeight="1" outlineLevel="1" x14ac:dyDescent="0.25">
      <c r="A739" s="42">
        <v>19</v>
      </c>
      <c r="B739" s="43" t="s">
        <v>537</v>
      </c>
      <c r="C739" s="44" t="s">
        <v>61</v>
      </c>
      <c r="D739" s="45">
        <v>50</v>
      </c>
      <c r="E739" s="45">
        <v>1.4750000000000001</v>
      </c>
      <c r="F739" s="45">
        <f t="shared" si="156"/>
        <v>73.75</v>
      </c>
      <c r="G739" s="46">
        <f t="shared" si="157"/>
        <v>0</v>
      </c>
      <c r="H739" s="47">
        <f t="shared" si="158"/>
        <v>0</v>
      </c>
      <c r="I739" s="46">
        <f t="shared" si="159"/>
        <v>0</v>
      </c>
      <c r="J739" s="47">
        <v>0</v>
      </c>
      <c r="K739" s="46">
        <f t="shared" si="160"/>
        <v>0</v>
      </c>
      <c r="L739" s="47">
        <v>0</v>
      </c>
      <c r="AZ739" s="49"/>
      <c r="BC739" s="50"/>
    </row>
    <row r="740" spans="1:55" s="48" customFormat="1" ht="15.45" customHeight="1" outlineLevel="1" x14ac:dyDescent="0.25">
      <c r="A740" s="42">
        <v>20</v>
      </c>
      <c r="B740" s="43" t="s">
        <v>538</v>
      </c>
      <c r="C740" s="44" t="s">
        <v>61</v>
      </c>
      <c r="D740" s="45">
        <v>1580</v>
      </c>
      <c r="E740" s="45">
        <v>1.1894</v>
      </c>
      <c r="F740" s="45">
        <f t="shared" si="156"/>
        <v>1879.252</v>
      </c>
      <c r="G740" s="46">
        <f t="shared" si="157"/>
        <v>0</v>
      </c>
      <c r="H740" s="47">
        <f t="shared" si="158"/>
        <v>0</v>
      </c>
      <c r="I740" s="46">
        <f t="shared" si="159"/>
        <v>0</v>
      </c>
      <c r="J740" s="47">
        <v>0</v>
      </c>
      <c r="K740" s="46">
        <f t="shared" si="160"/>
        <v>0</v>
      </c>
      <c r="L740" s="47">
        <v>0</v>
      </c>
      <c r="AZ740" s="49"/>
      <c r="BC740" s="50"/>
    </row>
    <row r="741" spans="1:55" s="48" customFormat="1" ht="27.75" customHeight="1" outlineLevel="1" x14ac:dyDescent="0.25">
      <c r="A741" s="42">
        <v>21</v>
      </c>
      <c r="B741" s="43" t="s">
        <v>425</v>
      </c>
      <c r="C741" s="44" t="s">
        <v>61</v>
      </c>
      <c r="D741" s="45">
        <v>1630</v>
      </c>
      <c r="E741" s="45">
        <v>1.9461999999999999</v>
      </c>
      <c r="F741" s="45">
        <f t="shared" si="156"/>
        <v>3172.306</v>
      </c>
      <c r="G741" s="46">
        <f t="shared" si="157"/>
        <v>0</v>
      </c>
      <c r="H741" s="47">
        <f t="shared" si="158"/>
        <v>0</v>
      </c>
      <c r="I741" s="46">
        <f t="shared" si="159"/>
        <v>0</v>
      </c>
      <c r="J741" s="47">
        <v>0</v>
      </c>
      <c r="K741" s="46">
        <f t="shared" si="160"/>
        <v>0</v>
      </c>
      <c r="L741" s="47">
        <v>0</v>
      </c>
      <c r="AZ741" s="49"/>
      <c r="BC741" s="50"/>
    </row>
    <row r="742" spans="1:55" s="48" customFormat="1" ht="15.45" customHeight="1" outlineLevel="1" x14ac:dyDescent="0.25">
      <c r="A742" s="42">
        <v>22</v>
      </c>
      <c r="B742" s="43" t="s">
        <v>539</v>
      </c>
      <c r="C742" s="44" t="s">
        <v>93</v>
      </c>
      <c r="D742" s="45">
        <v>1</v>
      </c>
      <c r="E742" s="45">
        <v>420.31760000000003</v>
      </c>
      <c r="F742" s="45">
        <f t="shared" si="156"/>
        <v>420.31760000000003</v>
      </c>
      <c r="G742" s="46">
        <f t="shared" si="157"/>
        <v>0</v>
      </c>
      <c r="H742" s="47">
        <f t="shared" si="158"/>
        <v>0</v>
      </c>
      <c r="I742" s="46">
        <f t="shared" si="159"/>
        <v>0</v>
      </c>
      <c r="J742" s="47">
        <v>0</v>
      </c>
      <c r="K742" s="46">
        <f t="shared" si="160"/>
        <v>0</v>
      </c>
      <c r="L742" s="47">
        <v>0</v>
      </c>
      <c r="AZ742" s="49"/>
      <c r="BC742" s="50"/>
    </row>
    <row r="743" spans="1:55" s="48" customFormat="1" ht="15.45" customHeight="1" outlineLevel="1" x14ac:dyDescent="0.25">
      <c r="A743" s="42">
        <v>23</v>
      </c>
      <c r="B743" s="43" t="s">
        <v>540</v>
      </c>
      <c r="C743" s="44" t="s">
        <v>93</v>
      </c>
      <c r="D743" s="45">
        <v>1</v>
      </c>
      <c r="E743" s="45">
        <v>451.03179999999998</v>
      </c>
      <c r="F743" s="45">
        <f t="shared" si="156"/>
        <v>451.03179999999998</v>
      </c>
      <c r="G743" s="46">
        <f t="shared" si="157"/>
        <v>0</v>
      </c>
      <c r="H743" s="47">
        <f t="shared" si="158"/>
        <v>0</v>
      </c>
      <c r="I743" s="46">
        <f t="shared" si="159"/>
        <v>0</v>
      </c>
      <c r="J743" s="47">
        <v>0</v>
      </c>
      <c r="K743" s="46">
        <f t="shared" si="160"/>
        <v>0</v>
      </c>
      <c r="L743" s="47">
        <v>0</v>
      </c>
      <c r="AZ743" s="49"/>
      <c r="BC743" s="50"/>
    </row>
    <row r="744" spans="1:55" s="48" customFormat="1" ht="15.45" customHeight="1" outlineLevel="1" x14ac:dyDescent="0.25">
      <c r="A744" s="42">
        <v>24</v>
      </c>
      <c r="B744" s="43" t="s">
        <v>541</v>
      </c>
      <c r="C744" s="44" t="s">
        <v>93</v>
      </c>
      <c r="D744" s="45">
        <v>1</v>
      </c>
      <c r="E744" s="45">
        <v>10.1776</v>
      </c>
      <c r="F744" s="45">
        <f t="shared" si="156"/>
        <v>10.1776</v>
      </c>
      <c r="G744" s="46">
        <f t="shared" si="157"/>
        <v>0</v>
      </c>
      <c r="H744" s="47">
        <f t="shared" si="158"/>
        <v>0</v>
      </c>
      <c r="I744" s="46">
        <f t="shared" si="159"/>
        <v>0</v>
      </c>
      <c r="J744" s="47">
        <v>0</v>
      </c>
      <c r="K744" s="46">
        <f t="shared" si="160"/>
        <v>0</v>
      </c>
      <c r="L744" s="47">
        <v>0</v>
      </c>
      <c r="AZ744" s="49"/>
      <c r="BC744" s="50"/>
    </row>
    <row r="745" spans="1:55" s="56" customFormat="1" ht="17.25" customHeight="1" x14ac:dyDescent="0.3">
      <c r="A745" s="62">
        <v>2.2799999999999998</v>
      </c>
      <c r="B745" s="51" t="s">
        <v>542</v>
      </c>
      <c r="C745" s="52">
        <v>0</v>
      </c>
      <c r="D745" s="53"/>
      <c r="E745" s="53"/>
      <c r="F745" s="53"/>
      <c r="G745" s="54"/>
      <c r="H745" s="55"/>
      <c r="I745" s="54"/>
      <c r="J745" s="55"/>
      <c r="K745" s="54"/>
      <c r="L745" s="55">
        <v>0</v>
      </c>
      <c r="AZ745" s="57"/>
      <c r="BC745" s="58"/>
    </row>
    <row r="746" spans="1:55" s="48" customFormat="1" ht="15.45" customHeight="1" outlineLevel="1" x14ac:dyDescent="0.25">
      <c r="A746" s="42">
        <v>1</v>
      </c>
      <c r="B746" s="43" t="s">
        <v>543</v>
      </c>
      <c r="C746" s="44" t="s">
        <v>93</v>
      </c>
      <c r="D746" s="45">
        <v>2</v>
      </c>
      <c r="E746" s="45">
        <v>45.620600000000003</v>
      </c>
      <c r="F746" s="45">
        <f t="shared" ref="F746:F764" si="161">+E746*D746</f>
        <v>91.241200000000006</v>
      </c>
      <c r="G746" s="46">
        <f t="shared" ref="G746:G764" si="162">I746+K746</f>
        <v>0</v>
      </c>
      <c r="H746" s="47">
        <f t="shared" ref="H746:H764" si="163">J746+L746</f>
        <v>0</v>
      </c>
      <c r="I746" s="46">
        <f t="shared" ref="I746:I764" si="164">J746/F746</f>
        <v>0</v>
      </c>
      <c r="J746" s="47">
        <v>0</v>
      </c>
      <c r="K746" s="46">
        <f t="shared" ref="K746:K764" si="165">L746/F746</f>
        <v>0</v>
      </c>
      <c r="L746" s="47">
        <v>0</v>
      </c>
      <c r="AZ746" s="49"/>
      <c r="BC746" s="50"/>
    </row>
    <row r="747" spans="1:55" s="48" customFormat="1" ht="15.45" customHeight="1" outlineLevel="1" x14ac:dyDescent="0.25">
      <c r="A747" s="42">
        <v>2</v>
      </c>
      <c r="B747" s="43" t="s">
        <v>544</v>
      </c>
      <c r="C747" s="44" t="s">
        <v>93</v>
      </c>
      <c r="D747" s="45">
        <v>1</v>
      </c>
      <c r="E747" s="45">
        <v>82.779199999999989</v>
      </c>
      <c r="F747" s="45">
        <f t="shared" si="161"/>
        <v>82.779199999999989</v>
      </c>
      <c r="G747" s="46">
        <f t="shared" si="162"/>
        <v>0</v>
      </c>
      <c r="H747" s="47">
        <f t="shared" si="163"/>
        <v>0</v>
      </c>
      <c r="I747" s="46">
        <f t="shared" si="164"/>
        <v>0</v>
      </c>
      <c r="J747" s="47">
        <v>0</v>
      </c>
      <c r="K747" s="46">
        <f t="shared" si="165"/>
        <v>0</v>
      </c>
      <c r="L747" s="47">
        <v>0</v>
      </c>
      <c r="AZ747" s="49"/>
      <c r="BC747" s="50"/>
    </row>
    <row r="748" spans="1:55" s="48" customFormat="1" ht="15.45" customHeight="1" outlineLevel="1" x14ac:dyDescent="0.25">
      <c r="A748" s="42">
        <v>3</v>
      </c>
      <c r="B748" s="43" t="s">
        <v>545</v>
      </c>
      <c r="C748" s="44" t="s">
        <v>93</v>
      </c>
      <c r="D748" s="45">
        <v>1</v>
      </c>
      <c r="E748" s="45">
        <v>18.867999999999991</v>
      </c>
      <c r="F748" s="45">
        <f t="shared" si="161"/>
        <v>18.867999999999991</v>
      </c>
      <c r="G748" s="46">
        <f t="shared" si="162"/>
        <v>0</v>
      </c>
      <c r="H748" s="47">
        <f t="shared" si="163"/>
        <v>0</v>
      </c>
      <c r="I748" s="46">
        <f t="shared" si="164"/>
        <v>0</v>
      </c>
      <c r="J748" s="47">
        <v>0</v>
      </c>
      <c r="K748" s="46">
        <f t="shared" si="165"/>
        <v>0</v>
      </c>
      <c r="L748" s="47">
        <v>0</v>
      </c>
      <c r="AZ748" s="49"/>
      <c r="BC748" s="50"/>
    </row>
    <row r="749" spans="1:55" s="48" customFormat="1" ht="27.75" customHeight="1" outlineLevel="1" x14ac:dyDescent="0.25">
      <c r="A749" s="42">
        <v>4</v>
      </c>
      <c r="B749" s="43" t="s">
        <v>546</v>
      </c>
      <c r="C749" s="44" t="s">
        <v>234</v>
      </c>
      <c r="D749" s="45">
        <v>1</v>
      </c>
      <c r="E749" s="45">
        <v>184.17939999999999</v>
      </c>
      <c r="F749" s="45">
        <f t="shared" si="161"/>
        <v>184.17939999999999</v>
      </c>
      <c r="G749" s="46">
        <f t="shared" si="162"/>
        <v>0</v>
      </c>
      <c r="H749" s="47">
        <f t="shared" si="163"/>
        <v>0</v>
      </c>
      <c r="I749" s="46">
        <f t="shared" si="164"/>
        <v>0</v>
      </c>
      <c r="J749" s="47">
        <v>0</v>
      </c>
      <c r="K749" s="46">
        <f t="shared" si="165"/>
        <v>0</v>
      </c>
      <c r="L749" s="47">
        <v>0</v>
      </c>
      <c r="AZ749" s="49"/>
      <c r="BC749" s="50"/>
    </row>
    <row r="750" spans="1:55" s="48" customFormat="1" ht="15.45" customHeight="1" outlineLevel="1" x14ac:dyDescent="0.25">
      <c r="A750" s="42">
        <v>5</v>
      </c>
      <c r="B750" s="43" t="s">
        <v>547</v>
      </c>
      <c r="C750" s="44" t="s">
        <v>93</v>
      </c>
      <c r="D750" s="45">
        <v>1</v>
      </c>
      <c r="E750" s="45">
        <v>144.71360000000001</v>
      </c>
      <c r="F750" s="45">
        <f t="shared" si="161"/>
        <v>144.71360000000001</v>
      </c>
      <c r="G750" s="46">
        <f t="shared" si="162"/>
        <v>0</v>
      </c>
      <c r="H750" s="47">
        <f t="shared" si="163"/>
        <v>0</v>
      </c>
      <c r="I750" s="46">
        <f t="shared" si="164"/>
        <v>0</v>
      </c>
      <c r="J750" s="47">
        <v>0</v>
      </c>
      <c r="K750" s="46">
        <f t="shared" si="165"/>
        <v>0</v>
      </c>
      <c r="L750" s="47">
        <v>0</v>
      </c>
      <c r="AZ750" s="49"/>
      <c r="BC750" s="50"/>
    </row>
    <row r="751" spans="1:55" s="48" customFormat="1" ht="15.45" customHeight="1" outlineLevel="1" x14ac:dyDescent="0.25">
      <c r="A751" s="42">
        <v>6</v>
      </c>
      <c r="B751" s="43" t="s">
        <v>548</v>
      </c>
      <c r="C751" s="44" t="s">
        <v>93</v>
      </c>
      <c r="D751" s="45">
        <v>1</v>
      </c>
      <c r="E751" s="45">
        <v>206.648</v>
      </c>
      <c r="F751" s="45">
        <f t="shared" si="161"/>
        <v>206.648</v>
      </c>
      <c r="G751" s="46">
        <f t="shared" si="162"/>
        <v>0</v>
      </c>
      <c r="H751" s="47">
        <f t="shared" si="163"/>
        <v>0</v>
      </c>
      <c r="I751" s="46">
        <f t="shared" si="164"/>
        <v>0</v>
      </c>
      <c r="J751" s="47">
        <v>0</v>
      </c>
      <c r="K751" s="46">
        <f t="shared" si="165"/>
        <v>0</v>
      </c>
      <c r="L751" s="47">
        <v>0</v>
      </c>
      <c r="AZ751" s="49"/>
      <c r="BC751" s="50"/>
    </row>
    <row r="752" spans="1:55" s="48" customFormat="1" ht="15.45" customHeight="1" outlineLevel="1" x14ac:dyDescent="0.25">
      <c r="A752" s="42">
        <v>7</v>
      </c>
      <c r="B752" s="43" t="s">
        <v>549</v>
      </c>
      <c r="C752" s="44" t="s">
        <v>93</v>
      </c>
      <c r="D752" s="45">
        <v>2</v>
      </c>
      <c r="E752" s="45">
        <v>62.134399999999999</v>
      </c>
      <c r="F752" s="45">
        <f t="shared" si="161"/>
        <v>124.2688</v>
      </c>
      <c r="G752" s="46">
        <f t="shared" si="162"/>
        <v>0</v>
      </c>
      <c r="H752" s="47">
        <f t="shared" si="163"/>
        <v>0</v>
      </c>
      <c r="I752" s="46">
        <f t="shared" si="164"/>
        <v>0</v>
      </c>
      <c r="J752" s="47">
        <v>0</v>
      </c>
      <c r="K752" s="46">
        <f t="shared" si="165"/>
        <v>0</v>
      </c>
      <c r="L752" s="47">
        <v>0</v>
      </c>
      <c r="AZ752" s="49"/>
      <c r="BC752" s="50"/>
    </row>
    <row r="753" spans="1:55" s="48" customFormat="1" ht="15.45" customHeight="1" outlineLevel="1" x14ac:dyDescent="0.25">
      <c r="A753" s="42">
        <v>8</v>
      </c>
      <c r="B753" s="43" t="s">
        <v>550</v>
      </c>
      <c r="C753" s="44" t="s">
        <v>93</v>
      </c>
      <c r="D753" s="45">
        <v>2</v>
      </c>
      <c r="E753" s="45">
        <v>42.052599999999998</v>
      </c>
      <c r="F753" s="45">
        <f t="shared" si="161"/>
        <v>84.105199999999996</v>
      </c>
      <c r="G753" s="46">
        <f t="shared" si="162"/>
        <v>0</v>
      </c>
      <c r="H753" s="47">
        <f t="shared" si="163"/>
        <v>0</v>
      </c>
      <c r="I753" s="46">
        <f t="shared" si="164"/>
        <v>0</v>
      </c>
      <c r="J753" s="47">
        <v>0</v>
      </c>
      <c r="K753" s="46">
        <f t="shared" si="165"/>
        <v>0</v>
      </c>
      <c r="L753" s="47">
        <v>0</v>
      </c>
      <c r="AZ753" s="49"/>
      <c r="BC753" s="50"/>
    </row>
    <row r="754" spans="1:55" s="48" customFormat="1" ht="15.45" customHeight="1" outlineLevel="1" x14ac:dyDescent="0.25">
      <c r="A754" s="42">
        <v>9</v>
      </c>
      <c r="B754" s="43" t="s">
        <v>551</v>
      </c>
      <c r="C754" s="44" t="s">
        <v>61</v>
      </c>
      <c r="D754" s="45">
        <v>40</v>
      </c>
      <c r="E754" s="45">
        <v>0.9</v>
      </c>
      <c r="F754" s="45">
        <f t="shared" si="161"/>
        <v>36</v>
      </c>
      <c r="G754" s="46">
        <f t="shared" si="162"/>
        <v>0</v>
      </c>
      <c r="H754" s="47">
        <f t="shared" si="163"/>
        <v>0</v>
      </c>
      <c r="I754" s="46">
        <f t="shared" si="164"/>
        <v>0</v>
      </c>
      <c r="J754" s="47">
        <v>0</v>
      </c>
      <c r="K754" s="46">
        <f t="shared" si="165"/>
        <v>0</v>
      </c>
      <c r="L754" s="47">
        <v>0</v>
      </c>
      <c r="AZ754" s="49"/>
      <c r="BC754" s="50"/>
    </row>
    <row r="755" spans="1:55" s="48" customFormat="1" ht="15.45" customHeight="1" outlineLevel="1" x14ac:dyDescent="0.25">
      <c r="A755" s="42">
        <v>10</v>
      </c>
      <c r="B755" s="43" t="s">
        <v>552</v>
      </c>
      <c r="C755" s="44" t="s">
        <v>61</v>
      </c>
      <c r="D755" s="45">
        <v>400</v>
      </c>
      <c r="E755" s="45">
        <v>2.8315999999999999</v>
      </c>
      <c r="F755" s="45">
        <f t="shared" si="161"/>
        <v>1132.6399999999999</v>
      </c>
      <c r="G755" s="46">
        <f t="shared" si="162"/>
        <v>0</v>
      </c>
      <c r="H755" s="47">
        <f t="shared" si="163"/>
        <v>0</v>
      </c>
      <c r="I755" s="46">
        <f t="shared" si="164"/>
        <v>0</v>
      </c>
      <c r="J755" s="47">
        <v>0</v>
      </c>
      <c r="K755" s="46">
        <f t="shared" si="165"/>
        <v>0</v>
      </c>
      <c r="L755" s="47">
        <v>0</v>
      </c>
      <c r="AZ755" s="49"/>
      <c r="BC755" s="50"/>
    </row>
    <row r="756" spans="1:55" s="48" customFormat="1" ht="27.75" customHeight="1" outlineLevel="1" x14ac:dyDescent="0.25">
      <c r="A756" s="42">
        <v>11</v>
      </c>
      <c r="B756" s="43" t="s">
        <v>425</v>
      </c>
      <c r="C756" s="44" t="s">
        <v>61</v>
      </c>
      <c r="D756" s="45">
        <v>440</v>
      </c>
      <c r="E756" s="45">
        <v>1.9461999999999999</v>
      </c>
      <c r="F756" s="45">
        <f t="shared" si="161"/>
        <v>856.32799999999997</v>
      </c>
      <c r="G756" s="46">
        <f t="shared" si="162"/>
        <v>0</v>
      </c>
      <c r="H756" s="47">
        <f t="shared" si="163"/>
        <v>0</v>
      </c>
      <c r="I756" s="46">
        <f t="shared" si="164"/>
        <v>0</v>
      </c>
      <c r="J756" s="47">
        <v>0</v>
      </c>
      <c r="K756" s="46">
        <f t="shared" si="165"/>
        <v>0</v>
      </c>
      <c r="L756" s="47">
        <v>0</v>
      </c>
      <c r="AZ756" s="49"/>
      <c r="BC756" s="50"/>
    </row>
    <row r="757" spans="1:55" s="48" customFormat="1" ht="15.45" customHeight="1" outlineLevel="1" x14ac:dyDescent="0.25">
      <c r="A757" s="42">
        <v>12</v>
      </c>
      <c r="B757" s="43" t="s">
        <v>553</v>
      </c>
      <c r="C757" s="44" t="s">
        <v>93</v>
      </c>
      <c r="D757" s="45">
        <v>2</v>
      </c>
      <c r="E757" s="45">
        <v>35.298200000000001</v>
      </c>
      <c r="F757" s="45">
        <f t="shared" si="161"/>
        <v>70.596400000000003</v>
      </c>
      <c r="G757" s="46">
        <f t="shared" si="162"/>
        <v>0</v>
      </c>
      <c r="H757" s="47">
        <f t="shared" si="163"/>
        <v>0</v>
      </c>
      <c r="I757" s="46">
        <f t="shared" si="164"/>
        <v>0</v>
      </c>
      <c r="J757" s="47">
        <v>0</v>
      </c>
      <c r="K757" s="46">
        <f t="shared" si="165"/>
        <v>0</v>
      </c>
      <c r="L757" s="47">
        <v>0</v>
      </c>
      <c r="AZ757" s="49"/>
      <c r="BC757" s="50"/>
    </row>
    <row r="758" spans="1:55" s="48" customFormat="1" ht="15.45" customHeight="1" outlineLevel="1" x14ac:dyDescent="0.25">
      <c r="A758" s="42">
        <v>13</v>
      </c>
      <c r="B758" s="43" t="s">
        <v>554</v>
      </c>
      <c r="C758" s="44" t="s">
        <v>93</v>
      </c>
      <c r="D758" s="45">
        <v>10</v>
      </c>
      <c r="E758" s="45">
        <v>1.1894</v>
      </c>
      <c r="F758" s="45">
        <f t="shared" si="161"/>
        <v>11.894</v>
      </c>
      <c r="G758" s="46">
        <f t="shared" si="162"/>
        <v>0</v>
      </c>
      <c r="H758" s="47">
        <f t="shared" si="163"/>
        <v>0</v>
      </c>
      <c r="I758" s="46">
        <f t="shared" si="164"/>
        <v>0</v>
      </c>
      <c r="J758" s="47">
        <v>0</v>
      </c>
      <c r="K758" s="46">
        <f t="shared" si="165"/>
        <v>0</v>
      </c>
      <c r="L758" s="47">
        <v>0</v>
      </c>
      <c r="AZ758" s="49"/>
      <c r="BC758" s="50"/>
    </row>
    <row r="759" spans="1:55" s="48" customFormat="1" ht="15.45" customHeight="1" outlineLevel="1" x14ac:dyDescent="0.25">
      <c r="A759" s="42">
        <v>14</v>
      </c>
      <c r="B759" s="43" t="s">
        <v>531</v>
      </c>
      <c r="C759" s="44" t="s">
        <v>93</v>
      </c>
      <c r="D759" s="45">
        <v>10</v>
      </c>
      <c r="E759" s="45">
        <v>1.4221999999999999</v>
      </c>
      <c r="F759" s="45">
        <f t="shared" si="161"/>
        <v>14.222</v>
      </c>
      <c r="G759" s="46">
        <f t="shared" si="162"/>
        <v>0</v>
      </c>
      <c r="H759" s="47">
        <f t="shared" si="163"/>
        <v>0</v>
      </c>
      <c r="I759" s="46">
        <f t="shared" si="164"/>
        <v>0</v>
      </c>
      <c r="J759" s="47">
        <v>0</v>
      </c>
      <c r="K759" s="46">
        <f t="shared" si="165"/>
        <v>0</v>
      </c>
      <c r="L759" s="47">
        <v>0</v>
      </c>
      <c r="AZ759" s="49"/>
      <c r="BC759" s="50"/>
    </row>
    <row r="760" spans="1:55" s="48" customFormat="1" ht="15.45" customHeight="1" outlineLevel="1" x14ac:dyDescent="0.25">
      <c r="A760" s="42">
        <v>15</v>
      </c>
      <c r="B760" s="43" t="s">
        <v>555</v>
      </c>
      <c r="C760" s="44" t="s">
        <v>130</v>
      </c>
      <c r="D760" s="45">
        <v>12</v>
      </c>
      <c r="E760" s="45">
        <v>1.526</v>
      </c>
      <c r="F760" s="45">
        <f t="shared" si="161"/>
        <v>18.312000000000001</v>
      </c>
      <c r="G760" s="46">
        <f t="shared" si="162"/>
        <v>0</v>
      </c>
      <c r="H760" s="47">
        <f t="shared" si="163"/>
        <v>0</v>
      </c>
      <c r="I760" s="46">
        <f t="shared" si="164"/>
        <v>0</v>
      </c>
      <c r="J760" s="47">
        <v>0</v>
      </c>
      <c r="K760" s="46">
        <f t="shared" si="165"/>
        <v>0</v>
      </c>
      <c r="L760" s="47">
        <v>0</v>
      </c>
      <c r="AZ760" s="49"/>
      <c r="BC760" s="50"/>
    </row>
    <row r="761" spans="1:55" s="48" customFormat="1" ht="15.45" customHeight="1" outlineLevel="1" x14ac:dyDescent="0.25">
      <c r="A761" s="42">
        <v>16</v>
      </c>
      <c r="B761" s="43" t="s">
        <v>430</v>
      </c>
      <c r="C761" s="44" t="s">
        <v>61</v>
      </c>
      <c r="D761" s="45">
        <v>20</v>
      </c>
      <c r="E761" s="45">
        <v>7.3807999999999998</v>
      </c>
      <c r="F761" s="45">
        <f t="shared" si="161"/>
        <v>147.61599999999999</v>
      </c>
      <c r="G761" s="46">
        <f t="shared" si="162"/>
        <v>0</v>
      </c>
      <c r="H761" s="47">
        <f t="shared" si="163"/>
        <v>0</v>
      </c>
      <c r="I761" s="46">
        <f t="shared" si="164"/>
        <v>0</v>
      </c>
      <c r="J761" s="47">
        <v>0</v>
      </c>
      <c r="K761" s="46">
        <f t="shared" si="165"/>
        <v>0</v>
      </c>
      <c r="L761" s="47">
        <v>0</v>
      </c>
      <c r="AZ761" s="49"/>
      <c r="BC761" s="50"/>
    </row>
    <row r="762" spans="1:55" s="48" customFormat="1" ht="15.45" customHeight="1" outlineLevel="1" x14ac:dyDescent="0.25">
      <c r="A762" s="42">
        <v>17</v>
      </c>
      <c r="B762" s="43" t="s">
        <v>431</v>
      </c>
      <c r="C762" s="44" t="s">
        <v>61</v>
      </c>
      <c r="D762" s="45">
        <v>20</v>
      </c>
      <c r="E762" s="45">
        <v>2.242</v>
      </c>
      <c r="F762" s="45">
        <f t="shared" si="161"/>
        <v>44.84</v>
      </c>
      <c r="G762" s="46">
        <f t="shared" si="162"/>
        <v>0</v>
      </c>
      <c r="H762" s="47">
        <f t="shared" si="163"/>
        <v>0</v>
      </c>
      <c r="I762" s="46">
        <f t="shared" si="164"/>
        <v>0</v>
      </c>
      <c r="J762" s="47">
        <v>0</v>
      </c>
      <c r="K762" s="46">
        <f t="shared" si="165"/>
        <v>0</v>
      </c>
      <c r="L762" s="47">
        <v>0</v>
      </c>
      <c r="AZ762" s="49"/>
      <c r="BC762" s="50"/>
    </row>
    <row r="763" spans="1:55" s="48" customFormat="1" ht="15.45" customHeight="1" outlineLevel="1" x14ac:dyDescent="0.25">
      <c r="A763" s="42">
        <v>18</v>
      </c>
      <c r="B763" s="43" t="s">
        <v>556</v>
      </c>
      <c r="C763" s="44" t="s">
        <v>130</v>
      </c>
      <c r="D763" s="45">
        <v>13.38</v>
      </c>
      <c r="E763" s="45">
        <v>1.4239999999999999</v>
      </c>
      <c r="F763" s="45">
        <f t="shared" si="161"/>
        <v>19.05312</v>
      </c>
      <c r="G763" s="46">
        <f t="shared" si="162"/>
        <v>0</v>
      </c>
      <c r="H763" s="47">
        <f t="shared" si="163"/>
        <v>0</v>
      </c>
      <c r="I763" s="46">
        <f t="shared" si="164"/>
        <v>0</v>
      </c>
      <c r="J763" s="47">
        <v>0</v>
      </c>
      <c r="K763" s="46">
        <f t="shared" si="165"/>
        <v>0</v>
      </c>
      <c r="L763" s="47">
        <v>0</v>
      </c>
      <c r="AZ763" s="49"/>
      <c r="BC763" s="50"/>
    </row>
    <row r="764" spans="1:55" s="48" customFormat="1" ht="15.45" customHeight="1" outlineLevel="1" x14ac:dyDescent="0.25">
      <c r="A764" s="42">
        <v>19</v>
      </c>
      <c r="B764" s="43" t="s">
        <v>557</v>
      </c>
      <c r="C764" s="44" t="s">
        <v>61</v>
      </c>
      <c r="D764" s="45">
        <v>15</v>
      </c>
      <c r="E764" s="45">
        <v>2.4664000000000001</v>
      </c>
      <c r="F764" s="45">
        <f t="shared" si="161"/>
        <v>36.996000000000002</v>
      </c>
      <c r="G764" s="46">
        <f t="shared" si="162"/>
        <v>0</v>
      </c>
      <c r="H764" s="47">
        <f t="shared" si="163"/>
        <v>0</v>
      </c>
      <c r="I764" s="46">
        <f t="shared" si="164"/>
        <v>0</v>
      </c>
      <c r="J764" s="47">
        <v>0</v>
      </c>
      <c r="K764" s="46">
        <f t="shared" si="165"/>
        <v>0</v>
      </c>
      <c r="L764" s="47">
        <v>0</v>
      </c>
      <c r="AZ764" s="49"/>
      <c r="BC764" s="50"/>
    </row>
    <row r="765" spans="1:55" s="56" customFormat="1" ht="17.25" customHeight="1" x14ac:dyDescent="0.3">
      <c r="A765" s="62">
        <v>2.29</v>
      </c>
      <c r="B765" s="51" t="s">
        <v>558</v>
      </c>
      <c r="C765" s="52">
        <v>0</v>
      </c>
      <c r="D765" s="53"/>
      <c r="E765" s="53"/>
      <c r="F765" s="53"/>
      <c r="G765" s="54"/>
      <c r="H765" s="55"/>
      <c r="I765" s="54"/>
      <c r="J765" s="55"/>
      <c r="K765" s="54"/>
      <c r="L765" s="55">
        <v>0</v>
      </c>
      <c r="AZ765" s="57"/>
      <c r="BC765" s="58"/>
    </row>
    <row r="766" spans="1:55" s="48" customFormat="1" ht="15.45" customHeight="1" outlineLevel="1" x14ac:dyDescent="0.25">
      <c r="A766" s="42">
        <v>1</v>
      </c>
      <c r="B766" s="43" t="s">
        <v>559</v>
      </c>
      <c r="C766" s="44" t="s">
        <v>93</v>
      </c>
      <c r="D766" s="45">
        <v>1</v>
      </c>
      <c r="E766" s="45">
        <v>180.84200000000001</v>
      </c>
      <c r="F766" s="45">
        <f t="shared" ref="F766:F782" si="166">+E766*D766</f>
        <v>180.84200000000001</v>
      </c>
      <c r="G766" s="46">
        <f t="shared" ref="G766:G782" si="167">I766+K766</f>
        <v>0</v>
      </c>
      <c r="H766" s="47">
        <f t="shared" ref="H766:H782" si="168">J766+L766</f>
        <v>0</v>
      </c>
      <c r="I766" s="46">
        <f t="shared" ref="I766:I782" si="169">J766/F766</f>
        <v>0</v>
      </c>
      <c r="J766" s="47">
        <v>0</v>
      </c>
      <c r="K766" s="46">
        <f t="shared" ref="K766:K782" si="170">L766/F766</f>
        <v>0</v>
      </c>
      <c r="L766" s="47">
        <v>0</v>
      </c>
      <c r="AZ766" s="49"/>
      <c r="BC766" s="50"/>
    </row>
    <row r="767" spans="1:55" s="48" customFormat="1" ht="27.75" customHeight="1" outlineLevel="1" x14ac:dyDescent="0.25">
      <c r="A767" s="42">
        <v>2</v>
      </c>
      <c r="B767" s="43" t="s">
        <v>512</v>
      </c>
      <c r="C767" s="44" t="s">
        <v>93</v>
      </c>
      <c r="D767" s="45">
        <v>1</v>
      </c>
      <c r="E767" s="45">
        <v>62.207800000000013</v>
      </c>
      <c r="F767" s="45">
        <f t="shared" si="166"/>
        <v>62.207800000000013</v>
      </c>
      <c r="G767" s="46">
        <f t="shared" si="167"/>
        <v>0</v>
      </c>
      <c r="H767" s="47">
        <f t="shared" si="168"/>
        <v>0</v>
      </c>
      <c r="I767" s="46">
        <f t="shared" si="169"/>
        <v>0</v>
      </c>
      <c r="J767" s="47">
        <v>0</v>
      </c>
      <c r="K767" s="46">
        <f t="shared" si="170"/>
        <v>0</v>
      </c>
      <c r="L767" s="47">
        <v>0</v>
      </c>
      <c r="AZ767" s="49"/>
      <c r="BC767" s="50"/>
    </row>
    <row r="768" spans="1:55" s="48" customFormat="1" ht="15.45" customHeight="1" outlineLevel="1" x14ac:dyDescent="0.25">
      <c r="A768" s="42">
        <v>3</v>
      </c>
      <c r="B768" s="43" t="s">
        <v>560</v>
      </c>
      <c r="C768" s="44" t="s">
        <v>93</v>
      </c>
      <c r="D768" s="45">
        <v>1</v>
      </c>
      <c r="E768" s="45">
        <v>202.517</v>
      </c>
      <c r="F768" s="45">
        <f t="shared" si="166"/>
        <v>202.517</v>
      </c>
      <c r="G768" s="46">
        <f t="shared" si="167"/>
        <v>0</v>
      </c>
      <c r="H768" s="47">
        <f t="shared" si="168"/>
        <v>0</v>
      </c>
      <c r="I768" s="46">
        <f t="shared" si="169"/>
        <v>0</v>
      </c>
      <c r="J768" s="47">
        <v>0</v>
      </c>
      <c r="K768" s="46">
        <f t="shared" si="170"/>
        <v>0</v>
      </c>
      <c r="L768" s="47">
        <v>0</v>
      </c>
      <c r="AZ768" s="49"/>
      <c r="BC768" s="50"/>
    </row>
    <row r="769" spans="1:55" s="48" customFormat="1" ht="15.45" customHeight="1" outlineLevel="1" x14ac:dyDescent="0.25">
      <c r="A769" s="42">
        <v>4</v>
      </c>
      <c r="B769" s="43" t="s">
        <v>561</v>
      </c>
      <c r="C769" s="44" t="s">
        <v>93</v>
      </c>
      <c r="D769" s="45">
        <v>1</v>
      </c>
      <c r="E769" s="45">
        <v>208.3126</v>
      </c>
      <c r="F769" s="45">
        <f t="shared" si="166"/>
        <v>208.3126</v>
      </c>
      <c r="G769" s="46">
        <f t="shared" si="167"/>
        <v>0</v>
      </c>
      <c r="H769" s="47">
        <f t="shared" si="168"/>
        <v>0</v>
      </c>
      <c r="I769" s="46">
        <f t="shared" si="169"/>
        <v>0</v>
      </c>
      <c r="J769" s="47">
        <v>0</v>
      </c>
      <c r="K769" s="46">
        <f t="shared" si="170"/>
        <v>0</v>
      </c>
      <c r="L769" s="47">
        <v>0</v>
      </c>
      <c r="AZ769" s="49"/>
      <c r="BC769" s="50"/>
    </row>
    <row r="770" spans="1:55" s="48" customFormat="1" ht="15.45" customHeight="1" outlineLevel="1" x14ac:dyDescent="0.25">
      <c r="A770" s="42">
        <v>5</v>
      </c>
      <c r="B770" s="43" t="s">
        <v>562</v>
      </c>
      <c r="C770" s="44" t="s">
        <v>93</v>
      </c>
      <c r="D770" s="45">
        <v>1</v>
      </c>
      <c r="E770" s="45">
        <v>523.54160000000013</v>
      </c>
      <c r="F770" s="45">
        <f t="shared" si="166"/>
        <v>523.54160000000013</v>
      </c>
      <c r="G770" s="46">
        <f t="shared" si="167"/>
        <v>0</v>
      </c>
      <c r="H770" s="47">
        <f t="shared" si="168"/>
        <v>0</v>
      </c>
      <c r="I770" s="46">
        <f t="shared" si="169"/>
        <v>0</v>
      </c>
      <c r="J770" s="47">
        <v>0</v>
      </c>
      <c r="K770" s="46">
        <f t="shared" si="170"/>
        <v>0</v>
      </c>
      <c r="L770" s="47">
        <v>0</v>
      </c>
      <c r="AZ770" s="49"/>
      <c r="BC770" s="50"/>
    </row>
    <row r="771" spans="1:55" s="48" customFormat="1" ht="15.45" customHeight="1" outlineLevel="1" x14ac:dyDescent="0.25">
      <c r="A771" s="42">
        <v>6</v>
      </c>
      <c r="B771" s="43" t="s">
        <v>563</v>
      </c>
      <c r="C771" s="44" t="s">
        <v>93</v>
      </c>
      <c r="D771" s="45">
        <v>1</v>
      </c>
      <c r="E771" s="45">
        <v>949.95460000000003</v>
      </c>
      <c r="F771" s="45">
        <f t="shared" si="166"/>
        <v>949.95460000000003</v>
      </c>
      <c r="G771" s="46">
        <f t="shared" si="167"/>
        <v>0</v>
      </c>
      <c r="H771" s="47">
        <f t="shared" si="168"/>
        <v>0</v>
      </c>
      <c r="I771" s="46">
        <f t="shared" si="169"/>
        <v>0</v>
      </c>
      <c r="J771" s="47">
        <v>0</v>
      </c>
      <c r="K771" s="46">
        <f t="shared" si="170"/>
        <v>0</v>
      </c>
      <c r="L771" s="47">
        <v>0</v>
      </c>
      <c r="AZ771" s="49"/>
      <c r="BC771" s="50"/>
    </row>
    <row r="772" spans="1:55" s="48" customFormat="1" ht="15.45" customHeight="1" outlineLevel="1" x14ac:dyDescent="0.25">
      <c r="A772" s="42">
        <v>7</v>
      </c>
      <c r="B772" s="43" t="s">
        <v>564</v>
      </c>
      <c r="C772" s="44" t="s">
        <v>93</v>
      </c>
      <c r="D772" s="45">
        <v>2</v>
      </c>
      <c r="E772" s="45">
        <v>149.87479999999999</v>
      </c>
      <c r="F772" s="45">
        <f t="shared" si="166"/>
        <v>299.74959999999999</v>
      </c>
      <c r="G772" s="46">
        <f t="shared" si="167"/>
        <v>0</v>
      </c>
      <c r="H772" s="47">
        <f t="shared" si="168"/>
        <v>0</v>
      </c>
      <c r="I772" s="46">
        <f t="shared" si="169"/>
        <v>0</v>
      </c>
      <c r="J772" s="47">
        <v>0</v>
      </c>
      <c r="K772" s="46">
        <f t="shared" si="170"/>
        <v>0</v>
      </c>
      <c r="L772" s="47">
        <v>0</v>
      </c>
      <c r="AZ772" s="49"/>
      <c r="BC772" s="50"/>
    </row>
    <row r="773" spans="1:55" s="48" customFormat="1" ht="27.75" customHeight="1" outlineLevel="1" x14ac:dyDescent="0.25">
      <c r="A773" s="42">
        <v>8</v>
      </c>
      <c r="B773" s="43" t="s">
        <v>512</v>
      </c>
      <c r="C773" s="44" t="s">
        <v>93</v>
      </c>
      <c r="D773" s="45">
        <v>2</v>
      </c>
      <c r="E773" s="45">
        <v>62.207800000000013</v>
      </c>
      <c r="F773" s="45">
        <f t="shared" si="166"/>
        <v>124.41560000000003</v>
      </c>
      <c r="G773" s="46">
        <f t="shared" si="167"/>
        <v>0</v>
      </c>
      <c r="H773" s="47">
        <f t="shared" si="168"/>
        <v>0</v>
      </c>
      <c r="I773" s="46">
        <f t="shared" si="169"/>
        <v>0</v>
      </c>
      <c r="J773" s="47">
        <v>0</v>
      </c>
      <c r="K773" s="46">
        <f t="shared" si="170"/>
        <v>0</v>
      </c>
      <c r="L773" s="47">
        <v>0</v>
      </c>
      <c r="AZ773" s="49"/>
      <c r="BC773" s="50"/>
    </row>
    <row r="774" spans="1:55" s="48" customFormat="1" ht="15.45" customHeight="1" outlineLevel="1" x14ac:dyDescent="0.25">
      <c r="A774" s="42">
        <v>9</v>
      </c>
      <c r="B774" s="43" t="s">
        <v>565</v>
      </c>
      <c r="C774" s="44" t="s">
        <v>61</v>
      </c>
      <c r="D774" s="45">
        <v>60</v>
      </c>
      <c r="E774" s="45">
        <v>2.4847999999999999</v>
      </c>
      <c r="F774" s="45">
        <f t="shared" si="166"/>
        <v>149.08799999999999</v>
      </c>
      <c r="G774" s="46">
        <f t="shared" si="167"/>
        <v>0</v>
      </c>
      <c r="H774" s="47">
        <f t="shared" si="168"/>
        <v>0</v>
      </c>
      <c r="I774" s="46">
        <f t="shared" si="169"/>
        <v>0</v>
      </c>
      <c r="J774" s="47">
        <v>0</v>
      </c>
      <c r="K774" s="46">
        <f t="shared" si="170"/>
        <v>0</v>
      </c>
      <c r="L774" s="47">
        <v>0</v>
      </c>
      <c r="AZ774" s="49"/>
      <c r="BC774" s="50"/>
    </row>
    <row r="775" spans="1:55" s="48" customFormat="1" ht="27.75" customHeight="1" outlineLevel="1" x14ac:dyDescent="0.25">
      <c r="A775" s="42">
        <v>10</v>
      </c>
      <c r="B775" s="43" t="s">
        <v>566</v>
      </c>
      <c r="C775" s="44" t="s">
        <v>61</v>
      </c>
      <c r="D775" s="45">
        <v>100</v>
      </c>
      <c r="E775" s="45">
        <v>0.9</v>
      </c>
      <c r="F775" s="45">
        <f t="shared" si="166"/>
        <v>90</v>
      </c>
      <c r="G775" s="46">
        <f t="shared" si="167"/>
        <v>0</v>
      </c>
      <c r="H775" s="47">
        <f t="shared" si="168"/>
        <v>0</v>
      </c>
      <c r="I775" s="46">
        <f t="shared" si="169"/>
        <v>0</v>
      </c>
      <c r="J775" s="47">
        <v>0</v>
      </c>
      <c r="K775" s="46">
        <f t="shared" si="170"/>
        <v>0</v>
      </c>
      <c r="L775" s="47">
        <v>0</v>
      </c>
      <c r="AZ775" s="49"/>
      <c r="BC775" s="50"/>
    </row>
    <row r="776" spans="1:55" s="48" customFormat="1" ht="27.75" customHeight="1" outlineLevel="1" x14ac:dyDescent="0.25">
      <c r="A776" s="42">
        <v>11</v>
      </c>
      <c r="B776" s="43" t="s">
        <v>469</v>
      </c>
      <c r="C776" s="44" t="s">
        <v>61</v>
      </c>
      <c r="D776" s="45">
        <v>55</v>
      </c>
      <c r="E776" s="45">
        <v>2.0379999999999998</v>
      </c>
      <c r="F776" s="45">
        <f t="shared" si="166"/>
        <v>112.08999999999999</v>
      </c>
      <c r="G776" s="46">
        <f t="shared" si="167"/>
        <v>0</v>
      </c>
      <c r="H776" s="47">
        <f t="shared" si="168"/>
        <v>0</v>
      </c>
      <c r="I776" s="46">
        <f t="shared" si="169"/>
        <v>0</v>
      </c>
      <c r="J776" s="47">
        <v>0</v>
      </c>
      <c r="K776" s="46">
        <f t="shared" si="170"/>
        <v>0</v>
      </c>
      <c r="L776" s="47">
        <v>0</v>
      </c>
      <c r="AZ776" s="49"/>
      <c r="BC776" s="50"/>
    </row>
    <row r="777" spans="1:55" s="48" customFormat="1" ht="27.75" customHeight="1" outlineLevel="1" x14ac:dyDescent="0.25">
      <c r="A777" s="42">
        <v>12</v>
      </c>
      <c r="B777" s="43" t="s">
        <v>425</v>
      </c>
      <c r="C777" s="44" t="s">
        <v>61</v>
      </c>
      <c r="D777" s="45">
        <v>105</v>
      </c>
      <c r="E777" s="45">
        <v>1.9461999999999999</v>
      </c>
      <c r="F777" s="45">
        <f t="shared" si="166"/>
        <v>204.351</v>
      </c>
      <c r="G777" s="46">
        <f t="shared" si="167"/>
        <v>0</v>
      </c>
      <c r="H777" s="47">
        <f t="shared" si="168"/>
        <v>0</v>
      </c>
      <c r="I777" s="46">
        <f t="shared" si="169"/>
        <v>0</v>
      </c>
      <c r="J777" s="47">
        <v>0</v>
      </c>
      <c r="K777" s="46">
        <f t="shared" si="170"/>
        <v>0</v>
      </c>
      <c r="L777" s="47">
        <v>0</v>
      </c>
      <c r="AZ777" s="49"/>
      <c r="BC777" s="50"/>
    </row>
    <row r="778" spans="1:55" s="48" customFormat="1" ht="15.45" customHeight="1" outlineLevel="1" x14ac:dyDescent="0.25">
      <c r="A778" s="42">
        <v>13</v>
      </c>
      <c r="B778" s="43" t="s">
        <v>567</v>
      </c>
      <c r="C778" s="44" t="s">
        <v>93</v>
      </c>
      <c r="D778" s="45">
        <v>1</v>
      </c>
      <c r="E778" s="45">
        <v>245.87719999999999</v>
      </c>
      <c r="F778" s="45">
        <f t="shared" si="166"/>
        <v>245.87719999999999</v>
      </c>
      <c r="G778" s="46">
        <f t="shared" si="167"/>
        <v>0</v>
      </c>
      <c r="H778" s="47">
        <f t="shared" si="168"/>
        <v>0</v>
      </c>
      <c r="I778" s="46">
        <f t="shared" si="169"/>
        <v>0</v>
      </c>
      <c r="J778" s="47">
        <v>0</v>
      </c>
      <c r="K778" s="46">
        <f t="shared" si="170"/>
        <v>0</v>
      </c>
      <c r="L778" s="47">
        <v>0</v>
      </c>
      <c r="AZ778" s="49"/>
      <c r="BC778" s="50"/>
    </row>
    <row r="779" spans="1:55" s="48" customFormat="1" ht="15.45" customHeight="1" outlineLevel="1" x14ac:dyDescent="0.25">
      <c r="A779" s="42">
        <v>14</v>
      </c>
      <c r="B779" s="43" t="s">
        <v>514</v>
      </c>
      <c r="C779" s="44" t="s">
        <v>93</v>
      </c>
      <c r="D779" s="45">
        <v>1</v>
      </c>
      <c r="E779" s="45">
        <v>38.166400000000003</v>
      </c>
      <c r="F779" s="45">
        <f t="shared" si="166"/>
        <v>38.166400000000003</v>
      </c>
      <c r="G779" s="46">
        <f t="shared" si="167"/>
        <v>0</v>
      </c>
      <c r="H779" s="47">
        <f t="shared" si="168"/>
        <v>0</v>
      </c>
      <c r="I779" s="46">
        <f t="shared" si="169"/>
        <v>0</v>
      </c>
      <c r="J779" s="47">
        <v>0</v>
      </c>
      <c r="K779" s="46">
        <f t="shared" si="170"/>
        <v>0</v>
      </c>
      <c r="L779" s="47">
        <v>0</v>
      </c>
      <c r="AZ779" s="49"/>
      <c r="BC779" s="50"/>
    </row>
    <row r="780" spans="1:55" s="48" customFormat="1" ht="15.45" customHeight="1" outlineLevel="1" x14ac:dyDescent="0.25">
      <c r="A780" s="42">
        <v>15</v>
      </c>
      <c r="B780" s="43" t="s">
        <v>568</v>
      </c>
      <c r="C780" s="44" t="s">
        <v>93</v>
      </c>
      <c r="D780" s="45">
        <v>1</v>
      </c>
      <c r="E780" s="45">
        <v>743.29040000000009</v>
      </c>
      <c r="F780" s="45">
        <f t="shared" si="166"/>
        <v>743.29040000000009</v>
      </c>
      <c r="G780" s="46">
        <f t="shared" si="167"/>
        <v>0</v>
      </c>
      <c r="H780" s="47">
        <f t="shared" si="168"/>
        <v>0</v>
      </c>
      <c r="I780" s="46">
        <f t="shared" si="169"/>
        <v>0</v>
      </c>
      <c r="J780" s="47">
        <v>0</v>
      </c>
      <c r="K780" s="46">
        <f t="shared" si="170"/>
        <v>0</v>
      </c>
      <c r="L780" s="47">
        <v>0</v>
      </c>
      <c r="AZ780" s="49"/>
      <c r="BC780" s="50"/>
    </row>
    <row r="781" spans="1:55" s="48" customFormat="1" ht="27.75" customHeight="1" outlineLevel="1" x14ac:dyDescent="0.25">
      <c r="A781" s="42">
        <v>16</v>
      </c>
      <c r="B781" s="43" t="s">
        <v>569</v>
      </c>
      <c r="C781" s="44" t="s">
        <v>61</v>
      </c>
      <c r="D781" s="45">
        <v>55</v>
      </c>
      <c r="E781" s="45">
        <v>0.9</v>
      </c>
      <c r="F781" s="45">
        <f t="shared" si="166"/>
        <v>49.5</v>
      </c>
      <c r="G781" s="46">
        <f t="shared" si="167"/>
        <v>0</v>
      </c>
      <c r="H781" s="47">
        <f t="shared" si="168"/>
        <v>0</v>
      </c>
      <c r="I781" s="46">
        <f t="shared" si="169"/>
        <v>0</v>
      </c>
      <c r="J781" s="47">
        <v>0</v>
      </c>
      <c r="K781" s="46">
        <f t="shared" si="170"/>
        <v>0</v>
      </c>
      <c r="L781" s="47">
        <v>0</v>
      </c>
      <c r="AZ781" s="49"/>
      <c r="BC781" s="50"/>
    </row>
    <row r="782" spans="1:55" s="48" customFormat="1" ht="27.75" customHeight="1" outlineLevel="1" x14ac:dyDescent="0.25">
      <c r="A782" s="42">
        <v>17</v>
      </c>
      <c r="B782" s="43" t="s">
        <v>407</v>
      </c>
      <c r="C782" s="44" t="s">
        <v>61</v>
      </c>
      <c r="D782" s="45">
        <v>55</v>
      </c>
      <c r="E782" s="45">
        <v>2.242</v>
      </c>
      <c r="F782" s="45">
        <f t="shared" si="166"/>
        <v>123.31</v>
      </c>
      <c r="G782" s="46">
        <f t="shared" si="167"/>
        <v>0</v>
      </c>
      <c r="H782" s="47">
        <f t="shared" si="168"/>
        <v>0</v>
      </c>
      <c r="I782" s="46">
        <f t="shared" si="169"/>
        <v>0</v>
      </c>
      <c r="J782" s="47">
        <v>0</v>
      </c>
      <c r="K782" s="46">
        <f t="shared" si="170"/>
        <v>0</v>
      </c>
      <c r="L782" s="47">
        <v>0</v>
      </c>
      <c r="AZ782" s="49"/>
      <c r="BC782" s="50"/>
    </row>
    <row r="783" spans="1:55" s="56" customFormat="1" ht="17.25" customHeight="1" x14ac:dyDescent="0.3">
      <c r="A783" s="62">
        <v>2.2999999999999998</v>
      </c>
      <c r="B783" s="51" t="s">
        <v>570</v>
      </c>
      <c r="C783" s="52">
        <v>0</v>
      </c>
      <c r="D783" s="53"/>
      <c r="E783" s="53"/>
      <c r="F783" s="53"/>
      <c r="G783" s="54"/>
      <c r="H783" s="55"/>
      <c r="I783" s="54"/>
      <c r="J783" s="55"/>
      <c r="K783" s="54"/>
      <c r="L783" s="55">
        <v>0</v>
      </c>
      <c r="AZ783" s="57"/>
      <c r="BC783" s="58"/>
    </row>
    <row r="784" spans="1:55" s="48" customFormat="1" ht="15.45" customHeight="1" outlineLevel="1" x14ac:dyDescent="0.25">
      <c r="A784" s="42">
        <v>1</v>
      </c>
      <c r="B784" s="43" t="s">
        <v>571</v>
      </c>
      <c r="C784" s="44" t="s">
        <v>572</v>
      </c>
      <c r="D784" s="45">
        <v>2</v>
      </c>
      <c r="E784" s="45">
        <v>247.9376</v>
      </c>
      <c r="F784" s="45">
        <f t="shared" ref="F784:F815" si="171">+E784*D784</f>
        <v>495.87520000000001</v>
      </c>
      <c r="G784" s="46">
        <f t="shared" ref="G784:G815" si="172">I784+K784</f>
        <v>0</v>
      </c>
      <c r="H784" s="47">
        <f t="shared" ref="H784:H815" si="173">J784+L784</f>
        <v>0</v>
      </c>
      <c r="I784" s="46">
        <f t="shared" ref="I784:I815" si="174">J784/F784</f>
        <v>0</v>
      </c>
      <c r="J784" s="47">
        <v>0</v>
      </c>
      <c r="K784" s="46">
        <f t="shared" ref="K784:K815" si="175">L784/F784</f>
        <v>0</v>
      </c>
      <c r="L784" s="47">
        <v>0</v>
      </c>
      <c r="AZ784" s="49"/>
      <c r="BC784" s="50"/>
    </row>
    <row r="785" spans="1:55" s="48" customFormat="1" ht="15.45" customHeight="1" outlineLevel="1" x14ac:dyDescent="0.25">
      <c r="A785" s="42">
        <v>2</v>
      </c>
      <c r="B785" s="43" t="s">
        <v>573</v>
      </c>
      <c r="C785" s="44" t="s">
        <v>93</v>
      </c>
      <c r="D785" s="45">
        <v>1</v>
      </c>
      <c r="E785" s="45">
        <v>130.2602</v>
      </c>
      <c r="F785" s="45">
        <f t="shared" si="171"/>
        <v>130.2602</v>
      </c>
      <c r="G785" s="46">
        <f t="shared" si="172"/>
        <v>0</v>
      </c>
      <c r="H785" s="47">
        <f t="shared" si="173"/>
        <v>0</v>
      </c>
      <c r="I785" s="46">
        <f t="shared" si="174"/>
        <v>0</v>
      </c>
      <c r="J785" s="47">
        <v>0</v>
      </c>
      <c r="K785" s="46">
        <f t="shared" si="175"/>
        <v>0</v>
      </c>
      <c r="L785" s="47">
        <v>0</v>
      </c>
      <c r="AZ785" s="49"/>
      <c r="BC785" s="50"/>
    </row>
    <row r="786" spans="1:55" s="48" customFormat="1" ht="15.45" customHeight="1" outlineLevel="1" x14ac:dyDescent="0.25">
      <c r="A786" s="42">
        <v>3</v>
      </c>
      <c r="B786" s="43" t="s">
        <v>574</v>
      </c>
      <c r="C786" s="44" t="s">
        <v>93</v>
      </c>
      <c r="D786" s="45">
        <v>1</v>
      </c>
      <c r="E786" s="45">
        <v>195.2954</v>
      </c>
      <c r="F786" s="45">
        <f t="shared" si="171"/>
        <v>195.2954</v>
      </c>
      <c r="G786" s="46">
        <f t="shared" si="172"/>
        <v>0</v>
      </c>
      <c r="H786" s="47">
        <f t="shared" si="173"/>
        <v>0</v>
      </c>
      <c r="I786" s="46">
        <f t="shared" si="174"/>
        <v>0</v>
      </c>
      <c r="J786" s="47">
        <v>0</v>
      </c>
      <c r="K786" s="46">
        <f t="shared" si="175"/>
        <v>0</v>
      </c>
      <c r="L786" s="47">
        <v>0</v>
      </c>
      <c r="AZ786" s="49"/>
      <c r="BC786" s="50"/>
    </row>
    <row r="787" spans="1:55" s="48" customFormat="1" ht="15.45" customHeight="1" outlineLevel="1" x14ac:dyDescent="0.25">
      <c r="A787" s="42">
        <v>4</v>
      </c>
      <c r="B787" s="43" t="s">
        <v>575</v>
      </c>
      <c r="C787" s="44" t="s">
        <v>93</v>
      </c>
      <c r="D787" s="45">
        <v>1</v>
      </c>
      <c r="E787" s="45">
        <v>122.6</v>
      </c>
      <c r="F787" s="45">
        <f t="shared" si="171"/>
        <v>122.6</v>
      </c>
      <c r="G787" s="46">
        <f t="shared" si="172"/>
        <v>0</v>
      </c>
      <c r="H787" s="47">
        <f t="shared" si="173"/>
        <v>0</v>
      </c>
      <c r="I787" s="46">
        <f t="shared" si="174"/>
        <v>0</v>
      </c>
      <c r="J787" s="47">
        <v>0</v>
      </c>
      <c r="K787" s="46">
        <f t="shared" si="175"/>
        <v>0</v>
      </c>
      <c r="L787" s="47">
        <v>0</v>
      </c>
      <c r="AZ787" s="49"/>
      <c r="BC787" s="50"/>
    </row>
    <row r="788" spans="1:55" s="48" customFormat="1" ht="27.75" customHeight="1" outlineLevel="1" x14ac:dyDescent="0.25">
      <c r="A788" s="42">
        <v>5</v>
      </c>
      <c r="B788" s="43" t="s">
        <v>576</v>
      </c>
      <c r="C788" s="44" t="s">
        <v>93</v>
      </c>
      <c r="D788" s="45">
        <v>1</v>
      </c>
      <c r="E788" s="45">
        <v>671.15600000000006</v>
      </c>
      <c r="F788" s="45">
        <f t="shared" si="171"/>
        <v>671.15600000000006</v>
      </c>
      <c r="G788" s="46">
        <f t="shared" si="172"/>
        <v>0</v>
      </c>
      <c r="H788" s="47">
        <f t="shared" si="173"/>
        <v>0</v>
      </c>
      <c r="I788" s="46">
        <f t="shared" si="174"/>
        <v>0</v>
      </c>
      <c r="J788" s="47">
        <v>0</v>
      </c>
      <c r="K788" s="46">
        <f t="shared" si="175"/>
        <v>0</v>
      </c>
      <c r="L788" s="47">
        <v>0</v>
      </c>
      <c r="AZ788" s="49"/>
      <c r="BC788" s="50"/>
    </row>
    <row r="789" spans="1:55" s="48" customFormat="1" ht="15.45" customHeight="1" outlineLevel="1" x14ac:dyDescent="0.25">
      <c r="A789" s="42">
        <v>6</v>
      </c>
      <c r="B789" s="43" t="s">
        <v>577</v>
      </c>
      <c r="C789" s="44" t="s">
        <v>93</v>
      </c>
      <c r="D789" s="45">
        <v>1</v>
      </c>
      <c r="E789" s="45">
        <v>1672.4287999999999</v>
      </c>
      <c r="F789" s="45">
        <f t="shared" si="171"/>
        <v>1672.4287999999999</v>
      </c>
      <c r="G789" s="46">
        <f t="shared" si="172"/>
        <v>0</v>
      </c>
      <c r="H789" s="47">
        <f t="shared" si="173"/>
        <v>0</v>
      </c>
      <c r="I789" s="46">
        <f t="shared" si="174"/>
        <v>0</v>
      </c>
      <c r="J789" s="47">
        <v>0</v>
      </c>
      <c r="K789" s="46">
        <f t="shared" si="175"/>
        <v>0</v>
      </c>
      <c r="L789" s="47">
        <v>0</v>
      </c>
      <c r="AZ789" s="49"/>
      <c r="BC789" s="50"/>
    </row>
    <row r="790" spans="1:55" s="48" customFormat="1" ht="15.45" customHeight="1" outlineLevel="1" x14ac:dyDescent="0.25">
      <c r="A790" s="42">
        <v>7</v>
      </c>
      <c r="B790" s="43" t="s">
        <v>578</v>
      </c>
      <c r="C790" s="44" t="s">
        <v>93</v>
      </c>
      <c r="D790" s="45">
        <v>1</v>
      </c>
      <c r="E790" s="45">
        <v>132.33080000000001</v>
      </c>
      <c r="F790" s="45">
        <f t="shared" si="171"/>
        <v>132.33080000000001</v>
      </c>
      <c r="G790" s="46">
        <f t="shared" si="172"/>
        <v>0</v>
      </c>
      <c r="H790" s="47">
        <f t="shared" si="173"/>
        <v>0</v>
      </c>
      <c r="I790" s="46">
        <f t="shared" si="174"/>
        <v>0</v>
      </c>
      <c r="J790" s="47">
        <v>0</v>
      </c>
      <c r="K790" s="46">
        <f t="shared" si="175"/>
        <v>0</v>
      </c>
      <c r="L790" s="47">
        <v>0</v>
      </c>
      <c r="AZ790" s="49"/>
      <c r="BC790" s="50"/>
    </row>
    <row r="791" spans="1:55" s="48" customFormat="1" ht="15.45" customHeight="1" outlineLevel="1" x14ac:dyDescent="0.25">
      <c r="A791" s="42">
        <v>8</v>
      </c>
      <c r="B791" s="43" t="s">
        <v>579</v>
      </c>
      <c r="C791" s="44" t="s">
        <v>234</v>
      </c>
      <c r="D791" s="45">
        <v>1</v>
      </c>
      <c r="E791" s="45">
        <v>617.48360000000002</v>
      </c>
      <c r="F791" s="45">
        <f t="shared" si="171"/>
        <v>617.48360000000002</v>
      </c>
      <c r="G791" s="46">
        <f t="shared" si="172"/>
        <v>0</v>
      </c>
      <c r="H791" s="47">
        <f t="shared" si="173"/>
        <v>0</v>
      </c>
      <c r="I791" s="46">
        <f t="shared" si="174"/>
        <v>0</v>
      </c>
      <c r="J791" s="47">
        <v>0</v>
      </c>
      <c r="K791" s="46">
        <f t="shared" si="175"/>
        <v>0</v>
      </c>
      <c r="L791" s="47">
        <v>0</v>
      </c>
      <c r="AZ791" s="49"/>
      <c r="BC791" s="50"/>
    </row>
    <row r="792" spans="1:55" s="48" customFormat="1" ht="15.45" customHeight="1" outlineLevel="1" x14ac:dyDescent="0.25">
      <c r="A792" s="42">
        <v>9</v>
      </c>
      <c r="B792" s="43" t="s">
        <v>580</v>
      </c>
      <c r="C792" s="44" t="s">
        <v>93</v>
      </c>
      <c r="D792" s="45">
        <v>1</v>
      </c>
      <c r="E792" s="45">
        <v>284.06600000000009</v>
      </c>
      <c r="F792" s="45">
        <f t="shared" si="171"/>
        <v>284.06600000000009</v>
      </c>
      <c r="G792" s="46">
        <f t="shared" si="172"/>
        <v>0</v>
      </c>
      <c r="H792" s="47">
        <f t="shared" si="173"/>
        <v>0</v>
      </c>
      <c r="I792" s="46">
        <f t="shared" si="174"/>
        <v>0</v>
      </c>
      <c r="J792" s="47">
        <v>0</v>
      </c>
      <c r="K792" s="46">
        <f t="shared" si="175"/>
        <v>0</v>
      </c>
      <c r="L792" s="47">
        <v>0</v>
      </c>
      <c r="AZ792" s="49"/>
      <c r="BC792" s="50"/>
    </row>
    <row r="793" spans="1:55" s="48" customFormat="1" ht="15.45" customHeight="1" outlineLevel="1" x14ac:dyDescent="0.25">
      <c r="A793" s="42">
        <v>10</v>
      </c>
      <c r="B793" s="43" t="s">
        <v>581</v>
      </c>
      <c r="C793" s="44" t="s">
        <v>93</v>
      </c>
      <c r="D793" s="45">
        <v>1</v>
      </c>
      <c r="E793" s="45">
        <v>681.47839999999997</v>
      </c>
      <c r="F793" s="45">
        <f t="shared" si="171"/>
        <v>681.47839999999997</v>
      </c>
      <c r="G793" s="46">
        <f t="shared" si="172"/>
        <v>0</v>
      </c>
      <c r="H793" s="47">
        <f t="shared" si="173"/>
        <v>0</v>
      </c>
      <c r="I793" s="46">
        <f t="shared" si="174"/>
        <v>0</v>
      </c>
      <c r="J793" s="47">
        <v>0</v>
      </c>
      <c r="K793" s="46">
        <f t="shared" si="175"/>
        <v>0</v>
      </c>
      <c r="L793" s="47">
        <v>0</v>
      </c>
      <c r="AZ793" s="49"/>
      <c r="BC793" s="50"/>
    </row>
    <row r="794" spans="1:55" s="48" customFormat="1" ht="15.45" customHeight="1" outlineLevel="1" x14ac:dyDescent="0.25">
      <c r="A794" s="42">
        <v>11</v>
      </c>
      <c r="B794" s="43" t="s">
        <v>582</v>
      </c>
      <c r="C794" s="44" t="s">
        <v>93</v>
      </c>
      <c r="D794" s="45">
        <v>1</v>
      </c>
      <c r="E794" s="45">
        <v>346.00040000000001</v>
      </c>
      <c r="F794" s="45">
        <f t="shared" si="171"/>
        <v>346.00040000000001</v>
      </c>
      <c r="G794" s="46">
        <f t="shared" si="172"/>
        <v>0</v>
      </c>
      <c r="H794" s="47">
        <f t="shared" si="173"/>
        <v>0</v>
      </c>
      <c r="I794" s="46">
        <f t="shared" si="174"/>
        <v>0</v>
      </c>
      <c r="J794" s="47">
        <v>0</v>
      </c>
      <c r="K794" s="46">
        <f t="shared" si="175"/>
        <v>0</v>
      </c>
      <c r="L794" s="47">
        <v>0</v>
      </c>
      <c r="AZ794" s="49"/>
      <c r="BC794" s="50"/>
    </row>
    <row r="795" spans="1:55" s="48" customFormat="1" ht="15.45" customHeight="1" outlineLevel="1" x14ac:dyDescent="0.25">
      <c r="A795" s="42">
        <v>12</v>
      </c>
      <c r="B795" s="43" t="s">
        <v>583</v>
      </c>
      <c r="C795" s="44" t="s">
        <v>93</v>
      </c>
      <c r="D795" s="45">
        <v>2</v>
      </c>
      <c r="E795" s="45">
        <v>247.9376</v>
      </c>
      <c r="F795" s="45">
        <f t="shared" si="171"/>
        <v>495.87520000000001</v>
      </c>
      <c r="G795" s="46">
        <f t="shared" si="172"/>
        <v>0</v>
      </c>
      <c r="H795" s="47">
        <f t="shared" si="173"/>
        <v>0</v>
      </c>
      <c r="I795" s="46">
        <f t="shared" si="174"/>
        <v>0</v>
      </c>
      <c r="J795" s="47">
        <v>0</v>
      </c>
      <c r="K795" s="46">
        <f t="shared" si="175"/>
        <v>0</v>
      </c>
      <c r="L795" s="47">
        <v>0</v>
      </c>
      <c r="AZ795" s="49"/>
      <c r="BC795" s="50"/>
    </row>
    <row r="796" spans="1:55" s="48" customFormat="1" ht="15.45" customHeight="1" outlineLevel="1" x14ac:dyDescent="0.25">
      <c r="A796" s="42">
        <v>13</v>
      </c>
      <c r="B796" s="43" t="s">
        <v>584</v>
      </c>
      <c r="C796" s="44" t="s">
        <v>234</v>
      </c>
      <c r="D796" s="45">
        <v>4</v>
      </c>
      <c r="E796" s="45">
        <v>351.16160000000002</v>
      </c>
      <c r="F796" s="45">
        <f t="shared" si="171"/>
        <v>1404.6464000000001</v>
      </c>
      <c r="G796" s="46">
        <f t="shared" si="172"/>
        <v>0</v>
      </c>
      <c r="H796" s="47">
        <f t="shared" si="173"/>
        <v>0</v>
      </c>
      <c r="I796" s="46">
        <f t="shared" si="174"/>
        <v>0</v>
      </c>
      <c r="J796" s="47">
        <v>0</v>
      </c>
      <c r="K796" s="46">
        <f t="shared" si="175"/>
        <v>0</v>
      </c>
      <c r="L796" s="47">
        <v>0</v>
      </c>
      <c r="AZ796" s="49"/>
      <c r="BC796" s="50"/>
    </row>
    <row r="797" spans="1:55" s="48" customFormat="1" ht="15.45" customHeight="1" outlineLevel="1" x14ac:dyDescent="0.25">
      <c r="A797" s="42">
        <v>14</v>
      </c>
      <c r="B797" s="43" t="s">
        <v>585</v>
      </c>
      <c r="C797" s="44" t="s">
        <v>234</v>
      </c>
      <c r="D797" s="45">
        <v>2</v>
      </c>
      <c r="E797" s="45">
        <v>31.41200000000001</v>
      </c>
      <c r="F797" s="45">
        <f t="shared" si="171"/>
        <v>62.824000000000019</v>
      </c>
      <c r="G797" s="46">
        <f t="shared" si="172"/>
        <v>0</v>
      </c>
      <c r="H797" s="47">
        <f t="shared" si="173"/>
        <v>0</v>
      </c>
      <c r="I797" s="46">
        <f t="shared" si="174"/>
        <v>0</v>
      </c>
      <c r="J797" s="47">
        <v>0</v>
      </c>
      <c r="K797" s="46">
        <f t="shared" si="175"/>
        <v>0</v>
      </c>
      <c r="L797" s="47">
        <v>0</v>
      </c>
      <c r="AZ797" s="49"/>
      <c r="BC797" s="50"/>
    </row>
    <row r="798" spans="1:55" s="48" customFormat="1" ht="15.45" customHeight="1" outlineLevel="1" x14ac:dyDescent="0.25">
      <c r="A798" s="42">
        <v>15</v>
      </c>
      <c r="B798" s="43" t="s">
        <v>586</v>
      </c>
      <c r="C798" s="44" t="s">
        <v>93</v>
      </c>
      <c r="D798" s="45">
        <v>17</v>
      </c>
      <c r="E798" s="45">
        <v>465.22820000000007</v>
      </c>
      <c r="F798" s="45">
        <f t="shared" si="171"/>
        <v>7908.8794000000016</v>
      </c>
      <c r="G798" s="46">
        <f t="shared" si="172"/>
        <v>0</v>
      </c>
      <c r="H798" s="47">
        <f t="shared" si="173"/>
        <v>0</v>
      </c>
      <c r="I798" s="46">
        <f t="shared" si="174"/>
        <v>0</v>
      </c>
      <c r="J798" s="47">
        <v>0</v>
      </c>
      <c r="K798" s="46">
        <f t="shared" si="175"/>
        <v>0</v>
      </c>
      <c r="L798" s="47">
        <v>0</v>
      </c>
      <c r="AZ798" s="49"/>
      <c r="BC798" s="50"/>
    </row>
    <row r="799" spans="1:55" s="48" customFormat="1" ht="15.45" customHeight="1" outlineLevel="1" x14ac:dyDescent="0.25">
      <c r="A799" s="42">
        <v>16</v>
      </c>
      <c r="B799" s="43" t="s">
        <v>587</v>
      </c>
      <c r="C799" s="44" t="s">
        <v>93</v>
      </c>
      <c r="D799" s="45">
        <v>17</v>
      </c>
      <c r="E799" s="45">
        <v>35.267600000000009</v>
      </c>
      <c r="F799" s="45">
        <f t="shared" si="171"/>
        <v>599.54920000000016</v>
      </c>
      <c r="G799" s="46">
        <f t="shared" si="172"/>
        <v>0</v>
      </c>
      <c r="H799" s="47">
        <f t="shared" si="173"/>
        <v>0</v>
      </c>
      <c r="I799" s="46">
        <f t="shared" si="174"/>
        <v>0</v>
      </c>
      <c r="J799" s="47">
        <v>0</v>
      </c>
      <c r="K799" s="46">
        <f t="shared" si="175"/>
        <v>0</v>
      </c>
      <c r="L799" s="47">
        <v>0</v>
      </c>
      <c r="AZ799" s="49"/>
      <c r="BC799" s="50"/>
    </row>
    <row r="800" spans="1:55" s="48" customFormat="1" ht="15.45" customHeight="1" outlineLevel="1" x14ac:dyDescent="0.25">
      <c r="A800" s="42">
        <v>17</v>
      </c>
      <c r="B800" s="43" t="s">
        <v>588</v>
      </c>
      <c r="C800" s="44" t="s">
        <v>93</v>
      </c>
      <c r="D800" s="45">
        <v>26</v>
      </c>
      <c r="E800" s="45">
        <v>46.1</v>
      </c>
      <c r="F800" s="45">
        <f t="shared" si="171"/>
        <v>1198.6000000000001</v>
      </c>
      <c r="G800" s="46">
        <f t="shared" si="172"/>
        <v>0</v>
      </c>
      <c r="H800" s="47">
        <f t="shared" si="173"/>
        <v>0</v>
      </c>
      <c r="I800" s="46">
        <f t="shared" si="174"/>
        <v>0</v>
      </c>
      <c r="J800" s="47">
        <v>0</v>
      </c>
      <c r="K800" s="46">
        <f t="shared" si="175"/>
        <v>0</v>
      </c>
      <c r="L800" s="47">
        <v>0</v>
      </c>
      <c r="AZ800" s="49"/>
      <c r="BC800" s="50"/>
    </row>
    <row r="801" spans="1:55" s="48" customFormat="1" ht="27.75" customHeight="1" outlineLevel="1" x14ac:dyDescent="0.25">
      <c r="A801" s="42">
        <v>18</v>
      </c>
      <c r="B801" s="43" t="s">
        <v>589</v>
      </c>
      <c r="C801" s="44" t="s">
        <v>93</v>
      </c>
      <c r="D801" s="45">
        <v>5</v>
      </c>
      <c r="E801" s="45">
        <v>1133.6035999999999</v>
      </c>
      <c r="F801" s="45">
        <f t="shared" si="171"/>
        <v>5668.018</v>
      </c>
      <c r="G801" s="46">
        <f t="shared" si="172"/>
        <v>0</v>
      </c>
      <c r="H801" s="47">
        <f t="shared" si="173"/>
        <v>0</v>
      </c>
      <c r="I801" s="46">
        <f t="shared" si="174"/>
        <v>0</v>
      </c>
      <c r="J801" s="47">
        <v>0</v>
      </c>
      <c r="K801" s="46">
        <f t="shared" si="175"/>
        <v>0</v>
      </c>
      <c r="L801" s="47">
        <v>0</v>
      </c>
      <c r="AZ801" s="49"/>
      <c r="BC801" s="50"/>
    </row>
    <row r="802" spans="1:55" s="48" customFormat="1" ht="15.45" customHeight="1" outlineLevel="1" x14ac:dyDescent="0.25">
      <c r="A802" s="42">
        <v>19</v>
      </c>
      <c r="B802" s="43" t="s">
        <v>590</v>
      </c>
      <c r="C802" s="44" t="s">
        <v>93</v>
      </c>
      <c r="D802" s="45">
        <v>4</v>
      </c>
      <c r="E802" s="45">
        <v>306.77120000000008</v>
      </c>
      <c r="F802" s="45">
        <f t="shared" si="171"/>
        <v>1227.0848000000003</v>
      </c>
      <c r="G802" s="46">
        <f t="shared" si="172"/>
        <v>0</v>
      </c>
      <c r="H802" s="47">
        <f t="shared" si="173"/>
        <v>0</v>
      </c>
      <c r="I802" s="46">
        <f t="shared" si="174"/>
        <v>0</v>
      </c>
      <c r="J802" s="47">
        <v>0</v>
      </c>
      <c r="K802" s="46">
        <f t="shared" si="175"/>
        <v>0</v>
      </c>
      <c r="L802" s="47">
        <v>0</v>
      </c>
      <c r="AZ802" s="49"/>
      <c r="BC802" s="50"/>
    </row>
    <row r="803" spans="1:55" s="48" customFormat="1" ht="15.45" customHeight="1" outlineLevel="1" x14ac:dyDescent="0.25">
      <c r="A803" s="42">
        <v>20</v>
      </c>
      <c r="B803" s="43" t="s">
        <v>591</v>
      </c>
      <c r="C803" s="44" t="s">
        <v>93</v>
      </c>
      <c r="D803" s="45">
        <v>8</v>
      </c>
      <c r="E803" s="45">
        <v>46.1</v>
      </c>
      <c r="F803" s="45">
        <f t="shared" si="171"/>
        <v>368.8</v>
      </c>
      <c r="G803" s="46">
        <f t="shared" si="172"/>
        <v>0</v>
      </c>
      <c r="H803" s="47">
        <f t="shared" si="173"/>
        <v>0</v>
      </c>
      <c r="I803" s="46">
        <f t="shared" si="174"/>
        <v>0</v>
      </c>
      <c r="J803" s="47">
        <v>0</v>
      </c>
      <c r="K803" s="46">
        <f t="shared" si="175"/>
        <v>0</v>
      </c>
      <c r="L803" s="47">
        <v>0</v>
      </c>
      <c r="AZ803" s="49"/>
      <c r="BC803" s="50"/>
    </row>
    <row r="804" spans="1:55" s="48" customFormat="1" ht="15.45" customHeight="1" outlineLevel="1" x14ac:dyDescent="0.25">
      <c r="A804" s="42">
        <v>21</v>
      </c>
      <c r="B804" s="43" t="s">
        <v>592</v>
      </c>
      <c r="C804" s="44" t="s">
        <v>93</v>
      </c>
      <c r="D804" s="45">
        <v>5</v>
      </c>
      <c r="E804" s="45">
        <v>1364.8172</v>
      </c>
      <c r="F804" s="45">
        <f t="shared" si="171"/>
        <v>6824.0859999999993</v>
      </c>
      <c r="G804" s="46">
        <f t="shared" si="172"/>
        <v>0</v>
      </c>
      <c r="H804" s="47">
        <f t="shared" si="173"/>
        <v>0</v>
      </c>
      <c r="I804" s="46">
        <f t="shared" si="174"/>
        <v>0</v>
      </c>
      <c r="J804" s="47">
        <v>0</v>
      </c>
      <c r="K804" s="46">
        <f t="shared" si="175"/>
        <v>0</v>
      </c>
      <c r="L804" s="47">
        <v>0</v>
      </c>
      <c r="AZ804" s="49"/>
      <c r="BC804" s="50"/>
    </row>
    <row r="805" spans="1:55" s="48" customFormat="1" ht="55.5" customHeight="1" outlineLevel="1" x14ac:dyDescent="0.25">
      <c r="A805" s="42">
        <v>22</v>
      </c>
      <c r="B805" s="43" t="s">
        <v>593</v>
      </c>
      <c r="C805" s="44" t="s">
        <v>93</v>
      </c>
      <c r="D805" s="45">
        <v>8</v>
      </c>
      <c r="E805" s="45">
        <v>301.92620000000011</v>
      </c>
      <c r="F805" s="45">
        <f t="shared" si="171"/>
        <v>2415.4096000000009</v>
      </c>
      <c r="G805" s="46">
        <f t="shared" si="172"/>
        <v>0</v>
      </c>
      <c r="H805" s="47">
        <f t="shared" si="173"/>
        <v>0</v>
      </c>
      <c r="I805" s="46">
        <f t="shared" si="174"/>
        <v>0</v>
      </c>
      <c r="J805" s="47">
        <v>0</v>
      </c>
      <c r="K805" s="46">
        <f t="shared" si="175"/>
        <v>0</v>
      </c>
      <c r="L805" s="47">
        <v>0</v>
      </c>
      <c r="AZ805" s="49"/>
      <c r="BC805" s="50"/>
    </row>
    <row r="806" spans="1:55" s="48" customFormat="1" ht="15.45" customHeight="1" outlineLevel="1" x14ac:dyDescent="0.25">
      <c r="A806" s="42">
        <v>23</v>
      </c>
      <c r="B806" s="43" t="s">
        <v>594</v>
      </c>
      <c r="C806" s="44" t="s">
        <v>93</v>
      </c>
      <c r="D806" s="45">
        <v>4</v>
      </c>
      <c r="E806" s="45">
        <v>332.1794000000001</v>
      </c>
      <c r="F806" s="45">
        <f t="shared" si="171"/>
        <v>1328.7176000000004</v>
      </c>
      <c r="G806" s="46">
        <f t="shared" si="172"/>
        <v>0</v>
      </c>
      <c r="H806" s="47">
        <f t="shared" si="173"/>
        <v>0</v>
      </c>
      <c r="I806" s="46">
        <f t="shared" si="174"/>
        <v>0</v>
      </c>
      <c r="J806" s="47">
        <v>0</v>
      </c>
      <c r="K806" s="46">
        <f t="shared" si="175"/>
        <v>0</v>
      </c>
      <c r="L806" s="47">
        <v>0</v>
      </c>
      <c r="AZ806" s="49"/>
      <c r="BC806" s="50"/>
    </row>
    <row r="807" spans="1:55" s="48" customFormat="1" ht="15.45" customHeight="1" outlineLevel="1" x14ac:dyDescent="0.25">
      <c r="A807" s="42">
        <v>24</v>
      </c>
      <c r="B807" s="43" t="s">
        <v>595</v>
      </c>
      <c r="C807" s="44" t="s">
        <v>93</v>
      </c>
      <c r="D807" s="45">
        <v>4</v>
      </c>
      <c r="E807" s="45">
        <v>247.9376</v>
      </c>
      <c r="F807" s="45">
        <f t="shared" si="171"/>
        <v>991.75040000000001</v>
      </c>
      <c r="G807" s="46">
        <f t="shared" si="172"/>
        <v>0</v>
      </c>
      <c r="H807" s="47">
        <f t="shared" si="173"/>
        <v>0</v>
      </c>
      <c r="I807" s="46">
        <f t="shared" si="174"/>
        <v>0</v>
      </c>
      <c r="J807" s="47">
        <v>0</v>
      </c>
      <c r="K807" s="46">
        <f t="shared" si="175"/>
        <v>0</v>
      </c>
      <c r="L807" s="47">
        <v>0</v>
      </c>
      <c r="AZ807" s="49"/>
      <c r="BC807" s="50"/>
    </row>
    <row r="808" spans="1:55" s="48" customFormat="1" ht="15.45" customHeight="1" outlineLevel="1" x14ac:dyDescent="0.25">
      <c r="A808" s="42">
        <v>25</v>
      </c>
      <c r="B808" s="43" t="s">
        <v>596</v>
      </c>
      <c r="C808" s="44" t="s">
        <v>93</v>
      </c>
      <c r="D808" s="45">
        <v>2</v>
      </c>
      <c r="E808" s="45">
        <v>91.999999999999986</v>
      </c>
      <c r="F808" s="45">
        <f t="shared" si="171"/>
        <v>183.99999999999997</v>
      </c>
      <c r="G808" s="46">
        <f t="shared" si="172"/>
        <v>0</v>
      </c>
      <c r="H808" s="47">
        <f t="shared" si="173"/>
        <v>0</v>
      </c>
      <c r="I808" s="46">
        <f t="shared" si="174"/>
        <v>0</v>
      </c>
      <c r="J808" s="47">
        <v>0</v>
      </c>
      <c r="K808" s="46">
        <f t="shared" si="175"/>
        <v>0</v>
      </c>
      <c r="L808" s="47">
        <v>0</v>
      </c>
      <c r="AZ808" s="49"/>
      <c r="BC808" s="50"/>
    </row>
    <row r="809" spans="1:55" s="48" customFormat="1" ht="27.75" customHeight="1" outlineLevel="1" x14ac:dyDescent="0.25">
      <c r="A809" s="42">
        <v>26</v>
      </c>
      <c r="B809" s="43" t="s">
        <v>597</v>
      </c>
      <c r="C809" s="44" t="s">
        <v>234</v>
      </c>
      <c r="D809" s="45">
        <v>1</v>
      </c>
      <c r="E809" s="45">
        <v>1574.366</v>
      </c>
      <c r="F809" s="45">
        <f t="shared" si="171"/>
        <v>1574.366</v>
      </c>
      <c r="G809" s="46">
        <f t="shared" si="172"/>
        <v>0</v>
      </c>
      <c r="H809" s="47">
        <f t="shared" si="173"/>
        <v>0</v>
      </c>
      <c r="I809" s="46">
        <f t="shared" si="174"/>
        <v>0</v>
      </c>
      <c r="J809" s="47">
        <v>0</v>
      </c>
      <c r="K809" s="46">
        <f t="shared" si="175"/>
        <v>0</v>
      </c>
      <c r="L809" s="47">
        <v>0</v>
      </c>
      <c r="AZ809" s="49"/>
      <c r="BC809" s="50"/>
    </row>
    <row r="810" spans="1:55" s="48" customFormat="1" ht="15.45" customHeight="1" outlineLevel="1" x14ac:dyDescent="0.25">
      <c r="A810" s="42">
        <v>27</v>
      </c>
      <c r="B810" s="43" t="s">
        <v>598</v>
      </c>
      <c r="C810" s="44" t="s">
        <v>93</v>
      </c>
      <c r="D810" s="45">
        <v>2</v>
      </c>
      <c r="E810" s="45">
        <v>877.60400000000016</v>
      </c>
      <c r="F810" s="45">
        <f t="shared" si="171"/>
        <v>1755.2080000000003</v>
      </c>
      <c r="G810" s="46">
        <f t="shared" si="172"/>
        <v>0</v>
      </c>
      <c r="H810" s="47">
        <f t="shared" si="173"/>
        <v>0</v>
      </c>
      <c r="I810" s="46">
        <f t="shared" si="174"/>
        <v>0</v>
      </c>
      <c r="J810" s="47">
        <v>0</v>
      </c>
      <c r="K810" s="46">
        <f t="shared" si="175"/>
        <v>0</v>
      </c>
      <c r="L810" s="47">
        <v>0</v>
      </c>
      <c r="AZ810" s="49"/>
      <c r="BC810" s="50"/>
    </row>
    <row r="811" spans="1:55" s="48" customFormat="1" ht="27.75" customHeight="1" outlineLevel="1" x14ac:dyDescent="0.25">
      <c r="A811" s="42">
        <v>28</v>
      </c>
      <c r="B811" s="43" t="s">
        <v>599</v>
      </c>
      <c r="C811" s="44" t="s">
        <v>93</v>
      </c>
      <c r="D811" s="45">
        <v>1</v>
      </c>
      <c r="E811" s="45">
        <v>567.93200000000013</v>
      </c>
      <c r="F811" s="45">
        <f t="shared" si="171"/>
        <v>567.93200000000013</v>
      </c>
      <c r="G811" s="46">
        <f t="shared" si="172"/>
        <v>0</v>
      </c>
      <c r="H811" s="47">
        <f t="shared" si="173"/>
        <v>0</v>
      </c>
      <c r="I811" s="46">
        <f t="shared" si="174"/>
        <v>0</v>
      </c>
      <c r="J811" s="47">
        <v>0</v>
      </c>
      <c r="K811" s="46">
        <f t="shared" si="175"/>
        <v>0</v>
      </c>
      <c r="L811" s="47">
        <v>0</v>
      </c>
      <c r="AZ811" s="49"/>
      <c r="BC811" s="50"/>
    </row>
    <row r="812" spans="1:55" s="48" customFormat="1" ht="27.75" customHeight="1" outlineLevel="1" x14ac:dyDescent="0.25">
      <c r="A812" s="42">
        <v>29</v>
      </c>
      <c r="B812" s="43" t="s">
        <v>600</v>
      </c>
      <c r="C812" s="44" t="s">
        <v>93</v>
      </c>
      <c r="D812" s="45">
        <v>2</v>
      </c>
      <c r="E812" s="45">
        <v>198.386</v>
      </c>
      <c r="F812" s="45">
        <f t="shared" si="171"/>
        <v>396.77199999999999</v>
      </c>
      <c r="G812" s="46">
        <f t="shared" si="172"/>
        <v>0</v>
      </c>
      <c r="H812" s="47">
        <f t="shared" si="173"/>
        <v>0</v>
      </c>
      <c r="I812" s="46">
        <f t="shared" si="174"/>
        <v>0</v>
      </c>
      <c r="J812" s="47">
        <v>0</v>
      </c>
      <c r="K812" s="46">
        <f t="shared" si="175"/>
        <v>0</v>
      </c>
      <c r="L812" s="47">
        <v>0</v>
      </c>
      <c r="AZ812" s="49"/>
      <c r="BC812" s="50"/>
    </row>
    <row r="813" spans="1:55" s="48" customFormat="1" ht="41.7" customHeight="1" outlineLevel="1" x14ac:dyDescent="0.25">
      <c r="A813" s="42">
        <v>30</v>
      </c>
      <c r="B813" s="43" t="s">
        <v>601</v>
      </c>
      <c r="C813" s="44" t="s">
        <v>93</v>
      </c>
      <c r="D813" s="45">
        <v>1</v>
      </c>
      <c r="E813" s="45">
        <v>350.13139999999999</v>
      </c>
      <c r="F813" s="45">
        <f t="shared" si="171"/>
        <v>350.13139999999999</v>
      </c>
      <c r="G813" s="46">
        <f t="shared" si="172"/>
        <v>0</v>
      </c>
      <c r="H813" s="47">
        <f t="shared" si="173"/>
        <v>0</v>
      </c>
      <c r="I813" s="46">
        <f t="shared" si="174"/>
        <v>0</v>
      </c>
      <c r="J813" s="47">
        <v>0</v>
      </c>
      <c r="K813" s="46">
        <f t="shared" si="175"/>
        <v>0</v>
      </c>
      <c r="L813" s="47">
        <v>0</v>
      </c>
      <c r="AZ813" s="49"/>
      <c r="BC813" s="50"/>
    </row>
    <row r="814" spans="1:55" s="48" customFormat="1" ht="27.75" customHeight="1" outlineLevel="1" x14ac:dyDescent="0.25">
      <c r="A814" s="42">
        <v>31</v>
      </c>
      <c r="B814" s="43" t="s">
        <v>602</v>
      </c>
      <c r="C814" s="44" t="s">
        <v>93</v>
      </c>
      <c r="D814" s="45">
        <v>1</v>
      </c>
      <c r="E814" s="45">
        <v>335.67800000000011</v>
      </c>
      <c r="F814" s="45">
        <f t="shared" si="171"/>
        <v>335.67800000000011</v>
      </c>
      <c r="G814" s="46">
        <f t="shared" si="172"/>
        <v>0</v>
      </c>
      <c r="H814" s="47">
        <f t="shared" si="173"/>
        <v>0</v>
      </c>
      <c r="I814" s="46">
        <f t="shared" si="174"/>
        <v>0</v>
      </c>
      <c r="J814" s="47">
        <v>0</v>
      </c>
      <c r="K814" s="46">
        <f t="shared" si="175"/>
        <v>0</v>
      </c>
      <c r="L814" s="47">
        <v>0</v>
      </c>
      <c r="AZ814" s="49"/>
      <c r="BC814" s="50"/>
    </row>
    <row r="815" spans="1:55" s="48" customFormat="1" ht="15.45" customHeight="1" outlineLevel="1" x14ac:dyDescent="0.25">
      <c r="A815" s="42">
        <v>32</v>
      </c>
      <c r="B815" s="43" t="s">
        <v>603</v>
      </c>
      <c r="C815" s="44" t="s">
        <v>93</v>
      </c>
      <c r="D815" s="45">
        <v>68</v>
      </c>
      <c r="E815" s="45">
        <v>91.999999999999986</v>
      </c>
      <c r="F815" s="45">
        <f t="shared" si="171"/>
        <v>6255.9999999999991</v>
      </c>
      <c r="G815" s="46">
        <f t="shared" si="172"/>
        <v>0</v>
      </c>
      <c r="H815" s="47">
        <f t="shared" si="173"/>
        <v>0</v>
      </c>
      <c r="I815" s="46">
        <f t="shared" si="174"/>
        <v>0</v>
      </c>
      <c r="J815" s="47">
        <v>0</v>
      </c>
      <c r="K815" s="46">
        <f t="shared" si="175"/>
        <v>0</v>
      </c>
      <c r="L815" s="47">
        <v>0</v>
      </c>
      <c r="AZ815" s="49"/>
      <c r="BC815" s="50"/>
    </row>
    <row r="816" spans="1:55" s="48" customFormat="1" ht="15.45" customHeight="1" outlineLevel="1" x14ac:dyDescent="0.25">
      <c r="A816" s="42">
        <v>33</v>
      </c>
      <c r="B816" s="43" t="s">
        <v>604</v>
      </c>
      <c r="C816" s="44" t="s">
        <v>93</v>
      </c>
      <c r="D816" s="45">
        <v>4</v>
      </c>
      <c r="E816" s="45">
        <v>126.4148</v>
      </c>
      <c r="F816" s="45">
        <f t="shared" ref="F816:F847" si="176">+E816*D816</f>
        <v>505.6592</v>
      </c>
      <c r="G816" s="46">
        <f t="shared" ref="G816:G835" si="177">I816+K816</f>
        <v>0</v>
      </c>
      <c r="H816" s="47">
        <f t="shared" ref="H816:H835" si="178">J816+L816</f>
        <v>0</v>
      </c>
      <c r="I816" s="46">
        <f t="shared" ref="I816:I847" si="179">J816/F816</f>
        <v>0</v>
      </c>
      <c r="J816" s="47">
        <v>0</v>
      </c>
      <c r="K816" s="46">
        <f t="shared" ref="K816:K847" si="180">L816/F816</f>
        <v>0</v>
      </c>
      <c r="L816" s="47">
        <v>0</v>
      </c>
      <c r="AZ816" s="49"/>
      <c r="BC816" s="50"/>
    </row>
    <row r="817" spans="1:55" s="48" customFormat="1" ht="15.45" customHeight="1" outlineLevel="1" x14ac:dyDescent="0.25">
      <c r="A817" s="42">
        <v>34</v>
      </c>
      <c r="B817" s="43" t="s">
        <v>605</v>
      </c>
      <c r="C817" s="44" t="s">
        <v>93</v>
      </c>
      <c r="D817" s="45">
        <v>1</v>
      </c>
      <c r="E817" s="45">
        <v>464.70800000000003</v>
      </c>
      <c r="F817" s="45">
        <f t="shared" si="176"/>
        <v>464.70800000000003</v>
      </c>
      <c r="G817" s="46">
        <f t="shared" si="177"/>
        <v>0</v>
      </c>
      <c r="H817" s="47">
        <f t="shared" si="178"/>
        <v>0</v>
      </c>
      <c r="I817" s="46">
        <f t="shared" si="179"/>
        <v>0</v>
      </c>
      <c r="J817" s="47">
        <v>0</v>
      </c>
      <c r="K817" s="46">
        <f t="shared" si="180"/>
        <v>0</v>
      </c>
      <c r="L817" s="47">
        <v>0</v>
      </c>
      <c r="AZ817" s="49"/>
      <c r="BC817" s="50"/>
    </row>
    <row r="818" spans="1:55" s="48" customFormat="1" ht="27.75" customHeight="1" outlineLevel="1" x14ac:dyDescent="0.25">
      <c r="A818" s="42">
        <v>35</v>
      </c>
      <c r="B818" s="43" t="s">
        <v>606</v>
      </c>
      <c r="C818" s="44" t="s">
        <v>93</v>
      </c>
      <c r="D818" s="45">
        <v>15</v>
      </c>
      <c r="E818" s="45">
        <v>216.97040000000001</v>
      </c>
      <c r="F818" s="45">
        <f t="shared" si="176"/>
        <v>3254.556</v>
      </c>
      <c r="G818" s="46">
        <f t="shared" si="177"/>
        <v>0</v>
      </c>
      <c r="H818" s="47">
        <f t="shared" si="178"/>
        <v>0</v>
      </c>
      <c r="I818" s="46">
        <f t="shared" si="179"/>
        <v>0</v>
      </c>
      <c r="J818" s="47">
        <v>0</v>
      </c>
      <c r="K818" s="46">
        <f t="shared" si="180"/>
        <v>0</v>
      </c>
      <c r="L818" s="47">
        <v>0</v>
      </c>
      <c r="AZ818" s="49"/>
      <c r="BC818" s="50"/>
    </row>
    <row r="819" spans="1:55" s="48" customFormat="1" ht="27.75" customHeight="1" outlineLevel="1" x14ac:dyDescent="0.25">
      <c r="A819" s="42">
        <v>36</v>
      </c>
      <c r="B819" s="43" t="s">
        <v>607</v>
      </c>
      <c r="C819" s="44" t="s">
        <v>93</v>
      </c>
      <c r="D819" s="45">
        <v>1</v>
      </c>
      <c r="E819" s="45">
        <v>71.426599999999993</v>
      </c>
      <c r="F819" s="45">
        <f t="shared" si="176"/>
        <v>71.426599999999993</v>
      </c>
      <c r="G819" s="46">
        <f t="shared" si="177"/>
        <v>0</v>
      </c>
      <c r="H819" s="47">
        <f t="shared" si="178"/>
        <v>0</v>
      </c>
      <c r="I819" s="46">
        <f t="shared" si="179"/>
        <v>0</v>
      </c>
      <c r="J819" s="47">
        <v>0</v>
      </c>
      <c r="K819" s="46">
        <f t="shared" si="180"/>
        <v>0</v>
      </c>
      <c r="L819" s="47">
        <v>0</v>
      </c>
      <c r="AZ819" s="49"/>
      <c r="BC819" s="50"/>
    </row>
    <row r="820" spans="1:55" s="48" customFormat="1" ht="15.45" customHeight="1" outlineLevel="1" x14ac:dyDescent="0.25">
      <c r="A820" s="42">
        <v>37</v>
      </c>
      <c r="B820" s="43" t="s">
        <v>608</v>
      </c>
      <c r="C820" s="44" t="s">
        <v>93</v>
      </c>
      <c r="D820" s="45">
        <v>1</v>
      </c>
      <c r="E820" s="45">
        <v>145.44800000000001</v>
      </c>
      <c r="F820" s="45">
        <f t="shared" si="176"/>
        <v>145.44800000000001</v>
      </c>
      <c r="G820" s="46">
        <f t="shared" si="177"/>
        <v>0</v>
      </c>
      <c r="H820" s="47">
        <f t="shared" si="178"/>
        <v>0</v>
      </c>
      <c r="I820" s="46">
        <f t="shared" si="179"/>
        <v>0</v>
      </c>
      <c r="J820" s="47">
        <v>0</v>
      </c>
      <c r="K820" s="46">
        <f t="shared" si="180"/>
        <v>0</v>
      </c>
      <c r="L820" s="47">
        <v>0</v>
      </c>
      <c r="AZ820" s="49"/>
      <c r="BC820" s="50"/>
    </row>
    <row r="821" spans="1:55" s="48" customFormat="1" ht="27.75" customHeight="1" outlineLevel="1" x14ac:dyDescent="0.25">
      <c r="A821" s="42">
        <v>38</v>
      </c>
      <c r="B821" s="43" t="s">
        <v>609</v>
      </c>
      <c r="C821" s="44" t="s">
        <v>93</v>
      </c>
      <c r="D821" s="45">
        <v>1</v>
      </c>
      <c r="E821" s="45">
        <v>937.47800000000007</v>
      </c>
      <c r="F821" s="45">
        <f t="shared" si="176"/>
        <v>937.47800000000007</v>
      </c>
      <c r="G821" s="46">
        <f t="shared" si="177"/>
        <v>0</v>
      </c>
      <c r="H821" s="47">
        <f t="shared" si="178"/>
        <v>0</v>
      </c>
      <c r="I821" s="46">
        <f t="shared" si="179"/>
        <v>0</v>
      </c>
      <c r="J821" s="47">
        <v>0</v>
      </c>
      <c r="K821" s="46">
        <f t="shared" si="180"/>
        <v>0</v>
      </c>
      <c r="L821" s="47">
        <v>0</v>
      </c>
      <c r="AZ821" s="49"/>
      <c r="BC821" s="50"/>
    </row>
    <row r="822" spans="1:55" s="48" customFormat="1" ht="15.45" customHeight="1" outlineLevel="1" x14ac:dyDescent="0.25">
      <c r="A822" s="42">
        <v>39</v>
      </c>
      <c r="B822" s="43" t="s">
        <v>610</v>
      </c>
      <c r="C822" s="44" t="s">
        <v>93</v>
      </c>
      <c r="D822" s="45">
        <v>1</v>
      </c>
      <c r="E822" s="45">
        <v>263.42120000000011</v>
      </c>
      <c r="F822" s="45">
        <f t="shared" si="176"/>
        <v>263.42120000000011</v>
      </c>
      <c r="G822" s="46">
        <f t="shared" si="177"/>
        <v>0</v>
      </c>
      <c r="H822" s="47">
        <f t="shared" si="178"/>
        <v>0</v>
      </c>
      <c r="I822" s="46">
        <f t="shared" si="179"/>
        <v>0</v>
      </c>
      <c r="J822" s="47">
        <v>0</v>
      </c>
      <c r="K822" s="46">
        <f t="shared" si="180"/>
        <v>0</v>
      </c>
      <c r="L822" s="47">
        <v>0</v>
      </c>
      <c r="AZ822" s="49"/>
      <c r="BC822" s="50"/>
    </row>
    <row r="823" spans="1:55" s="48" customFormat="1" ht="15.45" customHeight="1" outlineLevel="1" x14ac:dyDescent="0.25">
      <c r="A823" s="42">
        <v>40</v>
      </c>
      <c r="B823" s="43" t="s">
        <v>611</v>
      </c>
      <c r="C823" s="44" t="s">
        <v>93</v>
      </c>
      <c r="D823" s="45">
        <v>1</v>
      </c>
      <c r="E823" s="45">
        <v>62.216000000000001</v>
      </c>
      <c r="F823" s="45">
        <f t="shared" si="176"/>
        <v>62.216000000000001</v>
      </c>
      <c r="G823" s="46">
        <f t="shared" si="177"/>
        <v>0</v>
      </c>
      <c r="H823" s="47">
        <f t="shared" si="178"/>
        <v>0</v>
      </c>
      <c r="I823" s="46">
        <f t="shared" si="179"/>
        <v>0</v>
      </c>
      <c r="J823" s="47">
        <v>0</v>
      </c>
      <c r="K823" s="46">
        <f t="shared" si="180"/>
        <v>0</v>
      </c>
      <c r="L823" s="47">
        <v>0</v>
      </c>
      <c r="AZ823" s="49"/>
      <c r="BC823" s="50"/>
    </row>
    <row r="824" spans="1:55" s="48" customFormat="1" ht="15.45" customHeight="1" outlineLevel="1" x14ac:dyDescent="0.25">
      <c r="A824" s="42">
        <v>41</v>
      </c>
      <c r="B824" s="43" t="s">
        <v>612</v>
      </c>
      <c r="C824" s="44" t="s">
        <v>93</v>
      </c>
      <c r="D824" s="45">
        <v>1</v>
      </c>
      <c r="E824" s="45">
        <v>189.47120000000001</v>
      </c>
      <c r="F824" s="45">
        <f t="shared" si="176"/>
        <v>189.47120000000001</v>
      </c>
      <c r="G824" s="46">
        <f t="shared" si="177"/>
        <v>0</v>
      </c>
      <c r="H824" s="47">
        <f t="shared" si="178"/>
        <v>0</v>
      </c>
      <c r="I824" s="46">
        <f t="shared" si="179"/>
        <v>0</v>
      </c>
      <c r="J824" s="47">
        <v>0</v>
      </c>
      <c r="K824" s="46">
        <f t="shared" si="180"/>
        <v>0</v>
      </c>
      <c r="L824" s="47">
        <v>0</v>
      </c>
      <c r="AZ824" s="49"/>
      <c r="BC824" s="50"/>
    </row>
    <row r="825" spans="1:55" s="48" customFormat="1" ht="15.45" customHeight="1" outlineLevel="1" x14ac:dyDescent="0.25">
      <c r="A825" s="42">
        <v>42</v>
      </c>
      <c r="B825" s="43" t="s">
        <v>613</v>
      </c>
      <c r="C825" s="44" t="s">
        <v>93</v>
      </c>
      <c r="D825" s="45">
        <v>3</v>
      </c>
      <c r="E825" s="45">
        <v>452.32520000000011</v>
      </c>
      <c r="F825" s="45">
        <f t="shared" si="176"/>
        <v>1356.9756000000002</v>
      </c>
      <c r="G825" s="46">
        <f t="shared" si="177"/>
        <v>0</v>
      </c>
      <c r="H825" s="47">
        <f t="shared" si="178"/>
        <v>0</v>
      </c>
      <c r="I825" s="46">
        <f t="shared" si="179"/>
        <v>0</v>
      </c>
      <c r="J825" s="47">
        <v>0</v>
      </c>
      <c r="K825" s="46">
        <f t="shared" si="180"/>
        <v>0</v>
      </c>
      <c r="L825" s="47">
        <v>0</v>
      </c>
      <c r="AZ825" s="49"/>
      <c r="BC825" s="50"/>
    </row>
    <row r="826" spans="1:55" s="48" customFormat="1" ht="27.75" customHeight="1" outlineLevel="1" x14ac:dyDescent="0.25">
      <c r="A826" s="42">
        <v>43</v>
      </c>
      <c r="B826" s="43" t="s">
        <v>614</v>
      </c>
      <c r="C826" s="44" t="s">
        <v>93</v>
      </c>
      <c r="D826" s="45">
        <v>4</v>
      </c>
      <c r="E826" s="45">
        <v>122.5184</v>
      </c>
      <c r="F826" s="45">
        <f t="shared" si="176"/>
        <v>490.0736</v>
      </c>
      <c r="G826" s="46">
        <f t="shared" si="177"/>
        <v>0</v>
      </c>
      <c r="H826" s="47">
        <f t="shared" si="178"/>
        <v>0</v>
      </c>
      <c r="I826" s="46">
        <f t="shared" si="179"/>
        <v>0</v>
      </c>
      <c r="J826" s="47">
        <v>0</v>
      </c>
      <c r="K826" s="46">
        <f t="shared" si="180"/>
        <v>0</v>
      </c>
      <c r="L826" s="47">
        <v>0</v>
      </c>
      <c r="AZ826" s="49"/>
      <c r="BC826" s="50"/>
    </row>
    <row r="827" spans="1:55" s="48" customFormat="1" ht="15.45" customHeight="1" outlineLevel="1" x14ac:dyDescent="0.25">
      <c r="A827" s="42">
        <v>44</v>
      </c>
      <c r="B827" s="43" t="s">
        <v>615</v>
      </c>
      <c r="C827" s="44" t="s">
        <v>93</v>
      </c>
      <c r="D827" s="45">
        <v>4</v>
      </c>
      <c r="E827" s="45">
        <v>517.35020000000009</v>
      </c>
      <c r="F827" s="45">
        <f t="shared" si="176"/>
        <v>2069.4008000000003</v>
      </c>
      <c r="G827" s="46">
        <f t="shared" si="177"/>
        <v>0</v>
      </c>
      <c r="H827" s="47">
        <f t="shared" si="178"/>
        <v>0</v>
      </c>
      <c r="I827" s="46">
        <f t="shared" si="179"/>
        <v>0</v>
      </c>
      <c r="J827" s="47">
        <v>0</v>
      </c>
      <c r="K827" s="46">
        <f t="shared" si="180"/>
        <v>0</v>
      </c>
      <c r="L827" s="47">
        <v>0</v>
      </c>
      <c r="AZ827" s="49"/>
      <c r="BC827" s="50"/>
    </row>
    <row r="828" spans="1:55" s="48" customFormat="1" ht="15.45" customHeight="1" outlineLevel="1" x14ac:dyDescent="0.25">
      <c r="A828" s="42">
        <v>45</v>
      </c>
      <c r="B828" s="43" t="s">
        <v>616</v>
      </c>
      <c r="C828" s="44" t="s">
        <v>93</v>
      </c>
      <c r="D828" s="45">
        <v>4</v>
      </c>
      <c r="E828" s="45">
        <v>148.1</v>
      </c>
      <c r="F828" s="45">
        <f t="shared" si="176"/>
        <v>592.4</v>
      </c>
      <c r="G828" s="46">
        <f t="shared" si="177"/>
        <v>0</v>
      </c>
      <c r="H828" s="47">
        <f t="shared" si="178"/>
        <v>0</v>
      </c>
      <c r="I828" s="46">
        <f t="shared" si="179"/>
        <v>0</v>
      </c>
      <c r="J828" s="47">
        <v>0</v>
      </c>
      <c r="K828" s="46">
        <f t="shared" si="180"/>
        <v>0</v>
      </c>
      <c r="L828" s="47">
        <v>0</v>
      </c>
      <c r="AZ828" s="49"/>
      <c r="BC828" s="50"/>
    </row>
    <row r="829" spans="1:55" s="48" customFormat="1" ht="15.45" customHeight="1" outlineLevel="1" x14ac:dyDescent="0.25">
      <c r="A829" s="42">
        <v>46</v>
      </c>
      <c r="B829" s="43" t="s">
        <v>617</v>
      </c>
      <c r="C829" s="44" t="s">
        <v>93</v>
      </c>
      <c r="D829" s="45">
        <v>2</v>
      </c>
      <c r="E829" s="45">
        <v>1578.4970000000001</v>
      </c>
      <c r="F829" s="45">
        <f t="shared" si="176"/>
        <v>3156.9940000000001</v>
      </c>
      <c r="G829" s="46">
        <f t="shared" si="177"/>
        <v>0</v>
      </c>
      <c r="H829" s="47">
        <f t="shared" si="178"/>
        <v>0</v>
      </c>
      <c r="I829" s="46">
        <f t="shared" si="179"/>
        <v>0</v>
      </c>
      <c r="J829" s="47">
        <v>0</v>
      </c>
      <c r="K829" s="46">
        <f t="shared" si="180"/>
        <v>0</v>
      </c>
      <c r="L829" s="47">
        <v>0</v>
      </c>
      <c r="AZ829" s="49"/>
      <c r="BC829" s="50"/>
    </row>
    <row r="830" spans="1:55" s="48" customFormat="1" ht="15.45" customHeight="1" outlineLevel="1" x14ac:dyDescent="0.25">
      <c r="A830" s="42">
        <v>47</v>
      </c>
      <c r="B830" s="43" t="s">
        <v>618</v>
      </c>
      <c r="C830" s="44" t="s">
        <v>93</v>
      </c>
      <c r="D830" s="45">
        <v>2</v>
      </c>
      <c r="E830" s="45">
        <v>28.290800000000001</v>
      </c>
      <c r="F830" s="45">
        <f t="shared" si="176"/>
        <v>56.581600000000002</v>
      </c>
      <c r="G830" s="46">
        <f t="shared" si="177"/>
        <v>0</v>
      </c>
      <c r="H830" s="47">
        <f t="shared" si="178"/>
        <v>0</v>
      </c>
      <c r="I830" s="46">
        <f t="shared" si="179"/>
        <v>0</v>
      </c>
      <c r="J830" s="47">
        <v>0</v>
      </c>
      <c r="K830" s="46">
        <f t="shared" si="180"/>
        <v>0</v>
      </c>
      <c r="L830" s="47">
        <v>0</v>
      </c>
      <c r="AZ830" s="49"/>
      <c r="BC830" s="50"/>
    </row>
    <row r="831" spans="1:55" s="48" customFormat="1" ht="15.45" customHeight="1" outlineLevel="1" x14ac:dyDescent="0.25">
      <c r="A831" s="42">
        <v>48</v>
      </c>
      <c r="B831" s="43" t="s">
        <v>619</v>
      </c>
      <c r="C831" s="44" t="s">
        <v>93</v>
      </c>
      <c r="D831" s="45">
        <v>1</v>
      </c>
      <c r="E831" s="45">
        <v>480.19160000000011</v>
      </c>
      <c r="F831" s="45">
        <f t="shared" si="176"/>
        <v>480.19160000000011</v>
      </c>
      <c r="G831" s="46">
        <f t="shared" si="177"/>
        <v>0</v>
      </c>
      <c r="H831" s="47">
        <f t="shared" si="178"/>
        <v>0</v>
      </c>
      <c r="I831" s="46">
        <f t="shared" si="179"/>
        <v>0</v>
      </c>
      <c r="J831" s="47">
        <v>0</v>
      </c>
      <c r="K831" s="46">
        <f t="shared" si="180"/>
        <v>0</v>
      </c>
      <c r="L831" s="47">
        <v>0</v>
      </c>
      <c r="AZ831" s="49"/>
      <c r="BC831" s="50"/>
    </row>
    <row r="832" spans="1:55" s="48" customFormat="1" ht="15.45" customHeight="1" outlineLevel="1" x14ac:dyDescent="0.25">
      <c r="A832" s="42">
        <v>49</v>
      </c>
      <c r="B832" s="43" t="s">
        <v>620</v>
      </c>
      <c r="C832" s="44" t="s">
        <v>93</v>
      </c>
      <c r="D832" s="45">
        <v>1</v>
      </c>
      <c r="E832" s="45">
        <v>481.22179999999997</v>
      </c>
      <c r="F832" s="45">
        <f t="shared" si="176"/>
        <v>481.22179999999997</v>
      </c>
      <c r="G832" s="46">
        <f t="shared" si="177"/>
        <v>0</v>
      </c>
      <c r="H832" s="47">
        <f t="shared" si="178"/>
        <v>0</v>
      </c>
      <c r="I832" s="46">
        <f t="shared" si="179"/>
        <v>0</v>
      </c>
      <c r="J832" s="47">
        <v>0</v>
      </c>
      <c r="K832" s="46">
        <f t="shared" si="180"/>
        <v>0</v>
      </c>
      <c r="L832" s="47">
        <v>0</v>
      </c>
      <c r="AZ832" s="49"/>
      <c r="BC832" s="50"/>
    </row>
    <row r="833" spans="1:55" s="48" customFormat="1" ht="15.45" customHeight="1" outlineLevel="1" x14ac:dyDescent="0.25">
      <c r="A833" s="42">
        <v>50</v>
      </c>
      <c r="B833" s="43" t="s">
        <v>621</v>
      </c>
      <c r="C833" s="44" t="s">
        <v>93</v>
      </c>
      <c r="D833" s="45">
        <v>1</v>
      </c>
      <c r="E833" s="45">
        <v>122.6</v>
      </c>
      <c r="F833" s="45">
        <f t="shared" si="176"/>
        <v>122.6</v>
      </c>
      <c r="G833" s="46">
        <f t="shared" si="177"/>
        <v>0</v>
      </c>
      <c r="H833" s="47">
        <f t="shared" si="178"/>
        <v>0</v>
      </c>
      <c r="I833" s="46">
        <f t="shared" si="179"/>
        <v>0</v>
      </c>
      <c r="J833" s="47">
        <v>0</v>
      </c>
      <c r="K833" s="46">
        <f t="shared" si="180"/>
        <v>0</v>
      </c>
      <c r="L833" s="47">
        <v>0</v>
      </c>
      <c r="AZ833" s="49"/>
      <c r="BC833" s="50"/>
    </row>
    <row r="834" spans="1:55" s="48" customFormat="1" ht="15.45" customHeight="1" outlineLevel="1" x14ac:dyDescent="0.25">
      <c r="A834" s="42">
        <v>51</v>
      </c>
      <c r="B834" s="43" t="s">
        <v>595</v>
      </c>
      <c r="C834" s="44" t="s">
        <v>93</v>
      </c>
      <c r="D834" s="45">
        <v>1</v>
      </c>
      <c r="E834" s="45">
        <v>247.9376</v>
      </c>
      <c r="F834" s="45">
        <f t="shared" si="176"/>
        <v>247.9376</v>
      </c>
      <c r="G834" s="46">
        <f t="shared" si="177"/>
        <v>0</v>
      </c>
      <c r="H834" s="47">
        <f t="shared" si="178"/>
        <v>0</v>
      </c>
      <c r="I834" s="46">
        <f t="shared" si="179"/>
        <v>0</v>
      </c>
      <c r="J834" s="47">
        <v>0</v>
      </c>
      <c r="K834" s="46">
        <f t="shared" si="180"/>
        <v>0</v>
      </c>
      <c r="L834" s="47">
        <v>0</v>
      </c>
      <c r="AZ834" s="49"/>
      <c r="BC834" s="50"/>
    </row>
    <row r="835" spans="1:55" s="48" customFormat="1" ht="15.45" customHeight="1" outlineLevel="1" x14ac:dyDescent="0.25">
      <c r="A835" s="42">
        <v>52</v>
      </c>
      <c r="B835" s="43" t="s">
        <v>622</v>
      </c>
      <c r="C835" s="44" t="s">
        <v>93</v>
      </c>
      <c r="D835" s="45">
        <v>2</v>
      </c>
      <c r="E835" s="45">
        <v>32.840000000000003</v>
      </c>
      <c r="F835" s="45">
        <f t="shared" si="176"/>
        <v>65.680000000000007</v>
      </c>
      <c r="G835" s="46">
        <f t="shared" si="177"/>
        <v>0</v>
      </c>
      <c r="H835" s="47">
        <f t="shared" si="178"/>
        <v>0</v>
      </c>
      <c r="I835" s="46">
        <f t="shared" si="179"/>
        <v>0</v>
      </c>
      <c r="J835" s="47">
        <v>0</v>
      </c>
      <c r="K835" s="46">
        <f t="shared" si="180"/>
        <v>0</v>
      </c>
      <c r="L835" s="47">
        <v>0</v>
      </c>
      <c r="AZ835" s="49"/>
      <c r="BC835" s="50"/>
    </row>
    <row r="836" spans="1:55" s="56" customFormat="1" ht="17.25" customHeight="1" x14ac:dyDescent="0.3">
      <c r="A836" s="62">
        <v>2.31</v>
      </c>
      <c r="B836" s="51" t="s">
        <v>623</v>
      </c>
      <c r="C836" s="52">
        <v>0</v>
      </c>
      <c r="D836" s="53"/>
      <c r="E836" s="53"/>
      <c r="F836" s="53"/>
      <c r="G836" s="54"/>
      <c r="H836" s="55"/>
      <c r="I836" s="54"/>
      <c r="J836" s="55"/>
      <c r="K836" s="54"/>
      <c r="L836" s="55">
        <v>0</v>
      </c>
      <c r="AZ836" s="57"/>
      <c r="BC836" s="58"/>
    </row>
    <row r="837" spans="1:55" s="48" customFormat="1" ht="15.45" customHeight="1" outlineLevel="1" x14ac:dyDescent="0.25">
      <c r="A837" s="42">
        <v>1</v>
      </c>
      <c r="B837" s="43" t="s">
        <v>624</v>
      </c>
      <c r="C837" s="44" t="s">
        <v>93</v>
      </c>
      <c r="D837" s="45">
        <v>1</v>
      </c>
      <c r="E837" s="45">
        <v>464.70800000000003</v>
      </c>
      <c r="F837" s="45">
        <f t="shared" ref="F837:F871" si="181">+E837*D837</f>
        <v>464.70800000000003</v>
      </c>
      <c r="G837" s="46">
        <f t="shared" ref="G837:G871" si="182">I837+K837</f>
        <v>0</v>
      </c>
      <c r="H837" s="47">
        <f t="shared" ref="H837:H871" si="183">J837+L837</f>
        <v>0</v>
      </c>
      <c r="I837" s="46">
        <f t="shared" ref="I837:I871" si="184">J837/F837</f>
        <v>0</v>
      </c>
      <c r="J837" s="47">
        <v>0</v>
      </c>
      <c r="K837" s="46">
        <f t="shared" ref="K837:K871" si="185">L837/F837</f>
        <v>0</v>
      </c>
      <c r="L837" s="47">
        <v>0</v>
      </c>
      <c r="AZ837" s="49"/>
      <c r="BC837" s="50"/>
    </row>
    <row r="838" spans="1:55" s="48" customFormat="1" ht="27.75" customHeight="1" outlineLevel="1" x14ac:dyDescent="0.25">
      <c r="A838" s="42">
        <v>2</v>
      </c>
      <c r="B838" s="43" t="s">
        <v>597</v>
      </c>
      <c r="C838" s="44" t="s">
        <v>234</v>
      </c>
      <c r="D838" s="45">
        <v>1</v>
      </c>
      <c r="E838" s="45">
        <v>1574.366</v>
      </c>
      <c r="F838" s="45">
        <f t="shared" si="181"/>
        <v>1574.366</v>
      </c>
      <c r="G838" s="46">
        <f t="shared" si="182"/>
        <v>0</v>
      </c>
      <c r="H838" s="47">
        <f t="shared" si="183"/>
        <v>0</v>
      </c>
      <c r="I838" s="46">
        <f t="shared" si="184"/>
        <v>0</v>
      </c>
      <c r="J838" s="47">
        <v>0</v>
      </c>
      <c r="K838" s="46">
        <f t="shared" si="185"/>
        <v>0</v>
      </c>
      <c r="L838" s="47">
        <v>0</v>
      </c>
      <c r="AZ838" s="49"/>
      <c r="BC838" s="50"/>
    </row>
    <row r="839" spans="1:55" s="48" customFormat="1" ht="27.75" customHeight="1" outlineLevel="1" x14ac:dyDescent="0.25">
      <c r="A839" s="42">
        <v>3</v>
      </c>
      <c r="B839" s="43" t="s">
        <v>599</v>
      </c>
      <c r="C839" s="44" t="s">
        <v>93</v>
      </c>
      <c r="D839" s="45">
        <v>1</v>
      </c>
      <c r="E839" s="45">
        <v>567.93200000000013</v>
      </c>
      <c r="F839" s="45">
        <f t="shared" si="181"/>
        <v>567.93200000000013</v>
      </c>
      <c r="G839" s="46">
        <f t="shared" si="182"/>
        <v>0</v>
      </c>
      <c r="H839" s="47">
        <f t="shared" si="183"/>
        <v>0</v>
      </c>
      <c r="I839" s="46">
        <f t="shared" si="184"/>
        <v>0</v>
      </c>
      <c r="J839" s="47">
        <v>0</v>
      </c>
      <c r="K839" s="46">
        <f t="shared" si="185"/>
        <v>0</v>
      </c>
      <c r="L839" s="47">
        <v>0</v>
      </c>
      <c r="AZ839" s="49"/>
      <c r="BC839" s="50"/>
    </row>
    <row r="840" spans="1:55" s="59" customFormat="1" ht="27.75" customHeight="1" outlineLevel="1" x14ac:dyDescent="0.35">
      <c r="A840" s="42">
        <v>4</v>
      </c>
      <c r="B840" s="43" t="s">
        <v>625</v>
      </c>
      <c r="C840" s="44" t="s">
        <v>93</v>
      </c>
      <c r="D840" s="45">
        <v>4</v>
      </c>
      <c r="E840" s="45">
        <v>335.67800000000011</v>
      </c>
      <c r="F840" s="45">
        <f t="shared" si="181"/>
        <v>1342.7120000000004</v>
      </c>
      <c r="G840" s="46">
        <f t="shared" si="182"/>
        <v>0</v>
      </c>
      <c r="H840" s="47">
        <f t="shared" si="183"/>
        <v>0</v>
      </c>
      <c r="I840" s="46">
        <f t="shared" si="184"/>
        <v>0</v>
      </c>
      <c r="J840" s="47">
        <v>0</v>
      </c>
      <c r="K840" s="46">
        <f t="shared" si="185"/>
        <v>0</v>
      </c>
      <c r="L840" s="47">
        <v>0</v>
      </c>
      <c r="AZ840" s="60"/>
      <c r="BC840" s="61"/>
    </row>
    <row r="841" spans="1:55" s="48" customFormat="1" ht="22.8" customHeight="1" outlineLevel="1" x14ac:dyDescent="0.25">
      <c r="A841" s="42">
        <v>5</v>
      </c>
      <c r="B841" s="43" t="s">
        <v>626</v>
      </c>
      <c r="C841" s="44" t="s">
        <v>93</v>
      </c>
      <c r="D841" s="45">
        <v>3</v>
      </c>
      <c r="E841" s="45">
        <v>201.48679999999999</v>
      </c>
      <c r="F841" s="45">
        <f t="shared" si="181"/>
        <v>604.46039999999994</v>
      </c>
      <c r="G841" s="46">
        <f t="shared" si="182"/>
        <v>0</v>
      </c>
      <c r="H841" s="47">
        <f t="shared" si="183"/>
        <v>0</v>
      </c>
      <c r="I841" s="46">
        <f t="shared" si="184"/>
        <v>0</v>
      </c>
      <c r="J841" s="47">
        <v>0</v>
      </c>
      <c r="K841" s="46">
        <f t="shared" si="185"/>
        <v>0</v>
      </c>
      <c r="L841" s="47">
        <v>0</v>
      </c>
      <c r="AZ841" s="49"/>
      <c r="BC841" s="50"/>
    </row>
    <row r="842" spans="1:55" s="48" customFormat="1" ht="15.45" customHeight="1" outlineLevel="1" x14ac:dyDescent="0.25">
      <c r="A842" s="42">
        <v>6</v>
      </c>
      <c r="B842" s="43" t="s">
        <v>592</v>
      </c>
      <c r="C842" s="44" t="s">
        <v>93</v>
      </c>
      <c r="D842" s="45">
        <v>14</v>
      </c>
      <c r="E842" s="45">
        <v>1364.8172</v>
      </c>
      <c r="F842" s="45">
        <f t="shared" si="181"/>
        <v>19107.4408</v>
      </c>
      <c r="G842" s="46">
        <f t="shared" si="182"/>
        <v>0</v>
      </c>
      <c r="H842" s="47">
        <f t="shared" si="183"/>
        <v>0</v>
      </c>
      <c r="I842" s="46">
        <f t="shared" si="184"/>
        <v>0</v>
      </c>
      <c r="J842" s="47">
        <v>0</v>
      </c>
      <c r="K842" s="46">
        <f t="shared" si="185"/>
        <v>0</v>
      </c>
      <c r="L842" s="47">
        <v>0</v>
      </c>
      <c r="AZ842" s="49"/>
      <c r="BC842" s="50"/>
    </row>
    <row r="843" spans="1:55" s="48" customFormat="1" ht="15.45" customHeight="1" outlineLevel="1" x14ac:dyDescent="0.25">
      <c r="A843" s="42">
        <v>7</v>
      </c>
      <c r="B843" s="43" t="s">
        <v>603</v>
      </c>
      <c r="C843" s="44" t="s">
        <v>93</v>
      </c>
      <c r="D843" s="45">
        <v>2</v>
      </c>
      <c r="E843" s="45">
        <v>91.999999999999986</v>
      </c>
      <c r="F843" s="45">
        <f t="shared" si="181"/>
        <v>183.99999999999997</v>
      </c>
      <c r="G843" s="46">
        <f t="shared" si="182"/>
        <v>0</v>
      </c>
      <c r="H843" s="47">
        <f t="shared" si="183"/>
        <v>0</v>
      </c>
      <c r="I843" s="46">
        <f t="shared" si="184"/>
        <v>0</v>
      </c>
      <c r="J843" s="47">
        <v>0</v>
      </c>
      <c r="K843" s="46">
        <f t="shared" si="185"/>
        <v>0</v>
      </c>
      <c r="L843" s="47">
        <v>0</v>
      </c>
      <c r="AZ843" s="49"/>
      <c r="BC843" s="50"/>
    </row>
    <row r="844" spans="1:55" s="48" customFormat="1" ht="15.45" customHeight="1" outlineLevel="1" x14ac:dyDescent="0.25">
      <c r="A844" s="42">
        <v>8</v>
      </c>
      <c r="B844" s="43" t="s">
        <v>627</v>
      </c>
      <c r="C844" s="44" t="s">
        <v>93</v>
      </c>
      <c r="D844" s="45">
        <v>1</v>
      </c>
      <c r="E844" s="45">
        <v>517.35020000000009</v>
      </c>
      <c r="F844" s="45">
        <f t="shared" si="181"/>
        <v>517.35020000000009</v>
      </c>
      <c r="G844" s="46">
        <f t="shared" si="182"/>
        <v>0</v>
      </c>
      <c r="H844" s="47">
        <f t="shared" si="183"/>
        <v>0</v>
      </c>
      <c r="I844" s="46">
        <f t="shared" si="184"/>
        <v>0</v>
      </c>
      <c r="J844" s="47">
        <v>0</v>
      </c>
      <c r="K844" s="46">
        <f t="shared" si="185"/>
        <v>0</v>
      </c>
      <c r="L844" s="47">
        <v>0</v>
      </c>
      <c r="AZ844" s="49"/>
      <c r="BC844" s="50"/>
    </row>
    <row r="845" spans="1:55" s="48" customFormat="1" ht="15.45" customHeight="1" outlineLevel="1" x14ac:dyDescent="0.25">
      <c r="A845" s="42">
        <v>9</v>
      </c>
      <c r="B845" s="43" t="s">
        <v>628</v>
      </c>
      <c r="C845" s="44" t="s">
        <v>93</v>
      </c>
      <c r="D845" s="45">
        <v>2</v>
      </c>
      <c r="E845" s="45">
        <v>1133.6035999999999</v>
      </c>
      <c r="F845" s="45">
        <f t="shared" si="181"/>
        <v>2267.2071999999998</v>
      </c>
      <c r="G845" s="46">
        <f t="shared" si="182"/>
        <v>0</v>
      </c>
      <c r="H845" s="47">
        <f t="shared" si="183"/>
        <v>0</v>
      </c>
      <c r="I845" s="46">
        <f t="shared" si="184"/>
        <v>0</v>
      </c>
      <c r="J845" s="47">
        <v>0</v>
      </c>
      <c r="K845" s="46">
        <f t="shared" si="185"/>
        <v>0</v>
      </c>
      <c r="L845" s="47">
        <v>0</v>
      </c>
      <c r="AZ845" s="49"/>
      <c r="BC845" s="50"/>
    </row>
    <row r="846" spans="1:55" s="48" customFormat="1" ht="15.45" customHeight="1" outlineLevel="1" x14ac:dyDescent="0.25">
      <c r="A846" s="42">
        <v>10</v>
      </c>
      <c r="B846" s="43" t="s">
        <v>629</v>
      </c>
      <c r="C846" s="44" t="s">
        <v>93</v>
      </c>
      <c r="D846" s="45">
        <v>6</v>
      </c>
      <c r="E846" s="45">
        <v>118.9076</v>
      </c>
      <c r="F846" s="45">
        <f t="shared" si="181"/>
        <v>713.44560000000001</v>
      </c>
      <c r="G846" s="46">
        <f t="shared" si="182"/>
        <v>0</v>
      </c>
      <c r="H846" s="47">
        <f t="shared" si="183"/>
        <v>0</v>
      </c>
      <c r="I846" s="46">
        <f t="shared" si="184"/>
        <v>0</v>
      </c>
      <c r="J846" s="47">
        <v>0</v>
      </c>
      <c r="K846" s="46">
        <f t="shared" si="185"/>
        <v>0</v>
      </c>
      <c r="L846" s="47">
        <v>0</v>
      </c>
      <c r="AZ846" s="49"/>
      <c r="BC846" s="50"/>
    </row>
    <row r="847" spans="1:55" s="48" customFormat="1" ht="27.75" customHeight="1" outlineLevel="1" x14ac:dyDescent="0.25">
      <c r="A847" s="42">
        <v>11</v>
      </c>
      <c r="B847" s="43" t="s">
        <v>600</v>
      </c>
      <c r="C847" s="44" t="s">
        <v>93</v>
      </c>
      <c r="D847" s="45">
        <v>6</v>
      </c>
      <c r="E847" s="45">
        <v>198.386</v>
      </c>
      <c r="F847" s="45">
        <f t="shared" si="181"/>
        <v>1190.316</v>
      </c>
      <c r="G847" s="46">
        <f t="shared" si="182"/>
        <v>0</v>
      </c>
      <c r="H847" s="47">
        <f t="shared" si="183"/>
        <v>0</v>
      </c>
      <c r="I847" s="46">
        <f t="shared" si="184"/>
        <v>0</v>
      </c>
      <c r="J847" s="47">
        <v>0</v>
      </c>
      <c r="K847" s="46">
        <f t="shared" si="185"/>
        <v>0</v>
      </c>
      <c r="L847" s="47">
        <v>0</v>
      </c>
      <c r="AZ847" s="49"/>
      <c r="BC847" s="50"/>
    </row>
    <row r="848" spans="1:55" s="48" customFormat="1" ht="27.75" customHeight="1" outlineLevel="1" x14ac:dyDescent="0.25">
      <c r="A848" s="42">
        <v>12</v>
      </c>
      <c r="B848" s="43" t="s">
        <v>630</v>
      </c>
      <c r="C848" s="44" t="s">
        <v>93</v>
      </c>
      <c r="D848" s="45">
        <v>15</v>
      </c>
      <c r="E848" s="45">
        <v>216.97040000000001</v>
      </c>
      <c r="F848" s="45">
        <f t="shared" si="181"/>
        <v>3254.556</v>
      </c>
      <c r="G848" s="46">
        <f t="shared" si="182"/>
        <v>0</v>
      </c>
      <c r="H848" s="47">
        <f t="shared" si="183"/>
        <v>0</v>
      </c>
      <c r="I848" s="46">
        <f t="shared" si="184"/>
        <v>0</v>
      </c>
      <c r="J848" s="47">
        <v>0</v>
      </c>
      <c r="K848" s="46">
        <f t="shared" si="185"/>
        <v>0</v>
      </c>
      <c r="L848" s="47">
        <v>0</v>
      </c>
      <c r="AZ848" s="49"/>
      <c r="BC848" s="50"/>
    </row>
    <row r="849" spans="1:55" s="48" customFormat="1" ht="15.45" customHeight="1" outlineLevel="1" x14ac:dyDescent="0.25">
      <c r="A849" s="42">
        <v>13</v>
      </c>
      <c r="B849" s="43" t="s">
        <v>631</v>
      </c>
      <c r="C849" s="44" t="s">
        <v>93</v>
      </c>
      <c r="D849" s="45">
        <v>16</v>
      </c>
      <c r="E849" s="45">
        <v>46.1</v>
      </c>
      <c r="F849" s="45">
        <f t="shared" si="181"/>
        <v>737.6</v>
      </c>
      <c r="G849" s="46">
        <f t="shared" si="182"/>
        <v>0</v>
      </c>
      <c r="H849" s="47">
        <f t="shared" si="183"/>
        <v>0</v>
      </c>
      <c r="I849" s="46">
        <f t="shared" si="184"/>
        <v>0</v>
      </c>
      <c r="J849" s="47">
        <v>0</v>
      </c>
      <c r="K849" s="46">
        <f t="shared" si="185"/>
        <v>0</v>
      </c>
      <c r="L849" s="47">
        <v>0</v>
      </c>
      <c r="AZ849" s="49"/>
      <c r="BC849" s="50"/>
    </row>
    <row r="850" spans="1:55" s="48" customFormat="1" ht="15.45" customHeight="1" outlineLevel="1" x14ac:dyDescent="0.25">
      <c r="A850" s="42">
        <v>14</v>
      </c>
      <c r="B850" s="43" t="s">
        <v>632</v>
      </c>
      <c r="C850" s="44" t="s">
        <v>93</v>
      </c>
      <c r="D850" s="45">
        <v>2</v>
      </c>
      <c r="E850" s="45">
        <v>1238.8879999999999</v>
      </c>
      <c r="F850" s="45">
        <f t="shared" si="181"/>
        <v>2477.7759999999998</v>
      </c>
      <c r="G850" s="46">
        <f t="shared" si="182"/>
        <v>0</v>
      </c>
      <c r="H850" s="47">
        <f t="shared" si="183"/>
        <v>0</v>
      </c>
      <c r="I850" s="46">
        <f t="shared" si="184"/>
        <v>0</v>
      </c>
      <c r="J850" s="47">
        <v>0</v>
      </c>
      <c r="K850" s="46">
        <f t="shared" si="185"/>
        <v>0</v>
      </c>
      <c r="L850" s="47">
        <v>0</v>
      </c>
      <c r="AZ850" s="49"/>
      <c r="BC850" s="50"/>
    </row>
    <row r="851" spans="1:55" s="48" customFormat="1" ht="27.75" customHeight="1" outlineLevel="1" x14ac:dyDescent="0.25">
      <c r="A851" s="42">
        <v>15</v>
      </c>
      <c r="B851" s="43" t="s">
        <v>633</v>
      </c>
      <c r="C851" s="44" t="s">
        <v>93</v>
      </c>
      <c r="D851" s="45">
        <v>4</v>
      </c>
      <c r="E851" s="45">
        <v>182.9024</v>
      </c>
      <c r="F851" s="45">
        <f t="shared" si="181"/>
        <v>731.6096</v>
      </c>
      <c r="G851" s="46">
        <f t="shared" si="182"/>
        <v>0</v>
      </c>
      <c r="H851" s="47">
        <f t="shared" si="183"/>
        <v>0</v>
      </c>
      <c r="I851" s="46">
        <f t="shared" si="184"/>
        <v>0</v>
      </c>
      <c r="J851" s="47">
        <v>0</v>
      </c>
      <c r="K851" s="46">
        <f t="shared" si="185"/>
        <v>0</v>
      </c>
      <c r="L851" s="47">
        <v>0</v>
      </c>
      <c r="AZ851" s="49"/>
      <c r="BC851" s="50"/>
    </row>
    <row r="852" spans="1:55" s="48" customFormat="1" ht="15.45" customHeight="1" outlineLevel="1" x14ac:dyDescent="0.25">
      <c r="A852" s="42">
        <v>16</v>
      </c>
      <c r="B852" s="43" t="s">
        <v>634</v>
      </c>
      <c r="C852" s="44" t="s">
        <v>93</v>
      </c>
      <c r="D852" s="45">
        <v>1</v>
      </c>
      <c r="E852" s="45">
        <v>306.77120000000008</v>
      </c>
      <c r="F852" s="45">
        <f t="shared" si="181"/>
        <v>306.77120000000008</v>
      </c>
      <c r="G852" s="46">
        <f t="shared" si="182"/>
        <v>0</v>
      </c>
      <c r="H852" s="47">
        <f t="shared" si="183"/>
        <v>0</v>
      </c>
      <c r="I852" s="46">
        <f t="shared" si="184"/>
        <v>0</v>
      </c>
      <c r="J852" s="47">
        <v>0</v>
      </c>
      <c r="K852" s="46">
        <f t="shared" si="185"/>
        <v>0</v>
      </c>
      <c r="L852" s="47">
        <v>0</v>
      </c>
      <c r="AZ852" s="49"/>
      <c r="BC852" s="50"/>
    </row>
    <row r="853" spans="1:55" s="48" customFormat="1" ht="15.45" customHeight="1" outlineLevel="1" x14ac:dyDescent="0.25">
      <c r="A853" s="42">
        <v>17</v>
      </c>
      <c r="B853" s="43" t="s">
        <v>635</v>
      </c>
      <c r="C853" s="44" t="s">
        <v>93</v>
      </c>
      <c r="D853" s="45">
        <v>6</v>
      </c>
      <c r="E853" s="45">
        <v>359.61739999999998</v>
      </c>
      <c r="F853" s="45">
        <f t="shared" si="181"/>
        <v>2157.7043999999996</v>
      </c>
      <c r="G853" s="46">
        <f t="shared" si="182"/>
        <v>0</v>
      </c>
      <c r="H853" s="47">
        <f t="shared" si="183"/>
        <v>0</v>
      </c>
      <c r="I853" s="46">
        <f t="shared" si="184"/>
        <v>0</v>
      </c>
      <c r="J853" s="47">
        <v>0</v>
      </c>
      <c r="K853" s="46">
        <f t="shared" si="185"/>
        <v>0</v>
      </c>
      <c r="L853" s="47">
        <v>0</v>
      </c>
      <c r="AZ853" s="49"/>
      <c r="BC853" s="50"/>
    </row>
    <row r="854" spans="1:55" s="48" customFormat="1" ht="15.45" customHeight="1" outlineLevel="1" x14ac:dyDescent="0.25">
      <c r="A854" s="42">
        <v>18</v>
      </c>
      <c r="B854" s="43" t="s">
        <v>636</v>
      </c>
      <c r="C854" s="44" t="s">
        <v>93</v>
      </c>
      <c r="D854" s="45">
        <v>1</v>
      </c>
      <c r="E854" s="45">
        <v>476.06060000000002</v>
      </c>
      <c r="F854" s="45">
        <f t="shared" si="181"/>
        <v>476.06060000000002</v>
      </c>
      <c r="G854" s="46">
        <f t="shared" si="182"/>
        <v>0</v>
      </c>
      <c r="H854" s="47">
        <f t="shared" si="183"/>
        <v>0</v>
      </c>
      <c r="I854" s="46">
        <f t="shared" si="184"/>
        <v>0</v>
      </c>
      <c r="J854" s="47">
        <v>0</v>
      </c>
      <c r="K854" s="46">
        <f t="shared" si="185"/>
        <v>0</v>
      </c>
      <c r="L854" s="47">
        <v>0</v>
      </c>
      <c r="AZ854" s="49"/>
      <c r="BC854" s="50"/>
    </row>
    <row r="855" spans="1:55" s="48" customFormat="1" ht="15.45" customHeight="1" outlineLevel="1" x14ac:dyDescent="0.25">
      <c r="A855" s="42">
        <v>19</v>
      </c>
      <c r="B855" s="43" t="s">
        <v>637</v>
      </c>
      <c r="C855" s="44" t="s">
        <v>93</v>
      </c>
      <c r="D855" s="45">
        <v>5</v>
      </c>
      <c r="E855" s="45">
        <v>444.88940000000008</v>
      </c>
      <c r="F855" s="45">
        <f t="shared" si="181"/>
        <v>2224.4470000000006</v>
      </c>
      <c r="G855" s="46">
        <f t="shared" si="182"/>
        <v>0</v>
      </c>
      <c r="H855" s="47">
        <f t="shared" si="183"/>
        <v>0</v>
      </c>
      <c r="I855" s="46">
        <f t="shared" si="184"/>
        <v>0</v>
      </c>
      <c r="J855" s="47">
        <v>0</v>
      </c>
      <c r="K855" s="46">
        <f t="shared" si="185"/>
        <v>0</v>
      </c>
      <c r="L855" s="47">
        <v>0</v>
      </c>
      <c r="AZ855" s="49"/>
      <c r="BC855" s="50"/>
    </row>
    <row r="856" spans="1:55" s="48" customFormat="1" ht="55.5" customHeight="1" outlineLevel="1" x14ac:dyDescent="0.25">
      <c r="A856" s="42">
        <v>20</v>
      </c>
      <c r="B856" s="43" t="s">
        <v>593</v>
      </c>
      <c r="C856" s="44" t="s">
        <v>93</v>
      </c>
      <c r="D856" s="45">
        <v>14</v>
      </c>
      <c r="E856" s="45">
        <v>301.92620000000011</v>
      </c>
      <c r="F856" s="45">
        <f t="shared" si="181"/>
        <v>4226.966800000002</v>
      </c>
      <c r="G856" s="46">
        <f t="shared" si="182"/>
        <v>0</v>
      </c>
      <c r="H856" s="47">
        <f t="shared" si="183"/>
        <v>0</v>
      </c>
      <c r="I856" s="46">
        <f t="shared" si="184"/>
        <v>0</v>
      </c>
      <c r="J856" s="47">
        <v>0</v>
      </c>
      <c r="K856" s="46">
        <f t="shared" si="185"/>
        <v>0</v>
      </c>
      <c r="L856" s="47">
        <v>0</v>
      </c>
      <c r="AZ856" s="49"/>
      <c r="BC856" s="50"/>
    </row>
    <row r="857" spans="1:55" s="48" customFormat="1" ht="15.45" customHeight="1" outlineLevel="1" x14ac:dyDescent="0.25">
      <c r="A857" s="42">
        <v>21</v>
      </c>
      <c r="B857" s="43" t="s">
        <v>638</v>
      </c>
      <c r="C857" s="44" t="s">
        <v>93</v>
      </c>
      <c r="D857" s="45">
        <v>12</v>
      </c>
      <c r="E857" s="45">
        <v>332.1794000000001</v>
      </c>
      <c r="F857" s="45">
        <f t="shared" si="181"/>
        <v>3986.1528000000012</v>
      </c>
      <c r="G857" s="46">
        <f t="shared" si="182"/>
        <v>0</v>
      </c>
      <c r="H857" s="47">
        <f t="shared" si="183"/>
        <v>0</v>
      </c>
      <c r="I857" s="46">
        <f t="shared" si="184"/>
        <v>0</v>
      </c>
      <c r="J857" s="47">
        <v>0</v>
      </c>
      <c r="K857" s="46">
        <f t="shared" si="185"/>
        <v>0</v>
      </c>
      <c r="L857" s="47">
        <v>0</v>
      </c>
      <c r="AZ857" s="49"/>
      <c r="BC857" s="50"/>
    </row>
    <row r="858" spans="1:55" s="48" customFormat="1" ht="15.45" customHeight="1" outlineLevel="1" x14ac:dyDescent="0.25">
      <c r="A858" s="42">
        <v>22</v>
      </c>
      <c r="B858" s="43" t="s">
        <v>595</v>
      </c>
      <c r="C858" s="44" t="s">
        <v>93</v>
      </c>
      <c r="D858" s="45">
        <v>18</v>
      </c>
      <c r="E858" s="45">
        <v>247.9376</v>
      </c>
      <c r="F858" s="45">
        <f t="shared" si="181"/>
        <v>4462.8768</v>
      </c>
      <c r="G858" s="46">
        <f t="shared" si="182"/>
        <v>0</v>
      </c>
      <c r="H858" s="47">
        <f t="shared" si="183"/>
        <v>0</v>
      </c>
      <c r="I858" s="46">
        <f t="shared" si="184"/>
        <v>0</v>
      </c>
      <c r="J858" s="47">
        <v>0</v>
      </c>
      <c r="K858" s="46">
        <f t="shared" si="185"/>
        <v>0</v>
      </c>
      <c r="L858" s="47">
        <v>0</v>
      </c>
      <c r="AZ858" s="49"/>
      <c r="BC858" s="50"/>
    </row>
    <row r="859" spans="1:55" s="48" customFormat="1" ht="15.45" customHeight="1" outlineLevel="1" x14ac:dyDescent="0.25">
      <c r="A859" s="42">
        <v>23</v>
      </c>
      <c r="B859" s="43" t="s">
        <v>639</v>
      </c>
      <c r="C859" s="44" t="s">
        <v>93</v>
      </c>
      <c r="D859" s="45">
        <v>8</v>
      </c>
      <c r="E859" s="45">
        <v>465.22820000000007</v>
      </c>
      <c r="F859" s="45">
        <f t="shared" si="181"/>
        <v>3721.8256000000006</v>
      </c>
      <c r="G859" s="46">
        <f t="shared" si="182"/>
        <v>0</v>
      </c>
      <c r="H859" s="47">
        <f t="shared" si="183"/>
        <v>0</v>
      </c>
      <c r="I859" s="46">
        <f t="shared" si="184"/>
        <v>0</v>
      </c>
      <c r="J859" s="47">
        <v>0</v>
      </c>
      <c r="K859" s="46">
        <f t="shared" si="185"/>
        <v>0</v>
      </c>
      <c r="L859" s="47">
        <v>0</v>
      </c>
      <c r="AZ859" s="49"/>
      <c r="BC859" s="50"/>
    </row>
    <row r="860" spans="1:55" s="48" customFormat="1" ht="15.45" customHeight="1" outlineLevel="1" x14ac:dyDescent="0.25">
      <c r="A860" s="42">
        <v>24</v>
      </c>
      <c r="B860" s="43" t="s">
        <v>587</v>
      </c>
      <c r="C860" s="44" t="s">
        <v>93</v>
      </c>
      <c r="D860" s="45">
        <v>8</v>
      </c>
      <c r="E860" s="45">
        <v>35.267600000000009</v>
      </c>
      <c r="F860" s="45">
        <f t="shared" si="181"/>
        <v>282.14080000000007</v>
      </c>
      <c r="G860" s="46">
        <f t="shared" si="182"/>
        <v>0</v>
      </c>
      <c r="H860" s="47">
        <f t="shared" si="183"/>
        <v>0</v>
      </c>
      <c r="I860" s="46">
        <f t="shared" si="184"/>
        <v>0</v>
      </c>
      <c r="J860" s="47">
        <v>0</v>
      </c>
      <c r="K860" s="46">
        <f t="shared" si="185"/>
        <v>0</v>
      </c>
      <c r="L860" s="47">
        <v>0</v>
      </c>
      <c r="AZ860" s="49"/>
      <c r="BC860" s="50"/>
    </row>
    <row r="861" spans="1:55" s="48" customFormat="1" ht="27.75" customHeight="1" outlineLevel="1" x14ac:dyDescent="0.25">
      <c r="A861" s="42">
        <v>25</v>
      </c>
      <c r="B861" s="43" t="s">
        <v>640</v>
      </c>
      <c r="C861" s="44" t="s">
        <v>93</v>
      </c>
      <c r="D861" s="45">
        <v>24</v>
      </c>
      <c r="E861" s="45">
        <v>182.9024</v>
      </c>
      <c r="F861" s="45">
        <f t="shared" si="181"/>
        <v>4389.6576000000005</v>
      </c>
      <c r="G861" s="46">
        <f t="shared" si="182"/>
        <v>0</v>
      </c>
      <c r="H861" s="47">
        <f t="shared" si="183"/>
        <v>0</v>
      </c>
      <c r="I861" s="46">
        <f t="shared" si="184"/>
        <v>0</v>
      </c>
      <c r="J861" s="47">
        <v>0</v>
      </c>
      <c r="K861" s="46">
        <f t="shared" si="185"/>
        <v>0</v>
      </c>
      <c r="L861" s="47">
        <v>0</v>
      </c>
      <c r="AZ861" s="49"/>
      <c r="BC861" s="50"/>
    </row>
    <row r="862" spans="1:55" s="48" customFormat="1" ht="55.5" customHeight="1" outlineLevel="1" x14ac:dyDescent="0.25">
      <c r="A862" s="42">
        <v>26</v>
      </c>
      <c r="B862" s="43" t="s">
        <v>641</v>
      </c>
      <c r="C862" s="44" t="s">
        <v>93</v>
      </c>
      <c r="D862" s="45">
        <v>6</v>
      </c>
      <c r="E862" s="45">
        <v>238.44139999999999</v>
      </c>
      <c r="F862" s="45">
        <f t="shared" si="181"/>
        <v>1430.6484</v>
      </c>
      <c r="G862" s="46">
        <f t="shared" si="182"/>
        <v>0</v>
      </c>
      <c r="H862" s="47">
        <f t="shared" si="183"/>
        <v>0</v>
      </c>
      <c r="I862" s="46">
        <f t="shared" si="184"/>
        <v>0</v>
      </c>
      <c r="J862" s="47">
        <v>0</v>
      </c>
      <c r="K862" s="46">
        <f t="shared" si="185"/>
        <v>0</v>
      </c>
      <c r="L862" s="47">
        <v>0</v>
      </c>
      <c r="AZ862" s="49"/>
      <c r="BC862" s="50"/>
    </row>
    <row r="863" spans="1:55" s="59" customFormat="1" ht="17.7" customHeight="1" outlineLevel="1" x14ac:dyDescent="0.35">
      <c r="A863" s="42">
        <v>27</v>
      </c>
      <c r="B863" s="43" t="s">
        <v>642</v>
      </c>
      <c r="C863" s="44" t="s">
        <v>93</v>
      </c>
      <c r="D863" s="45">
        <v>1</v>
      </c>
      <c r="E863" s="45">
        <v>1808.6804</v>
      </c>
      <c r="F863" s="45">
        <f t="shared" si="181"/>
        <v>1808.6804</v>
      </c>
      <c r="G863" s="46">
        <f t="shared" si="182"/>
        <v>0</v>
      </c>
      <c r="H863" s="47">
        <f t="shared" si="183"/>
        <v>0</v>
      </c>
      <c r="I863" s="46">
        <f t="shared" si="184"/>
        <v>0</v>
      </c>
      <c r="J863" s="47">
        <v>0</v>
      </c>
      <c r="K863" s="46">
        <f t="shared" si="185"/>
        <v>0</v>
      </c>
      <c r="L863" s="47">
        <v>0</v>
      </c>
      <c r="AZ863" s="60"/>
      <c r="BC863" s="61"/>
    </row>
    <row r="864" spans="1:55" s="48" customFormat="1" ht="27.75" customHeight="1" outlineLevel="1" x14ac:dyDescent="0.25">
      <c r="A864" s="42">
        <v>28</v>
      </c>
      <c r="B864" s="43" t="s">
        <v>643</v>
      </c>
      <c r="C864" s="44" t="s">
        <v>93</v>
      </c>
      <c r="D864" s="45">
        <v>7</v>
      </c>
      <c r="E864" s="45">
        <v>277.87459999999999</v>
      </c>
      <c r="F864" s="45">
        <f t="shared" si="181"/>
        <v>1945.1221999999998</v>
      </c>
      <c r="G864" s="46">
        <f t="shared" si="182"/>
        <v>0</v>
      </c>
      <c r="H864" s="47">
        <f t="shared" si="183"/>
        <v>0</v>
      </c>
      <c r="I864" s="46">
        <f t="shared" si="184"/>
        <v>0</v>
      </c>
      <c r="J864" s="47">
        <v>0</v>
      </c>
      <c r="K864" s="46">
        <f t="shared" si="185"/>
        <v>0</v>
      </c>
      <c r="L864" s="47">
        <v>0</v>
      </c>
      <c r="AZ864" s="49"/>
      <c r="BC864" s="50"/>
    </row>
    <row r="865" spans="1:55" s="48" customFormat="1" ht="15.45" customHeight="1" outlineLevel="1" x14ac:dyDescent="0.25">
      <c r="A865" s="42">
        <v>29</v>
      </c>
      <c r="B865" s="43" t="s">
        <v>644</v>
      </c>
      <c r="C865" s="44" t="s">
        <v>93</v>
      </c>
      <c r="D865" s="45">
        <v>55</v>
      </c>
      <c r="E865" s="45">
        <v>318.13400000000001</v>
      </c>
      <c r="F865" s="45">
        <f t="shared" si="181"/>
        <v>17497.370000000003</v>
      </c>
      <c r="G865" s="46">
        <f t="shared" si="182"/>
        <v>0</v>
      </c>
      <c r="H865" s="47">
        <f t="shared" si="183"/>
        <v>0</v>
      </c>
      <c r="I865" s="46">
        <f t="shared" si="184"/>
        <v>0</v>
      </c>
      <c r="J865" s="47">
        <v>0</v>
      </c>
      <c r="K865" s="46">
        <f t="shared" si="185"/>
        <v>0</v>
      </c>
      <c r="L865" s="47">
        <v>0</v>
      </c>
      <c r="AZ865" s="49"/>
      <c r="BC865" s="50"/>
    </row>
    <row r="866" spans="1:55" s="48" customFormat="1" ht="15.45" customHeight="1" outlineLevel="1" x14ac:dyDescent="0.25">
      <c r="A866" s="42">
        <v>30</v>
      </c>
      <c r="B866" s="43" t="s">
        <v>585</v>
      </c>
      <c r="C866" s="44" t="s">
        <v>234</v>
      </c>
      <c r="D866" s="45">
        <v>7</v>
      </c>
      <c r="E866" s="45">
        <v>31.41200000000001</v>
      </c>
      <c r="F866" s="45">
        <f t="shared" si="181"/>
        <v>219.88400000000007</v>
      </c>
      <c r="G866" s="46">
        <f t="shared" si="182"/>
        <v>0</v>
      </c>
      <c r="H866" s="47">
        <f t="shared" si="183"/>
        <v>0</v>
      </c>
      <c r="I866" s="46">
        <f t="shared" si="184"/>
        <v>0</v>
      </c>
      <c r="J866" s="47">
        <v>0</v>
      </c>
      <c r="K866" s="46">
        <f t="shared" si="185"/>
        <v>0</v>
      </c>
      <c r="L866" s="47">
        <v>0</v>
      </c>
      <c r="AZ866" s="49"/>
      <c r="BC866" s="50"/>
    </row>
    <row r="867" spans="1:55" s="48" customFormat="1" ht="15.45" customHeight="1" outlineLevel="1" x14ac:dyDescent="0.25">
      <c r="A867" s="42">
        <v>31</v>
      </c>
      <c r="B867" s="43" t="s">
        <v>571</v>
      </c>
      <c r="C867" s="44" t="s">
        <v>645</v>
      </c>
      <c r="D867" s="45">
        <v>1</v>
      </c>
      <c r="E867" s="45">
        <v>247.9376</v>
      </c>
      <c r="F867" s="45">
        <f t="shared" si="181"/>
        <v>247.9376</v>
      </c>
      <c r="G867" s="46">
        <f t="shared" si="182"/>
        <v>0</v>
      </c>
      <c r="H867" s="47">
        <f t="shared" si="183"/>
        <v>0</v>
      </c>
      <c r="I867" s="46">
        <f t="shared" si="184"/>
        <v>0</v>
      </c>
      <c r="J867" s="47">
        <v>0</v>
      </c>
      <c r="K867" s="46">
        <f t="shared" si="185"/>
        <v>0</v>
      </c>
      <c r="L867" s="47">
        <v>0</v>
      </c>
      <c r="AZ867" s="49"/>
      <c r="BC867" s="50"/>
    </row>
    <row r="868" spans="1:55" s="48" customFormat="1" ht="15.45" customHeight="1" outlineLevel="1" x14ac:dyDescent="0.25">
      <c r="A868" s="42">
        <v>32</v>
      </c>
      <c r="B868" s="43" t="s">
        <v>573</v>
      </c>
      <c r="C868" s="44" t="s">
        <v>93</v>
      </c>
      <c r="D868" s="45">
        <v>1</v>
      </c>
      <c r="E868" s="45">
        <v>130.2602</v>
      </c>
      <c r="F868" s="45">
        <f t="shared" si="181"/>
        <v>130.2602</v>
      </c>
      <c r="G868" s="46">
        <f t="shared" si="182"/>
        <v>0</v>
      </c>
      <c r="H868" s="47">
        <f t="shared" si="183"/>
        <v>0</v>
      </c>
      <c r="I868" s="46">
        <f t="shared" si="184"/>
        <v>0</v>
      </c>
      <c r="J868" s="47">
        <v>0</v>
      </c>
      <c r="K868" s="46">
        <f t="shared" si="185"/>
        <v>0</v>
      </c>
      <c r="L868" s="47">
        <v>0</v>
      </c>
      <c r="AZ868" s="49"/>
      <c r="BC868" s="50"/>
    </row>
    <row r="869" spans="1:55" s="48" customFormat="1" ht="15.45" customHeight="1" outlineLevel="1" x14ac:dyDescent="0.25">
      <c r="A869" s="42">
        <v>33</v>
      </c>
      <c r="B869" s="43" t="s">
        <v>574</v>
      </c>
      <c r="C869" s="44" t="s">
        <v>93</v>
      </c>
      <c r="D869" s="45">
        <v>1</v>
      </c>
      <c r="E869" s="45">
        <v>195.2954</v>
      </c>
      <c r="F869" s="45">
        <f t="shared" si="181"/>
        <v>195.2954</v>
      </c>
      <c r="G869" s="46">
        <f t="shared" si="182"/>
        <v>0</v>
      </c>
      <c r="H869" s="47">
        <f t="shared" si="183"/>
        <v>0</v>
      </c>
      <c r="I869" s="46">
        <f t="shared" si="184"/>
        <v>0</v>
      </c>
      <c r="J869" s="47">
        <v>0</v>
      </c>
      <c r="K869" s="46">
        <f t="shared" si="185"/>
        <v>0</v>
      </c>
      <c r="L869" s="47">
        <v>0</v>
      </c>
      <c r="AZ869" s="49"/>
      <c r="BC869" s="50"/>
    </row>
    <row r="870" spans="1:55" s="59" customFormat="1" ht="17.7" customHeight="1" outlineLevel="1" x14ac:dyDescent="0.35">
      <c r="A870" s="42">
        <v>34</v>
      </c>
      <c r="B870" s="43" t="s">
        <v>575</v>
      </c>
      <c r="C870" s="44" t="s">
        <v>93</v>
      </c>
      <c r="D870" s="45">
        <v>1</v>
      </c>
      <c r="E870" s="45">
        <v>122.6</v>
      </c>
      <c r="F870" s="45">
        <f t="shared" si="181"/>
        <v>122.6</v>
      </c>
      <c r="G870" s="46">
        <f t="shared" si="182"/>
        <v>0</v>
      </c>
      <c r="H870" s="47">
        <f t="shared" si="183"/>
        <v>0</v>
      </c>
      <c r="I870" s="46">
        <f t="shared" si="184"/>
        <v>0</v>
      </c>
      <c r="J870" s="47">
        <v>0</v>
      </c>
      <c r="K870" s="46">
        <f t="shared" si="185"/>
        <v>0</v>
      </c>
      <c r="L870" s="47">
        <v>0</v>
      </c>
      <c r="AZ870" s="60"/>
      <c r="BC870" s="61"/>
    </row>
    <row r="871" spans="1:55" s="48" customFormat="1" ht="27.75" customHeight="1" outlineLevel="1" x14ac:dyDescent="0.25">
      <c r="A871" s="42">
        <v>35</v>
      </c>
      <c r="B871" s="43" t="s">
        <v>576</v>
      </c>
      <c r="C871" s="44" t="s">
        <v>93</v>
      </c>
      <c r="D871" s="45">
        <v>1</v>
      </c>
      <c r="E871" s="45">
        <v>671.15600000000006</v>
      </c>
      <c r="F871" s="45">
        <f t="shared" si="181"/>
        <v>671.15600000000006</v>
      </c>
      <c r="G871" s="46">
        <f t="shared" si="182"/>
        <v>0</v>
      </c>
      <c r="H871" s="47">
        <f t="shared" si="183"/>
        <v>0</v>
      </c>
      <c r="I871" s="46">
        <f t="shared" si="184"/>
        <v>0</v>
      </c>
      <c r="J871" s="47">
        <v>0</v>
      </c>
      <c r="K871" s="46">
        <f t="shared" si="185"/>
        <v>0</v>
      </c>
      <c r="L871" s="47">
        <v>0</v>
      </c>
      <c r="AZ871" s="49"/>
      <c r="BC871" s="50"/>
    </row>
    <row r="872" spans="1:55" s="56" customFormat="1" ht="17.25" customHeight="1" x14ac:dyDescent="0.3">
      <c r="A872" s="31">
        <v>3.1</v>
      </c>
      <c r="B872" s="51" t="s">
        <v>646</v>
      </c>
      <c r="C872" s="52">
        <v>0</v>
      </c>
      <c r="D872" s="53"/>
      <c r="E872" s="53"/>
      <c r="F872" s="53"/>
      <c r="G872" s="54"/>
      <c r="H872" s="55"/>
      <c r="I872" s="54"/>
      <c r="J872" s="55"/>
      <c r="K872" s="54"/>
      <c r="L872" s="55">
        <v>0</v>
      </c>
      <c r="AZ872" s="57"/>
      <c r="BC872" s="58"/>
    </row>
    <row r="873" spans="1:55" s="48" customFormat="1" ht="27.75" customHeight="1" outlineLevel="1" x14ac:dyDescent="0.25">
      <c r="A873" s="42">
        <v>1</v>
      </c>
      <c r="B873" s="43" t="s">
        <v>647</v>
      </c>
      <c r="C873" s="44" t="s">
        <v>110</v>
      </c>
      <c r="D873" s="45">
        <v>32</v>
      </c>
      <c r="E873" s="45">
        <v>0.9</v>
      </c>
      <c r="F873" s="45">
        <f>+E873*D873</f>
        <v>28.8</v>
      </c>
      <c r="G873" s="46">
        <f t="shared" ref="G873:H877" si="186">I873+K873</f>
        <v>0</v>
      </c>
      <c r="H873" s="47">
        <f t="shared" si="186"/>
        <v>0</v>
      </c>
      <c r="I873" s="46">
        <f>J873/F873</f>
        <v>0</v>
      </c>
      <c r="J873" s="47">
        <v>0</v>
      </c>
      <c r="K873" s="46">
        <f>L873/F873</f>
        <v>0</v>
      </c>
      <c r="L873" s="47">
        <v>0</v>
      </c>
      <c r="AZ873" s="49"/>
      <c r="BC873" s="50"/>
    </row>
    <row r="874" spans="1:55" s="48" customFormat="1" ht="27.75" customHeight="1" outlineLevel="1" x14ac:dyDescent="0.25">
      <c r="A874" s="42">
        <v>2</v>
      </c>
      <c r="B874" s="43" t="s">
        <v>648</v>
      </c>
      <c r="C874" s="44" t="s">
        <v>110</v>
      </c>
      <c r="D874" s="45">
        <v>1</v>
      </c>
      <c r="E874" s="45">
        <v>8.9600000000000009</v>
      </c>
      <c r="F874" s="45">
        <f>+E874*D874</f>
        <v>8.9600000000000009</v>
      </c>
      <c r="G874" s="46">
        <f t="shared" si="186"/>
        <v>0</v>
      </c>
      <c r="H874" s="47">
        <f t="shared" si="186"/>
        <v>0</v>
      </c>
      <c r="I874" s="46">
        <f>J874/F874</f>
        <v>0</v>
      </c>
      <c r="J874" s="47">
        <v>0</v>
      </c>
      <c r="K874" s="46">
        <f>L874/F874</f>
        <v>0</v>
      </c>
      <c r="L874" s="47">
        <v>0</v>
      </c>
      <c r="AZ874" s="49"/>
      <c r="BC874" s="50"/>
    </row>
    <row r="875" spans="1:55" s="48" customFormat="1" ht="27.75" customHeight="1" outlineLevel="1" x14ac:dyDescent="0.25">
      <c r="A875" s="42">
        <v>3</v>
      </c>
      <c r="B875" s="43" t="s">
        <v>649</v>
      </c>
      <c r="C875" s="44" t="s">
        <v>110</v>
      </c>
      <c r="D875" s="45">
        <v>21</v>
      </c>
      <c r="E875" s="45">
        <v>0.9</v>
      </c>
      <c r="F875" s="45">
        <f>+E875*D875</f>
        <v>18.900000000000002</v>
      </c>
      <c r="G875" s="46">
        <f t="shared" si="186"/>
        <v>0</v>
      </c>
      <c r="H875" s="47">
        <f t="shared" si="186"/>
        <v>0</v>
      </c>
      <c r="I875" s="46">
        <f>J875/F875</f>
        <v>0</v>
      </c>
      <c r="J875" s="47">
        <v>0</v>
      </c>
      <c r="K875" s="46">
        <f>L875/F875</f>
        <v>0</v>
      </c>
      <c r="L875" s="47">
        <v>0</v>
      </c>
      <c r="AZ875" s="49"/>
      <c r="BC875" s="50"/>
    </row>
    <row r="876" spans="1:55" s="48" customFormat="1" ht="15.45" customHeight="1" outlineLevel="1" x14ac:dyDescent="0.25">
      <c r="A876" s="42">
        <v>4</v>
      </c>
      <c r="B876" s="43" t="s">
        <v>37</v>
      </c>
      <c r="C876" s="44" t="s">
        <v>110</v>
      </c>
      <c r="D876" s="45">
        <v>21</v>
      </c>
      <c r="E876" s="45">
        <v>2</v>
      </c>
      <c r="F876" s="45">
        <f>+E876*D876</f>
        <v>42</v>
      </c>
      <c r="G876" s="46">
        <f t="shared" si="186"/>
        <v>0</v>
      </c>
      <c r="H876" s="47">
        <f t="shared" si="186"/>
        <v>0</v>
      </c>
      <c r="I876" s="46">
        <f>J876/F876</f>
        <v>0</v>
      </c>
      <c r="J876" s="47">
        <v>0</v>
      </c>
      <c r="K876" s="46">
        <f>L876/F876</f>
        <v>0</v>
      </c>
      <c r="L876" s="47">
        <v>0</v>
      </c>
      <c r="AZ876" s="49"/>
      <c r="BC876" s="50"/>
    </row>
    <row r="877" spans="1:55" s="48" customFormat="1" ht="15.45" customHeight="1" outlineLevel="1" x14ac:dyDescent="0.25">
      <c r="A877" s="42">
        <v>5</v>
      </c>
      <c r="B877" s="43" t="s">
        <v>166</v>
      </c>
      <c r="C877" s="44" t="s">
        <v>110</v>
      </c>
      <c r="D877" s="45">
        <v>5</v>
      </c>
      <c r="E877" s="45">
        <v>8.16</v>
      </c>
      <c r="F877" s="45">
        <f>+E877*D877</f>
        <v>40.799999999999997</v>
      </c>
      <c r="G877" s="46">
        <f t="shared" si="186"/>
        <v>0</v>
      </c>
      <c r="H877" s="47">
        <f t="shared" si="186"/>
        <v>0</v>
      </c>
      <c r="I877" s="46">
        <f>J877/F877</f>
        <v>0</v>
      </c>
      <c r="J877" s="47">
        <v>0</v>
      </c>
      <c r="K877" s="46">
        <f>L877/F877</f>
        <v>0</v>
      </c>
      <c r="L877" s="47">
        <v>0</v>
      </c>
      <c r="AZ877" s="49"/>
      <c r="BC877" s="50"/>
    </row>
    <row r="878" spans="1:55" s="56" customFormat="1" ht="17.25" customHeight="1" x14ac:dyDescent="0.3">
      <c r="A878" s="31">
        <v>3.2</v>
      </c>
      <c r="B878" s="51" t="s">
        <v>650</v>
      </c>
      <c r="C878" s="52">
        <v>0</v>
      </c>
      <c r="D878" s="53"/>
      <c r="E878" s="53"/>
      <c r="F878" s="53"/>
      <c r="G878" s="54"/>
      <c r="H878" s="55"/>
      <c r="I878" s="54"/>
      <c r="J878" s="55"/>
      <c r="K878" s="54"/>
      <c r="L878" s="55">
        <v>0</v>
      </c>
      <c r="AZ878" s="57"/>
      <c r="BC878" s="58"/>
    </row>
    <row r="879" spans="1:55" s="48" customFormat="1" ht="15.45" customHeight="1" outlineLevel="1" x14ac:dyDescent="0.25">
      <c r="A879" s="42">
        <v>1</v>
      </c>
      <c r="B879" s="43" t="s">
        <v>39</v>
      </c>
      <c r="C879" s="44" t="s">
        <v>110</v>
      </c>
      <c r="D879" s="45">
        <v>2.9</v>
      </c>
      <c r="E879" s="45">
        <v>36.5</v>
      </c>
      <c r="F879" s="45">
        <f t="shared" ref="F879:F888" si="187">+E879*D879</f>
        <v>105.85</v>
      </c>
      <c r="G879" s="46">
        <f t="shared" ref="G879:G888" si="188">I879+K879</f>
        <v>0</v>
      </c>
      <c r="H879" s="47">
        <f t="shared" ref="H879:H888" si="189">J879+L879</f>
        <v>0</v>
      </c>
      <c r="I879" s="46">
        <f t="shared" ref="I879:I888" si="190">J879/F879</f>
        <v>0</v>
      </c>
      <c r="J879" s="47">
        <v>0</v>
      </c>
      <c r="K879" s="46">
        <f t="shared" ref="K879:K888" si="191">L879/F879</f>
        <v>0</v>
      </c>
      <c r="L879" s="47">
        <v>0</v>
      </c>
      <c r="AZ879" s="49"/>
      <c r="BC879" s="50"/>
    </row>
    <row r="880" spans="1:55" s="48" customFormat="1" ht="15.45" customHeight="1" outlineLevel="1" x14ac:dyDescent="0.25">
      <c r="A880" s="42">
        <v>2</v>
      </c>
      <c r="B880" s="43" t="s">
        <v>170</v>
      </c>
      <c r="C880" s="44" t="s">
        <v>110</v>
      </c>
      <c r="D880" s="45">
        <v>2.9</v>
      </c>
      <c r="E880" s="45">
        <v>26.72</v>
      </c>
      <c r="F880" s="45">
        <f t="shared" si="187"/>
        <v>77.488</v>
      </c>
      <c r="G880" s="46">
        <f t="shared" si="188"/>
        <v>0</v>
      </c>
      <c r="H880" s="47">
        <f t="shared" si="189"/>
        <v>0</v>
      </c>
      <c r="I880" s="46">
        <f t="shared" si="190"/>
        <v>0</v>
      </c>
      <c r="J880" s="47">
        <v>0</v>
      </c>
      <c r="K880" s="46">
        <f t="shared" si="191"/>
        <v>0</v>
      </c>
      <c r="L880" s="47">
        <v>0</v>
      </c>
      <c r="AZ880" s="49"/>
      <c r="BC880" s="50"/>
    </row>
    <row r="881" spans="1:55" s="48" customFormat="1" ht="15.45" customHeight="1" outlineLevel="1" x14ac:dyDescent="0.25">
      <c r="A881" s="42">
        <v>3</v>
      </c>
      <c r="B881" s="43" t="s">
        <v>40</v>
      </c>
      <c r="C881" s="44" t="s">
        <v>110</v>
      </c>
      <c r="D881" s="45">
        <v>0.64</v>
      </c>
      <c r="E881" s="45">
        <v>124.1</v>
      </c>
      <c r="F881" s="45">
        <f t="shared" si="187"/>
        <v>79.423999999999992</v>
      </c>
      <c r="G881" s="46">
        <f t="shared" si="188"/>
        <v>0</v>
      </c>
      <c r="H881" s="47">
        <f t="shared" si="189"/>
        <v>0</v>
      </c>
      <c r="I881" s="46">
        <f t="shared" si="190"/>
        <v>0</v>
      </c>
      <c r="J881" s="47">
        <v>0</v>
      </c>
      <c r="K881" s="46">
        <f t="shared" si="191"/>
        <v>0</v>
      </c>
      <c r="L881" s="47">
        <v>0</v>
      </c>
      <c r="AZ881" s="49"/>
      <c r="BC881" s="50"/>
    </row>
    <row r="882" spans="1:55" s="48" customFormat="1" ht="27.75" customHeight="1" outlineLevel="1" x14ac:dyDescent="0.25">
      <c r="A882" s="42">
        <v>4</v>
      </c>
      <c r="B882" s="43" t="s">
        <v>41</v>
      </c>
      <c r="C882" s="44" t="s">
        <v>110</v>
      </c>
      <c r="D882" s="45">
        <v>1.92</v>
      </c>
      <c r="E882" s="45">
        <v>177.7</v>
      </c>
      <c r="F882" s="45">
        <f t="shared" si="187"/>
        <v>341.18399999999997</v>
      </c>
      <c r="G882" s="46">
        <f t="shared" si="188"/>
        <v>0</v>
      </c>
      <c r="H882" s="47">
        <f t="shared" si="189"/>
        <v>0</v>
      </c>
      <c r="I882" s="46">
        <f t="shared" si="190"/>
        <v>0</v>
      </c>
      <c r="J882" s="47">
        <v>0</v>
      </c>
      <c r="K882" s="46">
        <f t="shared" si="191"/>
        <v>0</v>
      </c>
      <c r="L882" s="47">
        <v>0</v>
      </c>
      <c r="AZ882" s="49"/>
      <c r="BC882" s="50"/>
    </row>
    <row r="883" spans="1:55" s="48" customFormat="1" ht="15.45" customHeight="1" outlineLevel="1" x14ac:dyDescent="0.25">
      <c r="A883" s="42">
        <v>5</v>
      </c>
      <c r="B883" s="43" t="s">
        <v>651</v>
      </c>
      <c r="C883" s="44" t="s">
        <v>28</v>
      </c>
      <c r="D883" s="45">
        <v>3.4000000000000002E-2</v>
      </c>
      <c r="E883" s="45">
        <v>1325.1</v>
      </c>
      <c r="F883" s="45">
        <f t="shared" si="187"/>
        <v>45.053400000000003</v>
      </c>
      <c r="G883" s="46">
        <f t="shared" si="188"/>
        <v>0</v>
      </c>
      <c r="H883" s="47">
        <f t="shared" si="189"/>
        <v>0</v>
      </c>
      <c r="I883" s="46">
        <f t="shared" si="190"/>
        <v>0</v>
      </c>
      <c r="J883" s="47">
        <v>0</v>
      </c>
      <c r="K883" s="46">
        <f t="shared" si="191"/>
        <v>0</v>
      </c>
      <c r="L883" s="47">
        <v>0</v>
      </c>
      <c r="AZ883" s="49"/>
      <c r="BC883" s="50"/>
    </row>
    <row r="884" spans="1:55" s="48" customFormat="1" ht="15.45" customHeight="1" outlineLevel="1" x14ac:dyDescent="0.25">
      <c r="A884" s="42">
        <v>6</v>
      </c>
      <c r="B884" s="43" t="s">
        <v>652</v>
      </c>
      <c r="C884" s="44" t="s">
        <v>28</v>
      </c>
      <c r="D884" s="45">
        <v>9.1999999999999998E-2</v>
      </c>
      <c r="E884" s="45">
        <v>1200.0999999999999</v>
      </c>
      <c r="F884" s="45">
        <f t="shared" si="187"/>
        <v>110.40919999999998</v>
      </c>
      <c r="G884" s="46">
        <f t="shared" si="188"/>
        <v>0</v>
      </c>
      <c r="H884" s="47">
        <f t="shared" si="189"/>
        <v>0</v>
      </c>
      <c r="I884" s="46">
        <f t="shared" si="190"/>
        <v>0</v>
      </c>
      <c r="J884" s="47">
        <v>0</v>
      </c>
      <c r="K884" s="46">
        <f t="shared" si="191"/>
        <v>0</v>
      </c>
      <c r="L884" s="47">
        <v>0</v>
      </c>
      <c r="AZ884" s="49"/>
      <c r="BC884" s="50"/>
    </row>
    <row r="885" spans="1:55" s="48" customFormat="1" ht="27.75" customHeight="1" outlineLevel="1" x14ac:dyDescent="0.25">
      <c r="A885" s="42">
        <v>7</v>
      </c>
      <c r="B885" s="43" t="s">
        <v>653</v>
      </c>
      <c r="C885" s="44" t="s">
        <v>98</v>
      </c>
      <c r="D885" s="45">
        <v>7</v>
      </c>
      <c r="E885" s="45">
        <v>52.936000000000007</v>
      </c>
      <c r="F885" s="45">
        <f t="shared" si="187"/>
        <v>370.55200000000002</v>
      </c>
      <c r="G885" s="46">
        <f t="shared" si="188"/>
        <v>0</v>
      </c>
      <c r="H885" s="47">
        <f t="shared" si="189"/>
        <v>0</v>
      </c>
      <c r="I885" s="46">
        <f t="shared" si="190"/>
        <v>0</v>
      </c>
      <c r="J885" s="47">
        <v>0</v>
      </c>
      <c r="K885" s="46">
        <f t="shared" si="191"/>
        <v>0</v>
      </c>
      <c r="L885" s="47">
        <v>0</v>
      </c>
      <c r="AZ885" s="49"/>
      <c r="BC885" s="50"/>
    </row>
    <row r="886" spans="1:55" s="48" customFormat="1" ht="27.75" customHeight="1" outlineLevel="1" x14ac:dyDescent="0.25">
      <c r="A886" s="42">
        <v>8</v>
      </c>
      <c r="B886" s="43" t="s">
        <v>49</v>
      </c>
      <c r="C886" s="44" t="s">
        <v>98</v>
      </c>
      <c r="D886" s="45">
        <v>21</v>
      </c>
      <c r="E886" s="45">
        <v>3.67</v>
      </c>
      <c r="F886" s="45">
        <f t="shared" si="187"/>
        <v>77.069999999999993</v>
      </c>
      <c r="G886" s="46">
        <f t="shared" si="188"/>
        <v>0</v>
      </c>
      <c r="H886" s="47">
        <f t="shared" si="189"/>
        <v>0</v>
      </c>
      <c r="I886" s="46">
        <f t="shared" si="190"/>
        <v>0</v>
      </c>
      <c r="J886" s="47">
        <v>0</v>
      </c>
      <c r="K886" s="46">
        <f t="shared" si="191"/>
        <v>0</v>
      </c>
      <c r="L886" s="47">
        <v>0</v>
      </c>
      <c r="AZ886" s="49"/>
      <c r="BC886" s="50"/>
    </row>
    <row r="887" spans="1:55" s="48" customFormat="1" ht="15.45" customHeight="1" outlineLevel="1" x14ac:dyDescent="0.25">
      <c r="A887" s="42">
        <v>9</v>
      </c>
      <c r="B887" s="43" t="s">
        <v>167</v>
      </c>
      <c r="C887" s="44" t="s">
        <v>110</v>
      </c>
      <c r="D887" s="45">
        <v>0.25600000000000001</v>
      </c>
      <c r="E887" s="45">
        <v>36.616</v>
      </c>
      <c r="F887" s="45">
        <f t="shared" si="187"/>
        <v>9.3736960000000007</v>
      </c>
      <c r="G887" s="46">
        <f t="shared" si="188"/>
        <v>0</v>
      </c>
      <c r="H887" s="47">
        <f t="shared" si="189"/>
        <v>0</v>
      </c>
      <c r="I887" s="46">
        <f t="shared" si="190"/>
        <v>0</v>
      </c>
      <c r="J887" s="47">
        <v>0</v>
      </c>
      <c r="K887" s="46">
        <f t="shared" si="191"/>
        <v>0</v>
      </c>
      <c r="L887" s="47">
        <v>0</v>
      </c>
      <c r="AZ887" s="49"/>
      <c r="BC887" s="50"/>
    </row>
    <row r="888" spans="1:55" s="48" customFormat="1" ht="15.45" customHeight="1" outlineLevel="1" x14ac:dyDescent="0.25">
      <c r="A888" s="42">
        <v>10</v>
      </c>
      <c r="B888" s="43" t="s">
        <v>654</v>
      </c>
      <c r="C888" s="44" t="s">
        <v>110</v>
      </c>
      <c r="D888" s="45">
        <v>0.25600000000000001</v>
      </c>
      <c r="E888" s="45">
        <v>125.8456</v>
      </c>
      <c r="F888" s="45">
        <f t="shared" si="187"/>
        <v>32.2164736</v>
      </c>
      <c r="G888" s="46">
        <f t="shared" si="188"/>
        <v>0</v>
      </c>
      <c r="H888" s="47">
        <f t="shared" si="189"/>
        <v>0</v>
      </c>
      <c r="I888" s="46">
        <f t="shared" si="190"/>
        <v>0</v>
      </c>
      <c r="J888" s="47">
        <v>0</v>
      </c>
      <c r="K888" s="46">
        <f t="shared" si="191"/>
        <v>0</v>
      </c>
      <c r="L888" s="47">
        <v>0</v>
      </c>
      <c r="AZ888" s="49"/>
      <c r="BC888" s="50"/>
    </row>
    <row r="889" spans="1:55" s="56" customFormat="1" ht="17.25" customHeight="1" x14ac:dyDescent="0.3">
      <c r="A889" s="31">
        <v>3.3</v>
      </c>
      <c r="B889" s="51" t="s">
        <v>655</v>
      </c>
      <c r="C889" s="52">
        <v>0</v>
      </c>
      <c r="D889" s="53"/>
      <c r="E889" s="53"/>
      <c r="F889" s="53"/>
      <c r="G889" s="54"/>
      <c r="H889" s="55"/>
      <c r="I889" s="54"/>
      <c r="J889" s="55"/>
      <c r="K889" s="54"/>
      <c r="L889" s="55">
        <v>0</v>
      </c>
      <c r="AZ889" s="57"/>
      <c r="BC889" s="58"/>
    </row>
    <row r="890" spans="1:55" s="48" customFormat="1" ht="27.75" customHeight="1" outlineLevel="1" x14ac:dyDescent="0.25">
      <c r="A890" s="42">
        <v>1</v>
      </c>
      <c r="B890" s="43" t="s">
        <v>656</v>
      </c>
      <c r="C890" s="44" t="s">
        <v>110</v>
      </c>
      <c r="D890" s="45">
        <v>1.56</v>
      </c>
      <c r="E890" s="45">
        <v>271.50400000000002</v>
      </c>
      <c r="F890" s="45">
        <f t="shared" ref="F890:F904" si="192">+E890*D890</f>
        <v>423.54624000000007</v>
      </c>
      <c r="G890" s="46">
        <f t="shared" ref="G890:G904" si="193">I890+K890</f>
        <v>0</v>
      </c>
      <c r="H890" s="47">
        <f t="shared" ref="H890:H904" si="194">J890+L890</f>
        <v>0</v>
      </c>
      <c r="I890" s="46">
        <f t="shared" ref="I890:I904" si="195">J890/F890</f>
        <v>0</v>
      </c>
      <c r="J890" s="47">
        <v>0</v>
      </c>
      <c r="K890" s="46">
        <f t="shared" ref="K890:K904" si="196">L890/F890</f>
        <v>0</v>
      </c>
      <c r="L890" s="47">
        <v>0</v>
      </c>
      <c r="AZ890" s="49"/>
      <c r="BC890" s="50"/>
    </row>
    <row r="891" spans="1:55" s="48" customFormat="1" ht="15.45" customHeight="1" outlineLevel="1" x14ac:dyDescent="0.25">
      <c r="A891" s="42">
        <v>2</v>
      </c>
      <c r="B891" s="43" t="s">
        <v>42</v>
      </c>
      <c r="C891" s="44" t="s">
        <v>28</v>
      </c>
      <c r="D891" s="45">
        <v>0.111</v>
      </c>
      <c r="E891" s="45">
        <v>1325.1</v>
      </c>
      <c r="F891" s="45">
        <f t="shared" si="192"/>
        <v>147.08609999999999</v>
      </c>
      <c r="G891" s="46">
        <f t="shared" si="193"/>
        <v>0</v>
      </c>
      <c r="H891" s="47">
        <f t="shared" si="194"/>
        <v>0</v>
      </c>
      <c r="I891" s="46">
        <f t="shared" si="195"/>
        <v>0</v>
      </c>
      <c r="J891" s="47">
        <v>0</v>
      </c>
      <c r="K891" s="46">
        <f t="shared" si="196"/>
        <v>0</v>
      </c>
      <c r="L891" s="47">
        <v>0</v>
      </c>
      <c r="AZ891" s="49"/>
      <c r="BC891" s="50"/>
    </row>
    <row r="892" spans="1:55" s="48" customFormat="1" ht="15.45" customHeight="1" outlineLevel="1" x14ac:dyDescent="0.25">
      <c r="A892" s="42">
        <v>3</v>
      </c>
      <c r="B892" s="43" t="s">
        <v>43</v>
      </c>
      <c r="C892" s="44" t="s">
        <v>28</v>
      </c>
      <c r="D892" s="45">
        <v>7.1999999999999995E-2</v>
      </c>
      <c r="E892" s="45">
        <v>1200.0999999999999</v>
      </c>
      <c r="F892" s="45">
        <f t="shared" si="192"/>
        <v>86.407199999999989</v>
      </c>
      <c r="G892" s="46">
        <f t="shared" si="193"/>
        <v>0</v>
      </c>
      <c r="H892" s="47">
        <f t="shared" si="194"/>
        <v>0</v>
      </c>
      <c r="I892" s="46">
        <f t="shared" si="195"/>
        <v>0</v>
      </c>
      <c r="J892" s="47">
        <v>0</v>
      </c>
      <c r="K892" s="46">
        <f t="shared" si="196"/>
        <v>0</v>
      </c>
      <c r="L892" s="47">
        <v>0</v>
      </c>
      <c r="AZ892" s="49"/>
      <c r="BC892" s="50"/>
    </row>
    <row r="893" spans="1:55" s="48" customFormat="1" ht="27.75" customHeight="1" outlineLevel="1" x14ac:dyDescent="0.25">
      <c r="A893" s="42">
        <v>4</v>
      </c>
      <c r="B893" s="43" t="s">
        <v>657</v>
      </c>
      <c r="C893" s="44" t="s">
        <v>110</v>
      </c>
      <c r="D893" s="45">
        <v>0.86</v>
      </c>
      <c r="E893" s="45">
        <v>265</v>
      </c>
      <c r="F893" s="45">
        <f t="shared" si="192"/>
        <v>227.9</v>
      </c>
      <c r="G893" s="46">
        <f t="shared" si="193"/>
        <v>0</v>
      </c>
      <c r="H893" s="47">
        <f t="shared" si="194"/>
        <v>0</v>
      </c>
      <c r="I893" s="46">
        <f t="shared" si="195"/>
        <v>0</v>
      </c>
      <c r="J893" s="47">
        <v>0</v>
      </c>
      <c r="K893" s="46">
        <f t="shared" si="196"/>
        <v>0</v>
      </c>
      <c r="L893" s="47">
        <v>0</v>
      </c>
      <c r="AZ893" s="49"/>
      <c r="BC893" s="50"/>
    </row>
    <row r="894" spans="1:55" s="48" customFormat="1" ht="15.45" customHeight="1" outlineLevel="1" x14ac:dyDescent="0.25">
      <c r="A894" s="42">
        <v>5</v>
      </c>
      <c r="B894" s="43" t="s">
        <v>42</v>
      </c>
      <c r="C894" s="44" t="s">
        <v>28</v>
      </c>
      <c r="D894" s="45">
        <v>5.0000000000000001E-3</v>
      </c>
      <c r="E894" s="45">
        <v>1325.1</v>
      </c>
      <c r="F894" s="45">
        <f t="shared" si="192"/>
        <v>6.6254999999999997</v>
      </c>
      <c r="G894" s="46">
        <f t="shared" si="193"/>
        <v>0</v>
      </c>
      <c r="H894" s="47">
        <f t="shared" si="194"/>
        <v>0</v>
      </c>
      <c r="I894" s="46">
        <f t="shared" si="195"/>
        <v>0</v>
      </c>
      <c r="J894" s="47">
        <v>0</v>
      </c>
      <c r="K894" s="46">
        <f t="shared" si="196"/>
        <v>0</v>
      </c>
      <c r="L894" s="47">
        <v>0</v>
      </c>
      <c r="AZ894" s="49"/>
      <c r="BC894" s="50"/>
    </row>
    <row r="895" spans="1:55" s="48" customFormat="1" ht="15.45" customHeight="1" outlineLevel="1" x14ac:dyDescent="0.25">
      <c r="A895" s="42">
        <v>6</v>
      </c>
      <c r="B895" s="43" t="s">
        <v>43</v>
      </c>
      <c r="C895" s="44" t="s">
        <v>28</v>
      </c>
      <c r="D895" s="45">
        <v>7.8E-2</v>
      </c>
      <c r="E895" s="45">
        <v>1200.0999999999999</v>
      </c>
      <c r="F895" s="45">
        <f t="shared" si="192"/>
        <v>93.607799999999997</v>
      </c>
      <c r="G895" s="46">
        <f t="shared" si="193"/>
        <v>0</v>
      </c>
      <c r="H895" s="47">
        <f t="shared" si="194"/>
        <v>0</v>
      </c>
      <c r="I895" s="46">
        <f t="shared" si="195"/>
        <v>0</v>
      </c>
      <c r="J895" s="47">
        <v>0</v>
      </c>
      <c r="K895" s="46">
        <f t="shared" si="196"/>
        <v>0</v>
      </c>
      <c r="L895" s="47">
        <v>0</v>
      </c>
      <c r="AZ895" s="49"/>
      <c r="BC895" s="50"/>
    </row>
    <row r="896" spans="1:55" s="48" customFormat="1" ht="27.75" customHeight="1" outlineLevel="1" x14ac:dyDescent="0.25">
      <c r="A896" s="42">
        <v>7</v>
      </c>
      <c r="B896" s="43" t="s">
        <v>658</v>
      </c>
      <c r="C896" s="44" t="s">
        <v>110</v>
      </c>
      <c r="D896" s="45">
        <v>0.2</v>
      </c>
      <c r="E896" s="45">
        <v>265</v>
      </c>
      <c r="F896" s="45">
        <f t="shared" si="192"/>
        <v>53</v>
      </c>
      <c r="G896" s="46">
        <f t="shared" si="193"/>
        <v>0</v>
      </c>
      <c r="H896" s="47">
        <f t="shared" si="194"/>
        <v>0</v>
      </c>
      <c r="I896" s="46">
        <f t="shared" si="195"/>
        <v>0</v>
      </c>
      <c r="J896" s="47">
        <v>0</v>
      </c>
      <c r="K896" s="46">
        <f t="shared" si="196"/>
        <v>0</v>
      </c>
      <c r="L896" s="47">
        <v>0</v>
      </c>
      <c r="AZ896" s="49"/>
      <c r="BC896" s="50"/>
    </row>
    <row r="897" spans="1:55" s="48" customFormat="1" ht="15.45" customHeight="1" outlineLevel="1" x14ac:dyDescent="0.25">
      <c r="A897" s="42">
        <v>8</v>
      </c>
      <c r="B897" s="43" t="s">
        <v>42</v>
      </c>
      <c r="C897" s="44" t="s">
        <v>28</v>
      </c>
      <c r="D897" s="45">
        <v>0.01</v>
      </c>
      <c r="E897" s="45">
        <v>1325.1</v>
      </c>
      <c r="F897" s="45">
        <f t="shared" si="192"/>
        <v>13.250999999999999</v>
      </c>
      <c r="G897" s="46">
        <f t="shared" si="193"/>
        <v>0</v>
      </c>
      <c r="H897" s="47">
        <f t="shared" si="194"/>
        <v>0</v>
      </c>
      <c r="I897" s="46">
        <f t="shared" si="195"/>
        <v>0</v>
      </c>
      <c r="J897" s="47">
        <v>0</v>
      </c>
      <c r="K897" s="46">
        <f t="shared" si="196"/>
        <v>0</v>
      </c>
      <c r="L897" s="47">
        <v>0</v>
      </c>
      <c r="AZ897" s="49"/>
      <c r="BC897" s="50"/>
    </row>
    <row r="898" spans="1:55" s="48" customFormat="1" ht="15.45" customHeight="1" outlineLevel="1" x14ac:dyDescent="0.25">
      <c r="A898" s="42">
        <v>9</v>
      </c>
      <c r="B898" s="43" t="s">
        <v>43</v>
      </c>
      <c r="C898" s="44" t="s">
        <v>28</v>
      </c>
      <c r="D898" s="45">
        <v>4.8000000000000001E-2</v>
      </c>
      <c r="E898" s="45">
        <v>1200.0999999999999</v>
      </c>
      <c r="F898" s="45">
        <f t="shared" si="192"/>
        <v>57.604799999999997</v>
      </c>
      <c r="G898" s="46">
        <f t="shared" si="193"/>
        <v>0</v>
      </c>
      <c r="H898" s="47">
        <f t="shared" si="194"/>
        <v>0</v>
      </c>
      <c r="I898" s="46">
        <f t="shared" si="195"/>
        <v>0</v>
      </c>
      <c r="J898" s="47">
        <v>0</v>
      </c>
      <c r="K898" s="46">
        <f t="shared" si="196"/>
        <v>0</v>
      </c>
      <c r="L898" s="47">
        <v>0</v>
      </c>
      <c r="AZ898" s="49"/>
      <c r="BC898" s="50"/>
    </row>
    <row r="899" spans="1:55" s="48" customFormat="1" ht="15.45" customHeight="1" outlineLevel="1" x14ac:dyDescent="0.25">
      <c r="A899" s="42">
        <v>10</v>
      </c>
      <c r="B899" s="43" t="s">
        <v>659</v>
      </c>
      <c r="C899" s="44" t="s">
        <v>110</v>
      </c>
      <c r="D899" s="45">
        <v>0.14000000000000001</v>
      </c>
      <c r="E899" s="45">
        <v>239.89179999999999</v>
      </c>
      <c r="F899" s="45">
        <f t="shared" si="192"/>
        <v>33.584852000000005</v>
      </c>
      <c r="G899" s="46">
        <f t="shared" si="193"/>
        <v>0</v>
      </c>
      <c r="H899" s="47">
        <f t="shared" si="194"/>
        <v>0</v>
      </c>
      <c r="I899" s="46">
        <f t="shared" si="195"/>
        <v>0</v>
      </c>
      <c r="J899" s="47">
        <v>0</v>
      </c>
      <c r="K899" s="46">
        <f t="shared" si="196"/>
        <v>0</v>
      </c>
      <c r="L899" s="47">
        <v>0</v>
      </c>
      <c r="AZ899" s="49"/>
      <c r="BC899" s="50"/>
    </row>
    <row r="900" spans="1:55" s="48" customFormat="1" ht="15.45" customHeight="1" outlineLevel="1" x14ac:dyDescent="0.25">
      <c r="A900" s="42">
        <v>11</v>
      </c>
      <c r="B900" s="43" t="s">
        <v>42</v>
      </c>
      <c r="C900" s="44" t="s">
        <v>28</v>
      </c>
      <c r="D900" s="45">
        <v>1.7000000000000001E-2</v>
      </c>
      <c r="E900" s="45">
        <v>1325.1</v>
      </c>
      <c r="F900" s="45">
        <f t="shared" si="192"/>
        <v>22.526700000000002</v>
      </c>
      <c r="G900" s="46">
        <f t="shared" si="193"/>
        <v>0</v>
      </c>
      <c r="H900" s="47">
        <f t="shared" si="194"/>
        <v>0</v>
      </c>
      <c r="I900" s="46">
        <f t="shared" si="195"/>
        <v>0</v>
      </c>
      <c r="J900" s="47">
        <v>0</v>
      </c>
      <c r="K900" s="46">
        <f t="shared" si="196"/>
        <v>0</v>
      </c>
      <c r="L900" s="47">
        <v>0</v>
      </c>
      <c r="AZ900" s="49"/>
      <c r="BC900" s="50"/>
    </row>
    <row r="901" spans="1:55" s="48" customFormat="1" ht="15.45" customHeight="1" outlineLevel="1" x14ac:dyDescent="0.25">
      <c r="A901" s="42">
        <v>12</v>
      </c>
      <c r="B901" s="43" t="s">
        <v>43</v>
      </c>
      <c r="C901" s="44" t="s">
        <v>28</v>
      </c>
      <c r="D901" s="45">
        <v>2.8000000000000001E-2</v>
      </c>
      <c r="E901" s="45">
        <v>1200.0999999999999</v>
      </c>
      <c r="F901" s="45">
        <f t="shared" si="192"/>
        <v>33.602799999999995</v>
      </c>
      <c r="G901" s="46">
        <f t="shared" si="193"/>
        <v>0</v>
      </c>
      <c r="H901" s="47">
        <f t="shared" si="194"/>
        <v>0</v>
      </c>
      <c r="I901" s="46">
        <f t="shared" si="195"/>
        <v>0</v>
      </c>
      <c r="J901" s="47">
        <v>0</v>
      </c>
      <c r="K901" s="46">
        <f t="shared" si="196"/>
        <v>0</v>
      </c>
      <c r="L901" s="47">
        <v>0</v>
      </c>
      <c r="AZ901" s="49"/>
      <c r="BC901" s="50"/>
    </row>
    <row r="902" spans="1:55" s="48" customFormat="1" ht="15.45" customHeight="1" outlineLevel="1" x14ac:dyDescent="0.25">
      <c r="A902" s="42">
        <v>13</v>
      </c>
      <c r="B902" s="43" t="s">
        <v>660</v>
      </c>
      <c r="C902" s="44" t="s">
        <v>110</v>
      </c>
      <c r="D902" s="45">
        <v>0.28999999999999998</v>
      </c>
      <c r="E902" s="45">
        <v>349.12360000000001</v>
      </c>
      <c r="F902" s="45">
        <f t="shared" si="192"/>
        <v>101.24584399999999</v>
      </c>
      <c r="G902" s="46">
        <f t="shared" si="193"/>
        <v>0</v>
      </c>
      <c r="H902" s="47">
        <f t="shared" si="194"/>
        <v>0</v>
      </c>
      <c r="I902" s="46">
        <f t="shared" si="195"/>
        <v>0</v>
      </c>
      <c r="J902" s="47">
        <v>0</v>
      </c>
      <c r="K902" s="46">
        <f t="shared" si="196"/>
        <v>0</v>
      </c>
      <c r="L902" s="47">
        <v>0</v>
      </c>
      <c r="AZ902" s="49"/>
      <c r="BC902" s="50"/>
    </row>
    <row r="903" spans="1:55" s="48" customFormat="1" ht="15.45" customHeight="1" outlineLevel="1" x14ac:dyDescent="0.25">
      <c r="A903" s="42">
        <v>14</v>
      </c>
      <c r="B903" s="43" t="s">
        <v>42</v>
      </c>
      <c r="C903" s="44" t="s">
        <v>28</v>
      </c>
      <c r="D903" s="45">
        <v>8.9999999999999993E-3</v>
      </c>
      <c r="E903" s="45">
        <v>1325.1</v>
      </c>
      <c r="F903" s="45">
        <f t="shared" si="192"/>
        <v>11.925899999999999</v>
      </c>
      <c r="G903" s="46">
        <f t="shared" si="193"/>
        <v>0</v>
      </c>
      <c r="H903" s="47">
        <f t="shared" si="194"/>
        <v>0</v>
      </c>
      <c r="I903" s="46">
        <f t="shared" si="195"/>
        <v>0</v>
      </c>
      <c r="J903" s="47">
        <v>0</v>
      </c>
      <c r="K903" s="46">
        <f t="shared" si="196"/>
        <v>0</v>
      </c>
      <c r="L903" s="47">
        <v>0</v>
      </c>
      <c r="AZ903" s="49"/>
      <c r="BC903" s="50"/>
    </row>
    <row r="904" spans="1:55" s="48" customFormat="1" ht="15.45" customHeight="1" outlineLevel="1" x14ac:dyDescent="0.25">
      <c r="A904" s="42">
        <v>15</v>
      </c>
      <c r="B904" s="43" t="s">
        <v>43</v>
      </c>
      <c r="C904" s="44" t="s">
        <v>28</v>
      </c>
      <c r="D904" s="45">
        <v>1.4999999999999999E-2</v>
      </c>
      <c r="E904" s="45">
        <v>1200.0999999999999</v>
      </c>
      <c r="F904" s="45">
        <f t="shared" si="192"/>
        <v>18.001499999999997</v>
      </c>
      <c r="G904" s="46">
        <f t="shared" si="193"/>
        <v>0</v>
      </c>
      <c r="H904" s="47">
        <f t="shared" si="194"/>
        <v>0</v>
      </c>
      <c r="I904" s="46">
        <f t="shared" si="195"/>
        <v>0</v>
      </c>
      <c r="J904" s="47">
        <v>0</v>
      </c>
      <c r="K904" s="46">
        <f t="shared" si="196"/>
        <v>0</v>
      </c>
      <c r="L904" s="47">
        <v>0</v>
      </c>
      <c r="AZ904" s="49"/>
      <c r="BC904" s="50"/>
    </row>
    <row r="905" spans="1:55" s="56" customFormat="1" ht="17.25" customHeight="1" x14ac:dyDescent="0.3">
      <c r="A905" s="31">
        <v>3.4</v>
      </c>
      <c r="B905" s="51" t="s">
        <v>661</v>
      </c>
      <c r="C905" s="52">
        <v>0</v>
      </c>
      <c r="D905" s="53"/>
      <c r="E905" s="53"/>
      <c r="F905" s="53"/>
      <c r="G905" s="54"/>
      <c r="H905" s="55"/>
      <c r="I905" s="54"/>
      <c r="J905" s="55"/>
      <c r="K905" s="54"/>
      <c r="L905" s="55">
        <v>0</v>
      </c>
      <c r="AZ905" s="57"/>
      <c r="BC905" s="58"/>
    </row>
    <row r="906" spans="1:55" s="48" customFormat="1" ht="27.75" customHeight="1" outlineLevel="1" x14ac:dyDescent="0.25">
      <c r="A906" s="42">
        <v>1</v>
      </c>
      <c r="B906" s="43" t="s">
        <v>67</v>
      </c>
      <c r="C906" s="44" t="s">
        <v>98</v>
      </c>
      <c r="D906" s="45">
        <v>16.5</v>
      </c>
      <c r="E906" s="45">
        <v>41.92</v>
      </c>
      <c r="F906" s="45">
        <f>+E906*D906</f>
        <v>691.68000000000006</v>
      </c>
      <c r="G906" s="46">
        <f>I906+K906</f>
        <v>0</v>
      </c>
      <c r="H906" s="47">
        <f>J906+L906</f>
        <v>0</v>
      </c>
      <c r="I906" s="46">
        <f>J906/F906</f>
        <v>0</v>
      </c>
      <c r="J906" s="47">
        <v>0</v>
      </c>
      <c r="K906" s="46">
        <f>L906/F906</f>
        <v>0</v>
      </c>
      <c r="L906" s="47">
        <v>0</v>
      </c>
      <c r="AZ906" s="49"/>
      <c r="BC906" s="50"/>
    </row>
    <row r="907" spans="1:55" s="48" customFormat="1" ht="15.45" customHeight="1" outlineLevel="1" x14ac:dyDescent="0.25">
      <c r="A907" s="42">
        <v>2</v>
      </c>
      <c r="B907" s="43" t="s">
        <v>71</v>
      </c>
      <c r="C907" s="44" t="s">
        <v>28</v>
      </c>
      <c r="D907" s="45">
        <v>5.5E-2</v>
      </c>
      <c r="E907" s="45">
        <v>2150</v>
      </c>
      <c r="F907" s="45">
        <f>+E907*D907</f>
        <v>118.25</v>
      </c>
      <c r="G907" s="46">
        <f>I907+K907</f>
        <v>0</v>
      </c>
      <c r="H907" s="47">
        <f>J907+L907</f>
        <v>0</v>
      </c>
      <c r="I907" s="46">
        <f>J907/F907</f>
        <v>0</v>
      </c>
      <c r="J907" s="47">
        <v>0</v>
      </c>
      <c r="K907" s="46">
        <f>L907/F907</f>
        <v>0</v>
      </c>
      <c r="L907" s="47">
        <v>0</v>
      </c>
      <c r="AZ907" s="49"/>
      <c r="BC907" s="50"/>
    </row>
    <row r="908" spans="1:55" s="56" customFormat="1" ht="17.25" customHeight="1" x14ac:dyDescent="0.3">
      <c r="A908" s="31">
        <v>3.5</v>
      </c>
      <c r="B908" s="51" t="s">
        <v>662</v>
      </c>
      <c r="C908" s="52">
        <v>0</v>
      </c>
      <c r="D908" s="53"/>
      <c r="E908" s="53"/>
      <c r="F908" s="53"/>
      <c r="G908" s="54"/>
      <c r="H908" s="55"/>
      <c r="I908" s="54"/>
      <c r="J908" s="55"/>
      <c r="K908" s="54"/>
      <c r="L908" s="55">
        <v>0</v>
      </c>
      <c r="AZ908" s="57"/>
      <c r="BC908" s="58"/>
    </row>
    <row r="909" spans="1:55" s="48" customFormat="1" ht="15.45" customHeight="1" outlineLevel="1" x14ac:dyDescent="0.25">
      <c r="A909" s="42">
        <v>1</v>
      </c>
      <c r="B909" s="43" t="s">
        <v>663</v>
      </c>
      <c r="C909" s="44" t="s">
        <v>98</v>
      </c>
      <c r="D909" s="45">
        <v>2.56</v>
      </c>
      <c r="E909" s="45">
        <v>3.3435999999999999</v>
      </c>
      <c r="F909" s="45">
        <f t="shared" ref="F909:F917" si="197">+E909*D909</f>
        <v>8.5596160000000001</v>
      </c>
      <c r="G909" s="46">
        <f t="shared" ref="G909:G917" si="198">I909+K909</f>
        <v>0</v>
      </c>
      <c r="H909" s="47">
        <f t="shared" ref="H909:H917" si="199">J909+L909</f>
        <v>0</v>
      </c>
      <c r="I909" s="46">
        <f t="shared" ref="I909:I917" si="200">J909/F909</f>
        <v>0</v>
      </c>
      <c r="J909" s="47">
        <v>0</v>
      </c>
      <c r="K909" s="46">
        <f t="shared" ref="K909:K917" si="201">L909/F909</f>
        <v>0</v>
      </c>
      <c r="L909" s="47">
        <v>0</v>
      </c>
      <c r="AZ909" s="49"/>
      <c r="BC909" s="50"/>
    </row>
    <row r="910" spans="1:55" s="48" customFormat="1" ht="15.45" customHeight="1" outlineLevel="1" x14ac:dyDescent="0.25">
      <c r="A910" s="42">
        <v>2</v>
      </c>
      <c r="B910" s="43" t="s">
        <v>664</v>
      </c>
      <c r="C910" s="44" t="s">
        <v>110</v>
      </c>
      <c r="D910" s="45">
        <v>0.154</v>
      </c>
      <c r="E910" s="45">
        <v>114.1564</v>
      </c>
      <c r="F910" s="45">
        <f t="shared" si="197"/>
        <v>17.5800856</v>
      </c>
      <c r="G910" s="46">
        <f t="shared" si="198"/>
        <v>0</v>
      </c>
      <c r="H910" s="47">
        <f t="shared" si="199"/>
        <v>0</v>
      </c>
      <c r="I910" s="46">
        <f t="shared" si="200"/>
        <v>0</v>
      </c>
      <c r="J910" s="47">
        <v>0</v>
      </c>
      <c r="K910" s="46">
        <f t="shared" si="201"/>
        <v>0</v>
      </c>
      <c r="L910" s="47">
        <v>0</v>
      </c>
      <c r="AZ910" s="49"/>
      <c r="BC910" s="50"/>
    </row>
    <row r="911" spans="1:55" s="48" customFormat="1" ht="15.45" customHeight="1" outlineLevel="1" x14ac:dyDescent="0.25">
      <c r="A911" s="42">
        <v>3</v>
      </c>
      <c r="B911" s="43" t="s">
        <v>75</v>
      </c>
      <c r="C911" s="44" t="s">
        <v>98</v>
      </c>
      <c r="D911" s="45">
        <v>2.56</v>
      </c>
      <c r="E911" s="45">
        <v>3.7719999999999998</v>
      </c>
      <c r="F911" s="45">
        <f t="shared" si="197"/>
        <v>9.6563199999999991</v>
      </c>
      <c r="G911" s="46">
        <f t="shared" si="198"/>
        <v>0</v>
      </c>
      <c r="H911" s="47">
        <f t="shared" si="199"/>
        <v>0</v>
      </c>
      <c r="I911" s="46">
        <f t="shared" si="200"/>
        <v>0</v>
      </c>
      <c r="J911" s="47">
        <v>0</v>
      </c>
      <c r="K911" s="46">
        <f t="shared" si="201"/>
        <v>0</v>
      </c>
      <c r="L911" s="47">
        <v>0</v>
      </c>
      <c r="AZ911" s="49"/>
      <c r="BC911" s="50"/>
    </row>
    <row r="912" spans="1:55" s="48" customFormat="1" ht="27.75" customHeight="1" outlineLevel="1" x14ac:dyDescent="0.25">
      <c r="A912" s="42">
        <v>4</v>
      </c>
      <c r="B912" s="43" t="s">
        <v>665</v>
      </c>
      <c r="C912" s="44" t="s">
        <v>98</v>
      </c>
      <c r="D912" s="45">
        <v>2.56</v>
      </c>
      <c r="E912" s="45">
        <v>0.95300000000000007</v>
      </c>
      <c r="F912" s="45">
        <f t="shared" si="197"/>
        <v>2.4396800000000001</v>
      </c>
      <c r="G912" s="46">
        <f t="shared" si="198"/>
        <v>0</v>
      </c>
      <c r="H912" s="47">
        <f t="shared" si="199"/>
        <v>0</v>
      </c>
      <c r="I912" s="46">
        <f t="shared" si="200"/>
        <v>0</v>
      </c>
      <c r="J912" s="47">
        <v>0</v>
      </c>
      <c r="K912" s="46">
        <f t="shared" si="201"/>
        <v>0</v>
      </c>
      <c r="L912" s="47">
        <v>0</v>
      </c>
      <c r="AZ912" s="49"/>
      <c r="BC912" s="50"/>
    </row>
    <row r="913" spans="1:55" s="48" customFormat="1" ht="15.45" customHeight="1" outlineLevel="1" x14ac:dyDescent="0.25">
      <c r="A913" s="42">
        <v>5</v>
      </c>
      <c r="B913" s="43" t="s">
        <v>82</v>
      </c>
      <c r="C913" s="44" t="s">
        <v>110</v>
      </c>
      <c r="D913" s="45">
        <v>0.23</v>
      </c>
      <c r="E913" s="45">
        <v>803.44180000000006</v>
      </c>
      <c r="F913" s="45">
        <f t="shared" si="197"/>
        <v>184.79161400000001</v>
      </c>
      <c r="G913" s="46">
        <f t="shared" si="198"/>
        <v>0</v>
      </c>
      <c r="H913" s="47">
        <f t="shared" si="199"/>
        <v>0</v>
      </c>
      <c r="I913" s="46">
        <f t="shared" si="200"/>
        <v>0</v>
      </c>
      <c r="J913" s="47">
        <v>0</v>
      </c>
      <c r="K913" s="46">
        <f t="shared" si="201"/>
        <v>0</v>
      </c>
      <c r="L913" s="47">
        <v>0</v>
      </c>
      <c r="AZ913" s="49"/>
      <c r="BC913" s="50"/>
    </row>
    <row r="914" spans="1:55" s="48" customFormat="1" ht="27.75" customHeight="1" outlineLevel="1" x14ac:dyDescent="0.25">
      <c r="A914" s="42">
        <v>6</v>
      </c>
      <c r="B914" s="43" t="s">
        <v>666</v>
      </c>
      <c r="C914" s="44" t="s">
        <v>98</v>
      </c>
      <c r="D914" s="45">
        <v>9.6</v>
      </c>
      <c r="E914" s="45">
        <v>19.7758</v>
      </c>
      <c r="F914" s="45">
        <f t="shared" si="197"/>
        <v>189.84768</v>
      </c>
      <c r="G914" s="46">
        <f t="shared" si="198"/>
        <v>0</v>
      </c>
      <c r="H914" s="47">
        <f t="shared" si="199"/>
        <v>0</v>
      </c>
      <c r="I914" s="46">
        <f t="shared" si="200"/>
        <v>0</v>
      </c>
      <c r="J914" s="47">
        <v>0</v>
      </c>
      <c r="K914" s="46">
        <f t="shared" si="201"/>
        <v>0</v>
      </c>
      <c r="L914" s="47">
        <v>0</v>
      </c>
      <c r="AZ914" s="49"/>
      <c r="BC914" s="50"/>
    </row>
    <row r="915" spans="1:55" s="48" customFormat="1" ht="15.45" customHeight="1" outlineLevel="1" x14ac:dyDescent="0.25">
      <c r="A915" s="42">
        <v>7</v>
      </c>
      <c r="B915" s="43" t="s">
        <v>86</v>
      </c>
      <c r="C915" s="44" t="s">
        <v>61</v>
      </c>
      <c r="D915" s="45">
        <v>12.8</v>
      </c>
      <c r="E915" s="45">
        <v>14.3188</v>
      </c>
      <c r="F915" s="45">
        <f t="shared" si="197"/>
        <v>183.28064000000001</v>
      </c>
      <c r="G915" s="46">
        <f t="shared" si="198"/>
        <v>0</v>
      </c>
      <c r="H915" s="47">
        <f t="shared" si="199"/>
        <v>0</v>
      </c>
      <c r="I915" s="46">
        <f t="shared" si="200"/>
        <v>0</v>
      </c>
      <c r="J915" s="47">
        <v>0</v>
      </c>
      <c r="K915" s="46">
        <f t="shared" si="201"/>
        <v>0</v>
      </c>
      <c r="L915" s="47">
        <v>0</v>
      </c>
      <c r="AZ915" s="49"/>
      <c r="BC915" s="50"/>
    </row>
    <row r="916" spans="1:55" s="48" customFormat="1" ht="15.45" customHeight="1" outlineLevel="1" x14ac:dyDescent="0.25">
      <c r="A916" s="42">
        <v>8</v>
      </c>
      <c r="B916" s="43" t="s">
        <v>667</v>
      </c>
      <c r="C916" s="44" t="s">
        <v>61</v>
      </c>
      <c r="D916" s="45">
        <v>6.6</v>
      </c>
      <c r="E916" s="45">
        <v>9.0555999999999983</v>
      </c>
      <c r="F916" s="45">
        <f t="shared" si="197"/>
        <v>59.766959999999983</v>
      </c>
      <c r="G916" s="46">
        <f t="shared" si="198"/>
        <v>0</v>
      </c>
      <c r="H916" s="47">
        <f t="shared" si="199"/>
        <v>0</v>
      </c>
      <c r="I916" s="46">
        <f t="shared" si="200"/>
        <v>0</v>
      </c>
      <c r="J916" s="47">
        <v>0</v>
      </c>
      <c r="K916" s="46">
        <f t="shared" si="201"/>
        <v>0</v>
      </c>
      <c r="L916" s="47">
        <v>0</v>
      </c>
      <c r="AZ916" s="46">
        <v>0.50993853999999994</v>
      </c>
      <c r="BC916" s="50"/>
    </row>
    <row r="917" spans="1:55" s="48" customFormat="1" ht="27.75" customHeight="1" outlineLevel="1" x14ac:dyDescent="0.25">
      <c r="A917" s="42">
        <v>9</v>
      </c>
      <c r="B917" s="43" t="s">
        <v>88</v>
      </c>
      <c r="C917" s="44" t="s">
        <v>61</v>
      </c>
      <c r="D917" s="45">
        <v>6.6</v>
      </c>
      <c r="E917" s="45">
        <v>3.6884000000000001</v>
      </c>
      <c r="F917" s="45">
        <f t="shared" si="197"/>
        <v>24.343440000000001</v>
      </c>
      <c r="G917" s="46">
        <f t="shared" si="198"/>
        <v>0</v>
      </c>
      <c r="H917" s="47">
        <f t="shared" si="199"/>
        <v>0</v>
      </c>
      <c r="I917" s="46">
        <f t="shared" si="200"/>
        <v>0</v>
      </c>
      <c r="J917" s="47">
        <v>0</v>
      </c>
      <c r="K917" s="46">
        <f t="shared" si="201"/>
        <v>0</v>
      </c>
      <c r="L917" s="47">
        <v>0</v>
      </c>
      <c r="AZ917" s="46">
        <v>0.5099229999999999</v>
      </c>
      <c r="BC917" s="50"/>
    </row>
    <row r="918" spans="1:55" s="56" customFormat="1" ht="17.25" customHeight="1" x14ac:dyDescent="0.3">
      <c r="A918" s="31">
        <v>3.6</v>
      </c>
      <c r="B918" s="51" t="s">
        <v>668</v>
      </c>
      <c r="C918" s="52">
        <v>0</v>
      </c>
      <c r="D918" s="53"/>
      <c r="E918" s="53"/>
      <c r="F918" s="53"/>
      <c r="G918" s="54"/>
      <c r="H918" s="55"/>
      <c r="I918" s="54"/>
      <c r="J918" s="55"/>
      <c r="K918" s="54"/>
      <c r="L918" s="55">
        <v>0</v>
      </c>
      <c r="AZ918" s="69">
        <v>0.5099229999999999</v>
      </c>
      <c r="BC918" s="58"/>
    </row>
    <row r="919" spans="1:55" s="48" customFormat="1" ht="27.75" customHeight="1" outlineLevel="1" x14ac:dyDescent="0.25">
      <c r="A919" s="42">
        <v>1</v>
      </c>
      <c r="B919" s="43" t="s">
        <v>104</v>
      </c>
      <c r="C919" s="44" t="s">
        <v>98</v>
      </c>
      <c r="D919" s="45">
        <v>2.64</v>
      </c>
      <c r="E919" s="45">
        <v>193.9</v>
      </c>
      <c r="F919" s="45">
        <f>+E919*D919</f>
        <v>511.89600000000002</v>
      </c>
      <c r="G919" s="46">
        <f t="shared" ref="G919:H922" si="202">I919+K919</f>
        <v>0</v>
      </c>
      <c r="H919" s="47">
        <f t="shared" si="202"/>
        <v>0</v>
      </c>
      <c r="I919" s="46">
        <f>J919/F919</f>
        <v>0</v>
      </c>
      <c r="J919" s="47">
        <v>0</v>
      </c>
      <c r="K919" s="46">
        <f>L919/F919</f>
        <v>0</v>
      </c>
      <c r="L919" s="47">
        <v>0</v>
      </c>
      <c r="AZ919" s="49"/>
      <c r="BC919" s="50"/>
    </row>
    <row r="920" spans="1:55" s="48" customFormat="1" ht="27.75" customHeight="1" outlineLevel="1" x14ac:dyDescent="0.25">
      <c r="A920" s="42">
        <v>2</v>
      </c>
      <c r="B920" s="43" t="s">
        <v>97</v>
      </c>
      <c r="C920" s="44" t="s">
        <v>98</v>
      </c>
      <c r="D920" s="45">
        <v>1.68</v>
      </c>
      <c r="E920" s="45">
        <v>163.30000000000001</v>
      </c>
      <c r="F920" s="45">
        <f>+E920*D920</f>
        <v>274.34399999999999</v>
      </c>
      <c r="G920" s="46">
        <f t="shared" si="202"/>
        <v>0</v>
      </c>
      <c r="H920" s="47">
        <f t="shared" si="202"/>
        <v>0</v>
      </c>
      <c r="I920" s="46">
        <f>J920/F920</f>
        <v>0</v>
      </c>
      <c r="J920" s="47">
        <v>0</v>
      </c>
      <c r="K920" s="46">
        <f>L920/F920</f>
        <v>0</v>
      </c>
      <c r="L920" s="47">
        <v>0</v>
      </c>
      <c r="AZ920" s="49"/>
      <c r="BC920" s="50"/>
    </row>
    <row r="921" spans="1:55" s="48" customFormat="1" ht="15.45" customHeight="1" outlineLevel="1" x14ac:dyDescent="0.25">
      <c r="A921" s="42">
        <v>3</v>
      </c>
      <c r="B921" s="43" t="s">
        <v>108</v>
      </c>
      <c r="C921" s="44" t="s">
        <v>93</v>
      </c>
      <c r="D921" s="45">
        <v>1</v>
      </c>
      <c r="E921" s="45">
        <v>40.9</v>
      </c>
      <c r="F921" s="45">
        <f>+E921*D921</f>
        <v>40.9</v>
      </c>
      <c r="G921" s="46">
        <f t="shared" si="202"/>
        <v>0</v>
      </c>
      <c r="H921" s="47">
        <f t="shared" si="202"/>
        <v>0</v>
      </c>
      <c r="I921" s="46">
        <f>J921/F921</f>
        <v>0</v>
      </c>
      <c r="J921" s="47">
        <v>0</v>
      </c>
      <c r="K921" s="46">
        <f>L921/F921</f>
        <v>0</v>
      </c>
      <c r="L921" s="47">
        <v>0</v>
      </c>
      <c r="AZ921" s="49"/>
      <c r="BC921" s="50"/>
    </row>
    <row r="922" spans="1:55" s="48" customFormat="1" ht="15.45" customHeight="1" outlineLevel="1" x14ac:dyDescent="0.25">
      <c r="A922" s="42">
        <v>4</v>
      </c>
      <c r="B922" s="43" t="s">
        <v>669</v>
      </c>
      <c r="C922" s="44" t="s">
        <v>93</v>
      </c>
      <c r="D922" s="45">
        <v>1</v>
      </c>
      <c r="E922" s="45">
        <v>55.902200000000001</v>
      </c>
      <c r="F922" s="45">
        <f>+E922*D922</f>
        <v>55.902200000000001</v>
      </c>
      <c r="G922" s="46">
        <f t="shared" si="202"/>
        <v>0</v>
      </c>
      <c r="H922" s="47">
        <f t="shared" si="202"/>
        <v>0</v>
      </c>
      <c r="I922" s="46">
        <f>J922/F922</f>
        <v>0</v>
      </c>
      <c r="J922" s="47">
        <v>0</v>
      </c>
      <c r="K922" s="46">
        <f>L922/F922</f>
        <v>0</v>
      </c>
      <c r="L922" s="47">
        <v>0</v>
      </c>
      <c r="AX922" s="46">
        <f>46.3523%+K922</f>
        <v>0.46352300000000002</v>
      </c>
      <c r="AY922" s="47">
        <v>142640.51219375001</v>
      </c>
      <c r="AZ922" s="70">
        <f t="shared" ref="AZ922:AZ985" si="203">H922-J922</f>
        <v>0</v>
      </c>
      <c r="BC922" s="50"/>
    </row>
    <row r="923" spans="1:55" s="56" customFormat="1" ht="17.25" customHeight="1" x14ac:dyDescent="0.3">
      <c r="A923" s="31">
        <v>3.7</v>
      </c>
      <c r="B923" s="51" t="s">
        <v>670</v>
      </c>
      <c r="C923" s="52">
        <v>0</v>
      </c>
      <c r="D923" s="53"/>
      <c r="E923" s="53"/>
      <c r="F923" s="53"/>
      <c r="G923" s="54"/>
      <c r="H923" s="55"/>
      <c r="I923" s="54"/>
      <c r="J923" s="55"/>
      <c r="K923" s="54"/>
      <c r="L923" s="55">
        <v>0</v>
      </c>
      <c r="AX923" s="69">
        <v>0.46352300000000002</v>
      </c>
      <c r="AY923" s="71">
        <v>41984.754532500003</v>
      </c>
      <c r="AZ923" s="72">
        <f t="shared" si="203"/>
        <v>0</v>
      </c>
      <c r="BC923" s="58"/>
    </row>
    <row r="924" spans="1:55" s="48" customFormat="1" ht="15.45" customHeight="1" outlineLevel="1" x14ac:dyDescent="0.25">
      <c r="A924" s="42">
        <v>1</v>
      </c>
      <c r="B924" s="43" t="s">
        <v>671</v>
      </c>
      <c r="C924" s="44" t="s">
        <v>98</v>
      </c>
      <c r="D924" s="45">
        <v>2.6</v>
      </c>
      <c r="E924" s="45">
        <v>12.3094</v>
      </c>
      <c r="F924" s="45">
        <f>+E924*D924</f>
        <v>32.004440000000002</v>
      </c>
      <c r="G924" s="46">
        <f t="shared" ref="G924:H926" si="204">I924+K924</f>
        <v>0</v>
      </c>
      <c r="H924" s="47">
        <f t="shared" si="204"/>
        <v>0</v>
      </c>
      <c r="I924" s="46">
        <f>J924/F924</f>
        <v>0</v>
      </c>
      <c r="J924" s="47">
        <v>0</v>
      </c>
      <c r="K924" s="46">
        <f>L924/F924</f>
        <v>0</v>
      </c>
      <c r="L924" s="47">
        <v>0</v>
      </c>
      <c r="AX924" s="46">
        <v>0.46352300000000002</v>
      </c>
      <c r="AY924" s="47">
        <v>11588.075000000001</v>
      </c>
      <c r="AZ924" s="70">
        <f t="shared" si="203"/>
        <v>0</v>
      </c>
      <c r="BC924" s="50"/>
    </row>
    <row r="925" spans="1:55" s="48" customFormat="1" ht="27.75" customHeight="1" outlineLevel="1" x14ac:dyDescent="0.25">
      <c r="A925" s="42">
        <v>2</v>
      </c>
      <c r="B925" s="43" t="s">
        <v>672</v>
      </c>
      <c r="C925" s="44" t="s">
        <v>98</v>
      </c>
      <c r="D925" s="45">
        <v>2.6</v>
      </c>
      <c r="E925" s="45">
        <v>12.442</v>
      </c>
      <c r="F925" s="45">
        <f>+E925*D925</f>
        <v>32.349200000000003</v>
      </c>
      <c r="G925" s="46">
        <f t="shared" si="204"/>
        <v>0</v>
      </c>
      <c r="H925" s="47">
        <f t="shared" si="204"/>
        <v>0</v>
      </c>
      <c r="I925" s="46">
        <f>J925/F925</f>
        <v>0</v>
      </c>
      <c r="J925" s="47">
        <v>0</v>
      </c>
      <c r="K925" s="46">
        <f>L925/F925</f>
        <v>0</v>
      </c>
      <c r="L925" s="47">
        <v>0</v>
      </c>
      <c r="AX925" s="46">
        <v>0</v>
      </c>
      <c r="AY925" s="47">
        <v>0</v>
      </c>
      <c r="AZ925" s="70">
        <f t="shared" si="203"/>
        <v>0</v>
      </c>
      <c r="BC925" s="50"/>
    </row>
    <row r="926" spans="1:55" s="48" customFormat="1" ht="15.45" customHeight="1" outlineLevel="1" x14ac:dyDescent="0.25">
      <c r="A926" s="42">
        <v>3</v>
      </c>
      <c r="B926" s="43" t="s">
        <v>673</v>
      </c>
      <c r="C926" s="44" t="s">
        <v>98</v>
      </c>
      <c r="D926" s="45">
        <v>2.6</v>
      </c>
      <c r="E926" s="45">
        <v>16.919799999999999</v>
      </c>
      <c r="F926" s="45">
        <f>+E926*D926</f>
        <v>43.991479999999996</v>
      </c>
      <c r="G926" s="46">
        <f t="shared" si="204"/>
        <v>0</v>
      </c>
      <c r="H926" s="47">
        <f t="shared" si="204"/>
        <v>0</v>
      </c>
      <c r="I926" s="46">
        <f>J926/F926</f>
        <v>0</v>
      </c>
      <c r="J926" s="47">
        <v>0</v>
      </c>
      <c r="K926" s="46">
        <f>L926/F926</f>
        <v>0</v>
      </c>
      <c r="L926" s="47">
        <v>0</v>
      </c>
      <c r="AX926" s="46">
        <v>0</v>
      </c>
      <c r="AY926" s="47">
        <v>0</v>
      </c>
      <c r="AZ926" s="70">
        <f t="shared" si="203"/>
        <v>0</v>
      </c>
      <c r="BC926" s="50"/>
    </row>
    <row r="927" spans="1:55" s="56" customFormat="1" ht="18" customHeight="1" x14ac:dyDescent="0.3">
      <c r="A927" s="31">
        <v>3.8</v>
      </c>
      <c r="B927" s="51" t="s">
        <v>674</v>
      </c>
      <c r="C927" s="52">
        <v>0</v>
      </c>
      <c r="D927" s="53"/>
      <c r="E927" s="53"/>
      <c r="F927" s="53"/>
      <c r="G927" s="54"/>
      <c r="H927" s="55"/>
      <c r="I927" s="54"/>
      <c r="J927" s="55"/>
      <c r="K927" s="54"/>
      <c r="L927" s="55">
        <v>0</v>
      </c>
      <c r="AX927" s="69">
        <v>0</v>
      </c>
      <c r="AY927" s="71">
        <v>0</v>
      </c>
      <c r="AZ927" s="72">
        <f t="shared" si="203"/>
        <v>0</v>
      </c>
      <c r="BC927" s="58"/>
    </row>
    <row r="928" spans="1:55" s="48" customFormat="1" ht="15.45" customHeight="1" outlineLevel="1" x14ac:dyDescent="0.25">
      <c r="A928" s="42">
        <v>1</v>
      </c>
      <c r="B928" s="43" t="s">
        <v>675</v>
      </c>
      <c r="C928" s="44" t="s">
        <v>98</v>
      </c>
      <c r="D928" s="45">
        <v>2.2000000000000002</v>
      </c>
      <c r="E928" s="45">
        <v>3.617</v>
      </c>
      <c r="F928" s="45">
        <f>+E928*D928</f>
        <v>7.9574000000000007</v>
      </c>
      <c r="G928" s="46">
        <f>I928+K928</f>
        <v>0</v>
      </c>
      <c r="H928" s="47">
        <f>J928+L928</f>
        <v>0</v>
      </c>
      <c r="I928" s="46">
        <f>J928/F928</f>
        <v>0</v>
      </c>
      <c r="J928" s="47">
        <v>0</v>
      </c>
      <c r="K928" s="46">
        <f>L928/F928</f>
        <v>0</v>
      </c>
      <c r="L928" s="47">
        <v>0</v>
      </c>
      <c r="AX928" s="46">
        <v>0</v>
      </c>
      <c r="AY928" s="47">
        <v>0</v>
      </c>
      <c r="AZ928" s="70">
        <f t="shared" si="203"/>
        <v>0</v>
      </c>
      <c r="BC928" s="50"/>
    </row>
    <row r="929" spans="1:55" s="48" customFormat="1" ht="27.75" customHeight="1" outlineLevel="1" x14ac:dyDescent="0.25">
      <c r="A929" s="42">
        <v>2</v>
      </c>
      <c r="B929" s="43" t="s">
        <v>175</v>
      </c>
      <c r="C929" s="44" t="s">
        <v>98</v>
      </c>
      <c r="D929" s="45">
        <v>2.2000000000000002</v>
      </c>
      <c r="E929" s="45">
        <v>30.7</v>
      </c>
      <c r="F929" s="45">
        <f>+E929*D929</f>
        <v>67.540000000000006</v>
      </c>
      <c r="G929" s="46">
        <f>I929+K929</f>
        <v>0</v>
      </c>
      <c r="H929" s="47">
        <f>J929+L929</f>
        <v>0</v>
      </c>
      <c r="I929" s="46">
        <f>J929/F929</f>
        <v>0</v>
      </c>
      <c r="J929" s="47">
        <v>0</v>
      </c>
      <c r="K929" s="46">
        <f>L929/F929</f>
        <v>0</v>
      </c>
      <c r="L929" s="47">
        <v>0</v>
      </c>
      <c r="AX929" s="46">
        <v>0</v>
      </c>
      <c r="AY929" s="47">
        <v>0</v>
      </c>
      <c r="AZ929" s="70">
        <f t="shared" si="203"/>
        <v>0</v>
      </c>
      <c r="BC929" s="50"/>
    </row>
    <row r="930" spans="1:55" s="56" customFormat="1" ht="17.25" customHeight="1" x14ac:dyDescent="0.3">
      <c r="A930" s="31">
        <v>3.9</v>
      </c>
      <c r="B930" s="51" t="s">
        <v>676</v>
      </c>
      <c r="C930" s="52">
        <v>0</v>
      </c>
      <c r="D930" s="53"/>
      <c r="E930" s="53"/>
      <c r="F930" s="53"/>
      <c r="G930" s="54"/>
      <c r="H930" s="55"/>
      <c r="I930" s="54"/>
      <c r="J930" s="55"/>
      <c r="K930" s="54"/>
      <c r="L930" s="55">
        <v>0</v>
      </c>
      <c r="AX930" s="69">
        <v>1</v>
      </c>
      <c r="AY930" s="71">
        <v>1445.85</v>
      </c>
      <c r="AZ930" s="72">
        <f t="shared" si="203"/>
        <v>0</v>
      </c>
      <c r="BC930" s="58"/>
    </row>
    <row r="931" spans="1:55" s="48" customFormat="1" ht="15.45" customHeight="1" outlineLevel="1" x14ac:dyDescent="0.25">
      <c r="A931" s="42">
        <v>1</v>
      </c>
      <c r="B931" s="43" t="s">
        <v>149</v>
      </c>
      <c r="C931" s="44" t="s">
        <v>98</v>
      </c>
      <c r="D931" s="45">
        <v>2.6</v>
      </c>
      <c r="E931" s="45">
        <v>6.5157999999999996</v>
      </c>
      <c r="F931" s="45">
        <f>+E931*D931</f>
        <v>16.941079999999999</v>
      </c>
      <c r="G931" s="46">
        <f t="shared" ref="G931:H934" si="205">I931+K931</f>
        <v>0</v>
      </c>
      <c r="H931" s="47">
        <f t="shared" si="205"/>
        <v>0</v>
      </c>
      <c r="I931" s="46">
        <f>J931/F931</f>
        <v>0</v>
      </c>
      <c r="J931" s="47">
        <v>0</v>
      </c>
      <c r="K931" s="46">
        <f>L931/F931</f>
        <v>0</v>
      </c>
      <c r="L931" s="47">
        <v>0</v>
      </c>
      <c r="AX931" s="46">
        <v>1</v>
      </c>
      <c r="AY931" s="47">
        <v>4593.5999999999995</v>
      </c>
      <c r="AZ931" s="70">
        <f t="shared" si="203"/>
        <v>0</v>
      </c>
      <c r="BC931" s="50"/>
    </row>
    <row r="932" spans="1:55" s="48" customFormat="1" ht="27.75" customHeight="1" outlineLevel="1" x14ac:dyDescent="0.25">
      <c r="A932" s="42">
        <v>2</v>
      </c>
      <c r="B932" s="43" t="s">
        <v>150</v>
      </c>
      <c r="C932" s="44" t="s">
        <v>98</v>
      </c>
      <c r="D932" s="45">
        <v>2.6</v>
      </c>
      <c r="E932" s="45">
        <v>8.2498000000000005</v>
      </c>
      <c r="F932" s="45">
        <f>+E932*D932</f>
        <v>21.449480000000001</v>
      </c>
      <c r="G932" s="46">
        <f t="shared" si="205"/>
        <v>0</v>
      </c>
      <c r="H932" s="47">
        <f t="shared" si="205"/>
        <v>0</v>
      </c>
      <c r="I932" s="46">
        <f>J932/F932</f>
        <v>0</v>
      </c>
      <c r="J932" s="47">
        <v>0</v>
      </c>
      <c r="K932" s="46">
        <f>L932/F932</f>
        <v>0</v>
      </c>
      <c r="L932" s="47">
        <v>0</v>
      </c>
      <c r="AX932" s="46">
        <v>1</v>
      </c>
      <c r="AY932" s="47">
        <v>856.42800000000011</v>
      </c>
      <c r="AZ932" s="70">
        <f t="shared" si="203"/>
        <v>0</v>
      </c>
      <c r="BC932" s="50"/>
    </row>
    <row r="933" spans="1:55" s="48" customFormat="1" ht="27.75" customHeight="1" outlineLevel="1" x14ac:dyDescent="0.25">
      <c r="A933" s="42">
        <v>3</v>
      </c>
      <c r="B933" s="43" t="s">
        <v>156</v>
      </c>
      <c r="C933" s="44" t="s">
        <v>98</v>
      </c>
      <c r="D933" s="45">
        <v>14.94</v>
      </c>
      <c r="E933" s="45">
        <v>12.778600000000001</v>
      </c>
      <c r="F933" s="45">
        <f>+E933*D933</f>
        <v>190.912284</v>
      </c>
      <c r="G933" s="46">
        <f t="shared" si="205"/>
        <v>0</v>
      </c>
      <c r="H933" s="47">
        <f t="shared" si="205"/>
        <v>0</v>
      </c>
      <c r="I933" s="46">
        <f>J933/F933</f>
        <v>0</v>
      </c>
      <c r="J933" s="47">
        <v>0</v>
      </c>
      <c r="K933" s="46">
        <f>L933/F933</f>
        <v>0</v>
      </c>
      <c r="L933" s="47">
        <v>0</v>
      </c>
      <c r="AX933" s="46">
        <v>1</v>
      </c>
      <c r="AY933" s="47">
        <v>2342.4294479999999</v>
      </c>
      <c r="AZ933" s="70">
        <f t="shared" si="203"/>
        <v>0</v>
      </c>
      <c r="BC933" s="50"/>
    </row>
    <row r="934" spans="1:55" s="48" customFormat="1" ht="27.75" customHeight="1" outlineLevel="1" x14ac:dyDescent="0.25">
      <c r="A934" s="42">
        <v>4</v>
      </c>
      <c r="B934" s="43" t="s">
        <v>157</v>
      </c>
      <c r="C934" s="44" t="s">
        <v>98</v>
      </c>
      <c r="D934" s="45">
        <v>14.94</v>
      </c>
      <c r="E934" s="45">
        <v>5.71</v>
      </c>
      <c r="F934" s="45">
        <f>+E934*D934</f>
        <v>85.307400000000001</v>
      </c>
      <c r="G934" s="46">
        <f t="shared" si="205"/>
        <v>0</v>
      </c>
      <c r="H934" s="47">
        <f t="shared" si="205"/>
        <v>0</v>
      </c>
      <c r="I934" s="46">
        <f>J934/F934</f>
        <v>0</v>
      </c>
      <c r="J934" s="47">
        <v>0</v>
      </c>
      <c r="K934" s="46">
        <f>L934/F934</f>
        <v>0</v>
      </c>
      <c r="L934" s="47">
        <v>0</v>
      </c>
      <c r="AX934" s="46">
        <v>1</v>
      </c>
      <c r="AY934" s="47">
        <v>2635.248000000001</v>
      </c>
      <c r="AZ934" s="70">
        <f t="shared" si="203"/>
        <v>0</v>
      </c>
      <c r="BC934" s="50"/>
    </row>
    <row r="935" spans="1:55" s="56" customFormat="1" ht="17.25" customHeight="1" x14ac:dyDescent="0.3">
      <c r="A935" s="62">
        <v>3.1</v>
      </c>
      <c r="B935" s="51" t="s">
        <v>677</v>
      </c>
      <c r="C935" s="52">
        <v>0</v>
      </c>
      <c r="D935" s="53"/>
      <c r="E935" s="53"/>
      <c r="F935" s="53"/>
      <c r="G935" s="54"/>
      <c r="H935" s="55"/>
      <c r="I935" s="54"/>
      <c r="J935" s="55"/>
      <c r="K935" s="54"/>
      <c r="L935" s="55">
        <v>0</v>
      </c>
      <c r="AX935" s="69">
        <v>1</v>
      </c>
      <c r="AY935" s="71">
        <v>15395.380336</v>
      </c>
      <c r="AZ935" s="72">
        <f t="shared" si="203"/>
        <v>0</v>
      </c>
      <c r="BC935" s="58"/>
    </row>
    <row r="936" spans="1:55" s="48" customFormat="1" ht="15.45" customHeight="1" outlineLevel="1" x14ac:dyDescent="0.25">
      <c r="A936" s="42">
        <v>1</v>
      </c>
      <c r="B936" s="43" t="s">
        <v>161</v>
      </c>
      <c r="C936" s="44" t="s">
        <v>98</v>
      </c>
      <c r="D936" s="45">
        <v>33.200000000000003</v>
      </c>
      <c r="E936" s="45">
        <v>10.320399999999999</v>
      </c>
      <c r="F936" s="45">
        <f>+E936*D936</f>
        <v>342.63728000000003</v>
      </c>
      <c r="G936" s="46">
        <f>I936+K936</f>
        <v>0</v>
      </c>
      <c r="H936" s="47">
        <f>J936+L936</f>
        <v>0</v>
      </c>
      <c r="I936" s="46">
        <f>J936/F936</f>
        <v>0</v>
      </c>
      <c r="J936" s="47">
        <v>0</v>
      </c>
      <c r="K936" s="46">
        <f>L936/F936</f>
        <v>0</v>
      </c>
      <c r="L936" s="47">
        <v>0</v>
      </c>
      <c r="AX936" s="46">
        <v>1</v>
      </c>
      <c r="AY936" s="47">
        <v>2599.9837499999999</v>
      </c>
      <c r="AZ936" s="70">
        <f t="shared" si="203"/>
        <v>0</v>
      </c>
      <c r="BC936" s="50"/>
    </row>
    <row r="937" spans="1:55" s="48" customFormat="1" ht="27.75" customHeight="1" outlineLevel="1" x14ac:dyDescent="0.25">
      <c r="A937" s="42">
        <v>2</v>
      </c>
      <c r="B937" s="43" t="s">
        <v>678</v>
      </c>
      <c r="C937" s="44" t="s">
        <v>98</v>
      </c>
      <c r="D937" s="45">
        <v>33.200000000000003</v>
      </c>
      <c r="E937" s="45">
        <v>4.9857999999999993</v>
      </c>
      <c r="F937" s="45">
        <f>+E937*D937</f>
        <v>165.52856</v>
      </c>
      <c r="G937" s="46">
        <f>I937+K937</f>
        <v>0</v>
      </c>
      <c r="H937" s="47">
        <f>J937+L937</f>
        <v>0</v>
      </c>
      <c r="I937" s="46">
        <f>J937/F937</f>
        <v>0</v>
      </c>
      <c r="J937" s="47">
        <v>0</v>
      </c>
      <c r="K937" s="46">
        <f>L937/F937</f>
        <v>0</v>
      </c>
      <c r="L937" s="47">
        <v>0</v>
      </c>
      <c r="AX937" s="46">
        <v>1</v>
      </c>
      <c r="AY937" s="47">
        <v>722.42559999999992</v>
      </c>
      <c r="AZ937" s="70">
        <f t="shared" si="203"/>
        <v>0</v>
      </c>
      <c r="BC937" s="50"/>
    </row>
    <row r="938" spans="1:55" s="56" customFormat="1" ht="17.25" customHeight="1" x14ac:dyDescent="0.3">
      <c r="A938" s="62">
        <v>3.11</v>
      </c>
      <c r="B938" s="51" t="s">
        <v>679</v>
      </c>
      <c r="C938" s="52">
        <v>0</v>
      </c>
      <c r="D938" s="53"/>
      <c r="E938" s="53"/>
      <c r="F938" s="53"/>
      <c r="G938" s="54"/>
      <c r="H938" s="55"/>
      <c r="I938" s="54"/>
      <c r="J938" s="55"/>
      <c r="K938" s="54"/>
      <c r="L938" s="55">
        <v>0</v>
      </c>
      <c r="AX938" s="69">
        <v>1</v>
      </c>
      <c r="AY938" s="71">
        <v>1362.2778000000001</v>
      </c>
      <c r="AZ938" s="72">
        <f t="shared" si="203"/>
        <v>0</v>
      </c>
      <c r="BC938" s="58"/>
    </row>
    <row r="939" spans="1:55" s="48" customFormat="1" ht="27.75" customHeight="1" outlineLevel="1" x14ac:dyDescent="0.25">
      <c r="A939" s="42">
        <v>1</v>
      </c>
      <c r="B939" s="43" t="s">
        <v>680</v>
      </c>
      <c r="C939" s="44" t="s">
        <v>93</v>
      </c>
      <c r="D939" s="45">
        <v>1</v>
      </c>
      <c r="E939" s="45">
        <v>51.811999999999998</v>
      </c>
      <c r="F939" s="45">
        <f t="shared" ref="F939:F969" si="206">+E939*D939</f>
        <v>51.811999999999998</v>
      </c>
      <c r="G939" s="46">
        <f t="shared" ref="G939:G969" si="207">I939+K939</f>
        <v>0</v>
      </c>
      <c r="H939" s="47">
        <f t="shared" ref="H939:H969" si="208">J939+L939</f>
        <v>0</v>
      </c>
      <c r="I939" s="46">
        <f t="shared" ref="I939:I969" si="209">J939/F939</f>
        <v>0</v>
      </c>
      <c r="J939" s="47">
        <v>0</v>
      </c>
      <c r="K939" s="46">
        <f t="shared" ref="K939:K969" si="210">L939/F939</f>
        <v>0</v>
      </c>
      <c r="L939" s="47">
        <v>0</v>
      </c>
      <c r="AX939" s="46">
        <v>0</v>
      </c>
      <c r="AY939" s="47">
        <v>0</v>
      </c>
      <c r="AZ939" s="70">
        <f t="shared" si="203"/>
        <v>0</v>
      </c>
      <c r="BC939" s="50"/>
    </row>
    <row r="940" spans="1:55" s="48" customFormat="1" ht="27.75" customHeight="1" outlineLevel="1" x14ac:dyDescent="0.25">
      <c r="A940" s="42">
        <v>2</v>
      </c>
      <c r="B940" s="43" t="s">
        <v>370</v>
      </c>
      <c r="C940" s="44" t="s">
        <v>93</v>
      </c>
      <c r="D940" s="45">
        <v>1</v>
      </c>
      <c r="E940" s="45">
        <v>35.147199999999998</v>
      </c>
      <c r="F940" s="45">
        <f t="shared" si="206"/>
        <v>35.147199999999998</v>
      </c>
      <c r="G940" s="46">
        <f t="shared" si="207"/>
        <v>0</v>
      </c>
      <c r="H940" s="47">
        <f t="shared" si="208"/>
        <v>0</v>
      </c>
      <c r="I940" s="46">
        <f t="shared" si="209"/>
        <v>0</v>
      </c>
      <c r="J940" s="47">
        <v>0</v>
      </c>
      <c r="K940" s="46">
        <f t="shared" si="210"/>
        <v>0</v>
      </c>
      <c r="L940" s="47">
        <v>0</v>
      </c>
      <c r="AX940" s="46">
        <v>0</v>
      </c>
      <c r="AY940" s="47">
        <v>0</v>
      </c>
      <c r="AZ940" s="70">
        <f t="shared" si="203"/>
        <v>0</v>
      </c>
      <c r="BC940" s="50"/>
    </row>
    <row r="941" spans="1:55" s="48" customFormat="1" ht="15.45" customHeight="1" outlineLevel="1" x14ac:dyDescent="0.25">
      <c r="A941" s="42">
        <v>3</v>
      </c>
      <c r="B941" s="43" t="s">
        <v>360</v>
      </c>
      <c r="C941" s="44" t="s">
        <v>93</v>
      </c>
      <c r="D941" s="45">
        <v>1</v>
      </c>
      <c r="E941" s="45">
        <v>20.79</v>
      </c>
      <c r="F941" s="45">
        <f t="shared" si="206"/>
        <v>20.79</v>
      </c>
      <c r="G941" s="46">
        <f t="shared" si="207"/>
        <v>0</v>
      </c>
      <c r="H941" s="47">
        <f t="shared" si="208"/>
        <v>0</v>
      </c>
      <c r="I941" s="46">
        <f t="shared" si="209"/>
        <v>0</v>
      </c>
      <c r="J941" s="47">
        <v>0</v>
      </c>
      <c r="K941" s="46">
        <f t="shared" si="210"/>
        <v>0</v>
      </c>
      <c r="L941" s="47">
        <v>0</v>
      </c>
      <c r="AX941" s="46">
        <v>1</v>
      </c>
      <c r="AY941" s="47">
        <v>348</v>
      </c>
      <c r="AZ941" s="70">
        <f t="shared" si="203"/>
        <v>0</v>
      </c>
      <c r="BC941" s="50"/>
    </row>
    <row r="942" spans="1:55" s="48" customFormat="1" ht="15.45" customHeight="1" outlineLevel="1" x14ac:dyDescent="0.25">
      <c r="A942" s="42">
        <v>4</v>
      </c>
      <c r="B942" s="43" t="s">
        <v>681</v>
      </c>
      <c r="C942" s="44" t="s">
        <v>93</v>
      </c>
      <c r="D942" s="45">
        <v>2</v>
      </c>
      <c r="E942" s="45">
        <v>4.3921999999999999</v>
      </c>
      <c r="F942" s="45">
        <f t="shared" si="206"/>
        <v>8.7843999999999998</v>
      </c>
      <c r="G942" s="46">
        <f t="shared" si="207"/>
        <v>0</v>
      </c>
      <c r="H942" s="47">
        <f t="shared" si="208"/>
        <v>0</v>
      </c>
      <c r="I942" s="46">
        <f t="shared" si="209"/>
        <v>0</v>
      </c>
      <c r="J942" s="47">
        <v>0</v>
      </c>
      <c r="K942" s="46">
        <f t="shared" si="210"/>
        <v>0</v>
      </c>
      <c r="L942" s="47">
        <v>0</v>
      </c>
      <c r="AX942" s="46">
        <v>1</v>
      </c>
      <c r="AY942" s="47">
        <v>32.4</v>
      </c>
      <c r="AZ942" s="70">
        <f t="shared" si="203"/>
        <v>0</v>
      </c>
      <c r="BC942" s="50"/>
    </row>
    <row r="943" spans="1:55" s="48" customFormat="1" ht="15.45" customHeight="1" outlineLevel="1" x14ac:dyDescent="0.25">
      <c r="A943" s="42">
        <v>5</v>
      </c>
      <c r="B943" s="43" t="s">
        <v>682</v>
      </c>
      <c r="C943" s="44" t="s">
        <v>93</v>
      </c>
      <c r="D943" s="45">
        <v>4</v>
      </c>
      <c r="E943" s="45">
        <v>4.3921999999999999</v>
      </c>
      <c r="F943" s="45">
        <f t="shared" si="206"/>
        <v>17.5688</v>
      </c>
      <c r="G943" s="46">
        <f t="shared" si="207"/>
        <v>0</v>
      </c>
      <c r="H943" s="47">
        <f t="shared" si="208"/>
        <v>0</v>
      </c>
      <c r="I943" s="46">
        <f t="shared" si="209"/>
        <v>0</v>
      </c>
      <c r="J943" s="47">
        <v>0</v>
      </c>
      <c r="K943" s="46">
        <f t="shared" si="210"/>
        <v>0</v>
      </c>
      <c r="L943" s="47">
        <v>0</v>
      </c>
      <c r="AX943" s="46">
        <v>1</v>
      </c>
      <c r="AY943" s="47">
        <v>202.71844660194171</v>
      </c>
      <c r="AZ943" s="70">
        <f t="shared" si="203"/>
        <v>0</v>
      </c>
      <c r="BC943" s="50"/>
    </row>
    <row r="944" spans="1:55" s="48" customFormat="1" ht="15.45" customHeight="1" outlineLevel="1" x14ac:dyDescent="0.25">
      <c r="A944" s="42">
        <v>6</v>
      </c>
      <c r="B944" s="43" t="s">
        <v>362</v>
      </c>
      <c r="C944" s="44" t="s">
        <v>93</v>
      </c>
      <c r="D944" s="45">
        <v>7</v>
      </c>
      <c r="E944" s="45">
        <v>14.3698</v>
      </c>
      <c r="F944" s="45">
        <f t="shared" si="206"/>
        <v>100.5886</v>
      </c>
      <c r="G944" s="46">
        <f t="shared" si="207"/>
        <v>0</v>
      </c>
      <c r="H944" s="47">
        <f t="shared" si="208"/>
        <v>0</v>
      </c>
      <c r="I944" s="46">
        <f t="shared" si="209"/>
        <v>0</v>
      </c>
      <c r="J944" s="47">
        <v>0</v>
      </c>
      <c r="K944" s="46">
        <f t="shared" si="210"/>
        <v>0</v>
      </c>
      <c r="L944" s="47">
        <v>0</v>
      </c>
      <c r="AX944" s="46">
        <v>1</v>
      </c>
      <c r="AY944" s="47">
        <v>522</v>
      </c>
      <c r="AZ944" s="70">
        <f t="shared" si="203"/>
        <v>0</v>
      </c>
      <c r="BC944" s="50"/>
    </row>
    <row r="945" spans="1:55" s="48" customFormat="1" ht="15.45" customHeight="1" outlineLevel="1" x14ac:dyDescent="0.25">
      <c r="A945" s="42">
        <v>7</v>
      </c>
      <c r="B945" s="43" t="s">
        <v>683</v>
      </c>
      <c r="C945" s="44" t="s">
        <v>93</v>
      </c>
      <c r="D945" s="45">
        <v>1</v>
      </c>
      <c r="E945" s="45">
        <v>10.930400000000001</v>
      </c>
      <c r="F945" s="45">
        <f t="shared" si="206"/>
        <v>10.930400000000001</v>
      </c>
      <c r="G945" s="46">
        <f t="shared" si="207"/>
        <v>0</v>
      </c>
      <c r="H945" s="47">
        <f t="shared" si="208"/>
        <v>0</v>
      </c>
      <c r="I945" s="46">
        <f t="shared" si="209"/>
        <v>0</v>
      </c>
      <c r="J945" s="47">
        <v>0</v>
      </c>
      <c r="K945" s="46">
        <f t="shared" si="210"/>
        <v>0</v>
      </c>
      <c r="L945" s="47">
        <v>0</v>
      </c>
      <c r="AX945" s="46">
        <v>1</v>
      </c>
      <c r="AY945" s="47">
        <v>414.17039999999997</v>
      </c>
      <c r="AZ945" s="70">
        <f t="shared" si="203"/>
        <v>0</v>
      </c>
      <c r="BC945" s="50"/>
    </row>
    <row r="946" spans="1:55" s="48" customFormat="1" ht="15.45" customHeight="1" outlineLevel="1" x14ac:dyDescent="0.25">
      <c r="A946" s="42">
        <v>8</v>
      </c>
      <c r="B946" s="43" t="s">
        <v>362</v>
      </c>
      <c r="C946" s="44" t="s">
        <v>93</v>
      </c>
      <c r="D946" s="45">
        <v>1</v>
      </c>
      <c r="E946" s="45">
        <v>14.3698</v>
      </c>
      <c r="F946" s="45">
        <f t="shared" si="206"/>
        <v>14.3698</v>
      </c>
      <c r="G946" s="46">
        <f t="shared" si="207"/>
        <v>0</v>
      </c>
      <c r="H946" s="47">
        <f t="shared" si="208"/>
        <v>0</v>
      </c>
      <c r="I946" s="46">
        <f t="shared" si="209"/>
        <v>0</v>
      </c>
      <c r="J946" s="47">
        <v>0</v>
      </c>
      <c r="K946" s="46">
        <f t="shared" si="210"/>
        <v>0</v>
      </c>
      <c r="L946" s="47">
        <v>0</v>
      </c>
      <c r="AX946" s="46">
        <v>1</v>
      </c>
      <c r="AY946" s="47">
        <v>556.12710280373835</v>
      </c>
      <c r="AZ946" s="70">
        <f t="shared" si="203"/>
        <v>0</v>
      </c>
      <c r="BC946" s="50"/>
    </row>
    <row r="947" spans="1:55" s="48" customFormat="1" ht="15.45" customHeight="1" outlineLevel="1" x14ac:dyDescent="0.25">
      <c r="A947" s="42">
        <v>9</v>
      </c>
      <c r="B947" s="43" t="s">
        <v>684</v>
      </c>
      <c r="C947" s="44" t="s">
        <v>93</v>
      </c>
      <c r="D947" s="45">
        <v>1</v>
      </c>
      <c r="E947" s="45">
        <v>29.851400000000009</v>
      </c>
      <c r="F947" s="45">
        <f t="shared" si="206"/>
        <v>29.851400000000009</v>
      </c>
      <c r="G947" s="46">
        <f t="shared" si="207"/>
        <v>0</v>
      </c>
      <c r="H947" s="47">
        <f t="shared" si="208"/>
        <v>0</v>
      </c>
      <c r="I947" s="46">
        <f t="shared" si="209"/>
        <v>0</v>
      </c>
      <c r="J947" s="47">
        <v>0</v>
      </c>
      <c r="K947" s="46">
        <f t="shared" si="210"/>
        <v>0</v>
      </c>
      <c r="L947" s="47">
        <v>0</v>
      </c>
      <c r="AX947" s="46">
        <v>1</v>
      </c>
      <c r="AY947" s="47">
        <v>3399.9920000000002</v>
      </c>
      <c r="AZ947" s="70">
        <f t="shared" si="203"/>
        <v>0</v>
      </c>
      <c r="BC947" s="50"/>
    </row>
    <row r="948" spans="1:55" s="48" customFormat="1" ht="15.45" customHeight="1" outlineLevel="1" x14ac:dyDescent="0.25">
      <c r="A948" s="42">
        <v>10</v>
      </c>
      <c r="B948" s="43" t="s">
        <v>685</v>
      </c>
      <c r="C948" s="44" t="s">
        <v>93</v>
      </c>
      <c r="D948" s="45">
        <v>2</v>
      </c>
      <c r="E948" s="45">
        <v>18.305</v>
      </c>
      <c r="F948" s="45">
        <f t="shared" si="206"/>
        <v>36.61</v>
      </c>
      <c r="G948" s="46">
        <f t="shared" si="207"/>
        <v>0</v>
      </c>
      <c r="H948" s="47">
        <f t="shared" si="208"/>
        <v>0</v>
      </c>
      <c r="I948" s="46">
        <f t="shared" si="209"/>
        <v>0</v>
      </c>
      <c r="J948" s="47">
        <v>0</v>
      </c>
      <c r="K948" s="46">
        <f t="shared" si="210"/>
        <v>0</v>
      </c>
      <c r="L948" s="47">
        <v>0</v>
      </c>
      <c r="AX948" s="46">
        <v>1</v>
      </c>
      <c r="AY948" s="47">
        <v>2599.9837499999999</v>
      </c>
      <c r="AZ948" s="70">
        <f t="shared" si="203"/>
        <v>0</v>
      </c>
      <c r="BC948" s="50"/>
    </row>
    <row r="949" spans="1:55" s="48" customFormat="1" ht="15.45" customHeight="1" outlineLevel="1" x14ac:dyDescent="0.25">
      <c r="A949" s="42">
        <v>11</v>
      </c>
      <c r="B949" s="43" t="s">
        <v>446</v>
      </c>
      <c r="C949" s="44" t="s">
        <v>93</v>
      </c>
      <c r="D949" s="45">
        <v>3</v>
      </c>
      <c r="E949" s="45">
        <v>13.5334</v>
      </c>
      <c r="F949" s="45">
        <f t="shared" si="206"/>
        <v>40.600200000000001</v>
      </c>
      <c r="G949" s="46">
        <f t="shared" si="207"/>
        <v>0</v>
      </c>
      <c r="H949" s="47">
        <f t="shared" si="208"/>
        <v>0</v>
      </c>
      <c r="I949" s="46">
        <f t="shared" si="209"/>
        <v>0</v>
      </c>
      <c r="J949" s="47">
        <v>0</v>
      </c>
      <c r="K949" s="46">
        <f t="shared" si="210"/>
        <v>0</v>
      </c>
      <c r="L949" s="47">
        <v>0</v>
      </c>
      <c r="AX949" s="46">
        <v>1</v>
      </c>
      <c r="AY949" s="47">
        <v>722.42559999999992</v>
      </c>
      <c r="AZ949" s="70">
        <f t="shared" si="203"/>
        <v>0</v>
      </c>
      <c r="BC949" s="50"/>
    </row>
    <row r="950" spans="1:55" s="48" customFormat="1" ht="15.45" customHeight="1" outlineLevel="1" x14ac:dyDescent="0.25">
      <c r="A950" s="42">
        <v>12</v>
      </c>
      <c r="B950" s="43" t="s">
        <v>686</v>
      </c>
      <c r="C950" s="44" t="s">
        <v>93</v>
      </c>
      <c r="D950" s="45">
        <v>1</v>
      </c>
      <c r="E950" s="45">
        <v>82.779199999999989</v>
      </c>
      <c r="F950" s="45">
        <f t="shared" si="206"/>
        <v>82.779199999999989</v>
      </c>
      <c r="G950" s="46">
        <f t="shared" si="207"/>
        <v>0</v>
      </c>
      <c r="H950" s="47">
        <f t="shared" si="208"/>
        <v>0</v>
      </c>
      <c r="I950" s="46">
        <f t="shared" si="209"/>
        <v>0</v>
      </c>
      <c r="J950" s="47">
        <v>0</v>
      </c>
      <c r="K950" s="46">
        <f t="shared" si="210"/>
        <v>0</v>
      </c>
      <c r="L950" s="47">
        <v>0</v>
      </c>
      <c r="AX950" s="46">
        <v>1</v>
      </c>
      <c r="AY950" s="47">
        <v>384.23219999999998</v>
      </c>
      <c r="AZ950" s="70">
        <f t="shared" si="203"/>
        <v>0</v>
      </c>
      <c r="BC950" s="50"/>
    </row>
    <row r="951" spans="1:55" s="48" customFormat="1" ht="15.45" customHeight="1" outlineLevel="1" x14ac:dyDescent="0.25">
      <c r="A951" s="42">
        <v>13</v>
      </c>
      <c r="B951" s="43" t="s">
        <v>687</v>
      </c>
      <c r="C951" s="44" t="s">
        <v>93</v>
      </c>
      <c r="D951" s="45">
        <v>1</v>
      </c>
      <c r="E951" s="45">
        <v>3.9434</v>
      </c>
      <c r="F951" s="45">
        <f t="shared" si="206"/>
        <v>3.9434</v>
      </c>
      <c r="G951" s="46">
        <f t="shared" si="207"/>
        <v>0</v>
      </c>
      <c r="H951" s="47">
        <f t="shared" si="208"/>
        <v>0</v>
      </c>
      <c r="I951" s="46">
        <f t="shared" si="209"/>
        <v>0</v>
      </c>
      <c r="J951" s="47">
        <v>0</v>
      </c>
      <c r="K951" s="46">
        <f t="shared" si="210"/>
        <v>0</v>
      </c>
      <c r="L951" s="47">
        <v>0</v>
      </c>
      <c r="AX951" s="46">
        <v>0</v>
      </c>
      <c r="AY951" s="47">
        <v>0</v>
      </c>
      <c r="AZ951" s="70">
        <f t="shared" si="203"/>
        <v>0</v>
      </c>
      <c r="BC951" s="50"/>
    </row>
    <row r="952" spans="1:55" s="48" customFormat="1" ht="27.75" customHeight="1" outlineLevel="1" x14ac:dyDescent="0.25">
      <c r="A952" s="42">
        <v>14</v>
      </c>
      <c r="B952" s="43" t="s">
        <v>459</v>
      </c>
      <c r="C952" s="44" t="s">
        <v>93</v>
      </c>
      <c r="D952" s="45">
        <v>1</v>
      </c>
      <c r="E952" s="45">
        <v>3.67</v>
      </c>
      <c r="F952" s="45">
        <f t="shared" si="206"/>
        <v>3.67</v>
      </c>
      <c r="G952" s="46">
        <f t="shared" si="207"/>
        <v>0</v>
      </c>
      <c r="H952" s="47">
        <f t="shared" si="208"/>
        <v>0</v>
      </c>
      <c r="I952" s="46">
        <f t="shared" si="209"/>
        <v>0</v>
      </c>
      <c r="J952" s="47">
        <v>0</v>
      </c>
      <c r="K952" s="46">
        <f t="shared" si="210"/>
        <v>0</v>
      </c>
      <c r="L952" s="47">
        <v>0</v>
      </c>
      <c r="AX952" s="46">
        <v>0</v>
      </c>
      <c r="AY952" s="47">
        <v>0</v>
      </c>
      <c r="AZ952" s="70">
        <f t="shared" si="203"/>
        <v>0</v>
      </c>
      <c r="BC952" s="50"/>
    </row>
    <row r="953" spans="1:55" s="48" customFormat="1" ht="27.75" customHeight="1" outlineLevel="1" x14ac:dyDescent="0.25">
      <c r="A953" s="42">
        <v>15</v>
      </c>
      <c r="B953" s="43" t="s">
        <v>688</v>
      </c>
      <c r="C953" s="44" t="s">
        <v>93</v>
      </c>
      <c r="D953" s="45">
        <v>1</v>
      </c>
      <c r="E953" s="45">
        <v>6.5444000000000004</v>
      </c>
      <c r="F953" s="45">
        <f t="shared" si="206"/>
        <v>6.5444000000000004</v>
      </c>
      <c r="G953" s="46">
        <f t="shared" si="207"/>
        <v>0</v>
      </c>
      <c r="H953" s="47">
        <f t="shared" si="208"/>
        <v>0</v>
      </c>
      <c r="I953" s="46">
        <f t="shared" si="209"/>
        <v>0</v>
      </c>
      <c r="J953" s="47">
        <v>0</v>
      </c>
      <c r="K953" s="46">
        <f t="shared" si="210"/>
        <v>0</v>
      </c>
      <c r="L953" s="47">
        <v>0</v>
      </c>
      <c r="AX953" s="46">
        <v>0</v>
      </c>
      <c r="AY953" s="47">
        <v>0</v>
      </c>
      <c r="AZ953" s="70">
        <f t="shared" si="203"/>
        <v>0</v>
      </c>
      <c r="BC953" s="50"/>
    </row>
    <row r="954" spans="1:55" s="48" customFormat="1" ht="15.45" customHeight="1" outlineLevel="1" x14ac:dyDescent="0.25">
      <c r="A954" s="42">
        <v>16</v>
      </c>
      <c r="B954" s="43" t="s">
        <v>464</v>
      </c>
      <c r="C954" s="44" t="s">
        <v>93</v>
      </c>
      <c r="D954" s="45">
        <v>1</v>
      </c>
      <c r="E954" s="45">
        <v>8.882200000000001</v>
      </c>
      <c r="F954" s="45">
        <f t="shared" si="206"/>
        <v>8.882200000000001</v>
      </c>
      <c r="G954" s="46">
        <f t="shared" si="207"/>
        <v>0</v>
      </c>
      <c r="H954" s="47">
        <f t="shared" si="208"/>
        <v>0</v>
      </c>
      <c r="I954" s="46">
        <f t="shared" si="209"/>
        <v>0</v>
      </c>
      <c r="J954" s="47">
        <v>0</v>
      </c>
      <c r="K954" s="46">
        <f t="shared" si="210"/>
        <v>0</v>
      </c>
      <c r="L954" s="47">
        <v>0</v>
      </c>
      <c r="AX954" s="46">
        <v>1</v>
      </c>
      <c r="AY954" s="47">
        <v>2143.9656</v>
      </c>
      <c r="AZ954" s="70">
        <f t="shared" si="203"/>
        <v>0</v>
      </c>
      <c r="BC954" s="50"/>
    </row>
    <row r="955" spans="1:55" s="48" customFormat="1" ht="27.75" customHeight="1" outlineLevel="1" x14ac:dyDescent="0.25">
      <c r="A955" s="42">
        <v>17</v>
      </c>
      <c r="B955" s="43" t="s">
        <v>689</v>
      </c>
      <c r="C955" s="44" t="s">
        <v>93</v>
      </c>
      <c r="D955" s="45">
        <v>2</v>
      </c>
      <c r="E955" s="45">
        <v>4.2595999999999989</v>
      </c>
      <c r="F955" s="45">
        <f t="shared" si="206"/>
        <v>8.5191999999999979</v>
      </c>
      <c r="G955" s="46">
        <f t="shared" si="207"/>
        <v>0</v>
      </c>
      <c r="H955" s="47">
        <f t="shared" si="208"/>
        <v>0</v>
      </c>
      <c r="I955" s="46">
        <f t="shared" si="209"/>
        <v>0</v>
      </c>
      <c r="J955" s="47">
        <v>0</v>
      </c>
      <c r="K955" s="46">
        <f t="shared" si="210"/>
        <v>0</v>
      </c>
      <c r="L955" s="47">
        <v>0</v>
      </c>
      <c r="AX955" s="46">
        <v>1</v>
      </c>
      <c r="AY955" s="47">
        <v>696.48599999999999</v>
      </c>
      <c r="AZ955" s="70">
        <f t="shared" si="203"/>
        <v>0</v>
      </c>
      <c r="BC955" s="50"/>
    </row>
    <row r="956" spans="1:55" s="48" customFormat="1" ht="15.45" customHeight="1" outlineLevel="1" x14ac:dyDescent="0.25">
      <c r="A956" s="42">
        <v>18</v>
      </c>
      <c r="B956" s="43" t="s">
        <v>398</v>
      </c>
      <c r="C956" s="44" t="s">
        <v>93</v>
      </c>
      <c r="D956" s="45">
        <v>2</v>
      </c>
      <c r="E956" s="45">
        <v>4.3635999999999999</v>
      </c>
      <c r="F956" s="45">
        <f t="shared" si="206"/>
        <v>8.7271999999999998</v>
      </c>
      <c r="G956" s="46">
        <f t="shared" si="207"/>
        <v>0</v>
      </c>
      <c r="H956" s="47">
        <f t="shared" si="208"/>
        <v>0</v>
      </c>
      <c r="I956" s="46">
        <f t="shared" si="209"/>
        <v>0</v>
      </c>
      <c r="J956" s="47">
        <v>0</v>
      </c>
      <c r="K956" s="46">
        <f t="shared" si="210"/>
        <v>0</v>
      </c>
      <c r="L956" s="47">
        <v>0</v>
      </c>
      <c r="AX956" s="46">
        <v>1</v>
      </c>
      <c r="AY956" s="47">
        <v>2983.7864</v>
      </c>
      <c r="AZ956" s="70">
        <f t="shared" si="203"/>
        <v>0</v>
      </c>
      <c r="BC956" s="50"/>
    </row>
    <row r="957" spans="1:55" s="48" customFormat="1" ht="27.75" customHeight="1" outlineLevel="1" x14ac:dyDescent="0.25">
      <c r="A957" s="42">
        <v>19</v>
      </c>
      <c r="B957" s="43" t="s">
        <v>402</v>
      </c>
      <c r="C957" s="44" t="s">
        <v>93</v>
      </c>
      <c r="D957" s="45">
        <v>4</v>
      </c>
      <c r="E957" s="45">
        <v>0.9</v>
      </c>
      <c r="F957" s="45">
        <f t="shared" si="206"/>
        <v>3.6</v>
      </c>
      <c r="G957" s="46">
        <f t="shared" si="207"/>
        <v>0</v>
      </c>
      <c r="H957" s="47">
        <f t="shared" si="208"/>
        <v>0</v>
      </c>
      <c r="I957" s="46">
        <f t="shared" si="209"/>
        <v>0</v>
      </c>
      <c r="J957" s="47">
        <v>0</v>
      </c>
      <c r="K957" s="46">
        <f t="shared" si="210"/>
        <v>0</v>
      </c>
      <c r="L957" s="47">
        <v>0</v>
      </c>
      <c r="AX957" s="46">
        <v>1</v>
      </c>
      <c r="AY957" s="47">
        <v>1014.0144</v>
      </c>
      <c r="AZ957" s="70">
        <f t="shared" si="203"/>
        <v>0</v>
      </c>
      <c r="BC957" s="50"/>
    </row>
    <row r="958" spans="1:55" s="48" customFormat="1" ht="15.45" customHeight="1" outlineLevel="1" x14ac:dyDescent="0.25">
      <c r="A958" s="42">
        <v>20</v>
      </c>
      <c r="B958" s="43" t="s">
        <v>690</v>
      </c>
      <c r="C958" s="44" t="s">
        <v>93</v>
      </c>
      <c r="D958" s="45">
        <v>5</v>
      </c>
      <c r="E958" s="45">
        <v>0.9</v>
      </c>
      <c r="F958" s="45">
        <f t="shared" si="206"/>
        <v>4.5</v>
      </c>
      <c r="G958" s="46">
        <f t="shared" si="207"/>
        <v>0</v>
      </c>
      <c r="H958" s="47">
        <f t="shared" si="208"/>
        <v>0</v>
      </c>
      <c r="I958" s="46">
        <f t="shared" si="209"/>
        <v>0</v>
      </c>
      <c r="J958" s="47">
        <v>0</v>
      </c>
      <c r="K958" s="46">
        <f t="shared" si="210"/>
        <v>0</v>
      </c>
      <c r="L958" s="47">
        <v>0</v>
      </c>
      <c r="AX958" s="46">
        <v>0</v>
      </c>
      <c r="AY958" s="47">
        <v>0</v>
      </c>
      <c r="AZ958" s="70">
        <f t="shared" si="203"/>
        <v>0</v>
      </c>
      <c r="BC958" s="50"/>
    </row>
    <row r="959" spans="1:55" s="48" customFormat="1" ht="15.45" customHeight="1" outlineLevel="1" x14ac:dyDescent="0.25">
      <c r="A959" s="42">
        <v>21</v>
      </c>
      <c r="B959" s="43" t="s">
        <v>691</v>
      </c>
      <c r="C959" s="44" t="s">
        <v>61</v>
      </c>
      <c r="D959" s="45">
        <v>60</v>
      </c>
      <c r="E959" s="45">
        <v>0.9</v>
      </c>
      <c r="F959" s="45">
        <f t="shared" si="206"/>
        <v>54</v>
      </c>
      <c r="G959" s="46">
        <f t="shared" si="207"/>
        <v>0</v>
      </c>
      <c r="H959" s="47">
        <f t="shared" si="208"/>
        <v>0</v>
      </c>
      <c r="I959" s="46">
        <f t="shared" si="209"/>
        <v>0</v>
      </c>
      <c r="J959" s="47">
        <v>0</v>
      </c>
      <c r="K959" s="46">
        <f t="shared" si="210"/>
        <v>0</v>
      </c>
      <c r="L959" s="47">
        <v>0</v>
      </c>
      <c r="AX959" s="46">
        <v>0</v>
      </c>
      <c r="AY959" s="47">
        <v>0</v>
      </c>
      <c r="AZ959" s="70">
        <f t="shared" si="203"/>
        <v>0</v>
      </c>
      <c r="BC959" s="50"/>
    </row>
    <row r="960" spans="1:55" s="48" customFormat="1" ht="27.75" customHeight="1" outlineLevel="1" x14ac:dyDescent="0.25">
      <c r="A960" s="42">
        <v>22</v>
      </c>
      <c r="B960" s="43" t="s">
        <v>407</v>
      </c>
      <c r="C960" s="44" t="s">
        <v>61</v>
      </c>
      <c r="D960" s="45">
        <v>60</v>
      </c>
      <c r="E960" s="45">
        <v>2.1604000000000001</v>
      </c>
      <c r="F960" s="45">
        <f t="shared" si="206"/>
        <v>129.624</v>
      </c>
      <c r="G960" s="46">
        <f t="shared" si="207"/>
        <v>0</v>
      </c>
      <c r="H960" s="47">
        <f t="shared" si="208"/>
        <v>0</v>
      </c>
      <c r="I960" s="46">
        <f t="shared" si="209"/>
        <v>0</v>
      </c>
      <c r="J960" s="47">
        <v>0</v>
      </c>
      <c r="K960" s="46">
        <f t="shared" si="210"/>
        <v>0</v>
      </c>
      <c r="L960" s="47">
        <v>0</v>
      </c>
      <c r="AX960" s="46">
        <v>0</v>
      </c>
      <c r="AY960" s="47">
        <v>0</v>
      </c>
      <c r="AZ960" s="70">
        <f t="shared" si="203"/>
        <v>0</v>
      </c>
      <c r="BC960" s="50"/>
    </row>
    <row r="961" spans="1:55" s="48" customFormat="1" ht="15.45" customHeight="1" outlineLevel="1" x14ac:dyDescent="0.25">
      <c r="A961" s="42">
        <v>23</v>
      </c>
      <c r="B961" s="43" t="s">
        <v>413</v>
      </c>
      <c r="C961" s="44" t="s">
        <v>61</v>
      </c>
      <c r="D961" s="45">
        <v>40</v>
      </c>
      <c r="E961" s="45">
        <v>5.0999999999999996</v>
      </c>
      <c r="F961" s="45">
        <f t="shared" si="206"/>
        <v>204</v>
      </c>
      <c r="G961" s="46">
        <f t="shared" si="207"/>
        <v>0</v>
      </c>
      <c r="H961" s="47">
        <f t="shared" si="208"/>
        <v>0</v>
      </c>
      <c r="I961" s="46">
        <f t="shared" si="209"/>
        <v>0</v>
      </c>
      <c r="J961" s="47">
        <v>0</v>
      </c>
      <c r="K961" s="46">
        <f t="shared" si="210"/>
        <v>0</v>
      </c>
      <c r="L961" s="47">
        <v>0</v>
      </c>
      <c r="AX961" s="46">
        <v>0.85</v>
      </c>
      <c r="AY961" s="47">
        <v>12750</v>
      </c>
      <c r="AZ961" s="70">
        <f t="shared" si="203"/>
        <v>0</v>
      </c>
      <c r="BC961" s="50"/>
    </row>
    <row r="962" spans="1:55" s="48" customFormat="1" ht="15.45" customHeight="1" outlineLevel="1" x14ac:dyDescent="0.25">
      <c r="A962" s="42">
        <v>24</v>
      </c>
      <c r="B962" s="43" t="s">
        <v>414</v>
      </c>
      <c r="C962" s="44" t="s">
        <v>61</v>
      </c>
      <c r="D962" s="45">
        <v>20</v>
      </c>
      <c r="E962" s="45">
        <v>6.1</v>
      </c>
      <c r="F962" s="45">
        <f t="shared" si="206"/>
        <v>122</v>
      </c>
      <c r="G962" s="46">
        <f t="shared" si="207"/>
        <v>0</v>
      </c>
      <c r="H962" s="47">
        <f t="shared" si="208"/>
        <v>0</v>
      </c>
      <c r="I962" s="46">
        <f t="shared" si="209"/>
        <v>0</v>
      </c>
      <c r="J962" s="47">
        <v>0</v>
      </c>
      <c r="K962" s="46">
        <f t="shared" si="210"/>
        <v>0</v>
      </c>
      <c r="L962" s="47">
        <v>0</v>
      </c>
      <c r="AX962" s="46">
        <v>0</v>
      </c>
      <c r="AY962" s="47">
        <v>0</v>
      </c>
      <c r="AZ962" s="70">
        <f t="shared" si="203"/>
        <v>0</v>
      </c>
      <c r="BC962" s="50"/>
    </row>
    <row r="963" spans="1:55" s="48" customFormat="1" ht="27.75" customHeight="1" outlineLevel="1" x14ac:dyDescent="0.25">
      <c r="A963" s="42">
        <v>25</v>
      </c>
      <c r="B963" s="43" t="s">
        <v>469</v>
      </c>
      <c r="C963" s="44" t="s">
        <v>61</v>
      </c>
      <c r="D963" s="45">
        <v>60</v>
      </c>
      <c r="E963" s="45">
        <v>2.0175999999999998</v>
      </c>
      <c r="F963" s="45">
        <f t="shared" si="206"/>
        <v>121.05599999999998</v>
      </c>
      <c r="G963" s="46">
        <f t="shared" si="207"/>
        <v>0</v>
      </c>
      <c r="H963" s="47">
        <f t="shared" si="208"/>
        <v>0</v>
      </c>
      <c r="I963" s="46">
        <f t="shared" si="209"/>
        <v>0</v>
      </c>
      <c r="J963" s="47">
        <v>0</v>
      </c>
      <c r="K963" s="46">
        <f t="shared" si="210"/>
        <v>0</v>
      </c>
      <c r="L963" s="47">
        <v>0</v>
      </c>
      <c r="AX963" s="46">
        <v>0</v>
      </c>
      <c r="AY963" s="47">
        <v>0</v>
      </c>
      <c r="AZ963" s="70">
        <f t="shared" si="203"/>
        <v>0</v>
      </c>
      <c r="BC963" s="50"/>
    </row>
    <row r="964" spans="1:55" s="48" customFormat="1" ht="15.45" customHeight="1" outlineLevel="1" x14ac:dyDescent="0.25">
      <c r="A964" s="42">
        <v>26</v>
      </c>
      <c r="B964" s="43" t="s">
        <v>426</v>
      </c>
      <c r="C964" s="44" t="s">
        <v>130</v>
      </c>
      <c r="D964" s="45">
        <v>8.0299999999999994</v>
      </c>
      <c r="E964" s="45">
        <v>1.4239999999999999</v>
      </c>
      <c r="F964" s="45">
        <f t="shared" si="206"/>
        <v>11.434719999999999</v>
      </c>
      <c r="G964" s="46">
        <f t="shared" si="207"/>
        <v>0</v>
      </c>
      <c r="H964" s="47">
        <f t="shared" si="208"/>
        <v>0</v>
      </c>
      <c r="I964" s="46">
        <f t="shared" si="209"/>
        <v>0</v>
      </c>
      <c r="J964" s="47">
        <v>0</v>
      </c>
      <c r="K964" s="46">
        <f t="shared" si="210"/>
        <v>0</v>
      </c>
      <c r="L964" s="47">
        <v>0</v>
      </c>
      <c r="AX964" s="46">
        <v>1</v>
      </c>
      <c r="AY964" s="47">
        <v>403.76</v>
      </c>
      <c r="AZ964" s="70">
        <f t="shared" si="203"/>
        <v>0</v>
      </c>
      <c r="BC964" s="50"/>
    </row>
    <row r="965" spans="1:55" s="48" customFormat="1" ht="15.45" customHeight="1" outlineLevel="1" x14ac:dyDescent="0.25">
      <c r="A965" s="42">
        <v>27</v>
      </c>
      <c r="B965" s="43" t="s">
        <v>427</v>
      </c>
      <c r="C965" s="44" t="s">
        <v>93</v>
      </c>
      <c r="D965" s="45">
        <v>1</v>
      </c>
      <c r="E965" s="45">
        <v>10.708</v>
      </c>
      <c r="F965" s="45">
        <f t="shared" si="206"/>
        <v>10.708</v>
      </c>
      <c r="G965" s="46">
        <f t="shared" si="207"/>
        <v>0</v>
      </c>
      <c r="H965" s="47">
        <f t="shared" si="208"/>
        <v>0</v>
      </c>
      <c r="I965" s="46">
        <f t="shared" si="209"/>
        <v>0</v>
      </c>
      <c r="J965" s="47">
        <v>0</v>
      </c>
      <c r="K965" s="46">
        <f t="shared" si="210"/>
        <v>0</v>
      </c>
      <c r="L965" s="47">
        <v>0</v>
      </c>
      <c r="AX965" s="46">
        <v>1</v>
      </c>
      <c r="AY965" s="47">
        <v>605.64</v>
      </c>
      <c r="AZ965" s="70">
        <f t="shared" si="203"/>
        <v>0</v>
      </c>
      <c r="BC965" s="50"/>
    </row>
    <row r="966" spans="1:55" s="48" customFormat="1" ht="15.45" customHeight="1" outlineLevel="1" x14ac:dyDescent="0.25">
      <c r="A966" s="42">
        <v>28</v>
      </c>
      <c r="B966" s="43" t="s">
        <v>428</v>
      </c>
      <c r="C966" s="44" t="s">
        <v>61</v>
      </c>
      <c r="D966" s="45">
        <v>5</v>
      </c>
      <c r="E966" s="45">
        <v>4.9429999999999996</v>
      </c>
      <c r="F966" s="45">
        <f t="shared" si="206"/>
        <v>24.714999999999996</v>
      </c>
      <c r="G966" s="46">
        <f t="shared" si="207"/>
        <v>0</v>
      </c>
      <c r="H966" s="47">
        <f t="shared" si="208"/>
        <v>0</v>
      </c>
      <c r="I966" s="46">
        <f t="shared" si="209"/>
        <v>0</v>
      </c>
      <c r="J966" s="47">
        <v>0</v>
      </c>
      <c r="K966" s="46">
        <f t="shared" si="210"/>
        <v>0</v>
      </c>
      <c r="L966" s="47">
        <v>0</v>
      </c>
      <c r="AX966" s="46">
        <v>1</v>
      </c>
      <c r="AY966" s="47">
        <v>1312.22</v>
      </c>
      <c r="AZ966" s="70">
        <f t="shared" si="203"/>
        <v>0</v>
      </c>
      <c r="BC966" s="50"/>
    </row>
    <row r="967" spans="1:55" s="48" customFormat="1" ht="27.75" customHeight="1" outlineLevel="1" x14ac:dyDescent="0.25">
      <c r="A967" s="42">
        <v>29</v>
      </c>
      <c r="B967" s="43" t="s">
        <v>429</v>
      </c>
      <c r="C967" s="44" t="s">
        <v>61</v>
      </c>
      <c r="D967" s="45">
        <v>5</v>
      </c>
      <c r="E967" s="45">
        <v>2.1909999999999998</v>
      </c>
      <c r="F967" s="45">
        <f t="shared" si="206"/>
        <v>10.954999999999998</v>
      </c>
      <c r="G967" s="46">
        <f t="shared" si="207"/>
        <v>0</v>
      </c>
      <c r="H967" s="47">
        <f t="shared" si="208"/>
        <v>0</v>
      </c>
      <c r="I967" s="46">
        <f t="shared" si="209"/>
        <v>0</v>
      </c>
      <c r="J967" s="47">
        <v>0</v>
      </c>
      <c r="K967" s="46">
        <f t="shared" si="210"/>
        <v>0</v>
      </c>
      <c r="L967" s="47">
        <v>0</v>
      </c>
      <c r="AX967" s="46">
        <v>1</v>
      </c>
      <c r="AY967" s="47">
        <v>321.36</v>
      </c>
      <c r="AZ967" s="70">
        <f t="shared" si="203"/>
        <v>0</v>
      </c>
      <c r="BC967" s="50"/>
    </row>
    <row r="968" spans="1:55" s="48" customFormat="1" ht="15.45" customHeight="1" outlineLevel="1" x14ac:dyDescent="0.25">
      <c r="A968" s="42">
        <v>30</v>
      </c>
      <c r="B968" s="43" t="s">
        <v>430</v>
      </c>
      <c r="C968" s="44" t="s">
        <v>61</v>
      </c>
      <c r="D968" s="45">
        <v>5</v>
      </c>
      <c r="E968" s="45">
        <v>7.3807999999999998</v>
      </c>
      <c r="F968" s="45">
        <f t="shared" si="206"/>
        <v>36.903999999999996</v>
      </c>
      <c r="G968" s="46">
        <f t="shared" si="207"/>
        <v>0</v>
      </c>
      <c r="H968" s="47">
        <f t="shared" si="208"/>
        <v>0</v>
      </c>
      <c r="I968" s="46">
        <f t="shared" si="209"/>
        <v>0</v>
      </c>
      <c r="J968" s="47">
        <v>0</v>
      </c>
      <c r="K968" s="46">
        <f t="shared" si="210"/>
        <v>0</v>
      </c>
      <c r="L968" s="47">
        <v>0</v>
      </c>
      <c r="AX968" s="46">
        <v>0</v>
      </c>
      <c r="AY968" s="47">
        <v>0</v>
      </c>
      <c r="AZ968" s="70">
        <f t="shared" si="203"/>
        <v>0</v>
      </c>
      <c r="BC968" s="50"/>
    </row>
    <row r="969" spans="1:55" s="48" customFormat="1" ht="15.45" customHeight="1" outlineLevel="1" x14ac:dyDescent="0.25">
      <c r="A969" s="42">
        <v>31</v>
      </c>
      <c r="B969" s="43" t="s">
        <v>431</v>
      </c>
      <c r="C969" s="44" t="s">
        <v>61</v>
      </c>
      <c r="D969" s="45">
        <v>5</v>
      </c>
      <c r="E969" s="45">
        <v>2.1604000000000001</v>
      </c>
      <c r="F969" s="45">
        <f t="shared" si="206"/>
        <v>10.802</v>
      </c>
      <c r="G969" s="46">
        <f t="shared" si="207"/>
        <v>0</v>
      </c>
      <c r="H969" s="47">
        <f t="shared" si="208"/>
        <v>0</v>
      </c>
      <c r="I969" s="46">
        <f t="shared" si="209"/>
        <v>0</v>
      </c>
      <c r="J969" s="47">
        <v>0</v>
      </c>
      <c r="K969" s="46">
        <f t="shared" si="210"/>
        <v>0</v>
      </c>
      <c r="L969" s="47">
        <v>0</v>
      </c>
      <c r="AX969" s="46">
        <v>0</v>
      </c>
      <c r="AY969" s="47">
        <v>0</v>
      </c>
      <c r="AZ969" s="70">
        <f t="shared" si="203"/>
        <v>0</v>
      </c>
      <c r="BC969" s="50"/>
    </row>
    <row r="970" spans="1:55" s="56" customFormat="1" ht="19.2" customHeight="1" x14ac:dyDescent="0.3">
      <c r="A970" s="62">
        <v>3.12</v>
      </c>
      <c r="B970" s="51" t="s">
        <v>692</v>
      </c>
      <c r="C970" s="52">
        <v>0</v>
      </c>
      <c r="D970" s="53"/>
      <c r="E970" s="53"/>
      <c r="F970" s="53"/>
      <c r="G970" s="54"/>
      <c r="H970" s="55"/>
      <c r="I970" s="54"/>
      <c r="J970" s="55"/>
      <c r="K970" s="54"/>
      <c r="L970" s="55">
        <v>0</v>
      </c>
      <c r="AX970" s="69">
        <v>0</v>
      </c>
      <c r="AY970" s="71">
        <v>0</v>
      </c>
      <c r="AZ970" s="72">
        <f t="shared" si="203"/>
        <v>0</v>
      </c>
      <c r="BC970" s="58"/>
    </row>
    <row r="971" spans="1:55" s="48" customFormat="1" ht="27.75" customHeight="1" outlineLevel="1" x14ac:dyDescent="0.25">
      <c r="A971" s="42">
        <v>1</v>
      </c>
      <c r="B971" s="43" t="s">
        <v>693</v>
      </c>
      <c r="C971" s="44" t="s">
        <v>234</v>
      </c>
      <c r="D971" s="45">
        <v>1</v>
      </c>
      <c r="E971" s="45">
        <v>82.779199999999989</v>
      </c>
      <c r="F971" s="45">
        <f t="shared" ref="F971:F981" si="211">+E971*D971</f>
        <v>82.779199999999989</v>
      </c>
      <c r="G971" s="46">
        <f t="shared" ref="G971:G981" si="212">I971+K971</f>
        <v>0</v>
      </c>
      <c r="H971" s="47">
        <f t="shared" ref="H971:H981" si="213">J971+L971</f>
        <v>0</v>
      </c>
      <c r="I971" s="46">
        <f t="shared" ref="I971:I981" si="214">J971/F971</f>
        <v>0</v>
      </c>
      <c r="J971" s="47">
        <v>0</v>
      </c>
      <c r="K971" s="46">
        <f t="shared" ref="K971:K981" si="215">L971/F971</f>
        <v>0</v>
      </c>
      <c r="L971" s="47">
        <v>0</v>
      </c>
      <c r="AX971" s="46">
        <v>0</v>
      </c>
      <c r="AY971" s="47">
        <v>0</v>
      </c>
      <c r="AZ971" s="70">
        <f t="shared" si="203"/>
        <v>0</v>
      </c>
      <c r="BC971" s="50"/>
    </row>
    <row r="972" spans="1:55" s="48" customFormat="1" ht="15.45" customHeight="1" outlineLevel="1" x14ac:dyDescent="0.25">
      <c r="A972" s="42">
        <v>2</v>
      </c>
      <c r="B972" s="43" t="s">
        <v>493</v>
      </c>
      <c r="C972" s="44" t="s">
        <v>93</v>
      </c>
      <c r="D972" s="45">
        <v>1</v>
      </c>
      <c r="E972" s="45">
        <v>46.163200000000003</v>
      </c>
      <c r="F972" s="45">
        <f t="shared" si="211"/>
        <v>46.163200000000003</v>
      </c>
      <c r="G972" s="46">
        <f t="shared" si="212"/>
        <v>0</v>
      </c>
      <c r="H972" s="47">
        <f t="shared" si="213"/>
        <v>0</v>
      </c>
      <c r="I972" s="46">
        <f t="shared" si="214"/>
        <v>0</v>
      </c>
      <c r="J972" s="47">
        <v>0</v>
      </c>
      <c r="K972" s="46">
        <f t="shared" si="215"/>
        <v>0</v>
      </c>
      <c r="L972" s="47">
        <v>0</v>
      </c>
      <c r="AX972" s="46">
        <v>1</v>
      </c>
      <c r="AY972" s="47">
        <v>12500</v>
      </c>
      <c r="AZ972" s="70">
        <f t="shared" si="203"/>
        <v>0</v>
      </c>
      <c r="BC972" s="50"/>
    </row>
    <row r="973" spans="1:55" s="48" customFormat="1" ht="15.45" customHeight="1" outlineLevel="1" x14ac:dyDescent="0.25">
      <c r="A973" s="42">
        <v>3</v>
      </c>
      <c r="B973" s="43" t="s">
        <v>694</v>
      </c>
      <c r="C973" s="44" t="s">
        <v>93</v>
      </c>
      <c r="D973" s="45">
        <v>1</v>
      </c>
      <c r="E973" s="45">
        <v>72.364999999999995</v>
      </c>
      <c r="F973" s="45">
        <f t="shared" si="211"/>
        <v>72.364999999999995</v>
      </c>
      <c r="G973" s="46">
        <f t="shared" si="212"/>
        <v>0</v>
      </c>
      <c r="H973" s="47">
        <f t="shared" si="213"/>
        <v>0</v>
      </c>
      <c r="I973" s="46">
        <f t="shared" si="214"/>
        <v>0</v>
      </c>
      <c r="J973" s="47">
        <v>0</v>
      </c>
      <c r="K973" s="46">
        <f t="shared" si="215"/>
        <v>0</v>
      </c>
      <c r="L973" s="47">
        <v>0</v>
      </c>
      <c r="AX973" s="46">
        <v>0</v>
      </c>
      <c r="AY973" s="47">
        <v>0</v>
      </c>
      <c r="AZ973" s="70">
        <f t="shared" si="203"/>
        <v>0</v>
      </c>
      <c r="BC973" s="50"/>
    </row>
    <row r="974" spans="1:55" s="48" customFormat="1" ht="15.45" customHeight="1" outlineLevel="1" x14ac:dyDescent="0.25">
      <c r="A974" s="42">
        <v>4</v>
      </c>
      <c r="B974" s="43" t="s">
        <v>498</v>
      </c>
      <c r="C974" s="44" t="s">
        <v>93</v>
      </c>
      <c r="D974" s="45">
        <v>1</v>
      </c>
      <c r="E974" s="45">
        <v>0.9</v>
      </c>
      <c r="F974" s="45">
        <f t="shared" si="211"/>
        <v>0.9</v>
      </c>
      <c r="G974" s="46">
        <f t="shared" si="212"/>
        <v>0</v>
      </c>
      <c r="H974" s="47">
        <f t="shared" si="213"/>
        <v>0</v>
      </c>
      <c r="I974" s="46">
        <f t="shared" si="214"/>
        <v>0</v>
      </c>
      <c r="J974" s="47">
        <v>0</v>
      </c>
      <c r="K974" s="46">
        <f t="shared" si="215"/>
        <v>0</v>
      </c>
      <c r="L974" s="47">
        <v>0</v>
      </c>
      <c r="AX974" s="46">
        <v>0</v>
      </c>
      <c r="AY974" s="47">
        <v>0</v>
      </c>
      <c r="AZ974" s="70">
        <f t="shared" si="203"/>
        <v>0</v>
      </c>
      <c r="BC974" s="50"/>
    </row>
    <row r="975" spans="1:55" s="48" customFormat="1" ht="15.45" customHeight="1" outlineLevel="1" x14ac:dyDescent="0.25">
      <c r="A975" s="42">
        <v>5</v>
      </c>
      <c r="B975" s="43" t="s">
        <v>695</v>
      </c>
      <c r="C975" s="44" t="s">
        <v>61</v>
      </c>
      <c r="D975" s="45">
        <v>15</v>
      </c>
      <c r="E975" s="45">
        <v>0.9</v>
      </c>
      <c r="F975" s="45">
        <f t="shared" si="211"/>
        <v>13.5</v>
      </c>
      <c r="G975" s="46">
        <f t="shared" si="212"/>
        <v>0</v>
      </c>
      <c r="H975" s="47">
        <f t="shared" si="213"/>
        <v>0</v>
      </c>
      <c r="I975" s="46">
        <f t="shared" si="214"/>
        <v>0</v>
      </c>
      <c r="J975" s="47">
        <v>0</v>
      </c>
      <c r="K975" s="46">
        <f t="shared" si="215"/>
        <v>0</v>
      </c>
      <c r="L975" s="47">
        <v>0</v>
      </c>
      <c r="AX975" s="46">
        <v>1</v>
      </c>
      <c r="AY975" s="47">
        <v>12500</v>
      </c>
      <c r="AZ975" s="70">
        <f t="shared" si="203"/>
        <v>0</v>
      </c>
      <c r="BC975" s="50"/>
    </row>
    <row r="976" spans="1:55" s="48" customFormat="1" ht="27.75" customHeight="1" outlineLevel="1" x14ac:dyDescent="0.25">
      <c r="A976" s="42">
        <v>6</v>
      </c>
      <c r="B976" s="43" t="s">
        <v>407</v>
      </c>
      <c r="C976" s="44" t="s">
        <v>61</v>
      </c>
      <c r="D976" s="45">
        <v>15</v>
      </c>
      <c r="E976" s="45">
        <v>2.1604000000000001</v>
      </c>
      <c r="F976" s="45">
        <f t="shared" si="211"/>
        <v>32.405999999999999</v>
      </c>
      <c r="G976" s="46">
        <f t="shared" si="212"/>
        <v>0</v>
      </c>
      <c r="H976" s="47">
        <f t="shared" si="213"/>
        <v>0</v>
      </c>
      <c r="I976" s="46">
        <f t="shared" si="214"/>
        <v>0</v>
      </c>
      <c r="J976" s="47">
        <v>0</v>
      </c>
      <c r="K976" s="46">
        <f t="shared" si="215"/>
        <v>0</v>
      </c>
      <c r="L976" s="47">
        <v>0</v>
      </c>
      <c r="AX976" s="46">
        <v>0</v>
      </c>
      <c r="AY976" s="47">
        <v>0</v>
      </c>
      <c r="AZ976" s="70">
        <f t="shared" si="203"/>
        <v>0</v>
      </c>
      <c r="BC976" s="50"/>
    </row>
    <row r="977" spans="1:55" s="48" customFormat="1" ht="15.45" customHeight="1" outlineLevel="1" x14ac:dyDescent="0.25">
      <c r="A977" s="42">
        <v>7</v>
      </c>
      <c r="B977" s="43" t="s">
        <v>696</v>
      </c>
      <c r="C977" s="44" t="s">
        <v>93</v>
      </c>
      <c r="D977" s="45">
        <v>1</v>
      </c>
      <c r="E977" s="45">
        <v>125.048</v>
      </c>
      <c r="F977" s="45">
        <f t="shared" si="211"/>
        <v>125.048</v>
      </c>
      <c r="G977" s="46">
        <f t="shared" si="212"/>
        <v>0</v>
      </c>
      <c r="H977" s="47">
        <f t="shared" si="213"/>
        <v>0</v>
      </c>
      <c r="I977" s="46">
        <f t="shared" si="214"/>
        <v>0</v>
      </c>
      <c r="J977" s="47">
        <v>0</v>
      </c>
      <c r="K977" s="46">
        <f t="shared" si="215"/>
        <v>0</v>
      </c>
      <c r="L977" s="47">
        <v>0</v>
      </c>
      <c r="AX977" s="46">
        <v>0</v>
      </c>
      <c r="AY977" s="47">
        <v>0</v>
      </c>
      <c r="AZ977" s="70">
        <f t="shared" si="203"/>
        <v>0</v>
      </c>
      <c r="BC977" s="50"/>
    </row>
    <row r="978" spans="1:55" s="48" customFormat="1" ht="15.45" customHeight="1" outlineLevel="1" x14ac:dyDescent="0.25">
      <c r="A978" s="42">
        <v>8</v>
      </c>
      <c r="B978" s="43" t="s">
        <v>697</v>
      </c>
      <c r="C978" s="44" t="s">
        <v>93</v>
      </c>
      <c r="D978" s="45">
        <v>1</v>
      </c>
      <c r="E978" s="45">
        <v>12.9826</v>
      </c>
      <c r="F978" s="45">
        <f t="shared" si="211"/>
        <v>12.9826</v>
      </c>
      <c r="G978" s="46">
        <f t="shared" si="212"/>
        <v>0</v>
      </c>
      <c r="H978" s="47">
        <f t="shared" si="213"/>
        <v>0</v>
      </c>
      <c r="I978" s="46">
        <f t="shared" si="214"/>
        <v>0</v>
      </c>
      <c r="J978" s="47">
        <v>0</v>
      </c>
      <c r="K978" s="46">
        <f t="shared" si="215"/>
        <v>0</v>
      </c>
      <c r="L978" s="47">
        <v>0</v>
      </c>
      <c r="AX978" s="46">
        <v>0</v>
      </c>
      <c r="AY978" s="47">
        <v>0</v>
      </c>
      <c r="AZ978" s="70">
        <f t="shared" si="203"/>
        <v>0</v>
      </c>
      <c r="BC978" s="50"/>
    </row>
    <row r="979" spans="1:55" s="48" customFormat="1" ht="15.45" customHeight="1" outlineLevel="1" x14ac:dyDescent="0.25">
      <c r="A979" s="42">
        <v>9</v>
      </c>
      <c r="B979" s="43" t="s">
        <v>698</v>
      </c>
      <c r="C979" s="44" t="s">
        <v>61</v>
      </c>
      <c r="D979" s="45">
        <v>20</v>
      </c>
      <c r="E979" s="45">
        <v>1.2709999999999999</v>
      </c>
      <c r="F979" s="45">
        <f t="shared" si="211"/>
        <v>25.419999999999998</v>
      </c>
      <c r="G979" s="46">
        <f t="shared" si="212"/>
        <v>0</v>
      </c>
      <c r="H979" s="47">
        <f t="shared" si="213"/>
        <v>0</v>
      </c>
      <c r="I979" s="46">
        <f t="shared" si="214"/>
        <v>0</v>
      </c>
      <c r="J979" s="47">
        <v>0</v>
      </c>
      <c r="K979" s="46">
        <f t="shared" si="215"/>
        <v>0</v>
      </c>
      <c r="L979" s="47">
        <v>0</v>
      </c>
      <c r="AX979" s="46">
        <v>1</v>
      </c>
      <c r="AY979" s="47">
        <v>2400</v>
      </c>
      <c r="AZ979" s="70">
        <f t="shared" si="203"/>
        <v>0</v>
      </c>
      <c r="BC979" s="50"/>
    </row>
    <row r="980" spans="1:55" s="48" customFormat="1" ht="27.75" customHeight="1" outlineLevel="1" x14ac:dyDescent="0.25">
      <c r="A980" s="42">
        <v>10</v>
      </c>
      <c r="B980" s="43" t="s">
        <v>469</v>
      </c>
      <c r="C980" s="44" t="s">
        <v>61</v>
      </c>
      <c r="D980" s="45">
        <v>15</v>
      </c>
      <c r="E980" s="45">
        <v>2.0175999999999998</v>
      </c>
      <c r="F980" s="45">
        <f t="shared" si="211"/>
        <v>30.263999999999996</v>
      </c>
      <c r="G980" s="46">
        <f t="shared" si="212"/>
        <v>0</v>
      </c>
      <c r="H980" s="47">
        <f t="shared" si="213"/>
        <v>0</v>
      </c>
      <c r="I980" s="46">
        <f t="shared" si="214"/>
        <v>0</v>
      </c>
      <c r="J980" s="47">
        <v>0</v>
      </c>
      <c r="K980" s="46">
        <f t="shared" si="215"/>
        <v>0</v>
      </c>
      <c r="L980" s="47">
        <v>0</v>
      </c>
      <c r="AX980" s="46">
        <v>1</v>
      </c>
      <c r="AY980" s="47">
        <v>1360</v>
      </c>
      <c r="AZ980" s="70">
        <f t="shared" si="203"/>
        <v>0</v>
      </c>
      <c r="BC980" s="50"/>
    </row>
    <row r="981" spans="1:55" s="48" customFormat="1" ht="27.75" customHeight="1" outlineLevel="1" x14ac:dyDescent="0.25">
      <c r="A981" s="42">
        <v>11</v>
      </c>
      <c r="B981" s="43" t="s">
        <v>425</v>
      </c>
      <c r="C981" s="44" t="s">
        <v>61</v>
      </c>
      <c r="D981" s="45">
        <v>5</v>
      </c>
      <c r="E981" s="45">
        <v>1.885</v>
      </c>
      <c r="F981" s="45">
        <f t="shared" si="211"/>
        <v>9.4250000000000007</v>
      </c>
      <c r="G981" s="46">
        <f t="shared" si="212"/>
        <v>0</v>
      </c>
      <c r="H981" s="47">
        <f t="shared" si="213"/>
        <v>0</v>
      </c>
      <c r="I981" s="46">
        <f t="shared" si="214"/>
        <v>0</v>
      </c>
      <c r="J981" s="47">
        <v>0</v>
      </c>
      <c r="K981" s="46">
        <f t="shared" si="215"/>
        <v>0</v>
      </c>
      <c r="L981" s="47">
        <v>0</v>
      </c>
      <c r="AX981" s="46">
        <v>1</v>
      </c>
      <c r="AY981" s="47">
        <v>5280</v>
      </c>
      <c r="AZ981" s="70">
        <f t="shared" si="203"/>
        <v>0</v>
      </c>
      <c r="BC981" s="50"/>
    </row>
    <row r="982" spans="1:55" s="56" customFormat="1" ht="17.25" customHeight="1" x14ac:dyDescent="0.3">
      <c r="A982" s="62">
        <v>3.13</v>
      </c>
      <c r="B982" s="51" t="s">
        <v>699</v>
      </c>
      <c r="C982" s="52">
        <v>0</v>
      </c>
      <c r="D982" s="53"/>
      <c r="E982" s="53"/>
      <c r="F982" s="53"/>
      <c r="G982" s="54"/>
      <c r="H982" s="55"/>
      <c r="I982" s="54"/>
      <c r="J982" s="55"/>
      <c r="K982" s="54"/>
      <c r="L982" s="55">
        <v>0</v>
      </c>
      <c r="AX982" s="69">
        <v>1</v>
      </c>
      <c r="AY982" s="71">
        <v>506.00000000000011</v>
      </c>
      <c r="AZ982" s="72">
        <f t="shared" si="203"/>
        <v>0</v>
      </c>
      <c r="BC982" s="58"/>
    </row>
    <row r="983" spans="1:55" s="48" customFormat="1" ht="15.45" customHeight="1" outlineLevel="1" x14ac:dyDescent="0.25">
      <c r="A983" s="42">
        <v>1</v>
      </c>
      <c r="B983" s="43" t="s">
        <v>700</v>
      </c>
      <c r="C983" s="44" t="s">
        <v>93</v>
      </c>
      <c r="D983" s="45">
        <v>1</v>
      </c>
      <c r="E983" s="45">
        <v>42.938000000000002</v>
      </c>
      <c r="F983" s="45">
        <f t="shared" ref="F983:F991" si="216">+E983*D983</f>
        <v>42.938000000000002</v>
      </c>
      <c r="G983" s="46">
        <f t="shared" ref="G983:G991" si="217">I983+K983</f>
        <v>0</v>
      </c>
      <c r="H983" s="47">
        <f t="shared" ref="H983:H991" si="218">J983+L983</f>
        <v>0</v>
      </c>
      <c r="I983" s="46">
        <f t="shared" ref="I983:I991" si="219">J983/F983</f>
        <v>0</v>
      </c>
      <c r="J983" s="47">
        <v>0</v>
      </c>
      <c r="K983" s="46">
        <f t="shared" ref="K983:K991" si="220">L983/F983</f>
        <v>0</v>
      </c>
      <c r="L983" s="47">
        <v>0</v>
      </c>
      <c r="AX983" s="46">
        <v>1</v>
      </c>
      <c r="AY983" s="47">
        <v>120</v>
      </c>
      <c r="AZ983" s="70">
        <f t="shared" si="203"/>
        <v>0</v>
      </c>
      <c r="BC983" s="50"/>
    </row>
    <row r="984" spans="1:55" s="48" customFormat="1" ht="15.45" customHeight="1" outlineLevel="1" x14ac:dyDescent="0.25">
      <c r="A984" s="42">
        <v>2</v>
      </c>
      <c r="B984" s="43" t="s">
        <v>701</v>
      </c>
      <c r="C984" s="44" t="s">
        <v>93</v>
      </c>
      <c r="D984" s="45">
        <v>1</v>
      </c>
      <c r="E984" s="45">
        <v>11.952400000000001</v>
      </c>
      <c r="F984" s="45">
        <f t="shared" si="216"/>
        <v>11.952400000000001</v>
      </c>
      <c r="G984" s="46">
        <f t="shared" si="217"/>
        <v>0</v>
      </c>
      <c r="H984" s="47">
        <f t="shared" si="218"/>
        <v>0</v>
      </c>
      <c r="I984" s="46">
        <f t="shared" si="219"/>
        <v>0</v>
      </c>
      <c r="J984" s="47">
        <v>0</v>
      </c>
      <c r="K984" s="46">
        <f t="shared" si="220"/>
        <v>0</v>
      </c>
      <c r="L984" s="47">
        <v>0</v>
      </c>
      <c r="AX984" s="46">
        <v>0</v>
      </c>
      <c r="AY984" s="47">
        <v>0</v>
      </c>
      <c r="AZ984" s="70">
        <f t="shared" si="203"/>
        <v>0</v>
      </c>
      <c r="BC984" s="50"/>
    </row>
    <row r="985" spans="1:55" s="48" customFormat="1" ht="15.45" customHeight="1" outlineLevel="1" x14ac:dyDescent="0.25">
      <c r="A985" s="42">
        <v>3</v>
      </c>
      <c r="B985" s="43" t="s">
        <v>530</v>
      </c>
      <c r="C985" s="44" t="s">
        <v>93</v>
      </c>
      <c r="D985" s="45">
        <v>1</v>
      </c>
      <c r="E985" s="45">
        <v>10.1858</v>
      </c>
      <c r="F985" s="45">
        <f t="shared" si="216"/>
        <v>10.1858</v>
      </c>
      <c r="G985" s="46">
        <f t="shared" si="217"/>
        <v>0</v>
      </c>
      <c r="H985" s="47">
        <f t="shared" si="218"/>
        <v>0</v>
      </c>
      <c r="I985" s="46">
        <f t="shared" si="219"/>
        <v>0</v>
      </c>
      <c r="J985" s="47">
        <v>0</v>
      </c>
      <c r="K985" s="46">
        <f t="shared" si="220"/>
        <v>0</v>
      </c>
      <c r="L985" s="47">
        <v>0</v>
      </c>
      <c r="AX985" s="46">
        <v>1</v>
      </c>
      <c r="AY985" s="47">
        <v>600</v>
      </c>
      <c r="AZ985" s="70">
        <f t="shared" si="203"/>
        <v>0</v>
      </c>
      <c r="BC985" s="50"/>
    </row>
    <row r="986" spans="1:55" s="48" customFormat="1" ht="15.45" customHeight="1" outlineLevel="1" x14ac:dyDescent="0.25">
      <c r="A986" s="42">
        <v>4</v>
      </c>
      <c r="B986" s="43" t="s">
        <v>531</v>
      </c>
      <c r="C986" s="44" t="s">
        <v>93</v>
      </c>
      <c r="D986" s="45">
        <v>1</v>
      </c>
      <c r="E986" s="45">
        <v>12.248200000000001</v>
      </c>
      <c r="F986" s="45">
        <f t="shared" si="216"/>
        <v>12.248200000000001</v>
      </c>
      <c r="G986" s="46">
        <f t="shared" si="217"/>
        <v>0</v>
      </c>
      <c r="H986" s="47">
        <f t="shared" si="218"/>
        <v>0</v>
      </c>
      <c r="I986" s="46">
        <f t="shared" si="219"/>
        <v>0</v>
      </c>
      <c r="J986" s="47">
        <v>0</v>
      </c>
      <c r="K986" s="46">
        <f t="shared" si="220"/>
        <v>0</v>
      </c>
      <c r="L986" s="47">
        <v>0</v>
      </c>
      <c r="AX986" s="46">
        <v>1</v>
      </c>
      <c r="AY986" s="47">
        <v>240</v>
      </c>
      <c r="AZ986" s="70">
        <f t="shared" ref="AZ986:AZ1049" si="221">H986-J986</f>
        <v>0</v>
      </c>
      <c r="BC986" s="50"/>
    </row>
    <row r="987" spans="1:55" s="48" customFormat="1" ht="27.75" customHeight="1" outlineLevel="1" x14ac:dyDescent="0.25">
      <c r="A987" s="42">
        <v>5</v>
      </c>
      <c r="B987" s="43" t="s">
        <v>702</v>
      </c>
      <c r="C987" s="44" t="s">
        <v>61</v>
      </c>
      <c r="D987" s="45">
        <v>5</v>
      </c>
      <c r="E987" s="45">
        <v>0.9</v>
      </c>
      <c r="F987" s="45">
        <f t="shared" si="216"/>
        <v>4.5</v>
      </c>
      <c r="G987" s="46">
        <f t="shared" si="217"/>
        <v>0</v>
      </c>
      <c r="H987" s="47">
        <f t="shared" si="218"/>
        <v>0</v>
      </c>
      <c r="I987" s="46">
        <f t="shared" si="219"/>
        <v>0</v>
      </c>
      <c r="J987" s="47">
        <v>0</v>
      </c>
      <c r="K987" s="46">
        <f t="shared" si="220"/>
        <v>0</v>
      </c>
      <c r="L987" s="47">
        <v>0</v>
      </c>
      <c r="AX987" s="46">
        <v>1</v>
      </c>
      <c r="AY987" s="47">
        <v>32</v>
      </c>
      <c r="AZ987" s="70">
        <f t="shared" si="221"/>
        <v>0</v>
      </c>
      <c r="BC987" s="50"/>
    </row>
    <row r="988" spans="1:55" s="48" customFormat="1" ht="15.45" customHeight="1" outlineLevel="1" x14ac:dyDescent="0.25">
      <c r="A988" s="42">
        <v>6</v>
      </c>
      <c r="B988" s="43" t="s">
        <v>703</v>
      </c>
      <c r="C988" s="44" t="s">
        <v>61</v>
      </c>
      <c r="D988" s="45">
        <v>3</v>
      </c>
      <c r="E988" s="45">
        <v>1.4750000000000001</v>
      </c>
      <c r="F988" s="45">
        <f t="shared" si="216"/>
        <v>4.4250000000000007</v>
      </c>
      <c r="G988" s="46">
        <f t="shared" si="217"/>
        <v>0</v>
      </c>
      <c r="H988" s="47">
        <f t="shared" si="218"/>
        <v>0</v>
      </c>
      <c r="I988" s="46">
        <f t="shared" si="219"/>
        <v>0</v>
      </c>
      <c r="J988" s="47">
        <v>0</v>
      </c>
      <c r="K988" s="46">
        <f t="shared" si="220"/>
        <v>0</v>
      </c>
      <c r="L988" s="47">
        <v>0</v>
      </c>
      <c r="AX988" s="46">
        <v>1</v>
      </c>
      <c r="AY988" s="47">
        <v>330</v>
      </c>
      <c r="AZ988" s="70">
        <f t="shared" si="221"/>
        <v>0</v>
      </c>
      <c r="BC988" s="50"/>
    </row>
    <row r="989" spans="1:55" s="48" customFormat="1" ht="27.75" customHeight="1" outlineLevel="1" x14ac:dyDescent="0.25">
      <c r="A989" s="42">
        <v>7</v>
      </c>
      <c r="B989" s="43" t="s">
        <v>425</v>
      </c>
      <c r="C989" s="44" t="s">
        <v>61</v>
      </c>
      <c r="D989" s="45">
        <v>8</v>
      </c>
      <c r="E989" s="45">
        <v>1.885</v>
      </c>
      <c r="F989" s="45">
        <f t="shared" si="216"/>
        <v>15.08</v>
      </c>
      <c r="G989" s="46">
        <f t="shared" si="217"/>
        <v>0</v>
      </c>
      <c r="H989" s="47">
        <f t="shared" si="218"/>
        <v>0</v>
      </c>
      <c r="I989" s="46">
        <f t="shared" si="219"/>
        <v>0</v>
      </c>
      <c r="J989" s="47">
        <v>0</v>
      </c>
      <c r="K989" s="46">
        <f t="shared" si="220"/>
        <v>0</v>
      </c>
      <c r="L989" s="47">
        <v>0</v>
      </c>
      <c r="AX989" s="46">
        <v>1</v>
      </c>
      <c r="AY989" s="47">
        <v>225</v>
      </c>
      <c r="AZ989" s="70">
        <f t="shared" si="221"/>
        <v>0</v>
      </c>
      <c r="BC989" s="50"/>
    </row>
    <row r="990" spans="1:55" s="48" customFormat="1" ht="15.45" customHeight="1" outlineLevel="1" x14ac:dyDescent="0.25">
      <c r="A990" s="42">
        <v>8</v>
      </c>
      <c r="B990" s="43" t="s">
        <v>704</v>
      </c>
      <c r="C990" s="44" t="s">
        <v>93</v>
      </c>
      <c r="D990" s="45">
        <v>1</v>
      </c>
      <c r="E990" s="45">
        <v>5.044999999999999</v>
      </c>
      <c r="F990" s="45">
        <f t="shared" si="216"/>
        <v>5.044999999999999</v>
      </c>
      <c r="G990" s="46">
        <f t="shared" si="217"/>
        <v>0</v>
      </c>
      <c r="H990" s="47">
        <f t="shared" si="218"/>
        <v>0</v>
      </c>
      <c r="I990" s="46">
        <f t="shared" si="219"/>
        <v>0</v>
      </c>
      <c r="J990" s="47">
        <v>0</v>
      </c>
      <c r="K990" s="46">
        <f t="shared" si="220"/>
        <v>0</v>
      </c>
      <c r="L990" s="47">
        <v>0</v>
      </c>
      <c r="AX990" s="46">
        <v>0.6</v>
      </c>
      <c r="AY990" s="47">
        <v>5575.5</v>
      </c>
      <c r="AZ990" s="70">
        <f t="shared" si="221"/>
        <v>0</v>
      </c>
      <c r="BC990" s="50"/>
    </row>
    <row r="991" spans="1:55" s="48" customFormat="1" ht="15.45" customHeight="1" outlineLevel="1" x14ac:dyDescent="0.25">
      <c r="A991" s="42">
        <v>9</v>
      </c>
      <c r="B991" s="43" t="s">
        <v>705</v>
      </c>
      <c r="C991" s="44" t="s">
        <v>93</v>
      </c>
      <c r="D991" s="45">
        <v>1</v>
      </c>
      <c r="E991" s="45">
        <v>6.9850000000000003</v>
      </c>
      <c r="F991" s="45">
        <f t="shared" si="216"/>
        <v>6.9850000000000003</v>
      </c>
      <c r="G991" s="46">
        <f t="shared" si="217"/>
        <v>0</v>
      </c>
      <c r="H991" s="47">
        <f t="shared" si="218"/>
        <v>0</v>
      </c>
      <c r="I991" s="46">
        <f t="shared" si="219"/>
        <v>0</v>
      </c>
      <c r="J991" s="47">
        <v>0</v>
      </c>
      <c r="K991" s="46">
        <f t="shared" si="220"/>
        <v>0</v>
      </c>
      <c r="L991" s="47">
        <v>0</v>
      </c>
      <c r="AX991" s="46">
        <v>0</v>
      </c>
      <c r="AY991" s="47">
        <v>0</v>
      </c>
      <c r="AZ991" s="70">
        <f t="shared" si="221"/>
        <v>0</v>
      </c>
      <c r="BC991" s="50"/>
    </row>
    <row r="992" spans="1:55" s="56" customFormat="1" ht="17.25" customHeight="1" x14ac:dyDescent="0.3">
      <c r="A992" s="31">
        <v>4.0999999999999996</v>
      </c>
      <c r="B992" s="51" t="s">
        <v>706</v>
      </c>
      <c r="C992" s="52">
        <v>0</v>
      </c>
      <c r="D992" s="53"/>
      <c r="E992" s="53"/>
      <c r="F992" s="53"/>
      <c r="G992" s="54"/>
      <c r="H992" s="55"/>
      <c r="I992" s="54"/>
      <c r="J992" s="55"/>
      <c r="K992" s="54"/>
      <c r="L992" s="55">
        <v>0</v>
      </c>
      <c r="AX992" s="69">
        <v>0</v>
      </c>
      <c r="AY992" s="71">
        <v>0</v>
      </c>
      <c r="AZ992" s="72">
        <f t="shared" si="221"/>
        <v>0</v>
      </c>
      <c r="BC992" s="58"/>
    </row>
    <row r="993" spans="1:55" s="48" customFormat="1" ht="27.75" customHeight="1" outlineLevel="1" x14ac:dyDescent="0.25">
      <c r="A993" s="42">
        <v>1</v>
      </c>
      <c r="B993" s="43" t="s">
        <v>707</v>
      </c>
      <c r="C993" s="44" t="s">
        <v>110</v>
      </c>
      <c r="D993" s="45">
        <v>203</v>
      </c>
      <c r="E993" s="45">
        <v>0.86018000000000006</v>
      </c>
      <c r="F993" s="45">
        <f t="shared" ref="F993:F998" si="222">+E993*D993</f>
        <v>174.61654000000001</v>
      </c>
      <c r="G993" s="46">
        <f t="shared" ref="G993:H998" si="223">I993+K993</f>
        <v>0</v>
      </c>
      <c r="H993" s="47">
        <f t="shared" si="223"/>
        <v>0</v>
      </c>
      <c r="I993" s="46">
        <f t="shared" ref="I993:I998" si="224">J993/F993</f>
        <v>0</v>
      </c>
      <c r="J993" s="47">
        <v>0</v>
      </c>
      <c r="K993" s="46">
        <f t="shared" ref="K993:K998" si="225">L993/F993</f>
        <v>0</v>
      </c>
      <c r="L993" s="47">
        <v>0</v>
      </c>
      <c r="AX993" s="46">
        <v>0</v>
      </c>
      <c r="AY993" s="47">
        <v>0</v>
      </c>
      <c r="AZ993" s="70">
        <f t="shared" si="221"/>
        <v>0</v>
      </c>
      <c r="BC993" s="50"/>
    </row>
    <row r="994" spans="1:55" s="48" customFormat="1" ht="27.75" customHeight="1" outlineLevel="1" x14ac:dyDescent="0.25">
      <c r="A994" s="42">
        <v>2</v>
      </c>
      <c r="B994" s="43" t="s">
        <v>648</v>
      </c>
      <c r="C994" s="44" t="s">
        <v>110</v>
      </c>
      <c r="D994" s="45">
        <v>6</v>
      </c>
      <c r="E994" s="45">
        <v>8.9600000000000009</v>
      </c>
      <c r="F994" s="45">
        <f t="shared" si="222"/>
        <v>53.760000000000005</v>
      </c>
      <c r="G994" s="46">
        <f t="shared" si="223"/>
        <v>0</v>
      </c>
      <c r="H994" s="47">
        <f t="shared" si="223"/>
        <v>0</v>
      </c>
      <c r="I994" s="46">
        <f t="shared" si="224"/>
        <v>0</v>
      </c>
      <c r="J994" s="47">
        <v>0</v>
      </c>
      <c r="K994" s="46">
        <f t="shared" si="225"/>
        <v>0</v>
      </c>
      <c r="L994" s="47">
        <v>0</v>
      </c>
      <c r="AX994" s="46">
        <v>0</v>
      </c>
      <c r="AY994" s="47">
        <v>0</v>
      </c>
      <c r="AZ994" s="70">
        <f t="shared" si="221"/>
        <v>0</v>
      </c>
      <c r="BC994" s="50"/>
    </row>
    <row r="995" spans="1:55" s="48" customFormat="1" ht="27.75" customHeight="1" outlineLevel="1" x14ac:dyDescent="0.25">
      <c r="A995" s="42">
        <v>3</v>
      </c>
      <c r="B995" s="43" t="s">
        <v>649</v>
      </c>
      <c r="C995" s="44" t="s">
        <v>110</v>
      </c>
      <c r="D995" s="45">
        <v>86</v>
      </c>
      <c r="E995" s="45">
        <v>0.9</v>
      </c>
      <c r="F995" s="45">
        <f t="shared" si="222"/>
        <v>77.400000000000006</v>
      </c>
      <c r="G995" s="46">
        <f t="shared" si="223"/>
        <v>0</v>
      </c>
      <c r="H995" s="47">
        <f t="shared" si="223"/>
        <v>0</v>
      </c>
      <c r="I995" s="46">
        <f t="shared" si="224"/>
        <v>0</v>
      </c>
      <c r="J995" s="47">
        <v>0</v>
      </c>
      <c r="K995" s="46">
        <f t="shared" si="225"/>
        <v>0</v>
      </c>
      <c r="L995" s="47">
        <v>0</v>
      </c>
      <c r="AX995" s="46">
        <v>0</v>
      </c>
      <c r="AY995" s="47">
        <v>0</v>
      </c>
      <c r="AZ995" s="70">
        <f t="shared" si="221"/>
        <v>0</v>
      </c>
      <c r="BC995" s="50"/>
    </row>
    <row r="996" spans="1:55" s="48" customFormat="1" ht="15.45" customHeight="1" outlineLevel="1" x14ac:dyDescent="0.25">
      <c r="A996" s="42">
        <v>4</v>
      </c>
      <c r="B996" s="43" t="s">
        <v>166</v>
      </c>
      <c r="C996" s="44" t="s">
        <v>110</v>
      </c>
      <c r="D996" s="45">
        <v>21</v>
      </c>
      <c r="E996" s="45">
        <v>8.16</v>
      </c>
      <c r="F996" s="45">
        <f t="shared" si="222"/>
        <v>171.36</v>
      </c>
      <c r="G996" s="46">
        <f t="shared" si="223"/>
        <v>0</v>
      </c>
      <c r="H996" s="47">
        <f t="shared" si="223"/>
        <v>0</v>
      </c>
      <c r="I996" s="46">
        <f t="shared" si="224"/>
        <v>0</v>
      </c>
      <c r="J996" s="47">
        <v>0</v>
      </c>
      <c r="K996" s="46">
        <f t="shared" si="225"/>
        <v>0</v>
      </c>
      <c r="L996" s="47">
        <v>0</v>
      </c>
      <c r="AX996" s="46">
        <v>0.98534999999999995</v>
      </c>
      <c r="AY996" s="47">
        <v>10001.89371</v>
      </c>
      <c r="AZ996" s="70">
        <f t="shared" si="221"/>
        <v>0</v>
      </c>
      <c r="BC996" s="50"/>
    </row>
    <row r="997" spans="1:55" s="48" customFormat="1" ht="15.45" customHeight="1" outlineLevel="1" x14ac:dyDescent="0.25">
      <c r="A997" s="42">
        <v>5</v>
      </c>
      <c r="B997" s="43" t="s">
        <v>37</v>
      </c>
      <c r="C997" s="44" t="s">
        <v>110</v>
      </c>
      <c r="D997" s="45">
        <v>86</v>
      </c>
      <c r="E997" s="45">
        <v>2</v>
      </c>
      <c r="F997" s="45">
        <f t="shared" si="222"/>
        <v>172</v>
      </c>
      <c r="G997" s="46">
        <f t="shared" si="223"/>
        <v>0</v>
      </c>
      <c r="H997" s="47">
        <f t="shared" si="223"/>
        <v>0</v>
      </c>
      <c r="I997" s="46">
        <f t="shared" si="224"/>
        <v>0</v>
      </c>
      <c r="J997" s="47">
        <v>0</v>
      </c>
      <c r="K997" s="46">
        <f t="shared" si="225"/>
        <v>0</v>
      </c>
      <c r="L997" s="47">
        <v>0</v>
      </c>
      <c r="AX997" s="46">
        <v>0.98680000000000012</v>
      </c>
      <c r="AY997" s="47">
        <v>16542.419160000001</v>
      </c>
      <c r="AZ997" s="70">
        <f t="shared" si="221"/>
        <v>0</v>
      </c>
      <c r="BC997" s="50"/>
    </row>
    <row r="998" spans="1:55" s="48" customFormat="1" ht="15.45" customHeight="1" outlineLevel="1" x14ac:dyDescent="0.25">
      <c r="A998" s="42">
        <v>6</v>
      </c>
      <c r="B998" s="43" t="s">
        <v>30</v>
      </c>
      <c r="C998" s="44" t="s">
        <v>110</v>
      </c>
      <c r="D998" s="45">
        <v>132</v>
      </c>
      <c r="E998" s="45">
        <v>0.90200000000000002</v>
      </c>
      <c r="F998" s="45">
        <f t="shared" si="222"/>
        <v>119.06400000000001</v>
      </c>
      <c r="G998" s="46">
        <f t="shared" si="223"/>
        <v>0</v>
      </c>
      <c r="H998" s="47">
        <f t="shared" si="223"/>
        <v>0</v>
      </c>
      <c r="I998" s="46">
        <f t="shared" si="224"/>
        <v>0</v>
      </c>
      <c r="J998" s="47">
        <v>0</v>
      </c>
      <c r="K998" s="46">
        <f t="shared" si="225"/>
        <v>0</v>
      </c>
      <c r="L998" s="47">
        <v>0</v>
      </c>
      <c r="AX998" s="46">
        <v>0</v>
      </c>
      <c r="AY998" s="47">
        <v>0</v>
      </c>
      <c r="AZ998" s="70">
        <f t="shared" si="221"/>
        <v>0</v>
      </c>
      <c r="BC998" s="50"/>
    </row>
    <row r="999" spans="1:55" s="56" customFormat="1" ht="17.25" customHeight="1" x14ac:dyDescent="0.3">
      <c r="A999" s="31">
        <v>4.2</v>
      </c>
      <c r="B999" s="51" t="s">
        <v>708</v>
      </c>
      <c r="C999" s="52">
        <v>0</v>
      </c>
      <c r="D999" s="53"/>
      <c r="E999" s="53"/>
      <c r="F999" s="53"/>
      <c r="G999" s="54"/>
      <c r="H999" s="55"/>
      <c r="I999" s="54"/>
      <c r="J999" s="55"/>
      <c r="K999" s="54"/>
      <c r="L999" s="55">
        <v>0</v>
      </c>
      <c r="AX999" s="69">
        <v>0</v>
      </c>
      <c r="AY999" s="71">
        <v>0</v>
      </c>
      <c r="AZ999" s="72">
        <f t="shared" si="221"/>
        <v>0</v>
      </c>
      <c r="BC999" s="58"/>
    </row>
    <row r="1000" spans="1:55" s="48" customFormat="1" ht="15.45" customHeight="1" outlineLevel="1" x14ac:dyDescent="0.25">
      <c r="A1000" s="42">
        <v>1</v>
      </c>
      <c r="B1000" s="43" t="s">
        <v>167</v>
      </c>
      <c r="C1000" s="44" t="s">
        <v>110</v>
      </c>
      <c r="D1000" s="45">
        <v>13.86</v>
      </c>
      <c r="E1000" s="45">
        <v>36.616</v>
      </c>
      <c r="F1000" s="45">
        <f t="shared" ref="F1000:F1007" si="226">+E1000*D1000</f>
        <v>507.49775999999997</v>
      </c>
      <c r="G1000" s="46">
        <f t="shared" ref="G1000:H1007" si="227">I1000+K1000</f>
        <v>0</v>
      </c>
      <c r="H1000" s="47">
        <f t="shared" si="227"/>
        <v>0</v>
      </c>
      <c r="I1000" s="46">
        <f t="shared" ref="I1000:I1007" si="228">J1000/F1000</f>
        <v>0</v>
      </c>
      <c r="J1000" s="47">
        <v>0</v>
      </c>
      <c r="K1000" s="46">
        <f t="shared" ref="K1000:K1007" si="229">L1000/F1000</f>
        <v>0</v>
      </c>
      <c r="L1000" s="47">
        <v>0</v>
      </c>
      <c r="AX1000" s="46">
        <v>0.99670000000000014</v>
      </c>
      <c r="AY1000" s="47">
        <v>62618.923375000013</v>
      </c>
      <c r="AZ1000" s="70">
        <f t="shared" si="221"/>
        <v>0</v>
      </c>
      <c r="BC1000" s="50"/>
    </row>
    <row r="1001" spans="1:55" s="48" customFormat="1" ht="15.45" customHeight="1" outlineLevel="1" x14ac:dyDescent="0.25">
      <c r="A1001" s="42">
        <v>2</v>
      </c>
      <c r="B1001" s="43" t="s">
        <v>709</v>
      </c>
      <c r="C1001" s="44" t="s">
        <v>110</v>
      </c>
      <c r="D1001" s="45">
        <v>6.93</v>
      </c>
      <c r="E1001" s="45">
        <v>99.24</v>
      </c>
      <c r="F1001" s="45">
        <f t="shared" si="226"/>
        <v>687.7331999999999</v>
      </c>
      <c r="G1001" s="46">
        <f t="shared" si="227"/>
        <v>0</v>
      </c>
      <c r="H1001" s="47">
        <f t="shared" si="227"/>
        <v>0</v>
      </c>
      <c r="I1001" s="46">
        <f t="shared" si="228"/>
        <v>0</v>
      </c>
      <c r="J1001" s="47">
        <v>0</v>
      </c>
      <c r="K1001" s="46">
        <f t="shared" si="229"/>
        <v>0</v>
      </c>
      <c r="L1001" s="47">
        <v>0</v>
      </c>
      <c r="AX1001" s="46">
        <v>0.98534999999999995</v>
      </c>
      <c r="AY1001" s="47">
        <v>2466.8237250000002</v>
      </c>
      <c r="AZ1001" s="70">
        <f t="shared" si="221"/>
        <v>0</v>
      </c>
      <c r="BC1001" s="50"/>
    </row>
    <row r="1002" spans="1:55" s="48" customFormat="1" ht="15.45" customHeight="1" outlineLevel="1" x14ac:dyDescent="0.25">
      <c r="A1002" s="42">
        <v>3</v>
      </c>
      <c r="B1002" s="43" t="s">
        <v>710</v>
      </c>
      <c r="C1002" s="44" t="s">
        <v>110</v>
      </c>
      <c r="D1002" s="45">
        <v>52.67</v>
      </c>
      <c r="E1002" s="45">
        <v>126.7636</v>
      </c>
      <c r="F1002" s="45">
        <f t="shared" si="226"/>
        <v>6676.6388120000001</v>
      </c>
      <c r="G1002" s="46">
        <f t="shared" si="227"/>
        <v>0</v>
      </c>
      <c r="H1002" s="47">
        <f t="shared" si="227"/>
        <v>0</v>
      </c>
      <c r="I1002" s="46">
        <f t="shared" si="228"/>
        <v>0</v>
      </c>
      <c r="J1002" s="47">
        <v>0</v>
      </c>
      <c r="K1002" s="46">
        <f t="shared" si="229"/>
        <v>0</v>
      </c>
      <c r="L1002" s="47">
        <v>0</v>
      </c>
      <c r="AX1002" s="46">
        <v>0.98680000000000012</v>
      </c>
      <c r="AY1002" s="47">
        <v>389.23339199999998</v>
      </c>
      <c r="AZ1002" s="70">
        <f t="shared" si="221"/>
        <v>0</v>
      </c>
      <c r="BC1002" s="50"/>
    </row>
    <row r="1003" spans="1:55" s="48" customFormat="1" ht="15.45" customHeight="1" outlineLevel="1" x14ac:dyDescent="0.25">
      <c r="A1003" s="42">
        <v>4</v>
      </c>
      <c r="B1003" s="43" t="s">
        <v>711</v>
      </c>
      <c r="C1003" s="44" t="s">
        <v>28</v>
      </c>
      <c r="D1003" s="45">
        <v>1.7999999999999999E-2</v>
      </c>
      <c r="E1003" s="45">
        <v>1325.1</v>
      </c>
      <c r="F1003" s="45">
        <f t="shared" si="226"/>
        <v>23.851799999999997</v>
      </c>
      <c r="G1003" s="46">
        <f t="shared" si="227"/>
        <v>0</v>
      </c>
      <c r="H1003" s="47">
        <f t="shared" si="227"/>
        <v>0</v>
      </c>
      <c r="I1003" s="46">
        <f t="shared" si="228"/>
        <v>0</v>
      </c>
      <c r="J1003" s="47">
        <v>0</v>
      </c>
      <c r="K1003" s="46">
        <f t="shared" si="229"/>
        <v>0</v>
      </c>
      <c r="L1003" s="47">
        <v>0</v>
      </c>
      <c r="AX1003" s="46">
        <v>0</v>
      </c>
      <c r="AY1003" s="47">
        <v>0</v>
      </c>
      <c r="AZ1003" s="70">
        <f t="shared" si="221"/>
        <v>0</v>
      </c>
      <c r="BC1003" s="50"/>
    </row>
    <row r="1004" spans="1:55" s="48" customFormat="1" ht="15.45" customHeight="1" outlineLevel="1" x14ac:dyDescent="0.25">
      <c r="A1004" s="42">
        <v>5</v>
      </c>
      <c r="B1004" s="43" t="s">
        <v>712</v>
      </c>
      <c r="C1004" s="44" t="s">
        <v>28</v>
      </c>
      <c r="D1004" s="45">
        <v>5.8879999999999999</v>
      </c>
      <c r="E1004" s="45">
        <v>1200.0999999999999</v>
      </c>
      <c r="F1004" s="45">
        <f t="shared" si="226"/>
        <v>7066.188799999999</v>
      </c>
      <c r="G1004" s="46">
        <f t="shared" si="227"/>
        <v>0</v>
      </c>
      <c r="H1004" s="47">
        <f t="shared" si="227"/>
        <v>0</v>
      </c>
      <c r="I1004" s="46">
        <f t="shared" si="228"/>
        <v>0</v>
      </c>
      <c r="J1004" s="47">
        <v>0</v>
      </c>
      <c r="K1004" s="46">
        <f t="shared" si="229"/>
        <v>0</v>
      </c>
      <c r="L1004" s="47">
        <v>0</v>
      </c>
      <c r="AX1004" s="46">
        <v>0</v>
      </c>
      <c r="AY1004" s="47">
        <v>0</v>
      </c>
      <c r="AZ1004" s="70">
        <f t="shared" si="221"/>
        <v>0</v>
      </c>
      <c r="BC1004" s="50"/>
    </row>
    <row r="1005" spans="1:55" s="48" customFormat="1" ht="27.75" customHeight="1" outlineLevel="1" x14ac:dyDescent="0.25">
      <c r="A1005" s="42">
        <v>6</v>
      </c>
      <c r="B1005" s="43" t="s">
        <v>653</v>
      </c>
      <c r="C1005" s="44" t="s">
        <v>98</v>
      </c>
      <c r="D1005" s="45">
        <v>127.2</v>
      </c>
      <c r="E1005" s="45">
        <v>52.936000000000007</v>
      </c>
      <c r="F1005" s="45">
        <f t="shared" si="226"/>
        <v>6733.4592000000011</v>
      </c>
      <c r="G1005" s="46">
        <f t="shared" si="227"/>
        <v>0</v>
      </c>
      <c r="H1005" s="47">
        <f t="shared" si="227"/>
        <v>0</v>
      </c>
      <c r="I1005" s="46">
        <f t="shared" si="228"/>
        <v>0</v>
      </c>
      <c r="J1005" s="47">
        <v>0</v>
      </c>
      <c r="K1005" s="46">
        <f t="shared" si="229"/>
        <v>0</v>
      </c>
      <c r="L1005" s="47">
        <v>0</v>
      </c>
      <c r="AX1005" s="46">
        <v>0.95</v>
      </c>
      <c r="AY1005" s="47">
        <v>1964.752</v>
      </c>
      <c r="AZ1005" s="70">
        <f t="shared" si="221"/>
        <v>0</v>
      </c>
      <c r="BC1005" s="50"/>
    </row>
    <row r="1006" spans="1:55" s="48" customFormat="1" ht="27.75" customHeight="1" outlineLevel="1" x14ac:dyDescent="0.25">
      <c r="A1006" s="42">
        <v>7</v>
      </c>
      <c r="B1006" s="43" t="s">
        <v>713</v>
      </c>
      <c r="C1006" s="44" t="s">
        <v>98</v>
      </c>
      <c r="D1006" s="45">
        <v>127.2</v>
      </c>
      <c r="E1006" s="45">
        <v>10.8202</v>
      </c>
      <c r="F1006" s="45">
        <f t="shared" si="226"/>
        <v>1376.32944</v>
      </c>
      <c r="G1006" s="46">
        <f t="shared" si="227"/>
        <v>0</v>
      </c>
      <c r="H1006" s="47">
        <f t="shared" si="227"/>
        <v>0</v>
      </c>
      <c r="I1006" s="46">
        <f t="shared" si="228"/>
        <v>0</v>
      </c>
      <c r="J1006" s="47">
        <v>0</v>
      </c>
      <c r="K1006" s="46">
        <f t="shared" si="229"/>
        <v>0</v>
      </c>
      <c r="L1006" s="47">
        <v>0</v>
      </c>
      <c r="AX1006" s="46">
        <v>0.95</v>
      </c>
      <c r="AY1006" s="47">
        <v>4878.2974999999997</v>
      </c>
      <c r="AZ1006" s="70">
        <f t="shared" si="221"/>
        <v>0</v>
      </c>
      <c r="BC1006" s="50"/>
    </row>
    <row r="1007" spans="1:55" s="48" customFormat="1" ht="27.75" customHeight="1" outlineLevel="1" x14ac:dyDescent="0.25">
      <c r="A1007" s="42">
        <v>8</v>
      </c>
      <c r="B1007" s="43" t="s">
        <v>49</v>
      </c>
      <c r="C1007" s="44" t="s">
        <v>98</v>
      </c>
      <c r="D1007" s="45">
        <v>156.9</v>
      </c>
      <c r="E1007" s="45">
        <v>3.67</v>
      </c>
      <c r="F1007" s="45">
        <f t="shared" si="226"/>
        <v>575.82299999999998</v>
      </c>
      <c r="G1007" s="46">
        <f t="shared" si="227"/>
        <v>0</v>
      </c>
      <c r="H1007" s="47">
        <f t="shared" si="227"/>
        <v>0</v>
      </c>
      <c r="I1007" s="46">
        <f t="shared" si="228"/>
        <v>0</v>
      </c>
      <c r="J1007" s="47">
        <v>0</v>
      </c>
      <c r="K1007" s="46">
        <f t="shared" si="229"/>
        <v>0</v>
      </c>
      <c r="L1007" s="47">
        <v>0</v>
      </c>
      <c r="AX1007" s="46">
        <v>0.95</v>
      </c>
      <c r="AY1007" s="47">
        <v>24564.328125</v>
      </c>
      <c r="AZ1007" s="70">
        <f t="shared" si="221"/>
        <v>0</v>
      </c>
      <c r="BC1007" s="50"/>
    </row>
    <row r="1008" spans="1:55" s="56" customFormat="1" ht="17.25" customHeight="1" x14ac:dyDescent="0.3">
      <c r="A1008" s="31">
        <v>4.3</v>
      </c>
      <c r="B1008" s="51" t="s">
        <v>714</v>
      </c>
      <c r="C1008" s="52">
        <v>0</v>
      </c>
      <c r="D1008" s="53"/>
      <c r="E1008" s="53"/>
      <c r="F1008" s="53"/>
      <c r="G1008" s="54"/>
      <c r="H1008" s="55"/>
      <c r="I1008" s="54"/>
      <c r="J1008" s="55"/>
      <c r="K1008" s="54"/>
      <c r="L1008" s="55">
        <v>0</v>
      </c>
      <c r="AX1008" s="69">
        <v>0.95</v>
      </c>
      <c r="AY1008" s="71">
        <v>11793.984</v>
      </c>
      <c r="AZ1008" s="72">
        <f t="shared" si="221"/>
        <v>0</v>
      </c>
      <c r="BC1008" s="58"/>
    </row>
    <row r="1009" spans="1:55" s="48" customFormat="1" ht="27.75" customHeight="1" outlineLevel="1" x14ac:dyDescent="0.25">
      <c r="A1009" s="42">
        <v>1</v>
      </c>
      <c r="B1009" s="43" t="s">
        <v>715</v>
      </c>
      <c r="C1009" s="44" t="s">
        <v>110</v>
      </c>
      <c r="D1009" s="45">
        <v>26.84</v>
      </c>
      <c r="E1009" s="45">
        <v>281.11200000000002</v>
      </c>
      <c r="F1009" s="45">
        <f t="shared" ref="F1009:F1046" si="230">+E1009*D1009</f>
        <v>7545.046080000001</v>
      </c>
      <c r="G1009" s="46">
        <f t="shared" ref="G1009:G1046" si="231">I1009+K1009</f>
        <v>0</v>
      </c>
      <c r="H1009" s="47">
        <f t="shared" ref="H1009:H1046" si="232">J1009+L1009</f>
        <v>0</v>
      </c>
      <c r="I1009" s="46">
        <f t="shared" ref="I1009:I1046" si="233">J1009/F1009</f>
        <v>0</v>
      </c>
      <c r="J1009" s="47">
        <v>0</v>
      </c>
      <c r="K1009" s="46">
        <f t="shared" ref="K1009:K1046" si="234">L1009/F1009</f>
        <v>0</v>
      </c>
      <c r="L1009" s="47">
        <v>0</v>
      </c>
      <c r="AX1009" s="46">
        <v>0.95</v>
      </c>
      <c r="AY1009" s="47">
        <v>12959.886130000001</v>
      </c>
      <c r="AZ1009" s="70">
        <f t="shared" si="221"/>
        <v>0</v>
      </c>
      <c r="BC1009" s="50"/>
    </row>
    <row r="1010" spans="1:55" s="48" customFormat="1" ht="27.75" customHeight="1" outlineLevel="1" x14ac:dyDescent="0.25">
      <c r="A1010" s="42">
        <v>2</v>
      </c>
      <c r="B1010" s="43" t="s">
        <v>715</v>
      </c>
      <c r="C1010" s="44" t="s">
        <v>110</v>
      </c>
      <c r="D1010" s="45">
        <v>1.68</v>
      </c>
      <c r="E1010" s="45">
        <v>281.11200000000002</v>
      </c>
      <c r="F1010" s="45">
        <f t="shared" si="230"/>
        <v>472.26816000000002</v>
      </c>
      <c r="G1010" s="46">
        <f t="shared" si="231"/>
        <v>0</v>
      </c>
      <c r="H1010" s="47">
        <f t="shared" si="232"/>
        <v>0</v>
      </c>
      <c r="I1010" s="46">
        <f t="shared" si="233"/>
        <v>0</v>
      </c>
      <c r="J1010" s="47">
        <v>0</v>
      </c>
      <c r="K1010" s="46">
        <f t="shared" si="234"/>
        <v>0</v>
      </c>
      <c r="L1010" s="47">
        <v>0</v>
      </c>
      <c r="AX1010" s="46">
        <v>0.9</v>
      </c>
      <c r="AY1010" s="47">
        <v>595.16640000000007</v>
      </c>
      <c r="AZ1010" s="70">
        <f t="shared" si="221"/>
        <v>0</v>
      </c>
      <c r="BC1010" s="50"/>
    </row>
    <row r="1011" spans="1:55" s="48" customFormat="1" ht="15.45" customHeight="1" outlineLevel="1" x14ac:dyDescent="0.25">
      <c r="A1011" s="42">
        <v>3</v>
      </c>
      <c r="B1011" s="43" t="s">
        <v>42</v>
      </c>
      <c r="C1011" s="44" t="s">
        <v>28</v>
      </c>
      <c r="D1011" s="45">
        <v>0.96</v>
      </c>
      <c r="E1011" s="45">
        <v>1325.1</v>
      </c>
      <c r="F1011" s="45">
        <f t="shared" si="230"/>
        <v>1272.0959999999998</v>
      </c>
      <c r="G1011" s="46">
        <f t="shared" si="231"/>
        <v>0</v>
      </c>
      <c r="H1011" s="47">
        <f t="shared" si="232"/>
        <v>0</v>
      </c>
      <c r="I1011" s="46">
        <f t="shared" si="233"/>
        <v>0</v>
      </c>
      <c r="J1011" s="47">
        <v>0</v>
      </c>
      <c r="K1011" s="46">
        <f t="shared" si="234"/>
        <v>0</v>
      </c>
      <c r="L1011" s="47">
        <v>0</v>
      </c>
      <c r="AX1011" s="46">
        <v>0.65034600000000009</v>
      </c>
      <c r="AY1011" s="47">
        <v>73838.332176135009</v>
      </c>
      <c r="AZ1011" s="70">
        <f t="shared" si="221"/>
        <v>0</v>
      </c>
      <c r="BC1011" s="50"/>
    </row>
    <row r="1012" spans="1:55" s="48" customFormat="1" ht="15.45" customHeight="1" outlineLevel="1" x14ac:dyDescent="0.25">
      <c r="A1012" s="42">
        <v>4</v>
      </c>
      <c r="B1012" s="43" t="s">
        <v>43</v>
      </c>
      <c r="C1012" s="44" t="s">
        <v>28</v>
      </c>
      <c r="D1012" s="45">
        <v>4.7949999999999999</v>
      </c>
      <c r="E1012" s="45">
        <v>1200.0999999999999</v>
      </c>
      <c r="F1012" s="45">
        <f t="shared" si="230"/>
        <v>5754.4794999999995</v>
      </c>
      <c r="G1012" s="46">
        <f t="shared" si="231"/>
        <v>0</v>
      </c>
      <c r="H1012" s="47">
        <f t="shared" si="232"/>
        <v>0</v>
      </c>
      <c r="I1012" s="46">
        <f t="shared" si="233"/>
        <v>0</v>
      </c>
      <c r="J1012" s="47">
        <v>0</v>
      </c>
      <c r="K1012" s="46">
        <f t="shared" si="234"/>
        <v>0</v>
      </c>
      <c r="L1012" s="47">
        <v>0</v>
      </c>
      <c r="AX1012" s="46">
        <v>1</v>
      </c>
      <c r="AY1012" s="47">
        <v>23975.9</v>
      </c>
      <c r="AZ1012" s="70">
        <f t="shared" si="221"/>
        <v>0</v>
      </c>
      <c r="BC1012" s="50"/>
    </row>
    <row r="1013" spans="1:55" s="48" customFormat="1" ht="27.75" customHeight="1" outlineLevel="1" x14ac:dyDescent="0.25">
      <c r="A1013" s="42">
        <v>5</v>
      </c>
      <c r="B1013" s="43" t="s">
        <v>716</v>
      </c>
      <c r="C1013" s="44" t="s">
        <v>110</v>
      </c>
      <c r="D1013" s="45">
        <v>17.84</v>
      </c>
      <c r="E1013" s="45">
        <v>381.23320000000001</v>
      </c>
      <c r="F1013" s="45">
        <f t="shared" si="230"/>
        <v>6801.200288</v>
      </c>
      <c r="G1013" s="46">
        <f t="shared" si="231"/>
        <v>0</v>
      </c>
      <c r="H1013" s="47">
        <f t="shared" si="232"/>
        <v>0</v>
      </c>
      <c r="I1013" s="46">
        <f t="shared" si="233"/>
        <v>0</v>
      </c>
      <c r="J1013" s="47">
        <v>0</v>
      </c>
      <c r="K1013" s="46">
        <f t="shared" si="234"/>
        <v>0</v>
      </c>
      <c r="L1013" s="47">
        <v>0</v>
      </c>
      <c r="AX1013" s="46">
        <v>1</v>
      </c>
      <c r="AY1013" s="47">
        <v>3205.0167499999998</v>
      </c>
      <c r="AZ1013" s="70">
        <f t="shared" si="221"/>
        <v>0</v>
      </c>
      <c r="BC1013" s="50"/>
    </row>
    <row r="1014" spans="1:55" s="48" customFormat="1" ht="15.45" customHeight="1" outlineLevel="1" x14ac:dyDescent="0.25">
      <c r="A1014" s="42">
        <v>6</v>
      </c>
      <c r="B1014" s="43" t="s">
        <v>42</v>
      </c>
      <c r="C1014" s="44" t="s">
        <v>28</v>
      </c>
      <c r="D1014" s="45">
        <v>1.27</v>
      </c>
      <c r="E1014" s="45">
        <v>1325.1</v>
      </c>
      <c r="F1014" s="45">
        <f t="shared" si="230"/>
        <v>1682.877</v>
      </c>
      <c r="G1014" s="46">
        <f t="shared" si="231"/>
        <v>0</v>
      </c>
      <c r="H1014" s="47">
        <f t="shared" si="232"/>
        <v>0</v>
      </c>
      <c r="I1014" s="46">
        <f t="shared" si="233"/>
        <v>0</v>
      </c>
      <c r="J1014" s="47">
        <v>0</v>
      </c>
      <c r="K1014" s="46">
        <f t="shared" si="234"/>
        <v>0</v>
      </c>
      <c r="L1014" s="47">
        <v>0</v>
      </c>
      <c r="AX1014" s="46">
        <v>0</v>
      </c>
      <c r="AY1014" s="47">
        <v>0</v>
      </c>
      <c r="AZ1014" s="70">
        <f t="shared" si="221"/>
        <v>0</v>
      </c>
      <c r="BC1014" s="50"/>
    </row>
    <row r="1015" spans="1:55" s="48" customFormat="1" ht="15.45" customHeight="1" outlineLevel="1" x14ac:dyDescent="0.25">
      <c r="A1015" s="42">
        <v>7</v>
      </c>
      <c r="B1015" s="43" t="s">
        <v>43</v>
      </c>
      <c r="C1015" s="44" t="s">
        <v>28</v>
      </c>
      <c r="D1015" s="45">
        <v>4.0599999999999996</v>
      </c>
      <c r="E1015" s="45">
        <v>1200.0999999999999</v>
      </c>
      <c r="F1015" s="45">
        <f t="shared" si="230"/>
        <v>4872.405999999999</v>
      </c>
      <c r="G1015" s="46">
        <f t="shared" si="231"/>
        <v>0</v>
      </c>
      <c r="H1015" s="47">
        <f t="shared" si="232"/>
        <v>0</v>
      </c>
      <c r="I1015" s="46">
        <f t="shared" si="233"/>
        <v>0</v>
      </c>
      <c r="J1015" s="47">
        <v>0</v>
      </c>
      <c r="K1015" s="46">
        <f t="shared" si="234"/>
        <v>0</v>
      </c>
      <c r="L1015" s="47">
        <v>0</v>
      </c>
      <c r="AX1015" s="46">
        <v>0.9</v>
      </c>
      <c r="AY1015" s="47">
        <v>930.67199999999991</v>
      </c>
      <c r="AZ1015" s="70">
        <f t="shared" si="221"/>
        <v>0</v>
      </c>
      <c r="BC1015" s="50"/>
    </row>
    <row r="1016" spans="1:55" s="48" customFormat="1" ht="41.7" customHeight="1" outlineLevel="1" x14ac:dyDescent="0.25">
      <c r="A1016" s="42">
        <v>8</v>
      </c>
      <c r="B1016" s="43" t="s">
        <v>717</v>
      </c>
      <c r="C1016" s="44" t="s">
        <v>110</v>
      </c>
      <c r="D1016" s="45">
        <v>3.07</v>
      </c>
      <c r="E1016" s="45">
        <v>381.23320000000001</v>
      </c>
      <c r="F1016" s="45">
        <f t="shared" si="230"/>
        <v>1170.3859239999999</v>
      </c>
      <c r="G1016" s="46">
        <f t="shared" si="231"/>
        <v>0</v>
      </c>
      <c r="H1016" s="47">
        <f t="shared" si="232"/>
        <v>0</v>
      </c>
      <c r="I1016" s="46">
        <f t="shared" si="233"/>
        <v>0</v>
      </c>
      <c r="J1016" s="47">
        <v>0</v>
      </c>
      <c r="K1016" s="46">
        <f t="shared" si="234"/>
        <v>0</v>
      </c>
      <c r="L1016" s="47">
        <v>0</v>
      </c>
      <c r="AX1016" s="46">
        <v>0.9</v>
      </c>
      <c r="AY1016" s="47">
        <v>2310.7725</v>
      </c>
      <c r="AZ1016" s="70">
        <f t="shared" si="221"/>
        <v>0</v>
      </c>
      <c r="BC1016" s="50"/>
    </row>
    <row r="1017" spans="1:55" s="48" customFormat="1" ht="15.45" customHeight="1" outlineLevel="1" x14ac:dyDescent="0.25">
      <c r="A1017" s="42">
        <v>9</v>
      </c>
      <c r="B1017" s="43" t="s">
        <v>42</v>
      </c>
      <c r="C1017" s="44" t="s">
        <v>28</v>
      </c>
      <c r="D1017" s="45">
        <v>0.184</v>
      </c>
      <c r="E1017" s="45">
        <v>1325.1</v>
      </c>
      <c r="F1017" s="45">
        <f t="shared" si="230"/>
        <v>243.81839999999997</v>
      </c>
      <c r="G1017" s="46">
        <f t="shared" si="231"/>
        <v>0</v>
      </c>
      <c r="H1017" s="47">
        <f t="shared" si="232"/>
        <v>0</v>
      </c>
      <c r="I1017" s="46">
        <f t="shared" si="233"/>
        <v>0</v>
      </c>
      <c r="J1017" s="47">
        <v>0</v>
      </c>
      <c r="K1017" s="46">
        <f t="shared" si="234"/>
        <v>0</v>
      </c>
      <c r="L1017" s="47">
        <v>0</v>
      </c>
      <c r="AX1017" s="46">
        <v>0.9</v>
      </c>
      <c r="AY1017" s="47">
        <v>16308.6453</v>
      </c>
      <c r="AZ1017" s="70">
        <f t="shared" si="221"/>
        <v>0</v>
      </c>
      <c r="BC1017" s="50"/>
    </row>
    <row r="1018" spans="1:55" s="48" customFormat="1" ht="15.45" customHeight="1" outlineLevel="1" x14ac:dyDescent="0.25">
      <c r="A1018" s="42">
        <v>10</v>
      </c>
      <c r="B1018" s="43" t="s">
        <v>43</v>
      </c>
      <c r="C1018" s="44" t="s">
        <v>28</v>
      </c>
      <c r="D1018" s="45">
        <v>0.36699999999999999</v>
      </c>
      <c r="E1018" s="45">
        <v>1200.0999999999999</v>
      </c>
      <c r="F1018" s="45">
        <f t="shared" si="230"/>
        <v>440.43669999999997</v>
      </c>
      <c r="G1018" s="46">
        <f t="shared" si="231"/>
        <v>0</v>
      </c>
      <c r="H1018" s="47">
        <f t="shared" si="232"/>
        <v>0</v>
      </c>
      <c r="I1018" s="46">
        <f t="shared" si="233"/>
        <v>0</v>
      </c>
      <c r="J1018" s="47">
        <v>0</v>
      </c>
      <c r="K1018" s="46">
        <f t="shared" si="234"/>
        <v>0</v>
      </c>
      <c r="L1018" s="47">
        <v>0</v>
      </c>
      <c r="AX1018" s="46">
        <v>0.9</v>
      </c>
      <c r="AY1018" s="47">
        <v>1173.1910399999999</v>
      </c>
      <c r="AZ1018" s="70">
        <f t="shared" si="221"/>
        <v>0</v>
      </c>
      <c r="BC1018" s="50"/>
    </row>
    <row r="1019" spans="1:55" s="48" customFormat="1" ht="27.75" customHeight="1" outlineLevel="1" x14ac:dyDescent="0.25">
      <c r="A1019" s="42">
        <v>11</v>
      </c>
      <c r="B1019" s="43" t="s">
        <v>718</v>
      </c>
      <c r="C1019" s="44" t="s">
        <v>110</v>
      </c>
      <c r="D1019" s="45">
        <v>27.58</v>
      </c>
      <c r="E1019" s="45">
        <v>280</v>
      </c>
      <c r="F1019" s="45">
        <f t="shared" si="230"/>
        <v>7722.4</v>
      </c>
      <c r="G1019" s="46">
        <f t="shared" si="231"/>
        <v>0</v>
      </c>
      <c r="H1019" s="47">
        <f t="shared" si="232"/>
        <v>0</v>
      </c>
      <c r="I1019" s="46">
        <f t="shared" si="233"/>
        <v>0</v>
      </c>
      <c r="J1019" s="47">
        <v>0</v>
      </c>
      <c r="K1019" s="46">
        <f t="shared" si="234"/>
        <v>0</v>
      </c>
      <c r="L1019" s="47">
        <v>0</v>
      </c>
      <c r="AX1019" s="46">
        <v>0.9</v>
      </c>
      <c r="AY1019" s="47">
        <v>1835.0963999999999</v>
      </c>
      <c r="AZ1019" s="70">
        <f t="shared" si="221"/>
        <v>0</v>
      </c>
      <c r="BC1019" s="50"/>
    </row>
    <row r="1020" spans="1:55" s="48" customFormat="1" ht="15.45" customHeight="1" outlineLevel="1" x14ac:dyDescent="0.25">
      <c r="A1020" s="42">
        <v>12</v>
      </c>
      <c r="B1020" s="43" t="s">
        <v>42</v>
      </c>
      <c r="C1020" s="44" t="s">
        <v>28</v>
      </c>
      <c r="D1020" s="45">
        <v>0.20799999999999999</v>
      </c>
      <c r="E1020" s="45">
        <v>1325.1</v>
      </c>
      <c r="F1020" s="45">
        <f t="shared" si="230"/>
        <v>275.62079999999997</v>
      </c>
      <c r="G1020" s="46">
        <f t="shared" si="231"/>
        <v>0</v>
      </c>
      <c r="H1020" s="47">
        <f t="shared" si="232"/>
        <v>0</v>
      </c>
      <c r="I1020" s="46">
        <f t="shared" si="233"/>
        <v>0</v>
      </c>
      <c r="J1020" s="47">
        <v>0</v>
      </c>
      <c r="K1020" s="46">
        <f t="shared" si="234"/>
        <v>0</v>
      </c>
      <c r="L1020" s="47">
        <v>0</v>
      </c>
      <c r="AX1020" s="46">
        <v>0.9</v>
      </c>
      <c r="AY1020" s="47">
        <v>297.58319999999998</v>
      </c>
      <c r="AZ1020" s="70">
        <f t="shared" si="221"/>
        <v>0</v>
      </c>
      <c r="BC1020" s="50"/>
    </row>
    <row r="1021" spans="1:55" s="48" customFormat="1" ht="15.45" customHeight="1" outlineLevel="1" x14ac:dyDescent="0.25">
      <c r="A1021" s="42">
        <v>13</v>
      </c>
      <c r="B1021" s="43" t="s">
        <v>43</v>
      </c>
      <c r="C1021" s="44" t="s">
        <v>28</v>
      </c>
      <c r="D1021" s="45">
        <v>3.0960000000000001</v>
      </c>
      <c r="E1021" s="45">
        <v>1200.0999999999999</v>
      </c>
      <c r="F1021" s="45">
        <f t="shared" si="230"/>
        <v>3715.5095999999999</v>
      </c>
      <c r="G1021" s="46">
        <f t="shared" si="231"/>
        <v>0</v>
      </c>
      <c r="H1021" s="47">
        <f t="shared" si="232"/>
        <v>0</v>
      </c>
      <c r="I1021" s="46">
        <f t="shared" si="233"/>
        <v>0</v>
      </c>
      <c r="J1021" s="47">
        <v>0</v>
      </c>
      <c r="K1021" s="46">
        <f t="shared" si="234"/>
        <v>0</v>
      </c>
      <c r="L1021" s="47">
        <v>0</v>
      </c>
      <c r="AX1021" s="46">
        <v>0.65034599999999998</v>
      </c>
      <c r="AY1021" s="47">
        <v>21733.546829202001</v>
      </c>
      <c r="AZ1021" s="70">
        <f t="shared" si="221"/>
        <v>0</v>
      </c>
      <c r="BC1021" s="50"/>
    </row>
    <row r="1022" spans="1:55" s="48" customFormat="1" ht="27.75" customHeight="1" outlineLevel="1" x14ac:dyDescent="0.25">
      <c r="A1022" s="42">
        <v>14</v>
      </c>
      <c r="B1022" s="43" t="s">
        <v>719</v>
      </c>
      <c r="C1022" s="44" t="s">
        <v>110</v>
      </c>
      <c r="D1022" s="45">
        <v>9.32</v>
      </c>
      <c r="E1022" s="45">
        <v>360.49660000000011</v>
      </c>
      <c r="F1022" s="45">
        <f t="shared" si="230"/>
        <v>3359.828312000001</v>
      </c>
      <c r="G1022" s="46">
        <f t="shared" si="231"/>
        <v>0</v>
      </c>
      <c r="H1022" s="47">
        <f t="shared" si="232"/>
        <v>0</v>
      </c>
      <c r="I1022" s="46">
        <f t="shared" si="233"/>
        <v>0</v>
      </c>
      <c r="J1022" s="47">
        <v>0</v>
      </c>
      <c r="K1022" s="46">
        <f t="shared" si="234"/>
        <v>0</v>
      </c>
      <c r="L1022" s="47">
        <v>0</v>
      </c>
      <c r="AX1022" s="46">
        <v>1</v>
      </c>
      <c r="AY1022" s="47">
        <v>1198.7950000000001</v>
      </c>
      <c r="AZ1022" s="70">
        <f t="shared" si="221"/>
        <v>0</v>
      </c>
      <c r="BC1022" s="50"/>
    </row>
    <row r="1023" spans="1:55" s="48" customFormat="1" ht="15.45" customHeight="1" outlineLevel="1" x14ac:dyDescent="0.25">
      <c r="A1023" s="42">
        <v>15</v>
      </c>
      <c r="B1023" s="43" t="s">
        <v>42</v>
      </c>
      <c r="C1023" s="44" t="s">
        <v>28</v>
      </c>
      <c r="D1023" s="45">
        <v>0.255</v>
      </c>
      <c r="E1023" s="45">
        <v>1325.1</v>
      </c>
      <c r="F1023" s="45">
        <f t="shared" si="230"/>
        <v>337.90049999999997</v>
      </c>
      <c r="G1023" s="46">
        <f t="shared" si="231"/>
        <v>0</v>
      </c>
      <c r="H1023" s="47">
        <f t="shared" si="232"/>
        <v>0</v>
      </c>
      <c r="I1023" s="46">
        <f t="shared" si="233"/>
        <v>0</v>
      </c>
      <c r="J1023" s="47">
        <v>0</v>
      </c>
      <c r="K1023" s="46">
        <f t="shared" si="234"/>
        <v>0</v>
      </c>
      <c r="L1023" s="47">
        <v>0</v>
      </c>
      <c r="AX1023" s="46">
        <v>1</v>
      </c>
      <c r="AY1023" s="47">
        <v>751.62750000000005</v>
      </c>
      <c r="AZ1023" s="70">
        <f t="shared" si="221"/>
        <v>0</v>
      </c>
      <c r="BC1023" s="50"/>
    </row>
    <row r="1024" spans="1:55" s="48" customFormat="1" ht="15.45" customHeight="1" outlineLevel="1" x14ac:dyDescent="0.25">
      <c r="A1024" s="42">
        <v>16</v>
      </c>
      <c r="B1024" s="43" t="s">
        <v>43</v>
      </c>
      <c r="C1024" s="44" t="s">
        <v>28</v>
      </c>
      <c r="D1024" s="45">
        <v>1.76</v>
      </c>
      <c r="E1024" s="45">
        <v>1200.0999999999999</v>
      </c>
      <c r="F1024" s="45">
        <f t="shared" si="230"/>
        <v>2112.1759999999999</v>
      </c>
      <c r="G1024" s="46">
        <f t="shared" si="231"/>
        <v>0</v>
      </c>
      <c r="H1024" s="47">
        <f t="shared" si="232"/>
        <v>0</v>
      </c>
      <c r="I1024" s="46">
        <f t="shared" si="233"/>
        <v>0</v>
      </c>
      <c r="J1024" s="47">
        <v>0</v>
      </c>
      <c r="K1024" s="46">
        <f t="shared" si="234"/>
        <v>0</v>
      </c>
      <c r="L1024" s="47">
        <v>0</v>
      </c>
      <c r="AX1024" s="46">
        <v>0</v>
      </c>
      <c r="AY1024" s="47">
        <v>0</v>
      </c>
      <c r="AZ1024" s="70">
        <f t="shared" si="221"/>
        <v>0</v>
      </c>
      <c r="BC1024" s="50"/>
    </row>
    <row r="1025" spans="1:55" s="48" customFormat="1" ht="27.75" customHeight="1" outlineLevel="1" x14ac:dyDescent="0.25">
      <c r="A1025" s="42">
        <v>17</v>
      </c>
      <c r="B1025" s="43" t="s">
        <v>716</v>
      </c>
      <c r="C1025" s="44" t="s">
        <v>110</v>
      </c>
      <c r="D1025" s="45">
        <v>4.32</v>
      </c>
      <c r="E1025" s="45">
        <v>381.23320000000001</v>
      </c>
      <c r="F1025" s="45">
        <f t="shared" si="230"/>
        <v>1646.9274240000002</v>
      </c>
      <c r="G1025" s="46">
        <f t="shared" si="231"/>
        <v>0</v>
      </c>
      <c r="H1025" s="47">
        <f t="shared" si="232"/>
        <v>0</v>
      </c>
      <c r="I1025" s="46">
        <f t="shared" si="233"/>
        <v>0</v>
      </c>
      <c r="J1025" s="47">
        <v>0</v>
      </c>
      <c r="K1025" s="46">
        <f t="shared" si="234"/>
        <v>0</v>
      </c>
      <c r="L1025" s="47">
        <v>0</v>
      </c>
      <c r="AX1025" s="46">
        <v>0</v>
      </c>
      <c r="AY1025" s="47">
        <v>0</v>
      </c>
      <c r="AZ1025" s="70">
        <f t="shared" si="221"/>
        <v>0</v>
      </c>
      <c r="BC1025" s="50"/>
    </row>
    <row r="1026" spans="1:55" s="48" customFormat="1" ht="15.45" customHeight="1" outlineLevel="1" x14ac:dyDescent="0.25">
      <c r="A1026" s="42">
        <v>18</v>
      </c>
      <c r="B1026" s="43" t="s">
        <v>42</v>
      </c>
      <c r="C1026" s="44" t="s">
        <v>28</v>
      </c>
      <c r="D1026" s="45">
        <v>0.216</v>
      </c>
      <c r="E1026" s="45">
        <v>1325.1</v>
      </c>
      <c r="F1026" s="45">
        <f t="shared" si="230"/>
        <v>286.22159999999997</v>
      </c>
      <c r="G1026" s="46">
        <f t="shared" si="231"/>
        <v>0</v>
      </c>
      <c r="H1026" s="47">
        <f t="shared" si="232"/>
        <v>0</v>
      </c>
      <c r="I1026" s="46">
        <f t="shared" si="233"/>
        <v>0</v>
      </c>
      <c r="J1026" s="47">
        <v>0</v>
      </c>
      <c r="K1026" s="46">
        <f t="shared" si="234"/>
        <v>0</v>
      </c>
      <c r="L1026" s="47">
        <v>0</v>
      </c>
      <c r="AX1026" s="46">
        <v>0.99634999999999996</v>
      </c>
      <c r="AY1026" s="47">
        <v>173743.76208750001</v>
      </c>
      <c r="AZ1026" s="70">
        <f t="shared" si="221"/>
        <v>0</v>
      </c>
      <c r="BC1026" s="50"/>
    </row>
    <row r="1027" spans="1:55" s="48" customFormat="1" ht="15.45" customHeight="1" outlineLevel="1" x14ac:dyDescent="0.25">
      <c r="A1027" s="42">
        <v>19</v>
      </c>
      <c r="B1027" s="43" t="s">
        <v>43</v>
      </c>
      <c r="C1027" s="44" t="s">
        <v>28</v>
      </c>
      <c r="D1027" s="45">
        <v>0.68400000000000005</v>
      </c>
      <c r="E1027" s="45">
        <v>1200.0999999999999</v>
      </c>
      <c r="F1027" s="45">
        <f t="shared" si="230"/>
        <v>820.86839999999995</v>
      </c>
      <c r="G1027" s="46">
        <f t="shared" si="231"/>
        <v>0</v>
      </c>
      <c r="H1027" s="47">
        <f t="shared" si="232"/>
        <v>0</v>
      </c>
      <c r="I1027" s="46">
        <f t="shared" si="233"/>
        <v>0</v>
      </c>
      <c r="J1027" s="47">
        <v>0</v>
      </c>
      <c r="K1027" s="46">
        <f t="shared" si="234"/>
        <v>0</v>
      </c>
      <c r="L1027" s="47">
        <v>0</v>
      </c>
      <c r="AX1027" s="46">
        <v>0.99114000000000002</v>
      </c>
      <c r="AY1027" s="47">
        <v>51339.862631999997</v>
      </c>
      <c r="AZ1027" s="70">
        <f t="shared" si="221"/>
        <v>0</v>
      </c>
      <c r="BC1027" s="50"/>
    </row>
    <row r="1028" spans="1:55" s="48" customFormat="1" ht="15.45" customHeight="1" outlineLevel="1" x14ac:dyDescent="0.25">
      <c r="A1028" s="42">
        <v>20</v>
      </c>
      <c r="B1028" s="43" t="s">
        <v>720</v>
      </c>
      <c r="C1028" s="44" t="s">
        <v>110</v>
      </c>
      <c r="D1028" s="45">
        <v>0.128</v>
      </c>
      <c r="E1028" s="45">
        <v>249.38800000000001</v>
      </c>
      <c r="F1028" s="45">
        <f t="shared" si="230"/>
        <v>31.921664</v>
      </c>
      <c r="G1028" s="46">
        <f t="shared" si="231"/>
        <v>0</v>
      </c>
      <c r="H1028" s="47">
        <f t="shared" si="232"/>
        <v>0</v>
      </c>
      <c r="I1028" s="46">
        <f t="shared" si="233"/>
        <v>0</v>
      </c>
      <c r="J1028" s="47">
        <v>0</v>
      </c>
      <c r="K1028" s="46">
        <f t="shared" si="234"/>
        <v>0</v>
      </c>
      <c r="L1028" s="47">
        <v>0</v>
      </c>
      <c r="AX1028" s="46">
        <v>0.99640000000000006</v>
      </c>
      <c r="AY1028" s="47">
        <v>49631.780040000012</v>
      </c>
      <c r="AZ1028" s="70">
        <f t="shared" si="221"/>
        <v>0</v>
      </c>
      <c r="BC1028" s="50"/>
    </row>
    <row r="1029" spans="1:55" s="48" customFormat="1" ht="15.45" customHeight="1" outlineLevel="1" x14ac:dyDescent="0.25">
      <c r="A1029" s="42">
        <v>21</v>
      </c>
      <c r="B1029" s="43" t="s">
        <v>42</v>
      </c>
      <c r="C1029" s="44" t="s">
        <v>28</v>
      </c>
      <c r="D1029" s="45">
        <v>1.4999999999999999E-2</v>
      </c>
      <c r="E1029" s="45">
        <v>1325.1</v>
      </c>
      <c r="F1029" s="45">
        <f t="shared" si="230"/>
        <v>19.876499999999997</v>
      </c>
      <c r="G1029" s="46">
        <f t="shared" si="231"/>
        <v>0</v>
      </c>
      <c r="H1029" s="47">
        <f t="shared" si="232"/>
        <v>0</v>
      </c>
      <c r="I1029" s="46">
        <f t="shared" si="233"/>
        <v>0</v>
      </c>
      <c r="J1029" s="47">
        <v>0</v>
      </c>
      <c r="K1029" s="46">
        <f t="shared" si="234"/>
        <v>0</v>
      </c>
      <c r="L1029" s="47">
        <v>0</v>
      </c>
      <c r="AX1029" s="46">
        <v>1</v>
      </c>
      <c r="AY1029" s="47">
        <v>426.24504000000002</v>
      </c>
      <c r="AZ1029" s="70">
        <f t="shared" si="221"/>
        <v>0</v>
      </c>
      <c r="BC1029" s="50"/>
    </row>
    <row r="1030" spans="1:55" s="48" customFormat="1" ht="15.45" customHeight="1" outlineLevel="1" x14ac:dyDescent="0.25">
      <c r="A1030" s="42">
        <v>22</v>
      </c>
      <c r="B1030" s="43" t="s">
        <v>43</v>
      </c>
      <c r="C1030" s="44" t="s">
        <v>28</v>
      </c>
      <c r="D1030" s="45">
        <v>1.7000000000000001E-2</v>
      </c>
      <c r="E1030" s="45">
        <v>1200.0999999999999</v>
      </c>
      <c r="F1030" s="45">
        <f t="shared" si="230"/>
        <v>20.401699999999998</v>
      </c>
      <c r="G1030" s="46">
        <f t="shared" si="231"/>
        <v>0</v>
      </c>
      <c r="H1030" s="47">
        <f t="shared" si="232"/>
        <v>0</v>
      </c>
      <c r="I1030" s="46">
        <f t="shared" si="233"/>
        <v>0</v>
      </c>
      <c r="J1030" s="47">
        <v>0</v>
      </c>
      <c r="K1030" s="46">
        <f t="shared" si="234"/>
        <v>0</v>
      </c>
      <c r="L1030" s="47">
        <v>0</v>
      </c>
      <c r="AX1030" s="46">
        <v>0</v>
      </c>
      <c r="AY1030" s="47">
        <v>0</v>
      </c>
      <c r="AZ1030" s="70">
        <f t="shared" si="221"/>
        <v>0</v>
      </c>
      <c r="BC1030" s="50"/>
    </row>
    <row r="1031" spans="1:55" s="48" customFormat="1" ht="15.45" customHeight="1" outlineLevel="1" x14ac:dyDescent="0.25">
      <c r="A1031" s="42">
        <v>23</v>
      </c>
      <c r="B1031" s="43" t="s">
        <v>721</v>
      </c>
      <c r="C1031" s="44" t="s">
        <v>110</v>
      </c>
      <c r="D1031" s="45">
        <v>0.36</v>
      </c>
      <c r="E1031" s="45">
        <v>358.63000000000011</v>
      </c>
      <c r="F1031" s="45">
        <f t="shared" si="230"/>
        <v>129.10680000000002</v>
      </c>
      <c r="G1031" s="46">
        <f t="shared" si="231"/>
        <v>0</v>
      </c>
      <c r="H1031" s="47">
        <f t="shared" si="232"/>
        <v>0</v>
      </c>
      <c r="I1031" s="46">
        <f t="shared" si="233"/>
        <v>0</v>
      </c>
      <c r="J1031" s="47">
        <v>0</v>
      </c>
      <c r="K1031" s="46">
        <f t="shared" si="234"/>
        <v>0</v>
      </c>
      <c r="L1031" s="47">
        <v>0</v>
      </c>
      <c r="AX1031" s="46">
        <v>0.99634999999999996</v>
      </c>
      <c r="AY1031" s="47">
        <v>7554.0766125</v>
      </c>
      <c r="AZ1031" s="70">
        <f t="shared" si="221"/>
        <v>0</v>
      </c>
      <c r="BC1031" s="50"/>
    </row>
    <row r="1032" spans="1:55" s="48" customFormat="1" ht="15.45" customHeight="1" outlineLevel="1" x14ac:dyDescent="0.25">
      <c r="A1032" s="42">
        <v>24</v>
      </c>
      <c r="B1032" s="43" t="s">
        <v>42</v>
      </c>
      <c r="C1032" s="44" t="s">
        <v>28</v>
      </c>
      <c r="D1032" s="45">
        <v>0.01</v>
      </c>
      <c r="E1032" s="45">
        <v>1325.1</v>
      </c>
      <c r="F1032" s="45">
        <f t="shared" si="230"/>
        <v>13.250999999999999</v>
      </c>
      <c r="G1032" s="46">
        <f t="shared" si="231"/>
        <v>0</v>
      </c>
      <c r="H1032" s="47">
        <f t="shared" si="232"/>
        <v>0</v>
      </c>
      <c r="I1032" s="46">
        <f t="shared" si="233"/>
        <v>0</v>
      </c>
      <c r="J1032" s="47">
        <v>0</v>
      </c>
      <c r="K1032" s="46">
        <f t="shared" si="234"/>
        <v>0</v>
      </c>
      <c r="L1032" s="47">
        <v>0</v>
      </c>
      <c r="AX1032" s="46">
        <v>0.99114000000000002</v>
      </c>
      <c r="AY1032" s="47">
        <v>96262.242435000007</v>
      </c>
      <c r="AZ1032" s="70">
        <f t="shared" si="221"/>
        <v>0</v>
      </c>
      <c r="BC1032" s="50"/>
    </row>
    <row r="1033" spans="1:55" s="48" customFormat="1" ht="15.45" customHeight="1" outlineLevel="1" x14ac:dyDescent="0.25">
      <c r="A1033" s="42">
        <v>25</v>
      </c>
      <c r="B1033" s="43" t="s">
        <v>43</v>
      </c>
      <c r="C1033" s="44" t="s">
        <v>28</v>
      </c>
      <c r="D1033" s="45">
        <v>3.3000000000000002E-2</v>
      </c>
      <c r="E1033" s="45">
        <v>1200.0999999999999</v>
      </c>
      <c r="F1033" s="45">
        <f t="shared" si="230"/>
        <v>39.603299999999997</v>
      </c>
      <c r="G1033" s="46">
        <f t="shared" si="231"/>
        <v>0</v>
      </c>
      <c r="H1033" s="47">
        <f t="shared" si="232"/>
        <v>0</v>
      </c>
      <c r="I1033" s="46">
        <f t="shared" si="233"/>
        <v>0</v>
      </c>
      <c r="J1033" s="47">
        <v>0</v>
      </c>
      <c r="K1033" s="46">
        <f t="shared" si="234"/>
        <v>0</v>
      </c>
      <c r="L1033" s="47">
        <v>0</v>
      </c>
      <c r="AX1033" s="46">
        <v>0.99640000000000006</v>
      </c>
      <c r="AY1033" s="47">
        <v>32368.552199999998</v>
      </c>
      <c r="AZ1033" s="70">
        <f t="shared" si="221"/>
        <v>0</v>
      </c>
      <c r="BC1033" s="50"/>
    </row>
    <row r="1034" spans="1:55" s="59" customFormat="1" ht="41.7" customHeight="1" outlineLevel="1" x14ac:dyDescent="0.35">
      <c r="A1034" s="42">
        <v>26</v>
      </c>
      <c r="B1034" s="43" t="s">
        <v>722</v>
      </c>
      <c r="C1034" s="44" t="s">
        <v>61</v>
      </c>
      <c r="D1034" s="45">
        <v>7</v>
      </c>
      <c r="E1034" s="45">
        <v>97.173399999999987</v>
      </c>
      <c r="F1034" s="45">
        <f t="shared" si="230"/>
        <v>680.21379999999988</v>
      </c>
      <c r="G1034" s="46">
        <f t="shared" si="231"/>
        <v>0</v>
      </c>
      <c r="H1034" s="47">
        <f t="shared" si="232"/>
        <v>0</v>
      </c>
      <c r="I1034" s="46">
        <f t="shared" si="233"/>
        <v>0</v>
      </c>
      <c r="J1034" s="47">
        <v>0</v>
      </c>
      <c r="K1034" s="46">
        <f t="shared" si="234"/>
        <v>0</v>
      </c>
      <c r="L1034" s="47">
        <v>0</v>
      </c>
      <c r="AX1034" s="73">
        <v>0</v>
      </c>
      <c r="AY1034" s="74">
        <v>0</v>
      </c>
      <c r="AZ1034" s="75">
        <f t="shared" si="221"/>
        <v>0</v>
      </c>
      <c r="BC1034" s="61"/>
    </row>
    <row r="1035" spans="1:55" s="48" customFormat="1" ht="15.45" customHeight="1" outlineLevel="1" x14ac:dyDescent="0.25">
      <c r="A1035" s="42">
        <v>27</v>
      </c>
      <c r="B1035" s="43" t="s">
        <v>723</v>
      </c>
      <c r="C1035" s="44" t="s">
        <v>28</v>
      </c>
      <c r="D1035" s="45">
        <v>0.11</v>
      </c>
      <c r="E1035" s="45">
        <v>1886.4554000000001</v>
      </c>
      <c r="F1035" s="45">
        <f t="shared" si="230"/>
        <v>207.51009400000001</v>
      </c>
      <c r="G1035" s="46">
        <f t="shared" si="231"/>
        <v>0</v>
      </c>
      <c r="H1035" s="47">
        <f t="shared" si="232"/>
        <v>0</v>
      </c>
      <c r="I1035" s="46">
        <f t="shared" si="233"/>
        <v>0</v>
      </c>
      <c r="J1035" s="47">
        <v>0</v>
      </c>
      <c r="K1035" s="46">
        <f t="shared" si="234"/>
        <v>0</v>
      </c>
      <c r="L1035" s="47">
        <v>0</v>
      </c>
      <c r="AX1035" s="46">
        <v>0</v>
      </c>
      <c r="AY1035" s="47">
        <v>0</v>
      </c>
      <c r="AZ1035" s="70">
        <f t="shared" si="221"/>
        <v>0</v>
      </c>
      <c r="BC1035" s="50"/>
    </row>
    <row r="1036" spans="1:55" s="48" customFormat="1" ht="15.45" customHeight="1" outlineLevel="1" x14ac:dyDescent="0.25">
      <c r="A1036" s="42">
        <v>28</v>
      </c>
      <c r="B1036" s="43" t="s">
        <v>724</v>
      </c>
      <c r="C1036" s="44" t="s">
        <v>110</v>
      </c>
      <c r="D1036" s="45">
        <v>0.25600000000000001</v>
      </c>
      <c r="E1036" s="45">
        <v>249.38800000000001</v>
      </c>
      <c r="F1036" s="45">
        <f t="shared" si="230"/>
        <v>63.843328</v>
      </c>
      <c r="G1036" s="46">
        <f t="shared" si="231"/>
        <v>0</v>
      </c>
      <c r="H1036" s="47">
        <f t="shared" si="232"/>
        <v>0</v>
      </c>
      <c r="I1036" s="46">
        <f t="shared" si="233"/>
        <v>0</v>
      </c>
      <c r="J1036" s="47">
        <v>0</v>
      </c>
      <c r="K1036" s="46">
        <f t="shared" si="234"/>
        <v>0</v>
      </c>
      <c r="L1036" s="47">
        <v>0</v>
      </c>
      <c r="AX1036" s="46">
        <v>1</v>
      </c>
      <c r="AY1036" s="47">
        <v>3277.5</v>
      </c>
      <c r="AZ1036" s="70">
        <f t="shared" si="221"/>
        <v>0</v>
      </c>
      <c r="BC1036" s="50"/>
    </row>
    <row r="1037" spans="1:55" s="48" customFormat="1" ht="15.45" customHeight="1" outlineLevel="1" x14ac:dyDescent="0.25">
      <c r="A1037" s="42">
        <v>29</v>
      </c>
      <c r="B1037" s="43" t="s">
        <v>42</v>
      </c>
      <c r="C1037" s="44" t="s">
        <v>28</v>
      </c>
      <c r="D1037" s="45">
        <v>0.01</v>
      </c>
      <c r="E1037" s="45">
        <v>1325.1</v>
      </c>
      <c r="F1037" s="45">
        <f t="shared" si="230"/>
        <v>13.250999999999999</v>
      </c>
      <c r="G1037" s="46">
        <f t="shared" si="231"/>
        <v>0</v>
      </c>
      <c r="H1037" s="47">
        <f t="shared" si="232"/>
        <v>0</v>
      </c>
      <c r="I1037" s="46">
        <f t="shared" si="233"/>
        <v>0</v>
      </c>
      <c r="J1037" s="47">
        <v>0</v>
      </c>
      <c r="K1037" s="46">
        <f t="shared" si="234"/>
        <v>0</v>
      </c>
      <c r="L1037" s="47">
        <v>0</v>
      </c>
      <c r="AX1037" s="46">
        <v>1</v>
      </c>
      <c r="AY1037" s="47">
        <v>1638.75</v>
      </c>
      <c r="AZ1037" s="70">
        <f t="shared" si="221"/>
        <v>0</v>
      </c>
      <c r="BC1037" s="50"/>
    </row>
    <row r="1038" spans="1:55" s="48" customFormat="1" ht="15.45" customHeight="1" outlineLevel="1" x14ac:dyDescent="0.25">
      <c r="A1038" s="42">
        <v>30</v>
      </c>
      <c r="B1038" s="43" t="s">
        <v>43</v>
      </c>
      <c r="C1038" s="44" t="s">
        <v>28</v>
      </c>
      <c r="D1038" s="45">
        <v>1.6E-2</v>
      </c>
      <c r="E1038" s="45">
        <v>1200.0999999999999</v>
      </c>
      <c r="F1038" s="45">
        <f t="shared" si="230"/>
        <v>19.201599999999999</v>
      </c>
      <c r="G1038" s="46">
        <f t="shared" si="231"/>
        <v>0</v>
      </c>
      <c r="H1038" s="47">
        <f t="shared" si="232"/>
        <v>0</v>
      </c>
      <c r="I1038" s="46">
        <f t="shared" si="233"/>
        <v>0</v>
      </c>
      <c r="J1038" s="47">
        <v>0</v>
      </c>
      <c r="K1038" s="46">
        <f t="shared" si="234"/>
        <v>0</v>
      </c>
      <c r="L1038" s="47">
        <v>0</v>
      </c>
      <c r="AX1038" s="46">
        <v>0</v>
      </c>
      <c r="AY1038" s="47">
        <v>0</v>
      </c>
      <c r="AZ1038" s="70">
        <f t="shared" si="221"/>
        <v>0</v>
      </c>
      <c r="BC1038" s="50"/>
    </row>
    <row r="1039" spans="1:55" s="48" customFormat="1" ht="27.75" customHeight="1" outlineLevel="1" x14ac:dyDescent="0.25">
      <c r="A1039" s="42">
        <v>31</v>
      </c>
      <c r="B1039" s="43" t="s">
        <v>725</v>
      </c>
      <c r="C1039" s="44" t="s">
        <v>98</v>
      </c>
      <c r="D1039" s="45">
        <v>23.52</v>
      </c>
      <c r="E1039" s="45">
        <v>30.802</v>
      </c>
      <c r="F1039" s="45">
        <f t="shared" si="230"/>
        <v>724.46303999999998</v>
      </c>
      <c r="G1039" s="46">
        <f t="shared" si="231"/>
        <v>0</v>
      </c>
      <c r="H1039" s="47">
        <f t="shared" si="232"/>
        <v>0</v>
      </c>
      <c r="I1039" s="46">
        <f t="shared" si="233"/>
        <v>0</v>
      </c>
      <c r="J1039" s="47">
        <v>0</v>
      </c>
      <c r="K1039" s="46">
        <f t="shared" si="234"/>
        <v>0</v>
      </c>
      <c r="L1039" s="47">
        <v>0</v>
      </c>
      <c r="AX1039" s="46">
        <v>0</v>
      </c>
      <c r="AY1039" s="47">
        <v>0</v>
      </c>
      <c r="AZ1039" s="70">
        <f t="shared" si="221"/>
        <v>0</v>
      </c>
      <c r="BC1039" s="50"/>
    </row>
    <row r="1040" spans="1:55" s="48" customFormat="1" ht="15.45" customHeight="1" outlineLevel="1" x14ac:dyDescent="0.25">
      <c r="A1040" s="42">
        <v>32</v>
      </c>
      <c r="B1040" s="43" t="s">
        <v>726</v>
      </c>
      <c r="C1040" s="44" t="s">
        <v>110</v>
      </c>
      <c r="D1040" s="45">
        <v>2.1</v>
      </c>
      <c r="E1040" s="45">
        <v>249.38800000000001</v>
      </c>
      <c r="F1040" s="45">
        <f t="shared" si="230"/>
        <v>523.71480000000008</v>
      </c>
      <c r="G1040" s="46">
        <f t="shared" si="231"/>
        <v>0</v>
      </c>
      <c r="H1040" s="47">
        <f t="shared" si="232"/>
        <v>0</v>
      </c>
      <c r="I1040" s="46">
        <f t="shared" si="233"/>
        <v>0</v>
      </c>
      <c r="J1040" s="47">
        <v>0</v>
      </c>
      <c r="K1040" s="46">
        <f t="shared" si="234"/>
        <v>0</v>
      </c>
      <c r="L1040" s="47">
        <v>0</v>
      </c>
      <c r="AX1040" s="46">
        <v>0.75757569999999996</v>
      </c>
      <c r="AY1040" s="47">
        <v>12499.99905</v>
      </c>
      <c r="AZ1040" s="70">
        <f t="shared" si="221"/>
        <v>0</v>
      </c>
      <c r="BC1040" s="50"/>
    </row>
    <row r="1041" spans="1:55" s="48" customFormat="1" ht="15.45" customHeight="1" outlineLevel="1" x14ac:dyDescent="0.25">
      <c r="A1041" s="42">
        <v>33</v>
      </c>
      <c r="B1041" s="43" t="s">
        <v>42</v>
      </c>
      <c r="C1041" s="44" t="s">
        <v>28</v>
      </c>
      <c r="D1041" s="45">
        <v>6.2E-2</v>
      </c>
      <c r="E1041" s="45">
        <v>1325.1</v>
      </c>
      <c r="F1041" s="45">
        <f t="shared" si="230"/>
        <v>82.156199999999998</v>
      </c>
      <c r="G1041" s="46">
        <f t="shared" si="231"/>
        <v>0</v>
      </c>
      <c r="H1041" s="47">
        <f t="shared" si="232"/>
        <v>0</v>
      </c>
      <c r="I1041" s="46">
        <f t="shared" si="233"/>
        <v>0</v>
      </c>
      <c r="J1041" s="47">
        <v>0</v>
      </c>
      <c r="K1041" s="46">
        <f t="shared" si="234"/>
        <v>0</v>
      </c>
      <c r="L1041" s="47">
        <v>0</v>
      </c>
      <c r="AX1041" s="46">
        <v>0</v>
      </c>
      <c r="AY1041" s="47">
        <v>-12000</v>
      </c>
      <c r="AZ1041" s="70">
        <f t="shared" si="221"/>
        <v>0</v>
      </c>
      <c r="BC1041" s="50"/>
    </row>
    <row r="1042" spans="1:55" s="48" customFormat="1" ht="15.45" customHeight="1" outlineLevel="1" x14ac:dyDescent="0.25">
      <c r="A1042" s="42">
        <v>34</v>
      </c>
      <c r="B1042" s="43" t="s">
        <v>43</v>
      </c>
      <c r="C1042" s="44" t="s">
        <v>28</v>
      </c>
      <c r="D1042" s="45">
        <v>8.8999999999999996E-2</v>
      </c>
      <c r="E1042" s="45">
        <v>1200.0999999999999</v>
      </c>
      <c r="F1042" s="45">
        <f t="shared" si="230"/>
        <v>106.80889999999998</v>
      </c>
      <c r="G1042" s="46">
        <f t="shared" si="231"/>
        <v>0</v>
      </c>
      <c r="H1042" s="47">
        <f t="shared" si="232"/>
        <v>0</v>
      </c>
      <c r="I1042" s="46">
        <f t="shared" si="233"/>
        <v>0</v>
      </c>
      <c r="J1042" s="47">
        <v>0</v>
      </c>
      <c r="K1042" s="46">
        <f t="shared" si="234"/>
        <v>0</v>
      </c>
      <c r="L1042" s="47">
        <v>0</v>
      </c>
      <c r="AX1042" s="46">
        <v>0</v>
      </c>
      <c r="AY1042" s="47">
        <v>0</v>
      </c>
      <c r="AZ1042" s="70">
        <f t="shared" si="221"/>
        <v>0</v>
      </c>
      <c r="BC1042" s="50"/>
    </row>
    <row r="1043" spans="1:55" s="48" customFormat="1" ht="27.75" customHeight="1" outlineLevel="1" x14ac:dyDescent="0.25">
      <c r="A1043" s="42">
        <v>35</v>
      </c>
      <c r="B1043" s="43" t="s">
        <v>715</v>
      </c>
      <c r="C1043" s="44" t="s">
        <v>110</v>
      </c>
      <c r="D1043" s="45">
        <v>1.1359999999999999</v>
      </c>
      <c r="E1043" s="45">
        <v>281.11200000000002</v>
      </c>
      <c r="F1043" s="45">
        <f t="shared" si="230"/>
        <v>319.343232</v>
      </c>
      <c r="G1043" s="46">
        <f t="shared" si="231"/>
        <v>0</v>
      </c>
      <c r="H1043" s="47">
        <f t="shared" si="232"/>
        <v>0</v>
      </c>
      <c r="I1043" s="46">
        <f t="shared" si="233"/>
        <v>0</v>
      </c>
      <c r="J1043" s="47">
        <v>0</v>
      </c>
      <c r="K1043" s="46">
        <f t="shared" si="234"/>
        <v>0</v>
      </c>
      <c r="L1043" s="47">
        <v>0</v>
      </c>
      <c r="AX1043" s="46">
        <v>0</v>
      </c>
      <c r="AY1043" s="47">
        <v>0</v>
      </c>
      <c r="AZ1043" s="70">
        <f t="shared" si="221"/>
        <v>0</v>
      </c>
      <c r="BC1043" s="50"/>
    </row>
    <row r="1044" spans="1:55" s="48" customFormat="1" ht="15.45" customHeight="1" outlineLevel="1" x14ac:dyDescent="0.25">
      <c r="A1044" s="42">
        <v>36</v>
      </c>
      <c r="B1044" s="43" t="s">
        <v>43</v>
      </c>
      <c r="C1044" s="44" t="s">
        <v>28</v>
      </c>
      <c r="D1044" s="45">
        <v>3.3000000000000002E-2</v>
      </c>
      <c r="E1044" s="45">
        <v>1200.0999999999999</v>
      </c>
      <c r="F1044" s="45">
        <f t="shared" si="230"/>
        <v>39.603299999999997</v>
      </c>
      <c r="G1044" s="46">
        <f t="shared" si="231"/>
        <v>0</v>
      </c>
      <c r="H1044" s="47">
        <f t="shared" si="232"/>
        <v>0</v>
      </c>
      <c r="I1044" s="46">
        <f t="shared" si="233"/>
        <v>0</v>
      </c>
      <c r="J1044" s="47">
        <v>0</v>
      </c>
      <c r="K1044" s="46">
        <f t="shared" si="234"/>
        <v>0</v>
      </c>
      <c r="L1044" s="47">
        <v>0</v>
      </c>
      <c r="AX1044" s="46">
        <v>0</v>
      </c>
      <c r="AY1044" s="47">
        <v>0</v>
      </c>
      <c r="AZ1044" s="70">
        <f t="shared" si="221"/>
        <v>0</v>
      </c>
      <c r="BC1044" s="50"/>
    </row>
    <row r="1045" spans="1:55" s="48" customFormat="1" ht="15.45" customHeight="1" outlineLevel="1" x14ac:dyDescent="0.25">
      <c r="A1045" s="42">
        <v>37</v>
      </c>
      <c r="B1045" s="43" t="s">
        <v>42</v>
      </c>
      <c r="C1045" s="44" t="s">
        <v>28</v>
      </c>
      <c r="D1045" s="45">
        <v>3.1E-2</v>
      </c>
      <c r="E1045" s="45">
        <v>1325.1</v>
      </c>
      <c r="F1045" s="45">
        <f t="shared" si="230"/>
        <v>41.078099999999999</v>
      </c>
      <c r="G1045" s="46">
        <f t="shared" si="231"/>
        <v>0</v>
      </c>
      <c r="H1045" s="47">
        <f t="shared" si="232"/>
        <v>0</v>
      </c>
      <c r="I1045" s="46">
        <f t="shared" si="233"/>
        <v>0</v>
      </c>
      <c r="J1045" s="47">
        <v>0</v>
      </c>
      <c r="K1045" s="46">
        <f t="shared" si="234"/>
        <v>0</v>
      </c>
      <c r="L1045" s="47">
        <v>0</v>
      </c>
      <c r="AX1045" s="46">
        <v>0</v>
      </c>
      <c r="AY1045" s="47">
        <v>0</v>
      </c>
      <c r="AZ1045" s="70">
        <f t="shared" si="221"/>
        <v>0</v>
      </c>
      <c r="BC1045" s="50"/>
    </row>
    <row r="1046" spans="1:55" s="48" customFormat="1" ht="27.75" customHeight="1" outlineLevel="1" x14ac:dyDescent="0.25">
      <c r="A1046" s="42">
        <v>38</v>
      </c>
      <c r="B1046" s="43" t="s">
        <v>67</v>
      </c>
      <c r="C1046" s="44" t="s">
        <v>98</v>
      </c>
      <c r="D1046" s="45">
        <v>24.44</v>
      </c>
      <c r="E1046" s="45">
        <v>41.92</v>
      </c>
      <c r="F1046" s="45">
        <f t="shared" si="230"/>
        <v>1024.5248000000001</v>
      </c>
      <c r="G1046" s="46">
        <f t="shared" si="231"/>
        <v>0</v>
      </c>
      <c r="H1046" s="47">
        <f t="shared" si="232"/>
        <v>0</v>
      </c>
      <c r="I1046" s="46">
        <f t="shared" si="233"/>
        <v>0</v>
      </c>
      <c r="J1046" s="47">
        <v>0</v>
      </c>
      <c r="K1046" s="46">
        <f t="shared" si="234"/>
        <v>0</v>
      </c>
      <c r="L1046" s="47">
        <v>0</v>
      </c>
      <c r="AX1046" s="46">
        <v>0</v>
      </c>
      <c r="AY1046" s="47">
        <v>0</v>
      </c>
      <c r="AZ1046" s="70">
        <f t="shared" si="221"/>
        <v>0</v>
      </c>
      <c r="BC1046" s="50"/>
    </row>
    <row r="1047" spans="1:55" s="56" customFormat="1" ht="17.25" customHeight="1" x14ac:dyDescent="0.3">
      <c r="A1047" s="31">
        <v>4.4000000000000004</v>
      </c>
      <c r="B1047" s="51" t="s">
        <v>727</v>
      </c>
      <c r="C1047" s="52">
        <v>0</v>
      </c>
      <c r="D1047" s="53"/>
      <c r="E1047" s="53"/>
      <c r="F1047" s="53"/>
      <c r="G1047" s="54"/>
      <c r="H1047" s="55"/>
      <c r="I1047" s="54"/>
      <c r="J1047" s="55"/>
      <c r="K1047" s="54"/>
      <c r="L1047" s="55">
        <v>0</v>
      </c>
      <c r="AX1047" s="69">
        <v>0</v>
      </c>
      <c r="AY1047" s="71">
        <v>0</v>
      </c>
      <c r="AZ1047" s="72">
        <f t="shared" si="221"/>
        <v>0</v>
      </c>
      <c r="BC1047" s="58"/>
    </row>
    <row r="1048" spans="1:55" s="48" customFormat="1" ht="27.75" customHeight="1" outlineLevel="1" x14ac:dyDescent="0.25">
      <c r="A1048" s="42">
        <v>1</v>
      </c>
      <c r="B1048" s="43" t="s">
        <v>67</v>
      </c>
      <c r="C1048" s="44" t="s">
        <v>98</v>
      </c>
      <c r="D1048" s="45">
        <v>184</v>
      </c>
      <c r="E1048" s="45">
        <v>41.92</v>
      </c>
      <c r="F1048" s="45">
        <f>+E1048*D1048</f>
        <v>7713.2800000000007</v>
      </c>
      <c r="G1048" s="46">
        <f t="shared" ref="G1048:H1052" si="235">I1048+K1048</f>
        <v>0</v>
      </c>
      <c r="H1048" s="47">
        <f t="shared" si="235"/>
        <v>0</v>
      </c>
      <c r="I1048" s="46">
        <f>J1048/F1048</f>
        <v>0</v>
      </c>
      <c r="J1048" s="47">
        <v>0</v>
      </c>
      <c r="K1048" s="46">
        <f>L1048/F1048</f>
        <v>0</v>
      </c>
      <c r="L1048" s="47">
        <v>0</v>
      </c>
      <c r="AX1048" s="46">
        <v>0</v>
      </c>
      <c r="AY1048" s="47">
        <v>0</v>
      </c>
      <c r="AZ1048" s="70">
        <f t="shared" si="221"/>
        <v>0</v>
      </c>
      <c r="BC1048" s="50"/>
    </row>
    <row r="1049" spans="1:55" s="48" customFormat="1" ht="15.45" customHeight="1" outlineLevel="1" x14ac:dyDescent="0.25">
      <c r="A1049" s="42">
        <v>2</v>
      </c>
      <c r="B1049" s="43" t="s">
        <v>728</v>
      </c>
      <c r="C1049" s="44" t="s">
        <v>110</v>
      </c>
      <c r="D1049" s="45">
        <v>5.3</v>
      </c>
      <c r="E1049" s="45">
        <v>144.17500000000001</v>
      </c>
      <c r="F1049" s="45">
        <f>+E1049*D1049</f>
        <v>764.12750000000005</v>
      </c>
      <c r="G1049" s="46">
        <f t="shared" si="235"/>
        <v>0</v>
      </c>
      <c r="H1049" s="47">
        <f t="shared" si="235"/>
        <v>0</v>
      </c>
      <c r="I1049" s="46">
        <f>J1049/F1049</f>
        <v>0</v>
      </c>
      <c r="J1049" s="47">
        <v>0</v>
      </c>
      <c r="K1049" s="46">
        <f>L1049/F1049</f>
        <v>0</v>
      </c>
      <c r="L1049" s="47">
        <v>0</v>
      </c>
      <c r="AX1049" s="46">
        <v>0</v>
      </c>
      <c r="AY1049" s="47">
        <v>0</v>
      </c>
      <c r="AZ1049" s="70">
        <f t="shared" si="221"/>
        <v>0</v>
      </c>
      <c r="BC1049" s="50"/>
    </row>
    <row r="1050" spans="1:55" s="48" customFormat="1" ht="15.45" customHeight="1" outlineLevel="1" x14ac:dyDescent="0.25">
      <c r="A1050" s="42">
        <v>3</v>
      </c>
      <c r="B1050" s="43" t="s">
        <v>71</v>
      </c>
      <c r="C1050" s="44" t="s">
        <v>28</v>
      </c>
      <c r="D1050" s="45">
        <v>0.29599999999999999</v>
      </c>
      <c r="E1050" s="45">
        <v>2150</v>
      </c>
      <c r="F1050" s="45">
        <f>+E1050*D1050</f>
        <v>636.4</v>
      </c>
      <c r="G1050" s="46">
        <f t="shared" si="235"/>
        <v>0</v>
      </c>
      <c r="H1050" s="47">
        <f t="shared" si="235"/>
        <v>0</v>
      </c>
      <c r="I1050" s="46">
        <f>J1050/F1050</f>
        <v>0</v>
      </c>
      <c r="J1050" s="47">
        <v>0</v>
      </c>
      <c r="K1050" s="46">
        <f>L1050/F1050</f>
        <v>0</v>
      </c>
      <c r="L1050" s="47">
        <v>0</v>
      </c>
      <c r="AX1050" s="46">
        <v>0</v>
      </c>
      <c r="AY1050" s="47">
        <v>0</v>
      </c>
      <c r="AZ1050" s="70">
        <f t="shared" ref="AZ1050:AZ1113" si="236">H1050-J1050</f>
        <v>0</v>
      </c>
      <c r="BC1050" s="50"/>
    </row>
    <row r="1051" spans="1:55" s="48" customFormat="1" ht="15.45" customHeight="1" outlineLevel="1" x14ac:dyDescent="0.25">
      <c r="A1051" s="42">
        <v>4</v>
      </c>
      <c r="B1051" s="43" t="s">
        <v>108</v>
      </c>
      <c r="C1051" s="44" t="s">
        <v>93</v>
      </c>
      <c r="D1051" s="45">
        <v>9</v>
      </c>
      <c r="E1051" s="45">
        <v>40.9</v>
      </c>
      <c r="F1051" s="45">
        <f>+E1051*D1051</f>
        <v>368.09999999999997</v>
      </c>
      <c r="G1051" s="46">
        <f t="shared" si="235"/>
        <v>0</v>
      </c>
      <c r="H1051" s="47">
        <f t="shared" si="235"/>
        <v>0</v>
      </c>
      <c r="I1051" s="46">
        <f>J1051/F1051</f>
        <v>0</v>
      </c>
      <c r="J1051" s="47">
        <v>0</v>
      </c>
      <c r="K1051" s="46">
        <f>L1051/F1051</f>
        <v>0</v>
      </c>
      <c r="L1051" s="47">
        <v>0</v>
      </c>
      <c r="AX1051" s="46">
        <v>0</v>
      </c>
      <c r="AY1051" s="47">
        <v>0</v>
      </c>
      <c r="AZ1051" s="70">
        <f t="shared" si="236"/>
        <v>0</v>
      </c>
      <c r="BC1051" s="50"/>
    </row>
    <row r="1052" spans="1:55" s="48" customFormat="1" ht="15.45" customHeight="1" outlineLevel="1" x14ac:dyDescent="0.25">
      <c r="A1052" s="42">
        <v>5</v>
      </c>
      <c r="B1052" s="43" t="s">
        <v>669</v>
      </c>
      <c r="C1052" s="44" t="s">
        <v>93</v>
      </c>
      <c r="D1052" s="45">
        <v>9</v>
      </c>
      <c r="E1052" s="45">
        <v>55.902200000000001</v>
      </c>
      <c r="F1052" s="45">
        <f>+E1052*D1052</f>
        <v>503.1198</v>
      </c>
      <c r="G1052" s="46">
        <f t="shared" si="235"/>
        <v>0</v>
      </c>
      <c r="H1052" s="47">
        <f t="shared" si="235"/>
        <v>0</v>
      </c>
      <c r="I1052" s="46">
        <f>J1052/F1052</f>
        <v>0</v>
      </c>
      <c r="J1052" s="47">
        <v>0</v>
      </c>
      <c r="K1052" s="46">
        <f>L1052/F1052</f>
        <v>0</v>
      </c>
      <c r="L1052" s="47">
        <v>0</v>
      </c>
      <c r="AX1052" s="46">
        <v>0</v>
      </c>
      <c r="AY1052" s="47">
        <v>0</v>
      </c>
      <c r="AZ1052" s="70">
        <f t="shared" si="236"/>
        <v>0</v>
      </c>
      <c r="BC1052" s="50"/>
    </row>
    <row r="1053" spans="1:55" s="56" customFormat="1" ht="17.25" customHeight="1" x14ac:dyDescent="0.3">
      <c r="A1053" s="31">
        <v>4.5</v>
      </c>
      <c r="B1053" s="51" t="s">
        <v>729</v>
      </c>
      <c r="C1053" s="52">
        <v>0</v>
      </c>
      <c r="D1053" s="53"/>
      <c r="E1053" s="53"/>
      <c r="F1053" s="53"/>
      <c r="G1053" s="54"/>
      <c r="H1053" s="55"/>
      <c r="I1053" s="54"/>
      <c r="J1053" s="55"/>
      <c r="K1053" s="54"/>
      <c r="L1053" s="55">
        <v>0</v>
      </c>
      <c r="AX1053" s="69">
        <v>0</v>
      </c>
      <c r="AY1053" s="71">
        <v>0</v>
      </c>
      <c r="AZ1053" s="72">
        <f t="shared" si="236"/>
        <v>0</v>
      </c>
      <c r="BC1053" s="58"/>
    </row>
    <row r="1054" spans="1:55" s="48" customFormat="1" ht="15.45" customHeight="1" outlineLevel="1" x14ac:dyDescent="0.25">
      <c r="A1054" s="42">
        <v>1</v>
      </c>
      <c r="B1054" s="43" t="s">
        <v>730</v>
      </c>
      <c r="C1054" s="44" t="s">
        <v>98</v>
      </c>
      <c r="D1054" s="45">
        <v>32</v>
      </c>
      <c r="E1054" s="45">
        <v>3.6903999999999999</v>
      </c>
      <c r="F1054" s="45">
        <f t="shared" ref="F1054:F1075" si="237">+E1054*D1054</f>
        <v>118.0928</v>
      </c>
      <c r="G1054" s="46">
        <f t="shared" ref="G1054:G1075" si="238">I1054+K1054</f>
        <v>0</v>
      </c>
      <c r="H1054" s="47">
        <f t="shared" ref="H1054:H1075" si="239">J1054+L1054</f>
        <v>0</v>
      </c>
      <c r="I1054" s="46">
        <f t="shared" ref="I1054:I1075" si="240">J1054/F1054</f>
        <v>0</v>
      </c>
      <c r="J1054" s="47">
        <v>0</v>
      </c>
      <c r="K1054" s="46">
        <f t="shared" ref="K1054:K1075" si="241">L1054/F1054</f>
        <v>0</v>
      </c>
      <c r="L1054" s="47">
        <v>0</v>
      </c>
      <c r="AX1054" s="46">
        <v>0</v>
      </c>
      <c r="AY1054" s="47">
        <v>0</v>
      </c>
      <c r="AZ1054" s="70">
        <f t="shared" si="236"/>
        <v>0</v>
      </c>
      <c r="BC1054" s="50"/>
    </row>
    <row r="1055" spans="1:55" s="48" customFormat="1" ht="15.45" customHeight="1" outlineLevel="1" x14ac:dyDescent="0.25">
      <c r="A1055" s="42">
        <v>2</v>
      </c>
      <c r="B1055" s="43" t="s">
        <v>731</v>
      </c>
      <c r="C1055" s="44" t="s">
        <v>98</v>
      </c>
      <c r="D1055" s="45">
        <v>32</v>
      </c>
      <c r="E1055" s="45">
        <v>0.9</v>
      </c>
      <c r="F1055" s="45">
        <f t="shared" si="237"/>
        <v>28.8</v>
      </c>
      <c r="G1055" s="46">
        <f t="shared" si="238"/>
        <v>0</v>
      </c>
      <c r="H1055" s="47">
        <f t="shared" si="239"/>
        <v>0</v>
      </c>
      <c r="I1055" s="46">
        <f t="shared" si="240"/>
        <v>0</v>
      </c>
      <c r="J1055" s="47">
        <v>0</v>
      </c>
      <c r="K1055" s="46">
        <f t="shared" si="241"/>
        <v>0</v>
      </c>
      <c r="L1055" s="47">
        <v>0</v>
      </c>
      <c r="AX1055" s="46">
        <v>0</v>
      </c>
      <c r="AY1055" s="47">
        <v>0</v>
      </c>
      <c r="AZ1055" s="70">
        <f t="shared" si="236"/>
        <v>0</v>
      </c>
      <c r="BC1055" s="50"/>
    </row>
    <row r="1056" spans="1:55" s="48" customFormat="1" ht="15.45" customHeight="1" outlineLevel="1" x14ac:dyDescent="0.25">
      <c r="A1056" s="42">
        <v>3</v>
      </c>
      <c r="B1056" s="43" t="s">
        <v>732</v>
      </c>
      <c r="C1056" s="44" t="s">
        <v>110</v>
      </c>
      <c r="D1056" s="45">
        <v>2.56</v>
      </c>
      <c r="E1056" s="45">
        <v>114.1564</v>
      </c>
      <c r="F1056" s="45">
        <f t="shared" si="237"/>
        <v>292.24038400000001</v>
      </c>
      <c r="G1056" s="46">
        <f t="shared" si="238"/>
        <v>0</v>
      </c>
      <c r="H1056" s="47">
        <f t="shared" si="239"/>
        <v>0</v>
      </c>
      <c r="I1056" s="46">
        <f t="shared" si="240"/>
        <v>0</v>
      </c>
      <c r="J1056" s="47">
        <v>0</v>
      </c>
      <c r="K1056" s="46">
        <f t="shared" si="241"/>
        <v>0</v>
      </c>
      <c r="L1056" s="47">
        <v>0</v>
      </c>
      <c r="AX1056" s="46">
        <v>0</v>
      </c>
      <c r="AY1056" s="47">
        <v>0</v>
      </c>
      <c r="AZ1056" s="70">
        <f t="shared" si="236"/>
        <v>0</v>
      </c>
      <c r="BC1056" s="50"/>
    </row>
    <row r="1057" spans="1:55" s="48" customFormat="1" ht="15.45" customHeight="1" outlineLevel="1" x14ac:dyDescent="0.25">
      <c r="A1057" s="42">
        <v>4</v>
      </c>
      <c r="B1057" s="43" t="s">
        <v>79</v>
      </c>
      <c r="C1057" s="44" t="s">
        <v>98</v>
      </c>
      <c r="D1057" s="45">
        <v>32</v>
      </c>
      <c r="E1057" s="45">
        <v>1.4119999999999999</v>
      </c>
      <c r="F1057" s="45">
        <f t="shared" si="237"/>
        <v>45.183999999999997</v>
      </c>
      <c r="G1057" s="46">
        <f t="shared" si="238"/>
        <v>0</v>
      </c>
      <c r="H1057" s="47">
        <f t="shared" si="239"/>
        <v>0</v>
      </c>
      <c r="I1057" s="46">
        <f t="shared" si="240"/>
        <v>0</v>
      </c>
      <c r="J1057" s="47">
        <v>0</v>
      </c>
      <c r="K1057" s="46">
        <f t="shared" si="241"/>
        <v>0</v>
      </c>
      <c r="L1057" s="47">
        <v>0</v>
      </c>
      <c r="AX1057" s="46">
        <v>0</v>
      </c>
      <c r="AY1057" s="47">
        <v>0</v>
      </c>
      <c r="AZ1057" s="70">
        <f t="shared" si="236"/>
        <v>0</v>
      </c>
      <c r="BC1057" s="50"/>
    </row>
    <row r="1058" spans="1:55" s="48" customFormat="1" ht="15.45" customHeight="1" outlineLevel="1" x14ac:dyDescent="0.25">
      <c r="A1058" s="42">
        <v>5</v>
      </c>
      <c r="B1058" s="43" t="s">
        <v>75</v>
      </c>
      <c r="C1058" s="44" t="s">
        <v>98</v>
      </c>
      <c r="D1058" s="45">
        <v>32</v>
      </c>
      <c r="E1058" s="45">
        <v>3.7719999999999998</v>
      </c>
      <c r="F1058" s="45">
        <f t="shared" si="237"/>
        <v>120.70399999999999</v>
      </c>
      <c r="G1058" s="46">
        <f t="shared" si="238"/>
        <v>0</v>
      </c>
      <c r="H1058" s="47">
        <f t="shared" si="239"/>
        <v>0</v>
      </c>
      <c r="I1058" s="46">
        <f t="shared" si="240"/>
        <v>0</v>
      </c>
      <c r="J1058" s="47">
        <v>0</v>
      </c>
      <c r="K1058" s="46">
        <f t="shared" si="241"/>
        <v>0</v>
      </c>
      <c r="L1058" s="47">
        <v>0</v>
      </c>
      <c r="AX1058" s="46">
        <v>0</v>
      </c>
      <c r="AY1058" s="47">
        <v>0</v>
      </c>
      <c r="AZ1058" s="70">
        <f t="shared" si="236"/>
        <v>0</v>
      </c>
      <c r="BC1058" s="50"/>
    </row>
    <row r="1059" spans="1:55" s="48" customFormat="1" ht="15.45" customHeight="1" outlineLevel="1" x14ac:dyDescent="0.25">
      <c r="A1059" s="42">
        <v>6</v>
      </c>
      <c r="B1059" s="43" t="s">
        <v>733</v>
      </c>
      <c r="C1059" s="44" t="s">
        <v>98</v>
      </c>
      <c r="D1059" s="45">
        <v>32</v>
      </c>
      <c r="E1059" s="45">
        <v>0.95300000000000007</v>
      </c>
      <c r="F1059" s="45">
        <f t="shared" si="237"/>
        <v>30.496000000000002</v>
      </c>
      <c r="G1059" s="46">
        <f t="shared" si="238"/>
        <v>0</v>
      </c>
      <c r="H1059" s="47">
        <f t="shared" si="239"/>
        <v>0</v>
      </c>
      <c r="I1059" s="46">
        <f t="shared" si="240"/>
        <v>0</v>
      </c>
      <c r="J1059" s="47">
        <v>0</v>
      </c>
      <c r="K1059" s="46">
        <f t="shared" si="241"/>
        <v>0</v>
      </c>
      <c r="L1059" s="47">
        <v>0</v>
      </c>
      <c r="AX1059" s="46">
        <v>0</v>
      </c>
      <c r="AY1059" s="47">
        <v>0</v>
      </c>
      <c r="AZ1059" s="70">
        <f t="shared" si="236"/>
        <v>0</v>
      </c>
      <c r="BC1059" s="50"/>
    </row>
    <row r="1060" spans="1:55" s="48" customFormat="1" ht="27.75" customHeight="1" outlineLevel="1" x14ac:dyDescent="0.25">
      <c r="A1060" s="42">
        <v>7</v>
      </c>
      <c r="B1060" s="43" t="s">
        <v>666</v>
      </c>
      <c r="C1060" s="44" t="s">
        <v>98</v>
      </c>
      <c r="D1060" s="45">
        <v>70.400000000000006</v>
      </c>
      <c r="E1060" s="45">
        <v>19.7758</v>
      </c>
      <c r="F1060" s="45">
        <f t="shared" si="237"/>
        <v>1392.2163200000002</v>
      </c>
      <c r="G1060" s="46">
        <f t="shared" si="238"/>
        <v>0</v>
      </c>
      <c r="H1060" s="47">
        <f t="shared" si="239"/>
        <v>0</v>
      </c>
      <c r="I1060" s="46">
        <f t="shared" si="240"/>
        <v>0</v>
      </c>
      <c r="J1060" s="47">
        <v>0</v>
      </c>
      <c r="K1060" s="46">
        <f t="shared" si="241"/>
        <v>0</v>
      </c>
      <c r="L1060" s="47">
        <v>0</v>
      </c>
      <c r="AX1060" s="46">
        <v>0</v>
      </c>
      <c r="AY1060" s="47">
        <v>0</v>
      </c>
      <c r="AZ1060" s="70">
        <f t="shared" si="236"/>
        <v>0</v>
      </c>
      <c r="BC1060" s="50"/>
    </row>
    <row r="1061" spans="1:55" s="48" customFormat="1" ht="15.45" customHeight="1" outlineLevel="1" x14ac:dyDescent="0.25">
      <c r="A1061" s="42">
        <v>8</v>
      </c>
      <c r="B1061" s="43" t="s">
        <v>82</v>
      </c>
      <c r="C1061" s="44" t="s">
        <v>110</v>
      </c>
      <c r="D1061" s="45">
        <v>2.4700000000000002</v>
      </c>
      <c r="E1061" s="45">
        <v>803.44180000000006</v>
      </c>
      <c r="F1061" s="45">
        <f t="shared" si="237"/>
        <v>1984.5012460000003</v>
      </c>
      <c r="G1061" s="46">
        <f t="shared" si="238"/>
        <v>0</v>
      </c>
      <c r="H1061" s="47">
        <f t="shared" si="239"/>
        <v>0</v>
      </c>
      <c r="I1061" s="46">
        <f t="shared" si="240"/>
        <v>0</v>
      </c>
      <c r="J1061" s="47">
        <v>0</v>
      </c>
      <c r="K1061" s="46">
        <f t="shared" si="241"/>
        <v>0</v>
      </c>
      <c r="L1061" s="47">
        <v>0</v>
      </c>
      <c r="AX1061" s="46">
        <v>0</v>
      </c>
      <c r="AY1061" s="47">
        <v>0</v>
      </c>
      <c r="AZ1061" s="70">
        <f t="shared" si="236"/>
        <v>0</v>
      </c>
      <c r="BC1061" s="50"/>
    </row>
    <row r="1062" spans="1:55" s="48" customFormat="1" ht="15.45" customHeight="1" outlineLevel="1" x14ac:dyDescent="0.25">
      <c r="A1062" s="42">
        <v>9</v>
      </c>
      <c r="B1062" s="43" t="s">
        <v>92</v>
      </c>
      <c r="C1062" s="44" t="s">
        <v>93</v>
      </c>
      <c r="D1062" s="45">
        <v>2</v>
      </c>
      <c r="E1062" s="45">
        <v>102.1</v>
      </c>
      <c r="F1062" s="45">
        <f t="shared" si="237"/>
        <v>204.2</v>
      </c>
      <c r="G1062" s="46">
        <f t="shared" si="238"/>
        <v>0</v>
      </c>
      <c r="H1062" s="47">
        <f t="shared" si="239"/>
        <v>0</v>
      </c>
      <c r="I1062" s="46">
        <f t="shared" si="240"/>
        <v>0</v>
      </c>
      <c r="J1062" s="47">
        <v>0</v>
      </c>
      <c r="K1062" s="46">
        <f t="shared" si="241"/>
        <v>0</v>
      </c>
      <c r="L1062" s="47">
        <v>0</v>
      </c>
      <c r="AX1062" s="46">
        <v>0</v>
      </c>
      <c r="AY1062" s="47">
        <v>0</v>
      </c>
      <c r="AZ1062" s="70">
        <f t="shared" si="236"/>
        <v>0</v>
      </c>
      <c r="BC1062" s="50"/>
    </row>
    <row r="1063" spans="1:55" s="48" customFormat="1" ht="15.45" customHeight="1" outlineLevel="1" x14ac:dyDescent="0.25">
      <c r="A1063" s="42">
        <v>10</v>
      </c>
      <c r="B1063" s="43" t="s">
        <v>734</v>
      </c>
      <c r="C1063" s="44" t="s">
        <v>61</v>
      </c>
      <c r="D1063" s="45">
        <v>16.3</v>
      </c>
      <c r="E1063" s="45">
        <v>9.0555999999999983</v>
      </c>
      <c r="F1063" s="45">
        <f t="shared" si="237"/>
        <v>147.60627999999997</v>
      </c>
      <c r="G1063" s="46">
        <f t="shared" si="238"/>
        <v>0</v>
      </c>
      <c r="H1063" s="47">
        <f t="shared" si="239"/>
        <v>0</v>
      </c>
      <c r="I1063" s="46">
        <f t="shared" si="240"/>
        <v>0</v>
      </c>
      <c r="J1063" s="47">
        <v>0</v>
      </c>
      <c r="K1063" s="46">
        <f t="shared" si="241"/>
        <v>0</v>
      </c>
      <c r="L1063" s="47">
        <v>0</v>
      </c>
      <c r="AX1063" s="46">
        <v>0</v>
      </c>
      <c r="AY1063" s="47">
        <v>0</v>
      </c>
      <c r="AZ1063" s="70">
        <f t="shared" si="236"/>
        <v>0</v>
      </c>
      <c r="BC1063" s="50"/>
    </row>
    <row r="1064" spans="1:55" s="59" customFormat="1" ht="27.75" customHeight="1" outlineLevel="1" x14ac:dyDescent="0.35">
      <c r="A1064" s="42">
        <v>11</v>
      </c>
      <c r="B1064" s="43" t="s">
        <v>88</v>
      </c>
      <c r="C1064" s="44" t="s">
        <v>61</v>
      </c>
      <c r="D1064" s="45">
        <v>16.3</v>
      </c>
      <c r="E1064" s="45">
        <v>3.6884000000000001</v>
      </c>
      <c r="F1064" s="45">
        <f t="shared" si="237"/>
        <v>60.120920000000005</v>
      </c>
      <c r="G1064" s="46">
        <f t="shared" si="238"/>
        <v>0</v>
      </c>
      <c r="H1064" s="47">
        <f t="shared" si="239"/>
        <v>0</v>
      </c>
      <c r="I1064" s="46">
        <f t="shared" si="240"/>
        <v>0</v>
      </c>
      <c r="J1064" s="47">
        <v>0</v>
      </c>
      <c r="K1064" s="46">
        <f t="shared" si="241"/>
        <v>0</v>
      </c>
      <c r="L1064" s="47">
        <v>0</v>
      </c>
      <c r="AX1064" s="73">
        <v>0</v>
      </c>
      <c r="AY1064" s="74">
        <v>0</v>
      </c>
      <c r="AZ1064" s="75">
        <f t="shared" si="236"/>
        <v>0</v>
      </c>
      <c r="BC1064" s="61"/>
    </row>
    <row r="1065" spans="1:55" s="48" customFormat="1" ht="15.45" customHeight="1" outlineLevel="1" x14ac:dyDescent="0.25">
      <c r="A1065" s="42">
        <v>12</v>
      </c>
      <c r="B1065" s="43" t="s">
        <v>735</v>
      </c>
      <c r="C1065" s="44" t="s">
        <v>93</v>
      </c>
      <c r="D1065" s="45">
        <v>2</v>
      </c>
      <c r="E1065" s="45">
        <v>3.382400000000001</v>
      </c>
      <c r="F1065" s="45">
        <f t="shared" si="237"/>
        <v>6.7648000000000019</v>
      </c>
      <c r="G1065" s="46">
        <f t="shared" si="238"/>
        <v>0</v>
      </c>
      <c r="H1065" s="47">
        <f t="shared" si="239"/>
        <v>0</v>
      </c>
      <c r="I1065" s="46">
        <f t="shared" si="240"/>
        <v>0</v>
      </c>
      <c r="J1065" s="47">
        <v>0</v>
      </c>
      <c r="K1065" s="46">
        <f t="shared" si="241"/>
        <v>0</v>
      </c>
      <c r="L1065" s="47">
        <v>0</v>
      </c>
      <c r="AX1065" s="46">
        <v>0</v>
      </c>
      <c r="AY1065" s="47">
        <v>0</v>
      </c>
      <c r="AZ1065" s="70">
        <f t="shared" si="236"/>
        <v>0</v>
      </c>
      <c r="BC1065" s="50"/>
    </row>
    <row r="1066" spans="1:55" s="48" customFormat="1" ht="15.45" customHeight="1" outlineLevel="1" x14ac:dyDescent="0.25">
      <c r="A1066" s="42">
        <v>13</v>
      </c>
      <c r="B1066" s="43" t="s">
        <v>89</v>
      </c>
      <c r="C1066" s="44" t="s">
        <v>98</v>
      </c>
      <c r="D1066" s="45">
        <v>0.64</v>
      </c>
      <c r="E1066" s="45">
        <v>75.508600000000001</v>
      </c>
      <c r="F1066" s="45">
        <f t="shared" si="237"/>
        <v>48.325504000000002</v>
      </c>
      <c r="G1066" s="46">
        <f t="shared" si="238"/>
        <v>0</v>
      </c>
      <c r="H1066" s="47">
        <f t="shared" si="239"/>
        <v>0</v>
      </c>
      <c r="I1066" s="46">
        <f t="shared" si="240"/>
        <v>0</v>
      </c>
      <c r="J1066" s="47">
        <v>0</v>
      </c>
      <c r="K1066" s="46">
        <f t="shared" si="241"/>
        <v>0</v>
      </c>
      <c r="L1066" s="47">
        <v>0</v>
      </c>
      <c r="AX1066" s="46">
        <v>0</v>
      </c>
      <c r="AY1066" s="47">
        <v>0</v>
      </c>
      <c r="AZ1066" s="70">
        <f t="shared" si="236"/>
        <v>0</v>
      </c>
      <c r="BC1066" s="50"/>
    </row>
    <row r="1067" spans="1:55" s="48" customFormat="1" ht="15.45" customHeight="1" outlineLevel="1" x14ac:dyDescent="0.25">
      <c r="A1067" s="42">
        <v>14</v>
      </c>
      <c r="B1067" s="43" t="s">
        <v>90</v>
      </c>
      <c r="C1067" s="44" t="s">
        <v>28</v>
      </c>
      <c r="D1067" s="45">
        <v>4.7E-2</v>
      </c>
      <c r="E1067" s="45">
        <v>3264.1</v>
      </c>
      <c r="F1067" s="45">
        <f t="shared" si="237"/>
        <v>153.4127</v>
      </c>
      <c r="G1067" s="46">
        <f t="shared" si="238"/>
        <v>0</v>
      </c>
      <c r="H1067" s="47">
        <f t="shared" si="239"/>
        <v>0</v>
      </c>
      <c r="I1067" s="46">
        <f t="shared" si="240"/>
        <v>0</v>
      </c>
      <c r="J1067" s="47">
        <v>0</v>
      </c>
      <c r="K1067" s="46">
        <f t="shared" si="241"/>
        <v>0</v>
      </c>
      <c r="L1067" s="47">
        <v>0</v>
      </c>
      <c r="AX1067" s="46">
        <v>0</v>
      </c>
      <c r="AY1067" s="47">
        <v>0</v>
      </c>
      <c r="AZ1067" s="70">
        <f t="shared" si="236"/>
        <v>0</v>
      </c>
      <c r="BC1067" s="50"/>
    </row>
    <row r="1068" spans="1:55" s="48" customFormat="1" ht="27.75" customHeight="1" outlineLevel="1" x14ac:dyDescent="0.25">
      <c r="A1068" s="42">
        <v>15</v>
      </c>
      <c r="B1068" s="43" t="s">
        <v>736</v>
      </c>
      <c r="C1068" s="44" t="s">
        <v>98</v>
      </c>
      <c r="D1068" s="45">
        <v>1.3</v>
      </c>
      <c r="E1068" s="45">
        <v>2.9763999999999999</v>
      </c>
      <c r="F1068" s="45">
        <f t="shared" si="237"/>
        <v>3.8693200000000001</v>
      </c>
      <c r="G1068" s="46">
        <f t="shared" si="238"/>
        <v>0</v>
      </c>
      <c r="H1068" s="47">
        <f t="shared" si="239"/>
        <v>0</v>
      </c>
      <c r="I1068" s="46">
        <f t="shared" si="240"/>
        <v>0</v>
      </c>
      <c r="J1068" s="47">
        <v>0</v>
      </c>
      <c r="K1068" s="46">
        <f t="shared" si="241"/>
        <v>0</v>
      </c>
      <c r="L1068" s="47">
        <v>0</v>
      </c>
      <c r="AX1068" s="46">
        <v>0</v>
      </c>
      <c r="AY1068" s="47">
        <v>0</v>
      </c>
      <c r="AZ1068" s="70">
        <f t="shared" si="236"/>
        <v>0</v>
      </c>
      <c r="BC1068" s="50"/>
    </row>
    <row r="1069" spans="1:55" s="48" customFormat="1" ht="15.45" customHeight="1" outlineLevel="1" x14ac:dyDescent="0.25">
      <c r="A1069" s="42">
        <v>16</v>
      </c>
      <c r="B1069" s="43" t="s">
        <v>91</v>
      </c>
      <c r="C1069" s="44" t="s">
        <v>61</v>
      </c>
      <c r="D1069" s="45">
        <v>12.8</v>
      </c>
      <c r="E1069" s="45">
        <v>71.5</v>
      </c>
      <c r="F1069" s="45">
        <f t="shared" si="237"/>
        <v>915.2</v>
      </c>
      <c r="G1069" s="46">
        <f t="shared" si="238"/>
        <v>0</v>
      </c>
      <c r="H1069" s="47">
        <f t="shared" si="239"/>
        <v>0</v>
      </c>
      <c r="I1069" s="46">
        <f t="shared" si="240"/>
        <v>0</v>
      </c>
      <c r="J1069" s="47">
        <v>0</v>
      </c>
      <c r="K1069" s="46">
        <f t="shared" si="241"/>
        <v>0</v>
      </c>
      <c r="L1069" s="47">
        <v>0</v>
      </c>
      <c r="AX1069" s="46">
        <v>0</v>
      </c>
      <c r="AY1069" s="47">
        <v>0</v>
      </c>
      <c r="AZ1069" s="70">
        <f t="shared" si="236"/>
        <v>0</v>
      </c>
      <c r="BC1069" s="50"/>
    </row>
    <row r="1070" spans="1:55" s="48" customFormat="1" ht="15.45" customHeight="1" outlineLevel="1" x14ac:dyDescent="0.25">
      <c r="A1070" s="42">
        <v>17</v>
      </c>
      <c r="B1070" s="43" t="s">
        <v>737</v>
      </c>
      <c r="C1070" s="44" t="s">
        <v>98</v>
      </c>
      <c r="D1070" s="45">
        <v>13.5</v>
      </c>
      <c r="E1070" s="45">
        <v>3.6903999999999999</v>
      </c>
      <c r="F1070" s="45">
        <f t="shared" si="237"/>
        <v>49.820399999999999</v>
      </c>
      <c r="G1070" s="46">
        <f t="shared" si="238"/>
        <v>0</v>
      </c>
      <c r="H1070" s="47">
        <f t="shared" si="239"/>
        <v>0</v>
      </c>
      <c r="I1070" s="46">
        <f t="shared" si="240"/>
        <v>0</v>
      </c>
      <c r="J1070" s="47">
        <v>0</v>
      </c>
      <c r="K1070" s="46">
        <f t="shared" si="241"/>
        <v>0</v>
      </c>
      <c r="L1070" s="47">
        <v>0</v>
      </c>
      <c r="AX1070" s="46">
        <v>0</v>
      </c>
      <c r="AY1070" s="47">
        <v>0</v>
      </c>
      <c r="AZ1070" s="70">
        <f t="shared" si="236"/>
        <v>0</v>
      </c>
      <c r="BC1070" s="50"/>
    </row>
    <row r="1071" spans="1:55" s="48" customFormat="1" ht="15.45" customHeight="1" outlineLevel="1" x14ac:dyDescent="0.25">
      <c r="A1071" s="42">
        <v>18</v>
      </c>
      <c r="B1071" s="43" t="s">
        <v>731</v>
      </c>
      <c r="C1071" s="44" t="s">
        <v>98</v>
      </c>
      <c r="D1071" s="45">
        <v>13.5</v>
      </c>
      <c r="E1071" s="45">
        <v>0.9</v>
      </c>
      <c r="F1071" s="45">
        <f t="shared" si="237"/>
        <v>12.15</v>
      </c>
      <c r="G1071" s="46">
        <f t="shared" si="238"/>
        <v>0</v>
      </c>
      <c r="H1071" s="47">
        <f t="shared" si="239"/>
        <v>0</v>
      </c>
      <c r="I1071" s="46">
        <f t="shared" si="240"/>
        <v>0</v>
      </c>
      <c r="J1071" s="47">
        <v>0</v>
      </c>
      <c r="K1071" s="46">
        <f t="shared" si="241"/>
        <v>0</v>
      </c>
      <c r="L1071" s="47">
        <v>0</v>
      </c>
      <c r="AX1071" s="46">
        <v>0</v>
      </c>
      <c r="AY1071" s="47">
        <v>0</v>
      </c>
      <c r="AZ1071" s="70">
        <f t="shared" si="236"/>
        <v>0</v>
      </c>
      <c r="BC1071" s="50"/>
    </row>
    <row r="1072" spans="1:55" s="48" customFormat="1" ht="15.45" customHeight="1" outlineLevel="1" x14ac:dyDescent="0.25">
      <c r="A1072" s="42">
        <v>19</v>
      </c>
      <c r="B1072" s="43" t="s">
        <v>732</v>
      </c>
      <c r="C1072" s="44" t="s">
        <v>110</v>
      </c>
      <c r="D1072" s="45">
        <v>1.08</v>
      </c>
      <c r="E1072" s="45">
        <v>114.1564</v>
      </c>
      <c r="F1072" s="45">
        <f t="shared" si="237"/>
        <v>123.28891200000001</v>
      </c>
      <c r="G1072" s="46">
        <f t="shared" si="238"/>
        <v>0</v>
      </c>
      <c r="H1072" s="47">
        <f t="shared" si="239"/>
        <v>0</v>
      </c>
      <c r="I1072" s="46">
        <f t="shared" si="240"/>
        <v>0</v>
      </c>
      <c r="J1072" s="47">
        <v>0</v>
      </c>
      <c r="K1072" s="46">
        <f t="shared" si="241"/>
        <v>0</v>
      </c>
      <c r="L1072" s="47">
        <v>0</v>
      </c>
      <c r="AX1072" s="46">
        <v>0</v>
      </c>
      <c r="AY1072" s="47">
        <v>0</v>
      </c>
      <c r="AZ1072" s="70">
        <f t="shared" si="236"/>
        <v>0</v>
      </c>
      <c r="BC1072" s="50"/>
    </row>
    <row r="1073" spans="1:55" s="48" customFormat="1" ht="15.45" customHeight="1" outlineLevel="1" x14ac:dyDescent="0.25">
      <c r="A1073" s="42">
        <v>20</v>
      </c>
      <c r="B1073" s="43" t="s">
        <v>75</v>
      </c>
      <c r="C1073" s="44" t="s">
        <v>98</v>
      </c>
      <c r="D1073" s="45">
        <v>13.5</v>
      </c>
      <c r="E1073" s="45">
        <v>3.7719999999999998</v>
      </c>
      <c r="F1073" s="45">
        <f t="shared" si="237"/>
        <v>50.921999999999997</v>
      </c>
      <c r="G1073" s="46">
        <f t="shared" si="238"/>
        <v>0</v>
      </c>
      <c r="H1073" s="47">
        <f t="shared" si="239"/>
        <v>0</v>
      </c>
      <c r="I1073" s="46">
        <f t="shared" si="240"/>
        <v>0</v>
      </c>
      <c r="J1073" s="47">
        <v>0</v>
      </c>
      <c r="K1073" s="46">
        <f t="shared" si="241"/>
        <v>0</v>
      </c>
      <c r="L1073" s="47">
        <v>0</v>
      </c>
      <c r="AX1073" s="46">
        <v>0</v>
      </c>
      <c r="AY1073" s="47">
        <v>0</v>
      </c>
      <c r="AZ1073" s="70">
        <f t="shared" si="236"/>
        <v>0</v>
      </c>
      <c r="BC1073" s="50"/>
    </row>
    <row r="1074" spans="1:55" s="48" customFormat="1" ht="15.45" customHeight="1" outlineLevel="1" x14ac:dyDescent="0.25">
      <c r="A1074" s="42">
        <v>21</v>
      </c>
      <c r="B1074" s="43" t="s">
        <v>738</v>
      </c>
      <c r="C1074" s="44" t="s">
        <v>98</v>
      </c>
      <c r="D1074" s="45">
        <v>13.5</v>
      </c>
      <c r="E1074" s="45">
        <v>0.95300000000000007</v>
      </c>
      <c r="F1074" s="45">
        <f t="shared" si="237"/>
        <v>12.865500000000001</v>
      </c>
      <c r="G1074" s="46">
        <f t="shared" si="238"/>
        <v>0</v>
      </c>
      <c r="H1074" s="47">
        <f t="shared" si="239"/>
        <v>0</v>
      </c>
      <c r="I1074" s="46">
        <f t="shared" si="240"/>
        <v>0</v>
      </c>
      <c r="J1074" s="47">
        <v>0</v>
      </c>
      <c r="K1074" s="46">
        <f t="shared" si="241"/>
        <v>0</v>
      </c>
      <c r="L1074" s="47">
        <v>0</v>
      </c>
      <c r="AX1074" s="46">
        <v>0</v>
      </c>
      <c r="AY1074" s="47">
        <v>0</v>
      </c>
      <c r="AZ1074" s="70">
        <f t="shared" si="236"/>
        <v>0</v>
      </c>
      <c r="BC1074" s="50"/>
    </row>
    <row r="1075" spans="1:55" s="48" customFormat="1" ht="36" customHeight="1" outlineLevel="1" x14ac:dyDescent="0.25">
      <c r="A1075" s="42">
        <v>22</v>
      </c>
      <c r="B1075" s="43" t="s">
        <v>79</v>
      </c>
      <c r="C1075" s="44" t="s">
        <v>98</v>
      </c>
      <c r="D1075" s="45">
        <v>13.5</v>
      </c>
      <c r="E1075" s="45">
        <v>1.4119999999999999</v>
      </c>
      <c r="F1075" s="45">
        <f t="shared" si="237"/>
        <v>19.061999999999998</v>
      </c>
      <c r="G1075" s="46">
        <f t="shared" si="238"/>
        <v>0</v>
      </c>
      <c r="H1075" s="47">
        <f t="shared" si="239"/>
        <v>0</v>
      </c>
      <c r="I1075" s="46">
        <f t="shared" si="240"/>
        <v>0</v>
      </c>
      <c r="J1075" s="47">
        <v>0</v>
      </c>
      <c r="K1075" s="46">
        <f t="shared" si="241"/>
        <v>0</v>
      </c>
      <c r="L1075" s="47">
        <v>0</v>
      </c>
      <c r="AX1075" s="46">
        <v>0</v>
      </c>
      <c r="AY1075" s="47">
        <v>0</v>
      </c>
      <c r="AZ1075" s="70">
        <f t="shared" si="236"/>
        <v>0</v>
      </c>
      <c r="BC1075" s="50"/>
    </row>
    <row r="1076" spans="1:55" s="56" customFormat="1" ht="17.25" customHeight="1" x14ac:dyDescent="0.3">
      <c r="A1076" s="31">
        <v>4.5999999999999996</v>
      </c>
      <c r="B1076" s="51" t="s">
        <v>739</v>
      </c>
      <c r="C1076" s="52">
        <v>0</v>
      </c>
      <c r="D1076" s="53"/>
      <c r="E1076" s="53"/>
      <c r="F1076" s="53"/>
      <c r="G1076" s="54"/>
      <c r="H1076" s="55"/>
      <c r="I1076" s="54"/>
      <c r="J1076" s="55"/>
      <c r="K1076" s="54"/>
      <c r="L1076" s="55">
        <v>0</v>
      </c>
      <c r="AX1076" s="69">
        <v>0</v>
      </c>
      <c r="AY1076" s="71">
        <v>0</v>
      </c>
      <c r="AZ1076" s="72">
        <f t="shared" si="236"/>
        <v>0</v>
      </c>
      <c r="BC1076" s="58"/>
    </row>
    <row r="1077" spans="1:55" s="48" customFormat="1" ht="41.7" customHeight="1" outlineLevel="1" x14ac:dyDescent="0.25">
      <c r="A1077" s="42">
        <v>1</v>
      </c>
      <c r="B1077" s="43" t="s">
        <v>740</v>
      </c>
      <c r="C1077" s="44" t="s">
        <v>98</v>
      </c>
      <c r="D1077" s="45">
        <v>37.36</v>
      </c>
      <c r="E1077" s="45">
        <v>149.83600000000001</v>
      </c>
      <c r="F1077" s="45">
        <f>+E1077*D1077</f>
        <v>5597.8729600000006</v>
      </c>
      <c r="G1077" s="46">
        <f t="shared" ref="G1077:H1080" si="242">I1077+K1077</f>
        <v>0</v>
      </c>
      <c r="H1077" s="47">
        <f t="shared" si="242"/>
        <v>0</v>
      </c>
      <c r="I1077" s="46">
        <f>J1077/F1077</f>
        <v>0</v>
      </c>
      <c r="J1077" s="47">
        <v>0</v>
      </c>
      <c r="K1077" s="46">
        <f>L1077/F1077</f>
        <v>0</v>
      </c>
      <c r="L1077" s="47">
        <v>0</v>
      </c>
      <c r="AX1077" s="46">
        <v>0</v>
      </c>
      <c r="AY1077" s="47">
        <v>0</v>
      </c>
      <c r="AZ1077" s="70">
        <f t="shared" si="236"/>
        <v>0</v>
      </c>
      <c r="BC1077" s="50"/>
    </row>
    <row r="1078" spans="1:55" s="48" customFormat="1" ht="15.45" customHeight="1" outlineLevel="1" x14ac:dyDescent="0.25">
      <c r="A1078" s="42">
        <v>2</v>
      </c>
      <c r="B1078" s="43" t="s">
        <v>96</v>
      </c>
      <c r="C1078" s="44" t="s">
        <v>98</v>
      </c>
      <c r="D1078" s="45">
        <v>3.96</v>
      </c>
      <c r="E1078" s="45">
        <v>178.6</v>
      </c>
      <c r="F1078" s="45">
        <f>+E1078*D1078</f>
        <v>707.25599999999997</v>
      </c>
      <c r="G1078" s="46">
        <f t="shared" si="242"/>
        <v>0</v>
      </c>
      <c r="H1078" s="47">
        <f t="shared" si="242"/>
        <v>0</v>
      </c>
      <c r="I1078" s="46">
        <f>J1078/F1078</f>
        <v>0</v>
      </c>
      <c r="J1078" s="47">
        <v>0</v>
      </c>
      <c r="K1078" s="46">
        <f>L1078/F1078</f>
        <v>0</v>
      </c>
      <c r="L1078" s="47">
        <v>0</v>
      </c>
      <c r="AX1078" s="46">
        <v>0</v>
      </c>
      <c r="AY1078" s="47">
        <v>0</v>
      </c>
      <c r="AZ1078" s="70">
        <f t="shared" si="236"/>
        <v>0</v>
      </c>
      <c r="BC1078" s="50"/>
    </row>
    <row r="1079" spans="1:55" s="48" customFormat="1" ht="27.75" customHeight="1" outlineLevel="1" x14ac:dyDescent="0.25">
      <c r="A1079" s="42">
        <v>3</v>
      </c>
      <c r="B1079" s="43" t="s">
        <v>736</v>
      </c>
      <c r="C1079" s="44" t="s">
        <v>98</v>
      </c>
      <c r="D1079" s="45">
        <v>7.56</v>
      </c>
      <c r="E1079" s="45">
        <v>2.9763999999999999</v>
      </c>
      <c r="F1079" s="45">
        <f>+E1079*D1079</f>
        <v>22.501583999999998</v>
      </c>
      <c r="G1079" s="46">
        <f t="shared" si="242"/>
        <v>0</v>
      </c>
      <c r="H1079" s="47">
        <f t="shared" si="242"/>
        <v>0</v>
      </c>
      <c r="I1079" s="46">
        <f>J1079/F1079</f>
        <v>0</v>
      </c>
      <c r="J1079" s="47">
        <v>0</v>
      </c>
      <c r="K1079" s="46">
        <f>L1079/F1079</f>
        <v>0</v>
      </c>
      <c r="L1079" s="47">
        <v>0</v>
      </c>
      <c r="AX1079" s="46">
        <v>0</v>
      </c>
      <c r="AY1079" s="47">
        <v>0</v>
      </c>
      <c r="AZ1079" s="70">
        <f t="shared" si="236"/>
        <v>0</v>
      </c>
      <c r="BC1079" s="50"/>
    </row>
    <row r="1080" spans="1:55" s="48" customFormat="1" ht="27.75" customHeight="1" outlineLevel="1" x14ac:dyDescent="0.25">
      <c r="A1080" s="42">
        <v>4</v>
      </c>
      <c r="B1080" s="43" t="s">
        <v>97</v>
      </c>
      <c r="C1080" s="44" t="s">
        <v>98</v>
      </c>
      <c r="D1080" s="45">
        <v>9.4499999999999993</v>
      </c>
      <c r="E1080" s="45">
        <v>163.30000000000001</v>
      </c>
      <c r="F1080" s="45">
        <f>+E1080*D1080</f>
        <v>1543.1849999999999</v>
      </c>
      <c r="G1080" s="46">
        <f t="shared" si="242"/>
        <v>0</v>
      </c>
      <c r="H1080" s="47">
        <f t="shared" si="242"/>
        <v>0</v>
      </c>
      <c r="I1080" s="46">
        <f>J1080/F1080</f>
        <v>0</v>
      </c>
      <c r="J1080" s="47">
        <v>0</v>
      </c>
      <c r="K1080" s="46">
        <f>L1080/F1080</f>
        <v>0</v>
      </c>
      <c r="L1080" s="47">
        <v>0</v>
      </c>
      <c r="AX1080" s="46">
        <v>0</v>
      </c>
      <c r="AY1080" s="47">
        <v>0</v>
      </c>
      <c r="AZ1080" s="70">
        <f t="shared" si="236"/>
        <v>0</v>
      </c>
      <c r="BC1080" s="50"/>
    </row>
    <row r="1081" spans="1:55" s="56" customFormat="1" ht="17.25" customHeight="1" x14ac:dyDescent="0.3">
      <c r="A1081" s="31">
        <v>4.7</v>
      </c>
      <c r="B1081" s="51" t="s">
        <v>741</v>
      </c>
      <c r="C1081" s="52">
        <v>0</v>
      </c>
      <c r="D1081" s="53"/>
      <c r="E1081" s="53"/>
      <c r="F1081" s="53"/>
      <c r="G1081" s="54"/>
      <c r="H1081" s="55"/>
      <c r="I1081" s="54"/>
      <c r="J1081" s="55"/>
      <c r="K1081" s="54"/>
      <c r="L1081" s="55">
        <v>0</v>
      </c>
      <c r="AX1081" s="69">
        <v>0</v>
      </c>
      <c r="AY1081" s="71">
        <v>0</v>
      </c>
      <c r="AZ1081" s="72">
        <f t="shared" si="236"/>
        <v>0</v>
      </c>
      <c r="BC1081" s="58"/>
    </row>
    <row r="1082" spans="1:55" s="48" customFormat="1" ht="27.75" customHeight="1" outlineLevel="1" x14ac:dyDescent="0.25">
      <c r="A1082" s="42">
        <v>1</v>
      </c>
      <c r="B1082" s="43" t="s">
        <v>742</v>
      </c>
      <c r="C1082" s="44" t="s">
        <v>98</v>
      </c>
      <c r="D1082" s="45">
        <v>29.71</v>
      </c>
      <c r="E1082" s="45">
        <v>25.6</v>
      </c>
      <c r="F1082" s="45">
        <f t="shared" ref="F1082:F1087" si="243">+E1082*D1082</f>
        <v>760.57600000000002</v>
      </c>
      <c r="G1082" s="46">
        <f t="shared" ref="G1082:H1087" si="244">I1082+K1082</f>
        <v>0</v>
      </c>
      <c r="H1082" s="47">
        <f t="shared" si="244"/>
        <v>0</v>
      </c>
      <c r="I1082" s="46">
        <f t="shared" ref="I1082:I1087" si="245">J1082/F1082</f>
        <v>0</v>
      </c>
      <c r="J1082" s="47">
        <v>0</v>
      </c>
      <c r="K1082" s="46">
        <f t="shared" ref="K1082:K1087" si="246">L1082/F1082</f>
        <v>0</v>
      </c>
      <c r="L1082" s="47">
        <v>0</v>
      </c>
      <c r="AX1082" s="46">
        <v>0</v>
      </c>
      <c r="AY1082" s="47">
        <v>0</v>
      </c>
      <c r="AZ1082" s="70">
        <f t="shared" si="236"/>
        <v>0</v>
      </c>
      <c r="BC1082" s="50"/>
    </row>
    <row r="1083" spans="1:55" s="48" customFormat="1" ht="15.45" customHeight="1" outlineLevel="1" x14ac:dyDescent="0.25">
      <c r="A1083" s="42">
        <v>2</v>
      </c>
      <c r="B1083" s="43" t="s">
        <v>743</v>
      </c>
      <c r="C1083" s="44" t="s">
        <v>98</v>
      </c>
      <c r="D1083" s="45">
        <v>29.71</v>
      </c>
      <c r="E1083" s="45">
        <v>18.9496</v>
      </c>
      <c r="F1083" s="45">
        <f t="shared" si="243"/>
        <v>562.992616</v>
      </c>
      <c r="G1083" s="46">
        <f t="shared" si="244"/>
        <v>0</v>
      </c>
      <c r="H1083" s="47">
        <f t="shared" si="244"/>
        <v>0</v>
      </c>
      <c r="I1083" s="46">
        <f t="shared" si="245"/>
        <v>0</v>
      </c>
      <c r="J1083" s="47">
        <v>0</v>
      </c>
      <c r="K1083" s="46">
        <f t="shared" si="246"/>
        <v>0</v>
      </c>
      <c r="L1083" s="47">
        <v>0</v>
      </c>
      <c r="AX1083" s="46">
        <v>0</v>
      </c>
      <c r="AY1083" s="47">
        <v>0</v>
      </c>
      <c r="AZ1083" s="70">
        <f t="shared" si="236"/>
        <v>0</v>
      </c>
      <c r="BC1083" s="50"/>
    </row>
    <row r="1084" spans="1:55" s="48" customFormat="1" ht="15.45" customHeight="1" outlineLevel="1" x14ac:dyDescent="0.25">
      <c r="A1084" s="42">
        <v>3</v>
      </c>
      <c r="B1084" s="43" t="s">
        <v>744</v>
      </c>
      <c r="C1084" s="44" t="s">
        <v>98</v>
      </c>
      <c r="D1084" s="45">
        <v>118.76</v>
      </c>
      <c r="E1084" s="45">
        <v>6.73</v>
      </c>
      <c r="F1084" s="45">
        <f t="shared" si="243"/>
        <v>799.25480000000005</v>
      </c>
      <c r="G1084" s="46">
        <f t="shared" si="244"/>
        <v>0</v>
      </c>
      <c r="H1084" s="47">
        <f t="shared" si="244"/>
        <v>0</v>
      </c>
      <c r="I1084" s="46">
        <f t="shared" si="245"/>
        <v>0</v>
      </c>
      <c r="J1084" s="47">
        <v>0</v>
      </c>
      <c r="K1084" s="46">
        <f t="shared" si="246"/>
        <v>0</v>
      </c>
      <c r="L1084" s="47">
        <v>0</v>
      </c>
      <c r="AX1084" s="46">
        <v>0</v>
      </c>
      <c r="AY1084" s="47">
        <v>0</v>
      </c>
      <c r="AZ1084" s="70">
        <f t="shared" si="236"/>
        <v>0</v>
      </c>
      <c r="BC1084" s="50"/>
    </row>
    <row r="1085" spans="1:55" s="59" customFormat="1" ht="17.7" customHeight="1" outlineLevel="1" x14ac:dyDescent="0.35">
      <c r="A1085" s="42">
        <v>4</v>
      </c>
      <c r="B1085" s="43" t="s">
        <v>118</v>
      </c>
      <c r="C1085" s="44" t="s">
        <v>98</v>
      </c>
      <c r="D1085" s="45">
        <v>118.76</v>
      </c>
      <c r="E1085" s="45">
        <v>1.4259999999999999</v>
      </c>
      <c r="F1085" s="45">
        <f t="shared" si="243"/>
        <v>169.35176000000001</v>
      </c>
      <c r="G1085" s="46">
        <f t="shared" si="244"/>
        <v>0</v>
      </c>
      <c r="H1085" s="47">
        <f t="shared" si="244"/>
        <v>0</v>
      </c>
      <c r="I1085" s="46">
        <f t="shared" si="245"/>
        <v>0</v>
      </c>
      <c r="J1085" s="47">
        <v>0</v>
      </c>
      <c r="K1085" s="46">
        <f t="shared" si="246"/>
        <v>0</v>
      </c>
      <c r="L1085" s="47">
        <v>0</v>
      </c>
      <c r="AX1085" s="73">
        <v>0</v>
      </c>
      <c r="AY1085" s="74">
        <v>0</v>
      </c>
      <c r="AZ1085" s="75">
        <f t="shared" si="236"/>
        <v>0</v>
      </c>
      <c r="BC1085" s="61"/>
    </row>
    <row r="1086" spans="1:55" s="48" customFormat="1" ht="22.8" customHeight="1" outlineLevel="1" x14ac:dyDescent="0.25">
      <c r="A1086" s="42">
        <v>5</v>
      </c>
      <c r="B1086" s="43" t="s">
        <v>745</v>
      </c>
      <c r="C1086" s="44" t="s">
        <v>98</v>
      </c>
      <c r="D1086" s="45">
        <v>118.76</v>
      </c>
      <c r="E1086" s="45">
        <v>32.403399999999998</v>
      </c>
      <c r="F1086" s="45">
        <f t="shared" si="243"/>
        <v>3848.2277839999997</v>
      </c>
      <c r="G1086" s="46">
        <f t="shared" si="244"/>
        <v>0</v>
      </c>
      <c r="H1086" s="47">
        <f t="shared" si="244"/>
        <v>0</v>
      </c>
      <c r="I1086" s="46">
        <f t="shared" si="245"/>
        <v>0</v>
      </c>
      <c r="J1086" s="47">
        <v>0</v>
      </c>
      <c r="K1086" s="46">
        <f t="shared" si="246"/>
        <v>0</v>
      </c>
      <c r="L1086" s="47">
        <v>0</v>
      </c>
      <c r="AX1086" s="46">
        <v>0</v>
      </c>
      <c r="AY1086" s="47">
        <v>0</v>
      </c>
      <c r="AZ1086" s="70">
        <f t="shared" si="236"/>
        <v>0</v>
      </c>
      <c r="BC1086" s="50"/>
    </row>
    <row r="1087" spans="1:55" s="48" customFormat="1" ht="47.4" customHeight="1" outlineLevel="1" x14ac:dyDescent="0.25">
      <c r="A1087" s="42">
        <v>6</v>
      </c>
      <c r="B1087" s="43" t="s">
        <v>746</v>
      </c>
      <c r="C1087" s="44" t="s">
        <v>98</v>
      </c>
      <c r="D1087" s="45">
        <v>9</v>
      </c>
      <c r="E1087" s="45">
        <v>25.6</v>
      </c>
      <c r="F1087" s="45">
        <f t="shared" si="243"/>
        <v>230.4</v>
      </c>
      <c r="G1087" s="46">
        <f t="shared" si="244"/>
        <v>0</v>
      </c>
      <c r="H1087" s="47">
        <f t="shared" si="244"/>
        <v>0</v>
      </c>
      <c r="I1087" s="46">
        <f t="shared" si="245"/>
        <v>0</v>
      </c>
      <c r="J1087" s="47">
        <v>0</v>
      </c>
      <c r="K1087" s="46">
        <f t="shared" si="246"/>
        <v>0</v>
      </c>
      <c r="L1087" s="47">
        <v>0</v>
      </c>
      <c r="AX1087" s="46">
        <v>0</v>
      </c>
      <c r="AY1087" s="47">
        <v>0</v>
      </c>
      <c r="AZ1087" s="70">
        <f t="shared" si="236"/>
        <v>0</v>
      </c>
      <c r="BC1087" s="50"/>
    </row>
    <row r="1088" spans="1:55" s="56" customFormat="1" ht="17.25" customHeight="1" x14ac:dyDescent="0.3">
      <c r="A1088" s="31">
        <v>4.8</v>
      </c>
      <c r="B1088" s="51" t="s">
        <v>747</v>
      </c>
      <c r="C1088" s="52">
        <v>0</v>
      </c>
      <c r="D1088" s="53"/>
      <c r="E1088" s="53"/>
      <c r="F1088" s="53"/>
      <c r="G1088" s="54"/>
      <c r="H1088" s="55"/>
      <c r="I1088" s="54"/>
      <c r="J1088" s="55"/>
      <c r="K1088" s="54"/>
      <c r="L1088" s="55">
        <v>0</v>
      </c>
      <c r="AX1088" s="69">
        <v>0</v>
      </c>
      <c r="AY1088" s="71">
        <v>0</v>
      </c>
      <c r="AZ1088" s="72">
        <f t="shared" si="236"/>
        <v>0</v>
      </c>
      <c r="BC1088" s="58"/>
    </row>
    <row r="1089" spans="1:55" s="48" customFormat="1" ht="15.45" customHeight="1" outlineLevel="1" x14ac:dyDescent="0.25">
      <c r="A1089" s="42">
        <v>1</v>
      </c>
      <c r="B1089" s="43" t="s">
        <v>149</v>
      </c>
      <c r="C1089" s="44" t="s">
        <v>98</v>
      </c>
      <c r="D1089" s="45">
        <v>54.7</v>
      </c>
      <c r="E1089" s="45">
        <v>6.5157999999999996</v>
      </c>
      <c r="F1089" s="45">
        <f t="shared" ref="F1089:F1097" si="247">+E1089*D1089</f>
        <v>356.41426000000001</v>
      </c>
      <c r="G1089" s="46">
        <f t="shared" ref="G1089:G1097" si="248">I1089+K1089</f>
        <v>0</v>
      </c>
      <c r="H1089" s="47">
        <f t="shared" ref="H1089:H1097" si="249">J1089+L1089</f>
        <v>0</v>
      </c>
      <c r="I1089" s="46">
        <f t="shared" ref="I1089:I1097" si="250">J1089/F1089</f>
        <v>0</v>
      </c>
      <c r="J1089" s="47">
        <v>0</v>
      </c>
      <c r="K1089" s="46">
        <f t="shared" ref="K1089:K1097" si="251">L1089/F1089</f>
        <v>0</v>
      </c>
      <c r="L1089" s="47">
        <v>0</v>
      </c>
      <c r="AX1089" s="46">
        <v>0</v>
      </c>
      <c r="AY1089" s="47">
        <v>0</v>
      </c>
      <c r="AZ1089" s="70">
        <f t="shared" si="236"/>
        <v>0</v>
      </c>
      <c r="BC1089" s="50"/>
    </row>
    <row r="1090" spans="1:55" s="48" customFormat="1" ht="27.75" customHeight="1" outlineLevel="1" x14ac:dyDescent="0.25">
      <c r="A1090" s="42">
        <v>2</v>
      </c>
      <c r="B1090" s="43" t="s">
        <v>150</v>
      </c>
      <c r="C1090" s="44" t="s">
        <v>98</v>
      </c>
      <c r="D1090" s="45">
        <v>54.7</v>
      </c>
      <c r="E1090" s="45">
        <v>8.2498000000000005</v>
      </c>
      <c r="F1090" s="45">
        <f t="shared" si="247"/>
        <v>451.26406000000003</v>
      </c>
      <c r="G1090" s="46">
        <f t="shared" si="248"/>
        <v>0</v>
      </c>
      <c r="H1090" s="47">
        <f t="shared" si="249"/>
        <v>0</v>
      </c>
      <c r="I1090" s="46">
        <f t="shared" si="250"/>
        <v>0</v>
      </c>
      <c r="J1090" s="47">
        <v>0</v>
      </c>
      <c r="K1090" s="46">
        <f t="shared" si="251"/>
        <v>0</v>
      </c>
      <c r="L1090" s="47">
        <v>0</v>
      </c>
      <c r="AX1090" s="46">
        <v>0</v>
      </c>
      <c r="AY1090" s="47">
        <v>0</v>
      </c>
      <c r="AZ1090" s="70">
        <f t="shared" si="236"/>
        <v>0</v>
      </c>
      <c r="BC1090" s="50"/>
    </row>
    <row r="1091" spans="1:55" s="48" customFormat="1" ht="27.75" customHeight="1" outlineLevel="1" x14ac:dyDescent="0.25">
      <c r="A1091" s="42">
        <v>3</v>
      </c>
      <c r="B1091" s="43" t="s">
        <v>156</v>
      </c>
      <c r="C1091" s="44" t="s">
        <v>98</v>
      </c>
      <c r="D1091" s="45">
        <v>532.95000000000005</v>
      </c>
      <c r="E1091" s="45">
        <v>12.778600000000001</v>
      </c>
      <c r="F1091" s="45">
        <f t="shared" si="247"/>
        <v>6810.354870000001</v>
      </c>
      <c r="G1091" s="46">
        <f t="shared" si="248"/>
        <v>0</v>
      </c>
      <c r="H1091" s="47">
        <f t="shared" si="249"/>
        <v>0</v>
      </c>
      <c r="I1091" s="46">
        <f t="shared" si="250"/>
        <v>0</v>
      </c>
      <c r="J1091" s="47">
        <v>0</v>
      </c>
      <c r="K1091" s="46">
        <f t="shared" si="251"/>
        <v>0</v>
      </c>
      <c r="L1091" s="47">
        <v>0</v>
      </c>
      <c r="AX1091" s="46">
        <v>0</v>
      </c>
      <c r="AY1091" s="47">
        <v>0</v>
      </c>
      <c r="AZ1091" s="70">
        <f t="shared" si="236"/>
        <v>0</v>
      </c>
      <c r="BC1091" s="50"/>
    </row>
    <row r="1092" spans="1:55" s="48" customFormat="1" ht="27.75" customHeight="1" outlineLevel="1" x14ac:dyDescent="0.25">
      <c r="A1092" s="42">
        <v>4</v>
      </c>
      <c r="B1092" s="43" t="s">
        <v>157</v>
      </c>
      <c r="C1092" s="44" t="s">
        <v>98</v>
      </c>
      <c r="D1092" s="45">
        <v>532.95000000000005</v>
      </c>
      <c r="E1092" s="45">
        <v>5.71</v>
      </c>
      <c r="F1092" s="45">
        <f t="shared" si="247"/>
        <v>3043.1445000000003</v>
      </c>
      <c r="G1092" s="46">
        <f t="shared" si="248"/>
        <v>0</v>
      </c>
      <c r="H1092" s="47">
        <f t="shared" si="249"/>
        <v>0</v>
      </c>
      <c r="I1092" s="46">
        <f t="shared" si="250"/>
        <v>0</v>
      </c>
      <c r="J1092" s="47">
        <v>0</v>
      </c>
      <c r="K1092" s="46">
        <f t="shared" si="251"/>
        <v>0</v>
      </c>
      <c r="L1092" s="47">
        <v>0</v>
      </c>
      <c r="AX1092" s="46">
        <v>0</v>
      </c>
      <c r="AY1092" s="47">
        <v>0</v>
      </c>
      <c r="AZ1092" s="70">
        <f t="shared" si="236"/>
        <v>0</v>
      </c>
      <c r="BC1092" s="50"/>
    </row>
    <row r="1093" spans="1:55" s="48" customFormat="1" ht="15.45" customHeight="1" outlineLevel="1" x14ac:dyDescent="0.25">
      <c r="A1093" s="42">
        <v>5</v>
      </c>
      <c r="B1093" s="43" t="s">
        <v>748</v>
      </c>
      <c r="C1093" s="44" t="s">
        <v>98</v>
      </c>
      <c r="D1093" s="45">
        <v>101.09</v>
      </c>
      <c r="E1093" s="45">
        <v>13.4008</v>
      </c>
      <c r="F1093" s="45">
        <f t="shared" si="247"/>
        <v>1354.686872</v>
      </c>
      <c r="G1093" s="46">
        <f t="shared" si="248"/>
        <v>0</v>
      </c>
      <c r="H1093" s="47">
        <f t="shared" si="249"/>
        <v>0</v>
      </c>
      <c r="I1093" s="46">
        <f t="shared" si="250"/>
        <v>0</v>
      </c>
      <c r="J1093" s="47">
        <v>0</v>
      </c>
      <c r="K1093" s="46">
        <f t="shared" si="251"/>
        <v>0</v>
      </c>
      <c r="L1093" s="47">
        <v>0</v>
      </c>
      <c r="AX1093" s="46">
        <v>0</v>
      </c>
      <c r="AY1093" s="47">
        <v>0</v>
      </c>
      <c r="AZ1093" s="70">
        <f t="shared" si="236"/>
        <v>0</v>
      </c>
      <c r="BC1093" s="50"/>
    </row>
    <row r="1094" spans="1:55" s="48" customFormat="1" ht="15.45" customHeight="1" outlineLevel="1" x14ac:dyDescent="0.25">
      <c r="A1094" s="42">
        <v>6</v>
      </c>
      <c r="B1094" s="43" t="s">
        <v>749</v>
      </c>
      <c r="C1094" s="44" t="s">
        <v>98</v>
      </c>
      <c r="D1094" s="45">
        <v>101.09</v>
      </c>
      <c r="E1094" s="45">
        <v>2.2624</v>
      </c>
      <c r="F1094" s="45">
        <f t="shared" si="247"/>
        <v>228.70601600000001</v>
      </c>
      <c r="G1094" s="46">
        <f t="shared" si="248"/>
        <v>0</v>
      </c>
      <c r="H1094" s="47">
        <f t="shared" si="249"/>
        <v>0</v>
      </c>
      <c r="I1094" s="46">
        <f t="shared" si="250"/>
        <v>0</v>
      </c>
      <c r="J1094" s="47">
        <v>0</v>
      </c>
      <c r="K1094" s="46">
        <f t="shared" si="251"/>
        <v>0</v>
      </c>
      <c r="L1094" s="47">
        <v>0</v>
      </c>
      <c r="AX1094" s="46">
        <v>0</v>
      </c>
      <c r="AY1094" s="47">
        <v>0</v>
      </c>
      <c r="AZ1094" s="70">
        <f t="shared" si="236"/>
        <v>0</v>
      </c>
      <c r="BC1094" s="50"/>
    </row>
    <row r="1095" spans="1:55" s="48" customFormat="1" ht="57.75" customHeight="1" outlineLevel="1" x14ac:dyDescent="0.25">
      <c r="A1095" s="42">
        <v>7</v>
      </c>
      <c r="B1095" s="43" t="s">
        <v>161</v>
      </c>
      <c r="C1095" s="44" t="s">
        <v>98</v>
      </c>
      <c r="D1095" s="45">
        <v>424.8</v>
      </c>
      <c r="E1095" s="45">
        <v>10.320399999999999</v>
      </c>
      <c r="F1095" s="45">
        <f t="shared" si="247"/>
        <v>4384.10592</v>
      </c>
      <c r="G1095" s="46">
        <f t="shared" si="248"/>
        <v>0</v>
      </c>
      <c r="H1095" s="47">
        <f t="shared" si="249"/>
        <v>0</v>
      </c>
      <c r="I1095" s="46">
        <f t="shared" si="250"/>
        <v>0</v>
      </c>
      <c r="J1095" s="47">
        <v>0</v>
      </c>
      <c r="K1095" s="46">
        <f t="shared" si="251"/>
        <v>0</v>
      </c>
      <c r="L1095" s="47">
        <v>0</v>
      </c>
      <c r="AX1095" s="46">
        <v>0</v>
      </c>
      <c r="AY1095" s="47">
        <v>0</v>
      </c>
      <c r="AZ1095" s="70">
        <f t="shared" si="236"/>
        <v>0</v>
      </c>
      <c r="BC1095" s="50"/>
    </row>
    <row r="1096" spans="1:55" s="48" customFormat="1" ht="34.5" customHeight="1" outlineLevel="1" x14ac:dyDescent="0.25">
      <c r="A1096" s="42">
        <v>8</v>
      </c>
      <c r="B1096" s="43" t="s">
        <v>678</v>
      </c>
      <c r="C1096" s="44" t="s">
        <v>98</v>
      </c>
      <c r="D1096" s="45">
        <v>424.8</v>
      </c>
      <c r="E1096" s="45">
        <v>4.9857999999999993</v>
      </c>
      <c r="F1096" s="45">
        <f t="shared" si="247"/>
        <v>2117.9678399999998</v>
      </c>
      <c r="G1096" s="46">
        <f t="shared" si="248"/>
        <v>0</v>
      </c>
      <c r="H1096" s="47">
        <f t="shared" si="249"/>
        <v>0</v>
      </c>
      <c r="I1096" s="46">
        <f t="shared" si="250"/>
        <v>0</v>
      </c>
      <c r="J1096" s="47">
        <v>0</v>
      </c>
      <c r="K1096" s="46">
        <f t="shared" si="251"/>
        <v>0</v>
      </c>
      <c r="L1096" s="47">
        <v>0</v>
      </c>
      <c r="AX1096" s="46">
        <v>0</v>
      </c>
      <c r="AY1096" s="47">
        <v>0</v>
      </c>
      <c r="AZ1096" s="70">
        <f t="shared" si="236"/>
        <v>0</v>
      </c>
      <c r="BC1096" s="50"/>
    </row>
    <row r="1097" spans="1:55" s="48" customFormat="1" ht="27.75" customHeight="1" outlineLevel="1" x14ac:dyDescent="0.25">
      <c r="A1097" s="42">
        <v>9</v>
      </c>
      <c r="B1097" s="43" t="s">
        <v>750</v>
      </c>
      <c r="C1097" s="44" t="s">
        <v>98</v>
      </c>
      <c r="D1097" s="45">
        <v>525.89</v>
      </c>
      <c r="E1097" s="45">
        <v>6.4749999999999996</v>
      </c>
      <c r="F1097" s="45">
        <f t="shared" si="247"/>
        <v>3405.1377499999999</v>
      </c>
      <c r="G1097" s="46">
        <f t="shared" si="248"/>
        <v>0</v>
      </c>
      <c r="H1097" s="47">
        <f t="shared" si="249"/>
        <v>0</v>
      </c>
      <c r="I1097" s="46">
        <f t="shared" si="250"/>
        <v>0</v>
      </c>
      <c r="J1097" s="47">
        <v>0</v>
      </c>
      <c r="K1097" s="46">
        <f t="shared" si="251"/>
        <v>0</v>
      </c>
      <c r="L1097" s="47">
        <v>0</v>
      </c>
      <c r="AX1097" s="46">
        <v>0</v>
      </c>
      <c r="AY1097" s="47">
        <v>0</v>
      </c>
      <c r="AZ1097" s="70">
        <f t="shared" si="236"/>
        <v>0</v>
      </c>
      <c r="BC1097" s="50"/>
    </row>
    <row r="1098" spans="1:55" s="56" customFormat="1" ht="17.25" customHeight="1" x14ac:dyDescent="0.3">
      <c r="A1098" s="31">
        <v>4.9000000000000004</v>
      </c>
      <c r="B1098" s="51" t="s">
        <v>751</v>
      </c>
      <c r="C1098" s="52">
        <v>0</v>
      </c>
      <c r="D1098" s="53"/>
      <c r="E1098" s="53"/>
      <c r="F1098" s="53"/>
      <c r="G1098" s="54"/>
      <c r="H1098" s="55"/>
      <c r="I1098" s="54"/>
      <c r="J1098" s="55"/>
      <c r="K1098" s="54"/>
      <c r="L1098" s="55">
        <v>0</v>
      </c>
      <c r="AX1098" s="69">
        <v>0</v>
      </c>
      <c r="AY1098" s="71">
        <v>0</v>
      </c>
      <c r="AZ1098" s="72">
        <f t="shared" si="236"/>
        <v>0</v>
      </c>
      <c r="BC1098" s="58"/>
    </row>
    <row r="1099" spans="1:55" s="48" customFormat="1" ht="27.75" customHeight="1" outlineLevel="1" x14ac:dyDescent="0.25">
      <c r="A1099" s="42">
        <v>1</v>
      </c>
      <c r="B1099" s="43" t="s">
        <v>752</v>
      </c>
      <c r="C1099" s="44" t="s">
        <v>28</v>
      </c>
      <c r="D1099" s="45">
        <v>0.47699999999999998</v>
      </c>
      <c r="E1099" s="45">
        <v>3151.5837999999999</v>
      </c>
      <c r="F1099" s="45">
        <f>+E1099*D1099</f>
        <v>1503.3054725999998</v>
      </c>
      <c r="G1099" s="46">
        <f>I1099+K1099</f>
        <v>0</v>
      </c>
      <c r="H1099" s="47">
        <f>J1099+L1099</f>
        <v>0</v>
      </c>
      <c r="I1099" s="46">
        <f>J1099/F1099</f>
        <v>0</v>
      </c>
      <c r="J1099" s="47">
        <v>0</v>
      </c>
      <c r="K1099" s="46">
        <f>L1099/F1099</f>
        <v>0</v>
      </c>
      <c r="L1099" s="47">
        <v>0</v>
      </c>
      <c r="AX1099" s="46">
        <v>0</v>
      </c>
      <c r="AY1099" s="47">
        <v>0</v>
      </c>
      <c r="AZ1099" s="70">
        <f t="shared" si="236"/>
        <v>0</v>
      </c>
      <c r="BC1099" s="50"/>
    </row>
    <row r="1100" spans="1:55" s="48" customFormat="1" ht="27.75" customHeight="1" outlineLevel="1" x14ac:dyDescent="0.25">
      <c r="A1100" s="42">
        <v>2</v>
      </c>
      <c r="B1100" s="43" t="s">
        <v>736</v>
      </c>
      <c r="C1100" s="44" t="s">
        <v>98</v>
      </c>
      <c r="D1100" s="45">
        <v>13.4</v>
      </c>
      <c r="E1100" s="45">
        <v>2.9763999999999999</v>
      </c>
      <c r="F1100" s="45">
        <f>+E1100*D1100</f>
        <v>39.883760000000002</v>
      </c>
      <c r="G1100" s="46">
        <f>I1100+K1100</f>
        <v>0</v>
      </c>
      <c r="H1100" s="47">
        <f>J1100+L1100</f>
        <v>0</v>
      </c>
      <c r="I1100" s="46">
        <f>J1100/F1100</f>
        <v>0</v>
      </c>
      <c r="J1100" s="47">
        <v>0</v>
      </c>
      <c r="K1100" s="46">
        <f>L1100/F1100</f>
        <v>0</v>
      </c>
      <c r="L1100" s="47">
        <v>0</v>
      </c>
      <c r="AX1100" s="46">
        <v>0</v>
      </c>
      <c r="AY1100" s="47">
        <v>0</v>
      </c>
      <c r="AZ1100" s="70">
        <f t="shared" si="236"/>
        <v>0</v>
      </c>
      <c r="BC1100" s="50"/>
    </row>
    <row r="1101" spans="1:55" s="56" customFormat="1" ht="17.25" customHeight="1" x14ac:dyDescent="0.3">
      <c r="A1101" s="62">
        <v>4.0999999999999996</v>
      </c>
      <c r="B1101" s="51" t="s">
        <v>753</v>
      </c>
      <c r="C1101" s="52">
        <v>0</v>
      </c>
      <c r="D1101" s="53"/>
      <c r="E1101" s="53"/>
      <c r="F1101" s="53"/>
      <c r="G1101" s="54"/>
      <c r="H1101" s="55"/>
      <c r="I1101" s="54"/>
      <c r="J1101" s="55"/>
      <c r="K1101" s="54"/>
      <c r="L1101" s="55">
        <v>0</v>
      </c>
      <c r="AX1101" s="69">
        <v>0</v>
      </c>
      <c r="AY1101" s="71">
        <v>0</v>
      </c>
      <c r="AZ1101" s="72">
        <f t="shared" si="236"/>
        <v>0</v>
      </c>
      <c r="BC1101" s="58"/>
    </row>
    <row r="1102" spans="1:55" s="48" customFormat="1" ht="27.75" customHeight="1" outlineLevel="1" x14ac:dyDescent="0.25">
      <c r="A1102" s="42">
        <v>1</v>
      </c>
      <c r="B1102" s="43" t="s">
        <v>240</v>
      </c>
      <c r="C1102" s="44" t="s">
        <v>61</v>
      </c>
      <c r="D1102" s="45">
        <v>14</v>
      </c>
      <c r="E1102" s="45">
        <v>9.0454000000000008</v>
      </c>
      <c r="F1102" s="45">
        <f>+E1102*D1102</f>
        <v>126.63560000000001</v>
      </c>
      <c r="G1102" s="46">
        <f t="shared" ref="G1102:H1104" si="252">I1102+K1102</f>
        <v>0</v>
      </c>
      <c r="H1102" s="47">
        <f t="shared" si="252"/>
        <v>0</v>
      </c>
      <c r="I1102" s="46">
        <f>J1102/F1102</f>
        <v>0</v>
      </c>
      <c r="J1102" s="47">
        <v>0</v>
      </c>
      <c r="K1102" s="46">
        <f>L1102/F1102</f>
        <v>0</v>
      </c>
      <c r="L1102" s="47">
        <v>0</v>
      </c>
      <c r="AX1102" s="46">
        <v>0</v>
      </c>
      <c r="AY1102" s="47">
        <v>0</v>
      </c>
      <c r="AZ1102" s="70">
        <f t="shared" si="236"/>
        <v>0</v>
      </c>
      <c r="BC1102" s="50"/>
    </row>
    <row r="1103" spans="1:55" s="48" customFormat="1" ht="27.75" customHeight="1" outlineLevel="1" x14ac:dyDescent="0.25">
      <c r="A1103" s="42">
        <v>2</v>
      </c>
      <c r="B1103" s="43" t="s">
        <v>241</v>
      </c>
      <c r="C1103" s="44" t="s">
        <v>61</v>
      </c>
      <c r="D1103" s="45">
        <v>14</v>
      </c>
      <c r="E1103" s="45">
        <v>3.3212000000000002</v>
      </c>
      <c r="F1103" s="45">
        <f>+E1103*D1103</f>
        <v>46.4968</v>
      </c>
      <c r="G1103" s="46">
        <f t="shared" si="252"/>
        <v>0</v>
      </c>
      <c r="H1103" s="47">
        <f t="shared" si="252"/>
        <v>0</v>
      </c>
      <c r="I1103" s="46">
        <f>J1103/F1103</f>
        <v>0</v>
      </c>
      <c r="J1103" s="47">
        <v>0</v>
      </c>
      <c r="K1103" s="46">
        <f>L1103/F1103</f>
        <v>0</v>
      </c>
      <c r="L1103" s="47">
        <v>0</v>
      </c>
      <c r="AX1103" s="46">
        <v>0</v>
      </c>
      <c r="AY1103" s="47">
        <v>0</v>
      </c>
      <c r="AZ1103" s="70">
        <f t="shared" si="236"/>
        <v>0</v>
      </c>
      <c r="BC1103" s="50"/>
    </row>
    <row r="1104" spans="1:55" s="48" customFormat="1" ht="15.45" customHeight="1" outlineLevel="1" x14ac:dyDescent="0.25">
      <c r="A1104" s="42">
        <v>3</v>
      </c>
      <c r="B1104" s="43" t="s">
        <v>251</v>
      </c>
      <c r="C1104" s="44" t="s">
        <v>234</v>
      </c>
      <c r="D1104" s="45">
        <v>2</v>
      </c>
      <c r="E1104" s="45">
        <v>13.972</v>
      </c>
      <c r="F1104" s="45">
        <f>+E1104*D1104</f>
        <v>27.943999999999999</v>
      </c>
      <c r="G1104" s="46">
        <f t="shared" si="252"/>
        <v>0</v>
      </c>
      <c r="H1104" s="47">
        <f t="shared" si="252"/>
        <v>0</v>
      </c>
      <c r="I1104" s="46">
        <f>J1104/F1104</f>
        <v>0</v>
      </c>
      <c r="J1104" s="47">
        <v>0</v>
      </c>
      <c r="K1104" s="46">
        <f>L1104/F1104</f>
        <v>0</v>
      </c>
      <c r="L1104" s="47">
        <v>0</v>
      </c>
      <c r="AX1104" s="46">
        <v>0</v>
      </c>
      <c r="AY1104" s="47">
        <v>0</v>
      </c>
      <c r="AZ1104" s="70">
        <f t="shared" si="236"/>
        <v>0</v>
      </c>
      <c r="BC1104" s="50"/>
    </row>
    <row r="1105" spans="1:55" s="56" customFormat="1" ht="17.25" customHeight="1" x14ac:dyDescent="0.3">
      <c r="A1105" s="62">
        <v>4.1100000000000003</v>
      </c>
      <c r="B1105" s="51" t="s">
        <v>754</v>
      </c>
      <c r="C1105" s="52">
        <v>0</v>
      </c>
      <c r="D1105" s="53"/>
      <c r="E1105" s="53"/>
      <c r="F1105" s="53"/>
      <c r="G1105" s="54"/>
      <c r="H1105" s="55"/>
      <c r="I1105" s="54"/>
      <c r="J1105" s="55"/>
      <c r="K1105" s="54"/>
      <c r="L1105" s="55">
        <v>0</v>
      </c>
      <c r="AX1105" s="69">
        <v>0</v>
      </c>
      <c r="AY1105" s="71">
        <v>0</v>
      </c>
      <c r="AZ1105" s="72">
        <f t="shared" si="236"/>
        <v>0</v>
      </c>
      <c r="BC1105" s="58"/>
    </row>
    <row r="1106" spans="1:55" s="48" customFormat="1" ht="27.75" customHeight="1" outlineLevel="1" x14ac:dyDescent="0.25">
      <c r="A1106" s="42">
        <v>1</v>
      </c>
      <c r="B1106" s="43" t="s">
        <v>755</v>
      </c>
      <c r="C1106" s="44" t="s">
        <v>93</v>
      </c>
      <c r="D1106" s="45">
        <v>1</v>
      </c>
      <c r="E1106" s="45">
        <v>51.811999999999998</v>
      </c>
      <c r="F1106" s="45">
        <f t="shared" ref="F1106:F1128" si="253">+E1106*D1106</f>
        <v>51.811999999999998</v>
      </c>
      <c r="G1106" s="46">
        <f t="shared" ref="G1106:G1128" si="254">I1106+K1106</f>
        <v>0</v>
      </c>
      <c r="H1106" s="47">
        <f t="shared" ref="H1106:H1128" si="255">J1106+L1106</f>
        <v>0</v>
      </c>
      <c r="I1106" s="46">
        <f t="shared" ref="I1106:I1128" si="256">J1106/F1106</f>
        <v>0</v>
      </c>
      <c r="J1106" s="47">
        <v>0</v>
      </c>
      <c r="K1106" s="46">
        <f t="shared" ref="K1106:K1128" si="257">L1106/F1106</f>
        <v>0</v>
      </c>
      <c r="L1106" s="47">
        <v>0</v>
      </c>
      <c r="AX1106" s="46">
        <v>0</v>
      </c>
      <c r="AY1106" s="47">
        <v>0</v>
      </c>
      <c r="AZ1106" s="70">
        <f t="shared" si="236"/>
        <v>0</v>
      </c>
      <c r="BC1106" s="50"/>
    </row>
    <row r="1107" spans="1:55" s="48" customFormat="1" ht="27.75" customHeight="1" outlineLevel="1" x14ac:dyDescent="0.25">
      <c r="A1107" s="42">
        <v>2</v>
      </c>
      <c r="B1107" s="43" t="s">
        <v>370</v>
      </c>
      <c r="C1107" s="44" t="s">
        <v>93</v>
      </c>
      <c r="D1107" s="45">
        <v>1</v>
      </c>
      <c r="E1107" s="45">
        <v>36.146799999999999</v>
      </c>
      <c r="F1107" s="45">
        <f t="shared" si="253"/>
        <v>36.146799999999999</v>
      </c>
      <c r="G1107" s="46">
        <f t="shared" si="254"/>
        <v>0</v>
      </c>
      <c r="H1107" s="47">
        <f t="shared" si="255"/>
        <v>0</v>
      </c>
      <c r="I1107" s="46">
        <f t="shared" si="256"/>
        <v>0</v>
      </c>
      <c r="J1107" s="47">
        <v>0</v>
      </c>
      <c r="K1107" s="46">
        <f t="shared" si="257"/>
        <v>0</v>
      </c>
      <c r="L1107" s="47">
        <v>0</v>
      </c>
      <c r="AX1107" s="46">
        <v>0</v>
      </c>
      <c r="AY1107" s="47">
        <v>0</v>
      </c>
      <c r="AZ1107" s="70">
        <f t="shared" si="236"/>
        <v>0</v>
      </c>
      <c r="BC1107" s="50"/>
    </row>
    <row r="1108" spans="1:55" s="48" customFormat="1" ht="15.45" customHeight="1" outlineLevel="1" x14ac:dyDescent="0.25">
      <c r="A1108" s="42">
        <v>3</v>
      </c>
      <c r="B1108" s="43" t="s">
        <v>360</v>
      </c>
      <c r="C1108" s="44" t="s">
        <v>93</v>
      </c>
      <c r="D1108" s="45">
        <v>1</v>
      </c>
      <c r="E1108" s="45">
        <v>20.79</v>
      </c>
      <c r="F1108" s="45">
        <f t="shared" si="253"/>
        <v>20.79</v>
      </c>
      <c r="G1108" s="46">
        <f t="shared" si="254"/>
        <v>0</v>
      </c>
      <c r="H1108" s="47">
        <f t="shared" si="255"/>
        <v>0</v>
      </c>
      <c r="I1108" s="46">
        <f t="shared" si="256"/>
        <v>0</v>
      </c>
      <c r="J1108" s="47">
        <v>0</v>
      </c>
      <c r="K1108" s="46">
        <f t="shared" si="257"/>
        <v>0</v>
      </c>
      <c r="L1108" s="47">
        <v>0</v>
      </c>
      <c r="AX1108" s="46">
        <v>0</v>
      </c>
      <c r="AY1108" s="47">
        <v>0</v>
      </c>
      <c r="AZ1108" s="70">
        <f t="shared" si="236"/>
        <v>0</v>
      </c>
      <c r="BC1108" s="50"/>
    </row>
    <row r="1109" spans="1:55" s="48" customFormat="1" ht="15.45" customHeight="1" outlineLevel="1" x14ac:dyDescent="0.25">
      <c r="A1109" s="42">
        <v>4</v>
      </c>
      <c r="B1109" s="43" t="s">
        <v>383</v>
      </c>
      <c r="C1109" s="44" t="s">
        <v>93</v>
      </c>
      <c r="D1109" s="45">
        <v>1</v>
      </c>
      <c r="E1109" s="45">
        <v>20.498000000000001</v>
      </c>
      <c r="F1109" s="45">
        <f t="shared" si="253"/>
        <v>20.498000000000001</v>
      </c>
      <c r="G1109" s="46">
        <f t="shared" si="254"/>
        <v>0</v>
      </c>
      <c r="H1109" s="47">
        <f t="shared" si="255"/>
        <v>0</v>
      </c>
      <c r="I1109" s="46">
        <f t="shared" si="256"/>
        <v>0</v>
      </c>
      <c r="J1109" s="47">
        <v>0</v>
      </c>
      <c r="K1109" s="46">
        <f t="shared" si="257"/>
        <v>0</v>
      </c>
      <c r="L1109" s="47">
        <v>0</v>
      </c>
      <c r="AX1109" s="46">
        <v>0</v>
      </c>
      <c r="AY1109" s="47">
        <v>0</v>
      </c>
      <c r="AZ1109" s="70">
        <f t="shared" si="236"/>
        <v>0</v>
      </c>
      <c r="BC1109" s="50"/>
    </row>
    <row r="1110" spans="1:55" s="48" customFormat="1" ht="15.45" customHeight="1" outlineLevel="1" x14ac:dyDescent="0.25">
      <c r="A1110" s="42">
        <v>5</v>
      </c>
      <c r="B1110" s="43" t="s">
        <v>372</v>
      </c>
      <c r="C1110" s="44" t="s">
        <v>93</v>
      </c>
      <c r="D1110" s="45">
        <v>4</v>
      </c>
      <c r="E1110" s="45">
        <v>4.3921999999999999</v>
      </c>
      <c r="F1110" s="45">
        <f t="shared" si="253"/>
        <v>17.5688</v>
      </c>
      <c r="G1110" s="46">
        <f t="shared" si="254"/>
        <v>0</v>
      </c>
      <c r="H1110" s="47">
        <f t="shared" si="255"/>
        <v>0</v>
      </c>
      <c r="I1110" s="46">
        <f t="shared" si="256"/>
        <v>0</v>
      </c>
      <c r="J1110" s="47">
        <v>0</v>
      </c>
      <c r="K1110" s="46">
        <f t="shared" si="257"/>
        <v>0</v>
      </c>
      <c r="L1110" s="47">
        <v>0</v>
      </c>
      <c r="AX1110" s="46">
        <v>0</v>
      </c>
      <c r="AY1110" s="47">
        <v>0</v>
      </c>
      <c r="AZ1110" s="70">
        <f t="shared" si="236"/>
        <v>0</v>
      </c>
      <c r="BC1110" s="50"/>
    </row>
    <row r="1111" spans="1:55" s="48" customFormat="1" ht="15.45" customHeight="1" outlineLevel="1" x14ac:dyDescent="0.25">
      <c r="A1111" s="42">
        <v>6</v>
      </c>
      <c r="B1111" s="43" t="s">
        <v>362</v>
      </c>
      <c r="C1111" s="44" t="s">
        <v>93</v>
      </c>
      <c r="D1111" s="45">
        <v>6</v>
      </c>
      <c r="E1111" s="45">
        <v>14.879799999999999</v>
      </c>
      <c r="F1111" s="45">
        <f t="shared" si="253"/>
        <v>89.27879999999999</v>
      </c>
      <c r="G1111" s="46">
        <f t="shared" si="254"/>
        <v>0</v>
      </c>
      <c r="H1111" s="47">
        <f t="shared" si="255"/>
        <v>0</v>
      </c>
      <c r="I1111" s="46">
        <f t="shared" si="256"/>
        <v>0</v>
      </c>
      <c r="J1111" s="47">
        <v>0</v>
      </c>
      <c r="K1111" s="46">
        <f t="shared" si="257"/>
        <v>0</v>
      </c>
      <c r="L1111" s="47">
        <v>0</v>
      </c>
      <c r="AX1111" s="46">
        <v>0</v>
      </c>
      <c r="AY1111" s="47">
        <v>0</v>
      </c>
      <c r="AZ1111" s="70">
        <f t="shared" si="236"/>
        <v>0</v>
      </c>
      <c r="BC1111" s="50"/>
    </row>
    <row r="1112" spans="1:55" s="48" customFormat="1" ht="15.45" customHeight="1" outlineLevel="1" x14ac:dyDescent="0.25">
      <c r="A1112" s="42">
        <v>7</v>
      </c>
      <c r="B1112" s="43" t="s">
        <v>756</v>
      </c>
      <c r="C1112" s="44" t="s">
        <v>93</v>
      </c>
      <c r="D1112" s="45">
        <v>26</v>
      </c>
      <c r="E1112" s="45">
        <v>43.896800000000013</v>
      </c>
      <c r="F1112" s="45">
        <f t="shared" si="253"/>
        <v>1141.3168000000003</v>
      </c>
      <c r="G1112" s="46">
        <f t="shared" si="254"/>
        <v>0</v>
      </c>
      <c r="H1112" s="47">
        <f t="shared" si="255"/>
        <v>0</v>
      </c>
      <c r="I1112" s="46">
        <f t="shared" si="256"/>
        <v>0</v>
      </c>
      <c r="J1112" s="47">
        <v>0</v>
      </c>
      <c r="K1112" s="46">
        <f t="shared" si="257"/>
        <v>0</v>
      </c>
      <c r="L1112" s="47">
        <v>0</v>
      </c>
      <c r="AX1112" s="46">
        <v>0</v>
      </c>
      <c r="AY1112" s="47">
        <v>0</v>
      </c>
      <c r="AZ1112" s="70">
        <f t="shared" si="236"/>
        <v>0</v>
      </c>
      <c r="BC1112" s="50"/>
    </row>
    <row r="1113" spans="1:55" s="48" customFormat="1" ht="15.45" customHeight="1" outlineLevel="1" x14ac:dyDescent="0.25">
      <c r="A1113" s="42">
        <v>8</v>
      </c>
      <c r="B1113" s="43" t="s">
        <v>446</v>
      </c>
      <c r="C1113" s="44" t="s">
        <v>93</v>
      </c>
      <c r="D1113" s="45">
        <v>26</v>
      </c>
      <c r="E1113" s="45">
        <v>14.002599999999999</v>
      </c>
      <c r="F1113" s="45">
        <f t="shared" si="253"/>
        <v>364.06759999999997</v>
      </c>
      <c r="G1113" s="46">
        <f t="shared" si="254"/>
        <v>0</v>
      </c>
      <c r="H1113" s="47">
        <f t="shared" si="255"/>
        <v>0</v>
      </c>
      <c r="I1113" s="46">
        <f t="shared" si="256"/>
        <v>0</v>
      </c>
      <c r="J1113" s="47">
        <v>0</v>
      </c>
      <c r="K1113" s="46">
        <f t="shared" si="257"/>
        <v>0</v>
      </c>
      <c r="L1113" s="47">
        <v>0</v>
      </c>
      <c r="AX1113" s="46">
        <v>0</v>
      </c>
      <c r="AY1113" s="47">
        <v>0</v>
      </c>
      <c r="AZ1113" s="70">
        <f t="shared" si="236"/>
        <v>0</v>
      </c>
      <c r="BC1113" s="50"/>
    </row>
    <row r="1114" spans="1:55" s="48" customFormat="1" ht="15.45" customHeight="1" outlineLevel="1" x14ac:dyDescent="0.25">
      <c r="A1114" s="42">
        <v>9</v>
      </c>
      <c r="B1114" s="43" t="s">
        <v>757</v>
      </c>
      <c r="C1114" s="44" t="s">
        <v>93</v>
      </c>
      <c r="D1114" s="45">
        <v>1</v>
      </c>
      <c r="E1114" s="45">
        <v>13.9292</v>
      </c>
      <c r="F1114" s="45">
        <f t="shared" si="253"/>
        <v>13.9292</v>
      </c>
      <c r="G1114" s="46">
        <f t="shared" si="254"/>
        <v>0</v>
      </c>
      <c r="H1114" s="47">
        <f t="shared" si="255"/>
        <v>0</v>
      </c>
      <c r="I1114" s="46">
        <f t="shared" si="256"/>
        <v>0</v>
      </c>
      <c r="J1114" s="47">
        <v>0</v>
      </c>
      <c r="K1114" s="46">
        <f t="shared" si="257"/>
        <v>0</v>
      </c>
      <c r="L1114" s="47">
        <v>0</v>
      </c>
      <c r="AX1114" s="46">
        <v>0</v>
      </c>
      <c r="AY1114" s="47">
        <v>0</v>
      </c>
      <c r="AZ1114" s="70">
        <f t="shared" ref="AZ1114:AZ1177" si="258">H1114-J1114</f>
        <v>0</v>
      </c>
      <c r="BC1114" s="50"/>
    </row>
    <row r="1115" spans="1:55" s="48" customFormat="1" ht="15.45" customHeight="1" outlineLevel="1" x14ac:dyDescent="0.25">
      <c r="A1115" s="42">
        <v>10</v>
      </c>
      <c r="B1115" s="43" t="s">
        <v>362</v>
      </c>
      <c r="C1115" s="44" t="s">
        <v>93</v>
      </c>
      <c r="D1115" s="45">
        <v>1</v>
      </c>
      <c r="E1115" s="45">
        <v>14.879799999999999</v>
      </c>
      <c r="F1115" s="45">
        <f t="shared" si="253"/>
        <v>14.879799999999999</v>
      </c>
      <c r="G1115" s="46">
        <f t="shared" si="254"/>
        <v>0</v>
      </c>
      <c r="H1115" s="47">
        <f t="shared" si="255"/>
        <v>0</v>
      </c>
      <c r="I1115" s="46">
        <f t="shared" si="256"/>
        <v>0</v>
      </c>
      <c r="J1115" s="47">
        <v>0</v>
      </c>
      <c r="K1115" s="46">
        <f t="shared" si="257"/>
        <v>0</v>
      </c>
      <c r="L1115" s="47">
        <v>0</v>
      </c>
      <c r="AX1115" s="46">
        <v>0</v>
      </c>
      <c r="AY1115" s="47">
        <v>0</v>
      </c>
      <c r="AZ1115" s="70">
        <f t="shared" si="258"/>
        <v>0</v>
      </c>
      <c r="BC1115" s="50"/>
    </row>
    <row r="1116" spans="1:55" s="48" customFormat="1" ht="27.75" customHeight="1" outlineLevel="1" x14ac:dyDescent="0.25">
      <c r="A1116" s="42">
        <v>11</v>
      </c>
      <c r="B1116" s="43" t="s">
        <v>758</v>
      </c>
      <c r="C1116" s="44" t="s">
        <v>93</v>
      </c>
      <c r="D1116" s="45">
        <v>9</v>
      </c>
      <c r="E1116" s="45">
        <v>6.5444000000000004</v>
      </c>
      <c r="F1116" s="45">
        <f t="shared" si="253"/>
        <v>58.899600000000007</v>
      </c>
      <c r="G1116" s="46">
        <f t="shared" si="254"/>
        <v>0</v>
      </c>
      <c r="H1116" s="47">
        <f t="shared" si="255"/>
        <v>0</v>
      </c>
      <c r="I1116" s="46">
        <f t="shared" si="256"/>
        <v>0</v>
      </c>
      <c r="J1116" s="47">
        <v>0</v>
      </c>
      <c r="K1116" s="46">
        <f t="shared" si="257"/>
        <v>0</v>
      </c>
      <c r="L1116" s="47">
        <v>0</v>
      </c>
      <c r="AX1116" s="46">
        <v>0</v>
      </c>
      <c r="AY1116" s="47">
        <v>0</v>
      </c>
      <c r="AZ1116" s="70">
        <f t="shared" si="258"/>
        <v>0</v>
      </c>
      <c r="BC1116" s="50"/>
    </row>
    <row r="1117" spans="1:55" s="48" customFormat="1" ht="15.45" customHeight="1" outlineLevel="1" x14ac:dyDescent="0.25">
      <c r="A1117" s="42">
        <v>12</v>
      </c>
      <c r="B1117" s="43" t="s">
        <v>464</v>
      </c>
      <c r="C1117" s="44" t="s">
        <v>93</v>
      </c>
      <c r="D1117" s="45">
        <v>9</v>
      </c>
      <c r="E1117" s="45">
        <v>9.1780000000000008</v>
      </c>
      <c r="F1117" s="45">
        <f t="shared" si="253"/>
        <v>82.602000000000004</v>
      </c>
      <c r="G1117" s="46">
        <f t="shared" si="254"/>
        <v>0</v>
      </c>
      <c r="H1117" s="47">
        <f t="shared" si="255"/>
        <v>0</v>
      </c>
      <c r="I1117" s="46">
        <f t="shared" si="256"/>
        <v>0</v>
      </c>
      <c r="J1117" s="47">
        <v>0</v>
      </c>
      <c r="K1117" s="46">
        <f t="shared" si="257"/>
        <v>0</v>
      </c>
      <c r="L1117" s="47">
        <v>0</v>
      </c>
      <c r="AX1117" s="46">
        <v>0</v>
      </c>
      <c r="AY1117" s="47">
        <v>0</v>
      </c>
      <c r="AZ1117" s="70">
        <f t="shared" si="258"/>
        <v>0</v>
      </c>
      <c r="BC1117" s="50"/>
    </row>
    <row r="1118" spans="1:55" s="48" customFormat="1" ht="15.45" customHeight="1" outlineLevel="1" x14ac:dyDescent="0.25">
      <c r="A1118" s="42">
        <v>13</v>
      </c>
      <c r="B1118" s="43" t="s">
        <v>465</v>
      </c>
      <c r="C1118" s="44" t="s">
        <v>93</v>
      </c>
      <c r="D1118" s="45">
        <v>9</v>
      </c>
      <c r="E1118" s="45">
        <v>0.9</v>
      </c>
      <c r="F1118" s="45">
        <f t="shared" si="253"/>
        <v>8.1</v>
      </c>
      <c r="G1118" s="46">
        <f t="shared" si="254"/>
        <v>0</v>
      </c>
      <c r="H1118" s="47">
        <f t="shared" si="255"/>
        <v>0</v>
      </c>
      <c r="I1118" s="46">
        <f t="shared" si="256"/>
        <v>0</v>
      </c>
      <c r="J1118" s="47">
        <v>0</v>
      </c>
      <c r="K1118" s="46">
        <f t="shared" si="257"/>
        <v>0</v>
      </c>
      <c r="L1118" s="47">
        <v>0</v>
      </c>
      <c r="AX1118" s="46">
        <v>0</v>
      </c>
      <c r="AY1118" s="47">
        <v>0</v>
      </c>
      <c r="AZ1118" s="70">
        <f t="shared" si="258"/>
        <v>0</v>
      </c>
      <c r="BC1118" s="50"/>
    </row>
    <row r="1119" spans="1:55" s="48" customFormat="1" ht="27.75" customHeight="1" outlineLevel="1" x14ac:dyDescent="0.25">
      <c r="A1119" s="42">
        <v>14</v>
      </c>
      <c r="B1119" s="43" t="s">
        <v>402</v>
      </c>
      <c r="C1119" s="44" t="s">
        <v>93</v>
      </c>
      <c r="D1119" s="45">
        <v>5</v>
      </c>
      <c r="E1119" s="45">
        <v>0.9</v>
      </c>
      <c r="F1119" s="45">
        <f t="shared" si="253"/>
        <v>4.5</v>
      </c>
      <c r="G1119" s="46">
        <f t="shared" si="254"/>
        <v>0</v>
      </c>
      <c r="H1119" s="47">
        <f t="shared" si="255"/>
        <v>0</v>
      </c>
      <c r="I1119" s="46">
        <f t="shared" si="256"/>
        <v>0</v>
      </c>
      <c r="J1119" s="47">
        <v>0</v>
      </c>
      <c r="K1119" s="46">
        <f t="shared" si="257"/>
        <v>0</v>
      </c>
      <c r="L1119" s="47">
        <v>0</v>
      </c>
      <c r="AX1119" s="46">
        <v>0</v>
      </c>
      <c r="AY1119" s="47">
        <v>0</v>
      </c>
      <c r="AZ1119" s="70">
        <f t="shared" si="258"/>
        <v>0</v>
      </c>
      <c r="BC1119" s="50"/>
    </row>
    <row r="1120" spans="1:55" s="48" customFormat="1" ht="15.45" customHeight="1" outlineLevel="1" x14ac:dyDescent="0.25">
      <c r="A1120" s="42">
        <v>15</v>
      </c>
      <c r="B1120" s="43" t="s">
        <v>759</v>
      </c>
      <c r="C1120" s="44" t="s">
        <v>93</v>
      </c>
      <c r="D1120" s="45">
        <v>1</v>
      </c>
      <c r="E1120" s="45">
        <v>5.085799999999999</v>
      </c>
      <c r="F1120" s="45">
        <f t="shared" si="253"/>
        <v>5.085799999999999</v>
      </c>
      <c r="G1120" s="46">
        <f t="shared" si="254"/>
        <v>0</v>
      </c>
      <c r="H1120" s="47">
        <f t="shared" si="255"/>
        <v>0</v>
      </c>
      <c r="I1120" s="46">
        <f t="shared" si="256"/>
        <v>0</v>
      </c>
      <c r="J1120" s="47">
        <v>0</v>
      </c>
      <c r="K1120" s="46">
        <f t="shared" si="257"/>
        <v>0</v>
      </c>
      <c r="L1120" s="47">
        <v>0</v>
      </c>
      <c r="AX1120" s="46">
        <v>0</v>
      </c>
      <c r="AY1120" s="47">
        <v>0</v>
      </c>
      <c r="AZ1120" s="70">
        <f t="shared" si="258"/>
        <v>0</v>
      </c>
      <c r="BC1120" s="50"/>
    </row>
    <row r="1121" spans="1:55" s="48" customFormat="1" ht="15.45" customHeight="1" outlineLevel="1" x14ac:dyDescent="0.25">
      <c r="A1121" s="42">
        <v>16</v>
      </c>
      <c r="B1121" s="43" t="s">
        <v>760</v>
      </c>
      <c r="C1121" s="44" t="s">
        <v>61</v>
      </c>
      <c r="D1121" s="45">
        <v>335</v>
      </c>
      <c r="E1121" s="45">
        <v>0.9</v>
      </c>
      <c r="F1121" s="45">
        <f t="shared" si="253"/>
        <v>301.5</v>
      </c>
      <c r="G1121" s="46">
        <f t="shared" si="254"/>
        <v>0</v>
      </c>
      <c r="H1121" s="47">
        <f t="shared" si="255"/>
        <v>0</v>
      </c>
      <c r="I1121" s="46">
        <f t="shared" si="256"/>
        <v>0</v>
      </c>
      <c r="J1121" s="47">
        <v>0</v>
      </c>
      <c r="K1121" s="46">
        <f t="shared" si="257"/>
        <v>0</v>
      </c>
      <c r="L1121" s="47">
        <v>0</v>
      </c>
      <c r="AX1121" s="46">
        <v>0</v>
      </c>
      <c r="AY1121" s="47">
        <v>0</v>
      </c>
      <c r="AZ1121" s="70">
        <f t="shared" si="258"/>
        <v>0</v>
      </c>
      <c r="BC1121" s="50"/>
    </row>
    <row r="1122" spans="1:55" s="48" customFormat="1" ht="27.75" customHeight="1" outlineLevel="1" x14ac:dyDescent="0.25">
      <c r="A1122" s="42">
        <v>17</v>
      </c>
      <c r="B1122" s="43" t="s">
        <v>407</v>
      </c>
      <c r="C1122" s="44" t="s">
        <v>61</v>
      </c>
      <c r="D1122" s="45">
        <v>335</v>
      </c>
      <c r="E1122" s="45">
        <v>2.242</v>
      </c>
      <c r="F1122" s="45">
        <f t="shared" si="253"/>
        <v>751.07</v>
      </c>
      <c r="G1122" s="46">
        <f t="shared" si="254"/>
        <v>0</v>
      </c>
      <c r="H1122" s="47">
        <f t="shared" si="255"/>
        <v>0</v>
      </c>
      <c r="I1122" s="46">
        <f t="shared" si="256"/>
        <v>0</v>
      </c>
      <c r="J1122" s="47">
        <v>0</v>
      </c>
      <c r="K1122" s="46">
        <f t="shared" si="257"/>
        <v>0</v>
      </c>
      <c r="L1122" s="47">
        <v>0</v>
      </c>
      <c r="AX1122" s="46">
        <v>0</v>
      </c>
      <c r="AY1122" s="47">
        <v>0</v>
      </c>
      <c r="AZ1122" s="70">
        <f t="shared" si="258"/>
        <v>0</v>
      </c>
      <c r="BC1122" s="50"/>
    </row>
    <row r="1123" spans="1:55" s="48" customFormat="1" ht="15.45" customHeight="1" outlineLevel="1" x14ac:dyDescent="0.25">
      <c r="A1123" s="42">
        <v>18</v>
      </c>
      <c r="B1123" s="43" t="s">
        <v>413</v>
      </c>
      <c r="C1123" s="44" t="s">
        <v>61</v>
      </c>
      <c r="D1123" s="45">
        <v>300</v>
      </c>
      <c r="E1123" s="45">
        <v>5.0999999999999996</v>
      </c>
      <c r="F1123" s="45">
        <f t="shared" si="253"/>
        <v>1530</v>
      </c>
      <c r="G1123" s="46">
        <f t="shared" si="254"/>
        <v>0</v>
      </c>
      <c r="H1123" s="47">
        <f t="shared" si="255"/>
        <v>0</v>
      </c>
      <c r="I1123" s="46">
        <f t="shared" si="256"/>
        <v>0</v>
      </c>
      <c r="J1123" s="47">
        <v>0</v>
      </c>
      <c r="K1123" s="46">
        <f t="shared" si="257"/>
        <v>0</v>
      </c>
      <c r="L1123" s="47">
        <v>0</v>
      </c>
      <c r="AX1123" s="46">
        <v>0</v>
      </c>
      <c r="AY1123" s="47">
        <v>0</v>
      </c>
      <c r="AZ1123" s="70">
        <f t="shared" si="258"/>
        <v>0</v>
      </c>
      <c r="BC1123" s="50"/>
    </row>
    <row r="1124" spans="1:55" s="48" customFormat="1" ht="15.45" customHeight="1" outlineLevel="1" x14ac:dyDescent="0.25">
      <c r="A1124" s="42">
        <v>19</v>
      </c>
      <c r="B1124" s="43" t="s">
        <v>389</v>
      </c>
      <c r="C1124" s="44" t="s">
        <v>61</v>
      </c>
      <c r="D1124" s="45">
        <v>35</v>
      </c>
      <c r="E1124" s="45">
        <v>7.6</v>
      </c>
      <c r="F1124" s="45">
        <f t="shared" si="253"/>
        <v>266</v>
      </c>
      <c r="G1124" s="46">
        <f t="shared" si="254"/>
        <v>0</v>
      </c>
      <c r="H1124" s="47">
        <f t="shared" si="255"/>
        <v>0</v>
      </c>
      <c r="I1124" s="46">
        <f t="shared" si="256"/>
        <v>0</v>
      </c>
      <c r="J1124" s="47">
        <v>0</v>
      </c>
      <c r="K1124" s="46">
        <f t="shared" si="257"/>
        <v>0</v>
      </c>
      <c r="L1124" s="47">
        <v>0</v>
      </c>
      <c r="AX1124" s="46">
        <v>0</v>
      </c>
      <c r="AY1124" s="47">
        <v>0</v>
      </c>
      <c r="AZ1124" s="70">
        <f t="shared" si="258"/>
        <v>0</v>
      </c>
      <c r="BC1124" s="50"/>
    </row>
    <row r="1125" spans="1:55" s="48" customFormat="1" ht="27.75" customHeight="1" outlineLevel="1" x14ac:dyDescent="0.25">
      <c r="A1125" s="42">
        <v>20</v>
      </c>
      <c r="B1125" s="43" t="s">
        <v>469</v>
      </c>
      <c r="C1125" s="44" t="s">
        <v>61</v>
      </c>
      <c r="D1125" s="45">
        <v>335</v>
      </c>
      <c r="E1125" s="45">
        <v>2.0379999999999998</v>
      </c>
      <c r="F1125" s="45">
        <f t="shared" si="253"/>
        <v>682.7299999999999</v>
      </c>
      <c r="G1125" s="46">
        <f t="shared" si="254"/>
        <v>0</v>
      </c>
      <c r="H1125" s="47">
        <f t="shared" si="255"/>
        <v>0</v>
      </c>
      <c r="I1125" s="46">
        <f t="shared" si="256"/>
        <v>0</v>
      </c>
      <c r="J1125" s="47">
        <v>0</v>
      </c>
      <c r="K1125" s="46">
        <f t="shared" si="257"/>
        <v>0</v>
      </c>
      <c r="L1125" s="47">
        <v>0</v>
      </c>
      <c r="AX1125" s="46">
        <v>0</v>
      </c>
      <c r="AY1125" s="47">
        <v>0</v>
      </c>
      <c r="AZ1125" s="70">
        <f t="shared" si="258"/>
        <v>0</v>
      </c>
      <c r="BC1125" s="50"/>
    </row>
    <row r="1126" spans="1:55" s="48" customFormat="1" ht="15.45" customHeight="1" outlineLevel="1" x14ac:dyDescent="0.25">
      <c r="A1126" s="42">
        <v>21</v>
      </c>
      <c r="B1126" s="43" t="s">
        <v>761</v>
      </c>
      <c r="C1126" s="44" t="s">
        <v>61</v>
      </c>
      <c r="D1126" s="45">
        <v>20</v>
      </c>
      <c r="E1126" s="45">
        <v>3.46</v>
      </c>
      <c r="F1126" s="45">
        <f t="shared" si="253"/>
        <v>69.2</v>
      </c>
      <c r="G1126" s="46">
        <f t="shared" si="254"/>
        <v>0</v>
      </c>
      <c r="H1126" s="47">
        <f t="shared" si="255"/>
        <v>0</v>
      </c>
      <c r="I1126" s="46">
        <f t="shared" si="256"/>
        <v>0</v>
      </c>
      <c r="J1126" s="47">
        <v>0</v>
      </c>
      <c r="K1126" s="46">
        <f t="shared" si="257"/>
        <v>0</v>
      </c>
      <c r="L1126" s="47">
        <v>0</v>
      </c>
      <c r="AX1126" s="46">
        <v>0</v>
      </c>
      <c r="AY1126" s="47">
        <v>0</v>
      </c>
      <c r="AZ1126" s="70">
        <f t="shared" si="258"/>
        <v>0</v>
      </c>
      <c r="BC1126" s="50"/>
    </row>
    <row r="1127" spans="1:55" s="48" customFormat="1" ht="15.45" customHeight="1" outlineLevel="1" x14ac:dyDescent="0.25">
      <c r="A1127" s="42">
        <v>22</v>
      </c>
      <c r="B1127" s="43" t="s">
        <v>762</v>
      </c>
      <c r="C1127" s="44" t="s">
        <v>61</v>
      </c>
      <c r="D1127" s="45">
        <v>10</v>
      </c>
      <c r="E1127" s="45">
        <v>0.9</v>
      </c>
      <c r="F1127" s="45">
        <f t="shared" si="253"/>
        <v>9</v>
      </c>
      <c r="G1127" s="46">
        <f t="shared" si="254"/>
        <v>0</v>
      </c>
      <c r="H1127" s="47">
        <f t="shared" si="255"/>
        <v>0</v>
      </c>
      <c r="I1127" s="46">
        <f t="shared" si="256"/>
        <v>0</v>
      </c>
      <c r="J1127" s="47">
        <v>0</v>
      </c>
      <c r="K1127" s="46">
        <f t="shared" si="257"/>
        <v>0</v>
      </c>
      <c r="L1127" s="47">
        <v>0</v>
      </c>
      <c r="AX1127" s="46">
        <v>0</v>
      </c>
      <c r="AY1127" s="47">
        <v>0</v>
      </c>
      <c r="AZ1127" s="70">
        <f t="shared" si="258"/>
        <v>0</v>
      </c>
      <c r="BC1127" s="50"/>
    </row>
    <row r="1128" spans="1:55" s="48" customFormat="1" ht="27.75" customHeight="1" outlineLevel="1" x14ac:dyDescent="0.25">
      <c r="A1128" s="42">
        <v>23</v>
      </c>
      <c r="B1128" s="43" t="s">
        <v>425</v>
      </c>
      <c r="C1128" s="44" t="s">
        <v>61</v>
      </c>
      <c r="D1128" s="45">
        <v>30</v>
      </c>
      <c r="E1128" s="45">
        <v>1.9461999999999999</v>
      </c>
      <c r="F1128" s="45">
        <f t="shared" si="253"/>
        <v>58.385999999999996</v>
      </c>
      <c r="G1128" s="46">
        <f t="shared" si="254"/>
        <v>0</v>
      </c>
      <c r="H1128" s="47">
        <f t="shared" si="255"/>
        <v>0</v>
      </c>
      <c r="I1128" s="46">
        <f t="shared" si="256"/>
        <v>0</v>
      </c>
      <c r="J1128" s="47">
        <v>0</v>
      </c>
      <c r="K1128" s="46">
        <f t="shared" si="257"/>
        <v>0</v>
      </c>
      <c r="L1128" s="47">
        <v>0</v>
      </c>
      <c r="AX1128" s="46">
        <v>0</v>
      </c>
      <c r="AY1128" s="47">
        <v>0</v>
      </c>
      <c r="AZ1128" s="70">
        <f t="shared" si="258"/>
        <v>0</v>
      </c>
      <c r="BC1128" s="50"/>
    </row>
    <row r="1129" spans="1:55" s="56" customFormat="1" ht="17.25" customHeight="1" x14ac:dyDescent="0.3">
      <c r="A1129" s="62">
        <v>4.12</v>
      </c>
      <c r="B1129" s="51" t="s">
        <v>763</v>
      </c>
      <c r="C1129" s="52">
        <v>0</v>
      </c>
      <c r="D1129" s="53"/>
      <c r="E1129" s="53"/>
      <c r="F1129" s="53"/>
      <c r="G1129" s="54"/>
      <c r="H1129" s="55"/>
      <c r="I1129" s="54"/>
      <c r="J1129" s="55"/>
      <c r="K1129" s="54"/>
      <c r="L1129" s="55">
        <v>0</v>
      </c>
      <c r="AX1129" s="69">
        <v>0</v>
      </c>
      <c r="AY1129" s="71">
        <v>0</v>
      </c>
      <c r="AZ1129" s="72">
        <f t="shared" si="258"/>
        <v>0</v>
      </c>
      <c r="BC1129" s="58"/>
    </row>
    <row r="1130" spans="1:55" s="48" customFormat="1" ht="15.45" customHeight="1" outlineLevel="1" x14ac:dyDescent="0.25">
      <c r="A1130" s="42">
        <v>1</v>
      </c>
      <c r="B1130" s="43" t="s">
        <v>764</v>
      </c>
      <c r="C1130" s="44" t="s">
        <v>93</v>
      </c>
      <c r="D1130" s="45">
        <v>1</v>
      </c>
      <c r="E1130" s="45">
        <v>468.83900000000011</v>
      </c>
      <c r="F1130" s="45">
        <f t="shared" ref="F1130:F1146" si="259">+E1130*D1130</f>
        <v>468.83900000000011</v>
      </c>
      <c r="G1130" s="46">
        <f t="shared" ref="G1130:G1146" si="260">I1130+K1130</f>
        <v>0</v>
      </c>
      <c r="H1130" s="47">
        <f t="shared" ref="H1130:H1146" si="261">J1130+L1130</f>
        <v>0</v>
      </c>
      <c r="I1130" s="46">
        <f t="shared" ref="I1130:I1146" si="262">J1130/F1130</f>
        <v>0</v>
      </c>
      <c r="J1130" s="47">
        <v>0</v>
      </c>
      <c r="K1130" s="46">
        <f t="shared" ref="K1130:K1146" si="263">L1130/F1130</f>
        <v>0</v>
      </c>
      <c r="L1130" s="47">
        <v>0</v>
      </c>
      <c r="AX1130" s="46">
        <v>0</v>
      </c>
      <c r="AY1130" s="47">
        <v>0</v>
      </c>
      <c r="AZ1130" s="70">
        <f t="shared" si="258"/>
        <v>0</v>
      </c>
      <c r="BC1130" s="50"/>
    </row>
    <row r="1131" spans="1:55" s="48" customFormat="1" ht="15.45" customHeight="1" outlineLevel="1" x14ac:dyDescent="0.25">
      <c r="A1131" s="42">
        <v>2</v>
      </c>
      <c r="B1131" s="43" t="s">
        <v>474</v>
      </c>
      <c r="C1131" s="44" t="s">
        <v>93</v>
      </c>
      <c r="D1131" s="45">
        <v>1</v>
      </c>
      <c r="E1131" s="45">
        <v>116.9614</v>
      </c>
      <c r="F1131" s="45">
        <f t="shared" si="259"/>
        <v>116.9614</v>
      </c>
      <c r="G1131" s="46">
        <f t="shared" si="260"/>
        <v>0</v>
      </c>
      <c r="H1131" s="47">
        <f t="shared" si="261"/>
        <v>0</v>
      </c>
      <c r="I1131" s="46">
        <f t="shared" si="262"/>
        <v>0</v>
      </c>
      <c r="J1131" s="47">
        <v>0</v>
      </c>
      <c r="K1131" s="46">
        <f t="shared" si="263"/>
        <v>0</v>
      </c>
      <c r="L1131" s="47">
        <v>0</v>
      </c>
      <c r="AX1131" s="46">
        <v>0</v>
      </c>
      <c r="AY1131" s="47">
        <v>0</v>
      </c>
      <c r="AZ1131" s="70">
        <f t="shared" si="258"/>
        <v>0</v>
      </c>
      <c r="BC1131" s="50"/>
    </row>
    <row r="1132" spans="1:55" s="48" customFormat="1" ht="15.45" customHeight="1" outlineLevel="1" x14ac:dyDescent="0.25">
      <c r="A1132" s="42">
        <v>3</v>
      </c>
      <c r="B1132" s="43" t="s">
        <v>475</v>
      </c>
      <c r="C1132" s="44" t="s">
        <v>93</v>
      </c>
      <c r="D1132" s="45">
        <v>12</v>
      </c>
      <c r="E1132" s="45">
        <v>18.784400000000002</v>
      </c>
      <c r="F1132" s="45">
        <f t="shared" si="259"/>
        <v>225.4128</v>
      </c>
      <c r="G1132" s="46">
        <f t="shared" si="260"/>
        <v>0</v>
      </c>
      <c r="H1132" s="47">
        <f t="shared" si="261"/>
        <v>0</v>
      </c>
      <c r="I1132" s="46">
        <f t="shared" si="262"/>
        <v>0</v>
      </c>
      <c r="J1132" s="47">
        <v>0</v>
      </c>
      <c r="K1132" s="46">
        <f t="shared" si="263"/>
        <v>0</v>
      </c>
      <c r="L1132" s="47">
        <v>0</v>
      </c>
      <c r="AX1132" s="46">
        <v>0</v>
      </c>
      <c r="AY1132" s="47">
        <v>0</v>
      </c>
      <c r="AZ1132" s="70">
        <f t="shared" si="258"/>
        <v>0</v>
      </c>
      <c r="BC1132" s="50"/>
    </row>
    <row r="1133" spans="1:55" s="48" customFormat="1" ht="15.45" customHeight="1" outlineLevel="1" x14ac:dyDescent="0.25">
      <c r="A1133" s="42">
        <v>4</v>
      </c>
      <c r="B1133" s="43" t="s">
        <v>477</v>
      </c>
      <c r="C1133" s="44" t="s">
        <v>93</v>
      </c>
      <c r="D1133" s="45">
        <v>12</v>
      </c>
      <c r="E1133" s="45">
        <v>27.2014</v>
      </c>
      <c r="F1133" s="45">
        <f t="shared" si="259"/>
        <v>326.41679999999997</v>
      </c>
      <c r="G1133" s="46">
        <f t="shared" si="260"/>
        <v>0</v>
      </c>
      <c r="H1133" s="47">
        <f t="shared" si="261"/>
        <v>0</v>
      </c>
      <c r="I1133" s="46">
        <f t="shared" si="262"/>
        <v>0</v>
      </c>
      <c r="J1133" s="47">
        <v>0</v>
      </c>
      <c r="K1133" s="46">
        <f t="shared" si="263"/>
        <v>0</v>
      </c>
      <c r="L1133" s="47">
        <v>0</v>
      </c>
      <c r="AX1133" s="46">
        <v>0</v>
      </c>
      <c r="AY1133" s="47">
        <v>0</v>
      </c>
      <c r="AZ1133" s="70">
        <f t="shared" si="258"/>
        <v>0</v>
      </c>
      <c r="BC1133" s="50"/>
    </row>
    <row r="1134" spans="1:55" s="48" customFormat="1" ht="15.45" customHeight="1" outlineLevel="1" x14ac:dyDescent="0.25">
      <c r="A1134" s="42">
        <v>5</v>
      </c>
      <c r="B1134" s="43" t="s">
        <v>478</v>
      </c>
      <c r="C1134" s="44" t="s">
        <v>93</v>
      </c>
      <c r="D1134" s="45">
        <v>5</v>
      </c>
      <c r="E1134" s="45">
        <v>22.905200000000001</v>
      </c>
      <c r="F1134" s="45">
        <f t="shared" si="259"/>
        <v>114.52600000000001</v>
      </c>
      <c r="G1134" s="46">
        <f t="shared" si="260"/>
        <v>0</v>
      </c>
      <c r="H1134" s="47">
        <f t="shared" si="261"/>
        <v>0</v>
      </c>
      <c r="I1134" s="46">
        <f t="shared" si="262"/>
        <v>0</v>
      </c>
      <c r="J1134" s="47">
        <v>0</v>
      </c>
      <c r="K1134" s="46">
        <f t="shared" si="263"/>
        <v>0</v>
      </c>
      <c r="L1134" s="47">
        <v>0</v>
      </c>
      <c r="AX1134" s="46">
        <v>0</v>
      </c>
      <c r="AY1134" s="47">
        <v>0</v>
      </c>
      <c r="AZ1134" s="70">
        <f t="shared" si="258"/>
        <v>0</v>
      </c>
      <c r="BC1134" s="50"/>
    </row>
    <row r="1135" spans="1:55" s="48" customFormat="1" ht="27.75" customHeight="1" outlineLevel="1" x14ac:dyDescent="0.25">
      <c r="A1135" s="42">
        <v>6</v>
      </c>
      <c r="B1135" s="43" t="s">
        <v>765</v>
      </c>
      <c r="C1135" s="44" t="s">
        <v>93</v>
      </c>
      <c r="D1135" s="45">
        <v>5</v>
      </c>
      <c r="E1135" s="45">
        <v>11.779</v>
      </c>
      <c r="F1135" s="45">
        <f t="shared" si="259"/>
        <v>58.894999999999996</v>
      </c>
      <c r="G1135" s="46">
        <f t="shared" si="260"/>
        <v>0</v>
      </c>
      <c r="H1135" s="47">
        <f t="shared" si="261"/>
        <v>0</v>
      </c>
      <c r="I1135" s="46">
        <f t="shared" si="262"/>
        <v>0</v>
      </c>
      <c r="J1135" s="47">
        <v>0</v>
      </c>
      <c r="K1135" s="46">
        <f t="shared" si="263"/>
        <v>0</v>
      </c>
      <c r="L1135" s="47">
        <v>0</v>
      </c>
      <c r="AX1135" s="46">
        <v>0</v>
      </c>
      <c r="AY1135" s="47">
        <v>0</v>
      </c>
      <c r="AZ1135" s="70">
        <f t="shared" si="258"/>
        <v>0</v>
      </c>
      <c r="BC1135" s="50"/>
    </row>
    <row r="1136" spans="1:55" s="48" customFormat="1" ht="15.45" customHeight="1" outlineLevel="1" x14ac:dyDescent="0.25">
      <c r="A1136" s="42">
        <v>7</v>
      </c>
      <c r="B1136" s="43" t="s">
        <v>480</v>
      </c>
      <c r="C1136" s="44" t="s">
        <v>61</v>
      </c>
      <c r="D1136" s="45">
        <v>80</v>
      </c>
      <c r="E1136" s="45">
        <v>0.9</v>
      </c>
      <c r="F1136" s="45">
        <f t="shared" si="259"/>
        <v>72</v>
      </c>
      <c r="G1136" s="46">
        <f t="shared" si="260"/>
        <v>0</v>
      </c>
      <c r="H1136" s="47">
        <f t="shared" si="261"/>
        <v>0</v>
      </c>
      <c r="I1136" s="46">
        <f t="shared" si="262"/>
        <v>0</v>
      </c>
      <c r="J1136" s="47">
        <v>0</v>
      </c>
      <c r="K1136" s="46">
        <f t="shared" si="263"/>
        <v>0</v>
      </c>
      <c r="L1136" s="47">
        <v>0</v>
      </c>
      <c r="AX1136" s="46">
        <v>0</v>
      </c>
      <c r="AY1136" s="47">
        <v>0</v>
      </c>
      <c r="AZ1136" s="70">
        <f t="shared" si="258"/>
        <v>0</v>
      </c>
      <c r="BC1136" s="50"/>
    </row>
    <row r="1137" spans="1:55" s="48" customFormat="1" ht="27.75" customHeight="1" outlineLevel="1" x14ac:dyDescent="0.25">
      <c r="A1137" s="42">
        <v>8</v>
      </c>
      <c r="B1137" s="43" t="s">
        <v>469</v>
      </c>
      <c r="C1137" s="44" t="s">
        <v>61</v>
      </c>
      <c r="D1137" s="45">
        <v>70</v>
      </c>
      <c r="E1137" s="45">
        <v>2.0175999999999998</v>
      </c>
      <c r="F1137" s="45">
        <f t="shared" si="259"/>
        <v>141.232</v>
      </c>
      <c r="G1137" s="46">
        <f t="shared" si="260"/>
        <v>0</v>
      </c>
      <c r="H1137" s="47">
        <f t="shared" si="261"/>
        <v>0</v>
      </c>
      <c r="I1137" s="46">
        <f t="shared" si="262"/>
        <v>0</v>
      </c>
      <c r="J1137" s="47">
        <v>0</v>
      </c>
      <c r="K1137" s="46">
        <f t="shared" si="263"/>
        <v>0</v>
      </c>
      <c r="L1137" s="47">
        <v>0</v>
      </c>
      <c r="AX1137" s="46">
        <v>0</v>
      </c>
      <c r="AY1137" s="47">
        <v>0</v>
      </c>
      <c r="AZ1137" s="70">
        <f t="shared" si="258"/>
        <v>0</v>
      </c>
      <c r="BC1137" s="50"/>
    </row>
    <row r="1138" spans="1:55" s="48" customFormat="1" ht="27.75" customHeight="1" outlineLevel="1" x14ac:dyDescent="0.25">
      <c r="A1138" s="42">
        <v>9</v>
      </c>
      <c r="B1138" s="43" t="s">
        <v>425</v>
      </c>
      <c r="C1138" s="44" t="s">
        <v>61</v>
      </c>
      <c r="D1138" s="45">
        <v>10</v>
      </c>
      <c r="E1138" s="45">
        <v>1.885</v>
      </c>
      <c r="F1138" s="45">
        <f t="shared" si="259"/>
        <v>18.850000000000001</v>
      </c>
      <c r="G1138" s="46">
        <f t="shared" si="260"/>
        <v>0</v>
      </c>
      <c r="H1138" s="47">
        <f t="shared" si="261"/>
        <v>0</v>
      </c>
      <c r="I1138" s="46">
        <f t="shared" si="262"/>
        <v>0</v>
      </c>
      <c r="J1138" s="47">
        <v>0</v>
      </c>
      <c r="K1138" s="46">
        <f t="shared" si="263"/>
        <v>0</v>
      </c>
      <c r="L1138" s="47">
        <v>0</v>
      </c>
      <c r="AX1138" s="46">
        <v>0</v>
      </c>
      <c r="AY1138" s="47">
        <v>0</v>
      </c>
      <c r="AZ1138" s="70">
        <f t="shared" si="258"/>
        <v>0</v>
      </c>
      <c r="BC1138" s="50"/>
    </row>
    <row r="1139" spans="1:55" s="48" customFormat="1" ht="15.45" customHeight="1" outlineLevel="1" x14ac:dyDescent="0.25">
      <c r="A1139" s="42">
        <v>10</v>
      </c>
      <c r="B1139" s="43" t="s">
        <v>766</v>
      </c>
      <c r="C1139" s="44" t="s">
        <v>93</v>
      </c>
      <c r="D1139" s="45">
        <v>1</v>
      </c>
      <c r="E1139" s="45">
        <v>39.429200000000002</v>
      </c>
      <c r="F1139" s="45">
        <f t="shared" si="259"/>
        <v>39.429200000000002</v>
      </c>
      <c r="G1139" s="46">
        <f t="shared" si="260"/>
        <v>0</v>
      </c>
      <c r="H1139" s="47">
        <f t="shared" si="261"/>
        <v>0</v>
      </c>
      <c r="I1139" s="46">
        <f t="shared" si="262"/>
        <v>0</v>
      </c>
      <c r="J1139" s="47">
        <v>0</v>
      </c>
      <c r="K1139" s="46">
        <f t="shared" si="263"/>
        <v>0</v>
      </c>
      <c r="L1139" s="47">
        <v>0</v>
      </c>
      <c r="AX1139" s="46">
        <v>0</v>
      </c>
      <c r="AY1139" s="47">
        <v>0</v>
      </c>
      <c r="AZ1139" s="70">
        <f t="shared" si="258"/>
        <v>0</v>
      </c>
      <c r="BC1139" s="50"/>
    </row>
    <row r="1140" spans="1:55" s="48" customFormat="1" ht="15.45" customHeight="1" outlineLevel="1" x14ac:dyDescent="0.25">
      <c r="A1140" s="42">
        <v>11</v>
      </c>
      <c r="B1140" s="43" t="s">
        <v>482</v>
      </c>
      <c r="C1140" s="44" t="s">
        <v>93</v>
      </c>
      <c r="D1140" s="45">
        <v>1</v>
      </c>
      <c r="E1140" s="45">
        <v>51.946599999999997</v>
      </c>
      <c r="F1140" s="45">
        <f t="shared" si="259"/>
        <v>51.946599999999997</v>
      </c>
      <c r="G1140" s="46">
        <f t="shared" si="260"/>
        <v>0</v>
      </c>
      <c r="H1140" s="47">
        <f t="shared" si="261"/>
        <v>0</v>
      </c>
      <c r="I1140" s="46">
        <f t="shared" si="262"/>
        <v>0</v>
      </c>
      <c r="J1140" s="47">
        <v>0</v>
      </c>
      <c r="K1140" s="46">
        <f t="shared" si="263"/>
        <v>0</v>
      </c>
      <c r="L1140" s="47">
        <v>0</v>
      </c>
      <c r="AX1140" s="46">
        <v>0</v>
      </c>
      <c r="AY1140" s="47">
        <v>0</v>
      </c>
      <c r="AZ1140" s="70">
        <f t="shared" si="258"/>
        <v>0</v>
      </c>
      <c r="BC1140" s="50"/>
    </row>
    <row r="1141" spans="1:55" s="48" customFormat="1" ht="15.45" customHeight="1" outlineLevel="1" x14ac:dyDescent="0.25">
      <c r="A1141" s="42">
        <v>12</v>
      </c>
      <c r="B1141" s="43" t="s">
        <v>767</v>
      </c>
      <c r="C1141" s="44" t="s">
        <v>93</v>
      </c>
      <c r="D1141" s="45">
        <v>12</v>
      </c>
      <c r="E1141" s="45">
        <v>2.6785999999999999</v>
      </c>
      <c r="F1141" s="45">
        <f t="shared" si="259"/>
        <v>32.1432</v>
      </c>
      <c r="G1141" s="46">
        <f t="shared" si="260"/>
        <v>0</v>
      </c>
      <c r="H1141" s="47">
        <f t="shared" si="261"/>
        <v>0</v>
      </c>
      <c r="I1141" s="46">
        <f t="shared" si="262"/>
        <v>0</v>
      </c>
      <c r="J1141" s="47">
        <v>0</v>
      </c>
      <c r="K1141" s="46">
        <f t="shared" si="263"/>
        <v>0</v>
      </c>
      <c r="L1141" s="47">
        <v>0</v>
      </c>
      <c r="AX1141" s="46">
        <v>0</v>
      </c>
      <c r="AY1141" s="47">
        <v>0</v>
      </c>
      <c r="AZ1141" s="70">
        <f t="shared" si="258"/>
        <v>0</v>
      </c>
      <c r="BC1141" s="50"/>
    </row>
    <row r="1142" spans="1:55" s="48" customFormat="1" ht="15.45" customHeight="1" outlineLevel="1" x14ac:dyDescent="0.25">
      <c r="A1142" s="42">
        <v>13</v>
      </c>
      <c r="B1142" s="43" t="s">
        <v>768</v>
      </c>
      <c r="C1142" s="44" t="s">
        <v>61</v>
      </c>
      <c r="D1142" s="45">
        <v>15</v>
      </c>
      <c r="E1142" s="45">
        <v>0.9</v>
      </c>
      <c r="F1142" s="45">
        <f t="shared" si="259"/>
        <v>13.5</v>
      </c>
      <c r="G1142" s="46">
        <f t="shared" si="260"/>
        <v>0</v>
      </c>
      <c r="H1142" s="47">
        <f t="shared" si="261"/>
        <v>0</v>
      </c>
      <c r="I1142" s="46">
        <f t="shared" si="262"/>
        <v>0</v>
      </c>
      <c r="J1142" s="47">
        <v>0</v>
      </c>
      <c r="K1142" s="46">
        <f t="shared" si="263"/>
        <v>0</v>
      </c>
      <c r="L1142" s="47">
        <v>0</v>
      </c>
      <c r="AX1142" s="46">
        <v>0</v>
      </c>
      <c r="AY1142" s="47">
        <v>0</v>
      </c>
      <c r="AZ1142" s="70">
        <f t="shared" si="258"/>
        <v>0</v>
      </c>
      <c r="BC1142" s="50"/>
    </row>
    <row r="1143" spans="1:55" s="48" customFormat="1" ht="27.75" customHeight="1" outlineLevel="1" x14ac:dyDescent="0.25">
      <c r="A1143" s="42">
        <v>14</v>
      </c>
      <c r="B1143" s="43" t="s">
        <v>469</v>
      </c>
      <c r="C1143" s="44" t="s">
        <v>61</v>
      </c>
      <c r="D1143" s="45">
        <v>15</v>
      </c>
      <c r="E1143" s="45">
        <v>2.0175999999999998</v>
      </c>
      <c r="F1143" s="45">
        <f t="shared" si="259"/>
        <v>30.263999999999996</v>
      </c>
      <c r="G1143" s="46">
        <f t="shared" si="260"/>
        <v>0</v>
      </c>
      <c r="H1143" s="47">
        <f t="shared" si="261"/>
        <v>0</v>
      </c>
      <c r="I1143" s="46">
        <f t="shared" si="262"/>
        <v>0</v>
      </c>
      <c r="J1143" s="47">
        <v>0</v>
      </c>
      <c r="K1143" s="46">
        <f t="shared" si="263"/>
        <v>0</v>
      </c>
      <c r="L1143" s="47">
        <v>0</v>
      </c>
      <c r="AX1143" s="46">
        <v>0</v>
      </c>
      <c r="AY1143" s="47">
        <v>0</v>
      </c>
      <c r="AZ1143" s="70">
        <f t="shared" si="258"/>
        <v>0</v>
      </c>
      <c r="BC1143" s="50"/>
    </row>
    <row r="1144" spans="1:55" s="48" customFormat="1" ht="27.75" customHeight="1" outlineLevel="1" x14ac:dyDescent="0.25">
      <c r="A1144" s="42">
        <v>15</v>
      </c>
      <c r="B1144" s="43" t="s">
        <v>485</v>
      </c>
      <c r="C1144" s="44" t="s">
        <v>61</v>
      </c>
      <c r="D1144" s="45">
        <v>15</v>
      </c>
      <c r="E1144" s="45">
        <v>0.9</v>
      </c>
      <c r="F1144" s="45">
        <f t="shared" si="259"/>
        <v>13.5</v>
      </c>
      <c r="G1144" s="46">
        <f t="shared" si="260"/>
        <v>0</v>
      </c>
      <c r="H1144" s="47">
        <f t="shared" si="261"/>
        <v>0</v>
      </c>
      <c r="I1144" s="46">
        <f t="shared" si="262"/>
        <v>0</v>
      </c>
      <c r="J1144" s="47">
        <v>0</v>
      </c>
      <c r="K1144" s="46">
        <f t="shared" si="263"/>
        <v>0</v>
      </c>
      <c r="L1144" s="47">
        <v>0</v>
      </c>
      <c r="AX1144" s="46">
        <v>0</v>
      </c>
      <c r="AY1144" s="47">
        <v>0</v>
      </c>
      <c r="AZ1144" s="70">
        <f t="shared" si="258"/>
        <v>0</v>
      </c>
      <c r="BC1144" s="50"/>
    </row>
    <row r="1145" spans="1:55" s="48" customFormat="1" ht="27.75" customHeight="1" outlineLevel="1" x14ac:dyDescent="0.25">
      <c r="A1145" s="42">
        <v>16</v>
      </c>
      <c r="B1145" s="43" t="s">
        <v>769</v>
      </c>
      <c r="C1145" s="44" t="s">
        <v>61</v>
      </c>
      <c r="D1145" s="45">
        <v>55</v>
      </c>
      <c r="E1145" s="45">
        <v>0.9</v>
      </c>
      <c r="F1145" s="45">
        <f t="shared" si="259"/>
        <v>49.5</v>
      </c>
      <c r="G1145" s="46">
        <f t="shared" si="260"/>
        <v>0</v>
      </c>
      <c r="H1145" s="47">
        <f t="shared" si="261"/>
        <v>0</v>
      </c>
      <c r="I1145" s="46">
        <f t="shared" si="262"/>
        <v>0</v>
      </c>
      <c r="J1145" s="47">
        <v>0</v>
      </c>
      <c r="K1145" s="46">
        <f t="shared" si="263"/>
        <v>0</v>
      </c>
      <c r="L1145" s="47">
        <v>0</v>
      </c>
      <c r="AX1145" s="46">
        <v>0</v>
      </c>
      <c r="AY1145" s="47">
        <v>0</v>
      </c>
      <c r="AZ1145" s="70">
        <f t="shared" si="258"/>
        <v>0</v>
      </c>
      <c r="BC1145" s="50"/>
    </row>
    <row r="1146" spans="1:55" s="48" customFormat="1" ht="27.75" customHeight="1" outlineLevel="1" x14ac:dyDescent="0.25">
      <c r="A1146" s="42">
        <v>17</v>
      </c>
      <c r="B1146" s="43" t="s">
        <v>407</v>
      </c>
      <c r="C1146" s="44" t="s">
        <v>61</v>
      </c>
      <c r="D1146" s="45">
        <v>70</v>
      </c>
      <c r="E1146" s="45">
        <v>2.1604000000000001</v>
      </c>
      <c r="F1146" s="45">
        <f t="shared" si="259"/>
        <v>151.22800000000001</v>
      </c>
      <c r="G1146" s="46">
        <f t="shared" si="260"/>
        <v>0</v>
      </c>
      <c r="H1146" s="47">
        <f t="shared" si="261"/>
        <v>0</v>
      </c>
      <c r="I1146" s="46">
        <f t="shared" si="262"/>
        <v>0</v>
      </c>
      <c r="J1146" s="47">
        <v>0</v>
      </c>
      <c r="K1146" s="46">
        <f t="shared" si="263"/>
        <v>0</v>
      </c>
      <c r="L1146" s="47">
        <v>0</v>
      </c>
      <c r="AX1146" s="46">
        <v>0</v>
      </c>
      <c r="AY1146" s="47">
        <v>0</v>
      </c>
      <c r="AZ1146" s="70">
        <f t="shared" si="258"/>
        <v>0</v>
      </c>
      <c r="BC1146" s="50"/>
    </row>
    <row r="1147" spans="1:55" s="56" customFormat="1" ht="17.25" customHeight="1" x14ac:dyDescent="0.3">
      <c r="A1147" s="62">
        <v>4.13</v>
      </c>
      <c r="B1147" s="51" t="s">
        <v>770</v>
      </c>
      <c r="C1147" s="52">
        <v>0</v>
      </c>
      <c r="D1147" s="53"/>
      <c r="E1147" s="53"/>
      <c r="F1147" s="53"/>
      <c r="G1147" s="54"/>
      <c r="H1147" s="55"/>
      <c r="I1147" s="54"/>
      <c r="J1147" s="55"/>
      <c r="K1147" s="54"/>
      <c r="L1147" s="55">
        <v>0</v>
      </c>
      <c r="AX1147" s="69">
        <v>0</v>
      </c>
      <c r="AY1147" s="71">
        <v>0</v>
      </c>
      <c r="AZ1147" s="72">
        <f t="shared" si="258"/>
        <v>0</v>
      </c>
      <c r="BC1147" s="58"/>
    </row>
    <row r="1148" spans="1:55" s="48" customFormat="1" ht="15.45" customHeight="1" outlineLevel="1" x14ac:dyDescent="0.25">
      <c r="A1148" s="42">
        <v>1</v>
      </c>
      <c r="B1148" s="43" t="s">
        <v>771</v>
      </c>
      <c r="C1148" s="44" t="s">
        <v>93</v>
      </c>
      <c r="D1148" s="45">
        <v>1</v>
      </c>
      <c r="E1148" s="45">
        <v>260.32040000000012</v>
      </c>
      <c r="F1148" s="45">
        <f>+E1148*D1148</f>
        <v>260.32040000000012</v>
      </c>
      <c r="G1148" s="46">
        <f>I1148+K1148</f>
        <v>0</v>
      </c>
      <c r="H1148" s="47">
        <f>J1148+L1148</f>
        <v>0</v>
      </c>
      <c r="I1148" s="46">
        <f>J1148/F1148</f>
        <v>0</v>
      </c>
      <c r="J1148" s="47">
        <v>0</v>
      </c>
      <c r="K1148" s="46">
        <f>L1148/F1148</f>
        <v>0</v>
      </c>
      <c r="L1148" s="47">
        <v>0</v>
      </c>
      <c r="AX1148" s="46">
        <v>0</v>
      </c>
      <c r="AY1148" s="47">
        <v>0</v>
      </c>
      <c r="AZ1148" s="70">
        <f t="shared" si="258"/>
        <v>0</v>
      </c>
      <c r="BC1148" s="50"/>
    </row>
    <row r="1149" spans="1:55" s="56" customFormat="1" ht="17.25" customHeight="1" x14ac:dyDescent="0.3">
      <c r="A1149" s="62">
        <v>0</v>
      </c>
      <c r="B1149" s="51">
        <v>0</v>
      </c>
      <c r="C1149" s="52">
        <v>0</v>
      </c>
      <c r="D1149" s="53"/>
      <c r="E1149" s="53"/>
      <c r="F1149" s="53"/>
      <c r="G1149" s="54"/>
      <c r="H1149" s="55"/>
      <c r="I1149" s="54"/>
      <c r="J1149" s="55"/>
      <c r="K1149" s="54"/>
      <c r="L1149" s="55">
        <v>0</v>
      </c>
      <c r="AX1149" s="69">
        <v>0</v>
      </c>
      <c r="AY1149" s="71">
        <v>0</v>
      </c>
      <c r="AZ1149" s="72">
        <f t="shared" si="258"/>
        <v>0</v>
      </c>
      <c r="BC1149" s="58"/>
    </row>
    <row r="1150" spans="1:55" s="56" customFormat="1" ht="17.25" customHeight="1" x14ac:dyDescent="0.3">
      <c r="A1150" s="31">
        <v>5.0999999999999996</v>
      </c>
      <c r="B1150" s="51" t="s">
        <v>772</v>
      </c>
      <c r="C1150" s="52">
        <v>0</v>
      </c>
      <c r="D1150" s="53"/>
      <c r="E1150" s="53"/>
      <c r="F1150" s="53"/>
      <c r="G1150" s="54"/>
      <c r="H1150" s="55"/>
      <c r="I1150" s="54"/>
      <c r="J1150" s="55"/>
      <c r="K1150" s="54"/>
      <c r="L1150" s="55">
        <v>0</v>
      </c>
      <c r="AX1150" s="69">
        <v>0</v>
      </c>
      <c r="AY1150" s="71">
        <v>0</v>
      </c>
      <c r="AZ1150" s="72">
        <f t="shared" si="258"/>
        <v>0</v>
      </c>
      <c r="BC1150" s="58"/>
    </row>
    <row r="1151" spans="1:55" s="48" customFormat="1" ht="41.7" customHeight="1" outlineLevel="1" x14ac:dyDescent="0.25">
      <c r="A1151" s="42">
        <v>1</v>
      </c>
      <c r="B1151" s="43" t="s">
        <v>773</v>
      </c>
      <c r="C1151" s="44" t="s">
        <v>61</v>
      </c>
      <c r="D1151" s="45">
        <v>160</v>
      </c>
      <c r="E1151" s="45">
        <v>3.6884000000000001</v>
      </c>
      <c r="F1151" s="45">
        <f t="shared" ref="F1151:F1172" si="264">+E1151*D1151</f>
        <v>590.14400000000001</v>
      </c>
      <c r="G1151" s="46">
        <f t="shared" ref="G1151:G1172" si="265">I1151+K1151</f>
        <v>0</v>
      </c>
      <c r="H1151" s="47">
        <f t="shared" ref="H1151:H1172" si="266">J1151+L1151</f>
        <v>0</v>
      </c>
      <c r="I1151" s="46">
        <f t="shared" ref="I1151:I1172" si="267">J1151/F1151</f>
        <v>0</v>
      </c>
      <c r="J1151" s="47">
        <v>0</v>
      </c>
      <c r="K1151" s="46">
        <f t="shared" ref="K1151:K1172" si="268">L1151/F1151</f>
        <v>0</v>
      </c>
      <c r="L1151" s="47">
        <v>0</v>
      </c>
      <c r="AX1151" s="46">
        <v>0</v>
      </c>
      <c r="AY1151" s="47">
        <v>0</v>
      </c>
      <c r="AZ1151" s="70">
        <f t="shared" si="258"/>
        <v>0</v>
      </c>
      <c r="BC1151" s="50"/>
    </row>
    <row r="1152" spans="1:55" s="48" customFormat="1" ht="27.75" customHeight="1" outlineLevel="1" x14ac:dyDescent="0.25">
      <c r="A1152" s="42">
        <v>2</v>
      </c>
      <c r="B1152" s="43" t="s">
        <v>774</v>
      </c>
      <c r="C1152" s="44" t="s">
        <v>61</v>
      </c>
      <c r="D1152" s="45">
        <v>160</v>
      </c>
      <c r="E1152" s="45">
        <v>1.1162000000000001</v>
      </c>
      <c r="F1152" s="45">
        <f t="shared" si="264"/>
        <v>178.59200000000001</v>
      </c>
      <c r="G1152" s="46">
        <f t="shared" si="265"/>
        <v>0</v>
      </c>
      <c r="H1152" s="47">
        <f t="shared" si="266"/>
        <v>0</v>
      </c>
      <c r="I1152" s="46">
        <f t="shared" si="267"/>
        <v>0</v>
      </c>
      <c r="J1152" s="47">
        <v>0</v>
      </c>
      <c r="K1152" s="46">
        <f t="shared" si="268"/>
        <v>0</v>
      </c>
      <c r="L1152" s="47">
        <v>0</v>
      </c>
      <c r="AX1152" s="46">
        <v>0</v>
      </c>
      <c r="AY1152" s="47">
        <v>0</v>
      </c>
      <c r="AZ1152" s="70">
        <f t="shared" si="258"/>
        <v>0</v>
      </c>
      <c r="BC1152" s="50"/>
    </row>
    <row r="1153" spans="1:55" s="48" customFormat="1" ht="41.7" customHeight="1" outlineLevel="1" x14ac:dyDescent="0.25">
      <c r="A1153" s="42">
        <v>3</v>
      </c>
      <c r="B1153" s="43" t="s">
        <v>775</v>
      </c>
      <c r="C1153" s="44" t="s">
        <v>61</v>
      </c>
      <c r="D1153" s="45">
        <v>815</v>
      </c>
      <c r="E1153" s="45">
        <v>1.8728</v>
      </c>
      <c r="F1153" s="45">
        <f t="shared" si="264"/>
        <v>1526.3320000000001</v>
      </c>
      <c r="G1153" s="46">
        <f t="shared" si="265"/>
        <v>0</v>
      </c>
      <c r="H1153" s="47">
        <f t="shared" si="266"/>
        <v>0</v>
      </c>
      <c r="I1153" s="46">
        <f t="shared" si="267"/>
        <v>0</v>
      </c>
      <c r="J1153" s="47">
        <v>0</v>
      </c>
      <c r="K1153" s="46">
        <f t="shared" si="268"/>
        <v>0</v>
      </c>
      <c r="L1153" s="47">
        <v>0</v>
      </c>
      <c r="AX1153" s="46">
        <v>0</v>
      </c>
      <c r="AY1153" s="47">
        <v>0</v>
      </c>
      <c r="AZ1153" s="70">
        <f t="shared" si="258"/>
        <v>0</v>
      </c>
      <c r="BC1153" s="50"/>
    </row>
    <row r="1154" spans="1:55" s="48" customFormat="1" ht="27.75" customHeight="1" outlineLevel="1" x14ac:dyDescent="0.25">
      <c r="A1154" s="42">
        <v>4</v>
      </c>
      <c r="B1154" s="43" t="s">
        <v>776</v>
      </c>
      <c r="C1154" s="44" t="s">
        <v>61</v>
      </c>
      <c r="D1154" s="45">
        <v>815</v>
      </c>
      <c r="E1154" s="45">
        <v>1.0142</v>
      </c>
      <c r="F1154" s="45">
        <f t="shared" si="264"/>
        <v>826.57299999999998</v>
      </c>
      <c r="G1154" s="46">
        <f t="shared" si="265"/>
        <v>0</v>
      </c>
      <c r="H1154" s="47">
        <f t="shared" si="266"/>
        <v>0</v>
      </c>
      <c r="I1154" s="46">
        <f t="shared" si="267"/>
        <v>0</v>
      </c>
      <c r="J1154" s="47">
        <v>0</v>
      </c>
      <c r="K1154" s="46">
        <f t="shared" si="268"/>
        <v>0</v>
      </c>
      <c r="L1154" s="47">
        <v>0</v>
      </c>
      <c r="AX1154" s="46">
        <v>0</v>
      </c>
      <c r="AY1154" s="47">
        <v>0</v>
      </c>
      <c r="AZ1154" s="70">
        <f t="shared" si="258"/>
        <v>0</v>
      </c>
      <c r="BC1154" s="50"/>
    </row>
    <row r="1155" spans="1:55" s="48" customFormat="1" ht="15.45" customHeight="1" outlineLevel="1" x14ac:dyDescent="0.25">
      <c r="A1155" s="42">
        <v>5</v>
      </c>
      <c r="B1155" s="43" t="s">
        <v>777</v>
      </c>
      <c r="C1155" s="44" t="s">
        <v>61</v>
      </c>
      <c r="D1155" s="45">
        <v>160</v>
      </c>
      <c r="E1155" s="45">
        <v>65.099999999999994</v>
      </c>
      <c r="F1155" s="45">
        <f t="shared" si="264"/>
        <v>10416</v>
      </c>
      <c r="G1155" s="46">
        <f t="shared" si="265"/>
        <v>0</v>
      </c>
      <c r="H1155" s="47">
        <f t="shared" si="266"/>
        <v>0</v>
      </c>
      <c r="I1155" s="46">
        <f t="shared" si="267"/>
        <v>0</v>
      </c>
      <c r="J1155" s="47">
        <v>0</v>
      </c>
      <c r="K1155" s="46">
        <f t="shared" si="268"/>
        <v>0</v>
      </c>
      <c r="L1155" s="47">
        <v>0</v>
      </c>
      <c r="AX1155" s="46">
        <v>0</v>
      </c>
      <c r="AY1155" s="47">
        <v>0</v>
      </c>
      <c r="AZ1155" s="70">
        <f t="shared" si="258"/>
        <v>0</v>
      </c>
      <c r="BC1155" s="50"/>
    </row>
    <row r="1156" spans="1:55" s="48" customFormat="1" ht="15.45" customHeight="1" outlineLevel="1" x14ac:dyDescent="0.25">
      <c r="A1156" s="42">
        <v>6</v>
      </c>
      <c r="B1156" s="43" t="s">
        <v>778</v>
      </c>
      <c r="C1156" s="44" t="s">
        <v>61</v>
      </c>
      <c r="D1156" s="45">
        <v>40</v>
      </c>
      <c r="E1156" s="45">
        <v>13.2</v>
      </c>
      <c r="F1156" s="45">
        <f t="shared" si="264"/>
        <v>528</v>
      </c>
      <c r="G1156" s="46">
        <f t="shared" si="265"/>
        <v>0</v>
      </c>
      <c r="H1156" s="47">
        <f t="shared" si="266"/>
        <v>0</v>
      </c>
      <c r="I1156" s="46">
        <f t="shared" si="267"/>
        <v>0</v>
      </c>
      <c r="J1156" s="47">
        <v>0</v>
      </c>
      <c r="K1156" s="46">
        <f t="shared" si="268"/>
        <v>0</v>
      </c>
      <c r="L1156" s="47">
        <v>0</v>
      </c>
      <c r="AX1156" s="46">
        <v>0</v>
      </c>
      <c r="AY1156" s="47">
        <v>0</v>
      </c>
      <c r="AZ1156" s="70">
        <f t="shared" si="258"/>
        <v>0</v>
      </c>
      <c r="BC1156" s="50"/>
    </row>
    <row r="1157" spans="1:55" s="48" customFormat="1" ht="15.45" customHeight="1" outlineLevel="1" x14ac:dyDescent="0.25">
      <c r="A1157" s="42">
        <v>7</v>
      </c>
      <c r="B1157" s="43" t="s">
        <v>779</v>
      </c>
      <c r="C1157" s="44" t="s">
        <v>61</v>
      </c>
      <c r="D1157" s="45">
        <v>505</v>
      </c>
      <c r="E1157" s="45">
        <v>3.7</v>
      </c>
      <c r="F1157" s="45">
        <f t="shared" si="264"/>
        <v>1868.5</v>
      </c>
      <c r="G1157" s="46">
        <f t="shared" si="265"/>
        <v>0</v>
      </c>
      <c r="H1157" s="47">
        <f t="shared" si="266"/>
        <v>0</v>
      </c>
      <c r="I1157" s="46">
        <f t="shared" si="267"/>
        <v>0</v>
      </c>
      <c r="J1157" s="47">
        <v>0</v>
      </c>
      <c r="K1157" s="46">
        <f t="shared" si="268"/>
        <v>0</v>
      </c>
      <c r="L1157" s="47">
        <v>0</v>
      </c>
      <c r="AX1157" s="46">
        <v>0</v>
      </c>
      <c r="AY1157" s="47">
        <v>0</v>
      </c>
      <c r="AZ1157" s="70">
        <f t="shared" si="258"/>
        <v>0</v>
      </c>
      <c r="BC1157" s="50"/>
    </row>
    <row r="1158" spans="1:55" s="48" customFormat="1" ht="15.45" customHeight="1" outlineLevel="1" x14ac:dyDescent="0.25">
      <c r="A1158" s="42">
        <v>8</v>
      </c>
      <c r="B1158" s="43" t="s">
        <v>780</v>
      </c>
      <c r="C1158" s="44" t="s">
        <v>61</v>
      </c>
      <c r="D1158" s="45">
        <v>230</v>
      </c>
      <c r="E1158" s="45">
        <v>5.129999999999999</v>
      </c>
      <c r="F1158" s="45">
        <f t="shared" si="264"/>
        <v>1179.8999999999999</v>
      </c>
      <c r="G1158" s="46">
        <f t="shared" si="265"/>
        <v>0</v>
      </c>
      <c r="H1158" s="47">
        <f t="shared" si="266"/>
        <v>0</v>
      </c>
      <c r="I1158" s="46">
        <f t="shared" si="267"/>
        <v>0</v>
      </c>
      <c r="J1158" s="47">
        <v>0</v>
      </c>
      <c r="K1158" s="46">
        <f t="shared" si="268"/>
        <v>0</v>
      </c>
      <c r="L1158" s="47">
        <v>0</v>
      </c>
      <c r="AX1158" s="46">
        <v>0</v>
      </c>
      <c r="AY1158" s="47">
        <v>0</v>
      </c>
      <c r="AZ1158" s="70">
        <f t="shared" si="258"/>
        <v>0</v>
      </c>
      <c r="BC1158" s="50"/>
    </row>
    <row r="1159" spans="1:55" s="48" customFormat="1" ht="15.45" customHeight="1" outlineLevel="1" x14ac:dyDescent="0.25">
      <c r="A1159" s="42">
        <v>9</v>
      </c>
      <c r="B1159" s="43" t="s">
        <v>781</v>
      </c>
      <c r="C1159" s="44" t="s">
        <v>61</v>
      </c>
      <c r="D1159" s="45">
        <v>40</v>
      </c>
      <c r="E1159" s="45">
        <v>3.1</v>
      </c>
      <c r="F1159" s="45">
        <f t="shared" si="264"/>
        <v>124</v>
      </c>
      <c r="G1159" s="46">
        <f t="shared" si="265"/>
        <v>0</v>
      </c>
      <c r="H1159" s="47">
        <f t="shared" si="266"/>
        <v>0</v>
      </c>
      <c r="I1159" s="46">
        <f t="shared" si="267"/>
        <v>0</v>
      </c>
      <c r="J1159" s="47">
        <v>0</v>
      </c>
      <c r="K1159" s="46">
        <f t="shared" si="268"/>
        <v>0</v>
      </c>
      <c r="L1159" s="47">
        <v>0</v>
      </c>
      <c r="AX1159" s="46">
        <v>0</v>
      </c>
      <c r="AY1159" s="47">
        <v>0</v>
      </c>
      <c r="AZ1159" s="70">
        <f t="shared" si="258"/>
        <v>0</v>
      </c>
      <c r="BC1159" s="50"/>
    </row>
    <row r="1160" spans="1:55" s="48" customFormat="1" ht="27.75" customHeight="1" outlineLevel="1" x14ac:dyDescent="0.25">
      <c r="A1160" s="42">
        <v>10</v>
      </c>
      <c r="B1160" s="43" t="s">
        <v>782</v>
      </c>
      <c r="C1160" s="44" t="s">
        <v>61</v>
      </c>
      <c r="D1160" s="45">
        <v>975</v>
      </c>
      <c r="E1160" s="45">
        <v>1.4528000000000001</v>
      </c>
      <c r="F1160" s="45">
        <f t="shared" si="264"/>
        <v>1416.48</v>
      </c>
      <c r="G1160" s="46">
        <f t="shared" si="265"/>
        <v>0</v>
      </c>
      <c r="H1160" s="47">
        <f t="shared" si="266"/>
        <v>0</v>
      </c>
      <c r="I1160" s="46">
        <f t="shared" si="267"/>
        <v>0</v>
      </c>
      <c r="J1160" s="47">
        <v>0</v>
      </c>
      <c r="K1160" s="46">
        <f t="shared" si="268"/>
        <v>0</v>
      </c>
      <c r="L1160" s="47">
        <v>0</v>
      </c>
      <c r="AX1160" s="46">
        <v>0</v>
      </c>
      <c r="AY1160" s="47">
        <v>0</v>
      </c>
      <c r="AZ1160" s="70">
        <f t="shared" si="258"/>
        <v>0</v>
      </c>
      <c r="BC1160" s="50"/>
    </row>
    <row r="1161" spans="1:55" s="48" customFormat="1" ht="35.25" customHeight="1" outlineLevel="1" x14ac:dyDescent="0.25">
      <c r="A1161" s="42">
        <v>11</v>
      </c>
      <c r="B1161" s="43" t="s">
        <v>783</v>
      </c>
      <c r="C1161" s="44" t="s">
        <v>61</v>
      </c>
      <c r="D1161" s="45">
        <v>895</v>
      </c>
      <c r="E1161" s="45">
        <v>1.3138000000000001</v>
      </c>
      <c r="F1161" s="45">
        <f t="shared" si="264"/>
        <v>1175.8510000000001</v>
      </c>
      <c r="G1161" s="46">
        <f t="shared" si="265"/>
        <v>0</v>
      </c>
      <c r="H1161" s="47">
        <f t="shared" si="266"/>
        <v>0</v>
      </c>
      <c r="I1161" s="46">
        <f t="shared" si="267"/>
        <v>0</v>
      </c>
      <c r="J1161" s="47">
        <v>0</v>
      </c>
      <c r="K1161" s="46">
        <f t="shared" si="268"/>
        <v>0</v>
      </c>
      <c r="L1161" s="47">
        <v>0</v>
      </c>
      <c r="AX1161" s="46">
        <v>0</v>
      </c>
      <c r="AY1161" s="47">
        <v>0</v>
      </c>
      <c r="AZ1161" s="70">
        <f t="shared" si="258"/>
        <v>0</v>
      </c>
      <c r="BC1161" s="50"/>
    </row>
    <row r="1162" spans="1:55" s="48" customFormat="1" ht="15.45" customHeight="1" outlineLevel="1" x14ac:dyDescent="0.25">
      <c r="A1162" s="42">
        <v>12</v>
      </c>
      <c r="B1162" s="43" t="s">
        <v>784</v>
      </c>
      <c r="C1162" s="44" t="s">
        <v>61</v>
      </c>
      <c r="D1162" s="45">
        <v>80</v>
      </c>
      <c r="E1162" s="45">
        <v>1.8646</v>
      </c>
      <c r="F1162" s="45">
        <f t="shared" si="264"/>
        <v>149.16800000000001</v>
      </c>
      <c r="G1162" s="46">
        <f t="shared" si="265"/>
        <v>0</v>
      </c>
      <c r="H1162" s="47">
        <f t="shared" si="266"/>
        <v>0</v>
      </c>
      <c r="I1162" s="46">
        <f t="shared" si="267"/>
        <v>0</v>
      </c>
      <c r="J1162" s="47">
        <v>0</v>
      </c>
      <c r="K1162" s="46">
        <f t="shared" si="268"/>
        <v>0</v>
      </c>
      <c r="L1162" s="47">
        <v>0</v>
      </c>
      <c r="AX1162" s="46">
        <v>0</v>
      </c>
      <c r="AY1162" s="47">
        <v>0</v>
      </c>
      <c r="AZ1162" s="70">
        <f t="shared" si="258"/>
        <v>0</v>
      </c>
      <c r="BC1162" s="50"/>
    </row>
    <row r="1163" spans="1:55" s="48" customFormat="1" ht="15.45" customHeight="1" outlineLevel="1" x14ac:dyDescent="0.25">
      <c r="A1163" s="42">
        <v>13</v>
      </c>
      <c r="B1163" s="43" t="s">
        <v>785</v>
      </c>
      <c r="C1163" s="44" t="s">
        <v>93</v>
      </c>
      <c r="D1163" s="45">
        <v>20</v>
      </c>
      <c r="E1163" s="45">
        <v>7.0951999999999993</v>
      </c>
      <c r="F1163" s="45">
        <f t="shared" si="264"/>
        <v>141.904</v>
      </c>
      <c r="G1163" s="46">
        <f t="shared" si="265"/>
        <v>0</v>
      </c>
      <c r="H1163" s="47">
        <f t="shared" si="266"/>
        <v>0</v>
      </c>
      <c r="I1163" s="46">
        <f t="shared" si="267"/>
        <v>0</v>
      </c>
      <c r="J1163" s="47">
        <v>0</v>
      </c>
      <c r="K1163" s="46">
        <f t="shared" si="268"/>
        <v>0</v>
      </c>
      <c r="L1163" s="47">
        <v>0</v>
      </c>
      <c r="AX1163" s="46">
        <v>0.60000000000000009</v>
      </c>
      <c r="AY1163" s="47">
        <v>14400</v>
      </c>
      <c r="AZ1163" s="70">
        <f t="shared" si="258"/>
        <v>0</v>
      </c>
      <c r="BC1163" s="50"/>
    </row>
    <row r="1164" spans="1:55" s="48" customFormat="1" ht="15.45" customHeight="1" outlineLevel="1" x14ac:dyDescent="0.25">
      <c r="A1164" s="42">
        <v>14</v>
      </c>
      <c r="B1164" s="43" t="s">
        <v>786</v>
      </c>
      <c r="C1164" s="44" t="s">
        <v>93</v>
      </c>
      <c r="D1164" s="45">
        <v>8</v>
      </c>
      <c r="E1164" s="45">
        <v>12.103400000000001</v>
      </c>
      <c r="F1164" s="45">
        <f t="shared" si="264"/>
        <v>96.827200000000005</v>
      </c>
      <c r="G1164" s="46">
        <f t="shared" si="265"/>
        <v>0</v>
      </c>
      <c r="H1164" s="47">
        <f t="shared" si="266"/>
        <v>0</v>
      </c>
      <c r="I1164" s="46">
        <f t="shared" si="267"/>
        <v>0</v>
      </c>
      <c r="J1164" s="47">
        <v>0</v>
      </c>
      <c r="K1164" s="46">
        <f t="shared" si="268"/>
        <v>0</v>
      </c>
      <c r="L1164" s="47">
        <v>0</v>
      </c>
      <c r="AX1164" s="46">
        <v>0.5</v>
      </c>
      <c r="AY1164" s="47">
        <v>2250</v>
      </c>
      <c r="AZ1164" s="70">
        <f t="shared" si="258"/>
        <v>0</v>
      </c>
      <c r="BC1164" s="50"/>
    </row>
    <row r="1165" spans="1:55" s="48" customFormat="1" ht="27.75" customHeight="1" outlineLevel="1" x14ac:dyDescent="0.25">
      <c r="A1165" s="42">
        <v>15</v>
      </c>
      <c r="B1165" s="43" t="s">
        <v>787</v>
      </c>
      <c r="C1165" s="44" t="s">
        <v>93</v>
      </c>
      <c r="D1165" s="45">
        <v>28</v>
      </c>
      <c r="E1165" s="45">
        <v>15.502000000000001</v>
      </c>
      <c r="F1165" s="45">
        <f t="shared" si="264"/>
        <v>434.05600000000004</v>
      </c>
      <c r="G1165" s="46">
        <f t="shared" si="265"/>
        <v>0</v>
      </c>
      <c r="H1165" s="47">
        <f t="shared" si="266"/>
        <v>0</v>
      </c>
      <c r="I1165" s="46">
        <f t="shared" si="267"/>
        <v>0</v>
      </c>
      <c r="J1165" s="47">
        <v>0</v>
      </c>
      <c r="K1165" s="46">
        <f t="shared" si="268"/>
        <v>0</v>
      </c>
      <c r="L1165" s="47">
        <v>0</v>
      </c>
      <c r="AX1165" s="46">
        <v>0.5</v>
      </c>
      <c r="AY1165" s="47">
        <v>3750</v>
      </c>
      <c r="AZ1165" s="70">
        <f t="shared" si="258"/>
        <v>0</v>
      </c>
      <c r="BC1165" s="50"/>
    </row>
    <row r="1166" spans="1:55" s="48" customFormat="1" ht="27.75" customHeight="1" outlineLevel="1" x14ac:dyDescent="0.25">
      <c r="A1166" s="42">
        <v>16</v>
      </c>
      <c r="B1166" s="43" t="s">
        <v>707</v>
      </c>
      <c r="C1166" s="44" t="s">
        <v>110</v>
      </c>
      <c r="D1166" s="45">
        <v>291</v>
      </c>
      <c r="E1166" s="45">
        <v>0.85100000000000009</v>
      </c>
      <c r="F1166" s="45">
        <f t="shared" si="264"/>
        <v>247.64100000000002</v>
      </c>
      <c r="G1166" s="46">
        <f t="shared" si="265"/>
        <v>0</v>
      </c>
      <c r="H1166" s="47">
        <f t="shared" si="266"/>
        <v>0</v>
      </c>
      <c r="I1166" s="46">
        <f t="shared" si="267"/>
        <v>0</v>
      </c>
      <c r="J1166" s="47">
        <v>0</v>
      </c>
      <c r="K1166" s="46">
        <f t="shared" si="268"/>
        <v>0</v>
      </c>
      <c r="L1166" s="47">
        <v>0</v>
      </c>
      <c r="AX1166" s="46">
        <v>0.5</v>
      </c>
      <c r="AY1166" s="47">
        <v>6000</v>
      </c>
      <c r="AZ1166" s="70">
        <f t="shared" si="258"/>
        <v>0</v>
      </c>
      <c r="BC1166" s="50"/>
    </row>
    <row r="1167" spans="1:55" s="48" customFormat="1" ht="27.75" customHeight="1" outlineLevel="1" x14ac:dyDescent="0.25">
      <c r="A1167" s="42">
        <v>17</v>
      </c>
      <c r="B1167" s="43" t="s">
        <v>788</v>
      </c>
      <c r="C1167" s="44" t="s">
        <v>110</v>
      </c>
      <c r="D1167" s="45">
        <v>22</v>
      </c>
      <c r="E1167" s="45">
        <v>22.172799999999999</v>
      </c>
      <c r="F1167" s="45">
        <f t="shared" si="264"/>
        <v>487.80159999999995</v>
      </c>
      <c r="G1167" s="46">
        <f t="shared" si="265"/>
        <v>0</v>
      </c>
      <c r="H1167" s="47">
        <f t="shared" si="266"/>
        <v>0</v>
      </c>
      <c r="I1167" s="46">
        <f t="shared" si="267"/>
        <v>0</v>
      </c>
      <c r="J1167" s="47">
        <v>0</v>
      </c>
      <c r="K1167" s="46">
        <f t="shared" si="268"/>
        <v>0</v>
      </c>
      <c r="L1167" s="47">
        <v>0</v>
      </c>
      <c r="AX1167" s="46">
        <v>0.60000000000000009</v>
      </c>
      <c r="AY1167" s="47">
        <v>3600</v>
      </c>
      <c r="AZ1167" s="70">
        <f t="shared" si="258"/>
        <v>0</v>
      </c>
      <c r="BC1167" s="50"/>
    </row>
    <row r="1168" spans="1:55" s="48" customFormat="1" ht="27.75" customHeight="1" outlineLevel="1" x14ac:dyDescent="0.25">
      <c r="A1168" s="42">
        <v>18</v>
      </c>
      <c r="B1168" s="43" t="s">
        <v>789</v>
      </c>
      <c r="C1168" s="44" t="s">
        <v>110</v>
      </c>
      <c r="D1168" s="45">
        <v>235</v>
      </c>
      <c r="E1168" s="45">
        <v>0.9</v>
      </c>
      <c r="F1168" s="45">
        <f t="shared" si="264"/>
        <v>211.5</v>
      </c>
      <c r="G1168" s="46">
        <f t="shared" si="265"/>
        <v>0</v>
      </c>
      <c r="H1168" s="47">
        <f t="shared" si="266"/>
        <v>0</v>
      </c>
      <c r="I1168" s="46">
        <f t="shared" si="267"/>
        <v>0</v>
      </c>
      <c r="J1168" s="47">
        <v>0</v>
      </c>
      <c r="K1168" s="46">
        <f t="shared" si="268"/>
        <v>0</v>
      </c>
      <c r="L1168" s="47">
        <v>0</v>
      </c>
      <c r="AX1168" s="46">
        <v>0.5</v>
      </c>
      <c r="AY1168" s="47">
        <v>4000</v>
      </c>
      <c r="AZ1168" s="70">
        <f t="shared" si="258"/>
        <v>0</v>
      </c>
      <c r="BC1168" s="50"/>
    </row>
    <row r="1169" spans="1:55" s="48" customFormat="1" ht="15.45" customHeight="1" outlineLevel="1" x14ac:dyDescent="0.25">
      <c r="A1169" s="42">
        <v>19</v>
      </c>
      <c r="B1169" s="43" t="s">
        <v>166</v>
      </c>
      <c r="C1169" s="44" t="s">
        <v>110</v>
      </c>
      <c r="D1169" s="45">
        <v>78</v>
      </c>
      <c r="E1169" s="45">
        <v>8.16</v>
      </c>
      <c r="F1169" s="45">
        <f t="shared" si="264"/>
        <v>636.48</v>
      </c>
      <c r="G1169" s="46">
        <f t="shared" si="265"/>
        <v>0</v>
      </c>
      <c r="H1169" s="47">
        <f t="shared" si="266"/>
        <v>0</v>
      </c>
      <c r="I1169" s="46">
        <f t="shared" si="267"/>
        <v>0</v>
      </c>
      <c r="J1169" s="47">
        <v>0</v>
      </c>
      <c r="K1169" s="46">
        <f t="shared" si="268"/>
        <v>0</v>
      </c>
      <c r="L1169" s="47">
        <v>0</v>
      </c>
      <c r="AX1169" s="46">
        <v>0.5</v>
      </c>
      <c r="AY1169" s="47">
        <v>1250</v>
      </c>
      <c r="AZ1169" s="70">
        <f t="shared" si="258"/>
        <v>0</v>
      </c>
      <c r="BC1169" s="50"/>
    </row>
    <row r="1170" spans="1:55" s="48" customFormat="1" ht="15.45" customHeight="1" outlineLevel="1" x14ac:dyDescent="0.25">
      <c r="A1170" s="42">
        <v>20</v>
      </c>
      <c r="B1170" s="43" t="s">
        <v>37</v>
      </c>
      <c r="C1170" s="44" t="s">
        <v>110</v>
      </c>
      <c r="D1170" s="45">
        <v>235</v>
      </c>
      <c r="E1170" s="45">
        <v>2</v>
      </c>
      <c r="F1170" s="45">
        <f t="shared" si="264"/>
        <v>470</v>
      </c>
      <c r="G1170" s="46">
        <f t="shared" si="265"/>
        <v>0</v>
      </c>
      <c r="H1170" s="47">
        <f t="shared" si="266"/>
        <v>0</v>
      </c>
      <c r="I1170" s="46">
        <f t="shared" si="267"/>
        <v>0</v>
      </c>
      <c r="J1170" s="47">
        <v>0</v>
      </c>
      <c r="K1170" s="46">
        <f t="shared" si="268"/>
        <v>0</v>
      </c>
      <c r="L1170" s="47">
        <v>0</v>
      </c>
      <c r="AX1170" s="46">
        <v>0.5</v>
      </c>
      <c r="AY1170" s="47">
        <v>1250</v>
      </c>
      <c r="AZ1170" s="70">
        <f t="shared" si="258"/>
        <v>0</v>
      </c>
      <c r="BC1170" s="50"/>
    </row>
    <row r="1171" spans="1:55" s="48" customFormat="1" ht="15.45" customHeight="1" outlineLevel="1" x14ac:dyDescent="0.25">
      <c r="A1171" s="42">
        <v>21</v>
      </c>
      <c r="B1171" s="43" t="s">
        <v>790</v>
      </c>
      <c r="C1171" s="44" t="s">
        <v>93</v>
      </c>
      <c r="D1171" s="45">
        <v>1</v>
      </c>
      <c r="E1171" s="45">
        <v>13.9292</v>
      </c>
      <c r="F1171" s="45">
        <f t="shared" si="264"/>
        <v>13.9292</v>
      </c>
      <c r="G1171" s="46">
        <f t="shared" si="265"/>
        <v>0</v>
      </c>
      <c r="H1171" s="47">
        <f t="shared" si="266"/>
        <v>0</v>
      </c>
      <c r="I1171" s="46">
        <f t="shared" si="267"/>
        <v>0</v>
      </c>
      <c r="J1171" s="47">
        <v>0</v>
      </c>
      <c r="K1171" s="46">
        <f t="shared" si="268"/>
        <v>0</v>
      </c>
      <c r="L1171" s="47">
        <v>0</v>
      </c>
      <c r="AX1171" s="46">
        <v>0.60000000000000009</v>
      </c>
      <c r="AY1171" s="47">
        <v>3900</v>
      </c>
      <c r="AZ1171" s="70">
        <f t="shared" si="258"/>
        <v>0</v>
      </c>
      <c r="BC1171" s="50"/>
    </row>
    <row r="1172" spans="1:55" s="48" customFormat="1" ht="15.45" customHeight="1" outlineLevel="1" x14ac:dyDescent="0.25">
      <c r="A1172" s="42">
        <v>22</v>
      </c>
      <c r="B1172" s="43" t="s">
        <v>362</v>
      </c>
      <c r="C1172" s="44" t="s">
        <v>93</v>
      </c>
      <c r="D1172" s="45">
        <v>1</v>
      </c>
      <c r="E1172" s="45">
        <v>14.3698</v>
      </c>
      <c r="F1172" s="45">
        <f t="shared" si="264"/>
        <v>14.3698</v>
      </c>
      <c r="G1172" s="46">
        <f t="shared" si="265"/>
        <v>0</v>
      </c>
      <c r="H1172" s="47">
        <f t="shared" si="266"/>
        <v>0</v>
      </c>
      <c r="I1172" s="46">
        <f t="shared" si="267"/>
        <v>0</v>
      </c>
      <c r="J1172" s="47">
        <v>0</v>
      </c>
      <c r="K1172" s="46">
        <f t="shared" si="268"/>
        <v>0</v>
      </c>
      <c r="L1172" s="47">
        <v>0</v>
      </c>
      <c r="AX1172" s="46">
        <v>0.60000000000000009</v>
      </c>
      <c r="AY1172" s="47">
        <v>3600</v>
      </c>
      <c r="AZ1172" s="70">
        <f t="shared" si="258"/>
        <v>0</v>
      </c>
      <c r="BC1172" s="50"/>
    </row>
    <row r="1173" spans="1:55" s="56" customFormat="1" ht="17.25" customHeight="1" x14ac:dyDescent="0.3">
      <c r="A1173" s="31">
        <v>6.1</v>
      </c>
      <c r="B1173" s="51" t="s">
        <v>791</v>
      </c>
      <c r="C1173" s="52">
        <v>0</v>
      </c>
      <c r="D1173" s="53"/>
      <c r="E1173" s="53"/>
      <c r="F1173" s="53"/>
      <c r="G1173" s="54"/>
      <c r="H1173" s="55"/>
      <c r="I1173" s="54"/>
      <c r="J1173" s="55"/>
      <c r="K1173" s="54"/>
      <c r="L1173" s="55">
        <v>0</v>
      </c>
      <c r="AX1173" s="69">
        <v>0.60000000000000009</v>
      </c>
      <c r="AY1173" s="71">
        <v>2700</v>
      </c>
      <c r="AZ1173" s="72">
        <f t="shared" si="258"/>
        <v>0</v>
      </c>
      <c r="BC1173" s="58"/>
    </row>
    <row r="1174" spans="1:55" s="48" customFormat="1" ht="27.75" customHeight="1" outlineLevel="1" x14ac:dyDescent="0.25">
      <c r="A1174" s="42">
        <v>1</v>
      </c>
      <c r="B1174" s="43" t="s">
        <v>792</v>
      </c>
      <c r="C1174" s="44" t="s">
        <v>93</v>
      </c>
      <c r="D1174" s="45">
        <v>1</v>
      </c>
      <c r="E1174" s="45">
        <v>20000.099999999999</v>
      </c>
      <c r="F1174" s="45">
        <f t="shared" ref="F1174:F1184" si="269">+E1174*D1174</f>
        <v>20000.099999999999</v>
      </c>
      <c r="G1174" s="46">
        <f t="shared" ref="G1174:G1184" si="270">I1174+K1174</f>
        <v>0</v>
      </c>
      <c r="H1174" s="47">
        <f t="shared" ref="H1174:H1184" si="271">J1174+L1174</f>
        <v>0</v>
      </c>
      <c r="I1174" s="46">
        <f t="shared" ref="I1174:I1184" si="272">J1174/F1174</f>
        <v>0</v>
      </c>
      <c r="J1174" s="47">
        <v>0</v>
      </c>
      <c r="K1174" s="46">
        <f t="shared" ref="K1174:K1184" si="273">L1174/F1174</f>
        <v>0</v>
      </c>
      <c r="L1174" s="47">
        <v>0</v>
      </c>
      <c r="AX1174" s="46">
        <v>0.5</v>
      </c>
      <c r="AY1174" s="47">
        <v>33750</v>
      </c>
      <c r="AZ1174" s="70">
        <f t="shared" si="258"/>
        <v>0</v>
      </c>
      <c r="BC1174" s="50"/>
    </row>
    <row r="1175" spans="1:55" s="48" customFormat="1" ht="27.75" customHeight="1" outlineLevel="1" x14ac:dyDescent="0.25">
      <c r="A1175" s="42">
        <v>2</v>
      </c>
      <c r="B1175" s="43" t="s">
        <v>793</v>
      </c>
      <c r="C1175" s="44" t="s">
        <v>93</v>
      </c>
      <c r="D1175" s="45">
        <v>1</v>
      </c>
      <c r="E1175" s="45">
        <v>876.89200000000005</v>
      </c>
      <c r="F1175" s="45">
        <f t="shared" si="269"/>
        <v>876.89200000000005</v>
      </c>
      <c r="G1175" s="46">
        <f t="shared" si="270"/>
        <v>0</v>
      </c>
      <c r="H1175" s="47">
        <f t="shared" si="271"/>
        <v>0</v>
      </c>
      <c r="I1175" s="46">
        <f t="shared" si="272"/>
        <v>0</v>
      </c>
      <c r="J1175" s="47">
        <v>0</v>
      </c>
      <c r="K1175" s="46">
        <f t="shared" si="273"/>
        <v>0</v>
      </c>
      <c r="L1175" s="47">
        <v>0</v>
      </c>
      <c r="AX1175" s="46">
        <v>0.5</v>
      </c>
      <c r="AY1175" s="47">
        <v>15000</v>
      </c>
      <c r="AZ1175" s="70">
        <f t="shared" si="258"/>
        <v>0</v>
      </c>
      <c r="BC1175" s="50"/>
    </row>
    <row r="1176" spans="1:55" s="48" customFormat="1" ht="15.45" customHeight="1" outlineLevel="1" x14ac:dyDescent="0.25">
      <c r="A1176" s="42">
        <v>3</v>
      </c>
      <c r="B1176" s="43" t="s">
        <v>794</v>
      </c>
      <c r="C1176" s="44" t="s">
        <v>61</v>
      </c>
      <c r="D1176" s="45">
        <v>7</v>
      </c>
      <c r="E1176" s="45">
        <v>27.372800000000009</v>
      </c>
      <c r="F1176" s="45">
        <f t="shared" si="269"/>
        <v>191.60960000000006</v>
      </c>
      <c r="G1176" s="46">
        <f t="shared" si="270"/>
        <v>0</v>
      </c>
      <c r="H1176" s="47">
        <f t="shared" si="271"/>
        <v>0</v>
      </c>
      <c r="I1176" s="46">
        <f t="shared" si="272"/>
        <v>0</v>
      </c>
      <c r="J1176" s="47">
        <v>0</v>
      </c>
      <c r="K1176" s="46">
        <f t="shared" si="273"/>
        <v>0</v>
      </c>
      <c r="L1176" s="47">
        <v>0</v>
      </c>
      <c r="AX1176" s="46">
        <v>0.4</v>
      </c>
      <c r="AY1176" s="47">
        <v>6000</v>
      </c>
      <c r="AZ1176" s="70">
        <f t="shared" si="258"/>
        <v>0</v>
      </c>
      <c r="BC1176" s="50"/>
    </row>
    <row r="1177" spans="1:55" s="48" customFormat="1" ht="15.45" customHeight="1" outlineLevel="1" x14ac:dyDescent="0.25">
      <c r="A1177" s="42">
        <v>4</v>
      </c>
      <c r="B1177" s="43" t="s">
        <v>430</v>
      </c>
      <c r="C1177" s="44" t="s">
        <v>61</v>
      </c>
      <c r="D1177" s="45">
        <v>10</v>
      </c>
      <c r="E1177" s="45">
        <v>7.3807999999999998</v>
      </c>
      <c r="F1177" s="45">
        <f t="shared" si="269"/>
        <v>73.807999999999993</v>
      </c>
      <c r="G1177" s="46">
        <f t="shared" si="270"/>
        <v>0</v>
      </c>
      <c r="H1177" s="47">
        <f t="shared" si="271"/>
        <v>0</v>
      </c>
      <c r="I1177" s="46">
        <f t="shared" si="272"/>
        <v>0</v>
      </c>
      <c r="J1177" s="47">
        <v>0</v>
      </c>
      <c r="K1177" s="46">
        <f t="shared" si="273"/>
        <v>0</v>
      </c>
      <c r="L1177" s="47">
        <v>0</v>
      </c>
      <c r="AX1177" s="46">
        <v>0</v>
      </c>
      <c r="AY1177" s="47">
        <v>0</v>
      </c>
      <c r="AZ1177" s="70">
        <f t="shared" si="258"/>
        <v>0</v>
      </c>
      <c r="BC1177" s="50"/>
    </row>
    <row r="1178" spans="1:55" s="48" customFormat="1" ht="15.45" customHeight="1" outlineLevel="1" x14ac:dyDescent="0.25">
      <c r="A1178" s="42">
        <v>5</v>
      </c>
      <c r="B1178" s="43" t="s">
        <v>431</v>
      </c>
      <c r="C1178" s="44" t="s">
        <v>61</v>
      </c>
      <c r="D1178" s="45">
        <v>10</v>
      </c>
      <c r="E1178" s="45">
        <v>2.1604000000000001</v>
      </c>
      <c r="F1178" s="45">
        <f t="shared" si="269"/>
        <v>21.603999999999999</v>
      </c>
      <c r="G1178" s="46">
        <f t="shared" si="270"/>
        <v>0</v>
      </c>
      <c r="H1178" s="47">
        <f t="shared" si="271"/>
        <v>0</v>
      </c>
      <c r="I1178" s="46">
        <f t="shared" si="272"/>
        <v>0</v>
      </c>
      <c r="J1178" s="47">
        <v>0</v>
      </c>
      <c r="K1178" s="46">
        <f t="shared" si="273"/>
        <v>0</v>
      </c>
      <c r="L1178" s="47">
        <v>0</v>
      </c>
      <c r="AX1178" s="46">
        <v>0</v>
      </c>
      <c r="AY1178" s="47">
        <v>0</v>
      </c>
      <c r="AZ1178" s="70">
        <f t="shared" ref="AZ1178:AZ1241" si="274">H1178-J1178</f>
        <v>0</v>
      </c>
      <c r="BC1178" s="50"/>
    </row>
    <row r="1179" spans="1:55" s="48" customFormat="1" ht="27.75" customHeight="1" outlineLevel="1" x14ac:dyDescent="0.25">
      <c r="A1179" s="42">
        <v>6</v>
      </c>
      <c r="B1179" s="43" t="s">
        <v>648</v>
      </c>
      <c r="C1179" s="44" t="s">
        <v>110</v>
      </c>
      <c r="D1179" s="45">
        <v>4.5999999999999996</v>
      </c>
      <c r="E1179" s="45">
        <v>8.9600000000000009</v>
      </c>
      <c r="F1179" s="45">
        <f t="shared" si="269"/>
        <v>41.216000000000001</v>
      </c>
      <c r="G1179" s="46">
        <f t="shared" si="270"/>
        <v>0</v>
      </c>
      <c r="H1179" s="47">
        <f t="shared" si="271"/>
        <v>0</v>
      </c>
      <c r="I1179" s="46">
        <f t="shared" si="272"/>
        <v>0</v>
      </c>
      <c r="J1179" s="47">
        <v>0</v>
      </c>
      <c r="K1179" s="46">
        <f t="shared" si="273"/>
        <v>0</v>
      </c>
      <c r="L1179" s="47">
        <v>0</v>
      </c>
      <c r="AX1179" s="46">
        <v>0.68720000000000003</v>
      </c>
      <c r="AY1179" s="47">
        <v>137996.034136</v>
      </c>
      <c r="AZ1179" s="70">
        <f t="shared" si="274"/>
        <v>0</v>
      </c>
      <c r="BC1179" s="50"/>
    </row>
    <row r="1180" spans="1:55" s="48" customFormat="1" ht="31.2" customHeight="1" outlineLevel="1" x14ac:dyDescent="0.25">
      <c r="A1180" s="42">
        <v>7</v>
      </c>
      <c r="B1180" s="43" t="s">
        <v>167</v>
      </c>
      <c r="C1180" s="44" t="s">
        <v>110</v>
      </c>
      <c r="D1180" s="45">
        <v>1.1000000000000001</v>
      </c>
      <c r="E1180" s="45">
        <v>36.167200000000001</v>
      </c>
      <c r="F1180" s="45">
        <f t="shared" si="269"/>
        <v>39.783920000000002</v>
      </c>
      <c r="G1180" s="46">
        <f t="shared" si="270"/>
        <v>0</v>
      </c>
      <c r="H1180" s="47">
        <f t="shared" si="271"/>
        <v>0</v>
      </c>
      <c r="I1180" s="46">
        <f t="shared" si="272"/>
        <v>0</v>
      </c>
      <c r="J1180" s="47">
        <v>0</v>
      </c>
      <c r="K1180" s="46">
        <f t="shared" si="273"/>
        <v>0</v>
      </c>
      <c r="L1180" s="47">
        <v>0</v>
      </c>
      <c r="AX1180" s="46">
        <v>0</v>
      </c>
      <c r="AY1180" s="47">
        <v>0</v>
      </c>
      <c r="AZ1180" s="70">
        <f t="shared" si="274"/>
        <v>0</v>
      </c>
      <c r="BC1180" s="50"/>
    </row>
    <row r="1181" spans="1:55" s="48" customFormat="1" ht="15.45" customHeight="1" outlineLevel="1" x14ac:dyDescent="0.25">
      <c r="A1181" s="42">
        <v>8</v>
      </c>
      <c r="B1181" s="43" t="s">
        <v>40</v>
      </c>
      <c r="C1181" s="44" t="s">
        <v>110</v>
      </c>
      <c r="D1181" s="45">
        <v>0.88</v>
      </c>
      <c r="E1181" s="45">
        <v>124.1</v>
      </c>
      <c r="F1181" s="45">
        <f t="shared" si="269"/>
        <v>109.208</v>
      </c>
      <c r="G1181" s="46">
        <f t="shared" si="270"/>
        <v>0</v>
      </c>
      <c r="H1181" s="47">
        <f t="shared" si="271"/>
        <v>0</v>
      </c>
      <c r="I1181" s="46">
        <f t="shared" si="272"/>
        <v>0</v>
      </c>
      <c r="J1181" s="47">
        <v>0</v>
      </c>
      <c r="K1181" s="46">
        <f t="shared" si="273"/>
        <v>0</v>
      </c>
      <c r="L1181" s="47">
        <v>0</v>
      </c>
      <c r="AX1181" s="46">
        <v>0</v>
      </c>
      <c r="AY1181" s="47">
        <v>0</v>
      </c>
      <c r="AZ1181" s="70">
        <f t="shared" si="274"/>
        <v>0</v>
      </c>
      <c r="BC1181" s="50"/>
    </row>
    <row r="1182" spans="1:55" s="48" customFormat="1" ht="15.45" customHeight="1" outlineLevel="1" x14ac:dyDescent="0.25">
      <c r="A1182" s="42">
        <v>9</v>
      </c>
      <c r="B1182" s="43" t="s">
        <v>795</v>
      </c>
      <c r="C1182" s="44" t="s">
        <v>110</v>
      </c>
      <c r="D1182" s="45">
        <v>3.05</v>
      </c>
      <c r="E1182" s="45">
        <v>111.1066</v>
      </c>
      <c r="F1182" s="45">
        <f t="shared" si="269"/>
        <v>338.87512999999996</v>
      </c>
      <c r="G1182" s="46">
        <f t="shared" si="270"/>
        <v>0</v>
      </c>
      <c r="H1182" s="47">
        <f t="shared" si="271"/>
        <v>0</v>
      </c>
      <c r="I1182" s="46">
        <f t="shared" si="272"/>
        <v>0</v>
      </c>
      <c r="J1182" s="47">
        <v>0</v>
      </c>
      <c r="K1182" s="46">
        <f t="shared" si="273"/>
        <v>0</v>
      </c>
      <c r="L1182" s="47">
        <v>0</v>
      </c>
      <c r="AX1182" s="46">
        <v>0</v>
      </c>
      <c r="AY1182" s="47">
        <v>0</v>
      </c>
      <c r="AZ1182" s="70">
        <f t="shared" si="274"/>
        <v>0</v>
      </c>
      <c r="BC1182" s="50"/>
    </row>
    <row r="1183" spans="1:55" s="48" customFormat="1" ht="15.45" customHeight="1" outlineLevel="1" x14ac:dyDescent="0.25">
      <c r="A1183" s="42">
        <v>10</v>
      </c>
      <c r="B1183" s="43" t="s">
        <v>42</v>
      </c>
      <c r="C1183" s="44" t="s">
        <v>28</v>
      </c>
      <c r="D1183" s="45">
        <v>4.0000000000000001E-3</v>
      </c>
      <c r="E1183" s="45">
        <v>1325.1</v>
      </c>
      <c r="F1183" s="45">
        <f t="shared" si="269"/>
        <v>5.3003999999999998</v>
      </c>
      <c r="G1183" s="46">
        <f t="shared" si="270"/>
        <v>0</v>
      </c>
      <c r="H1183" s="47">
        <f t="shared" si="271"/>
        <v>0</v>
      </c>
      <c r="I1183" s="46">
        <f t="shared" si="272"/>
        <v>0</v>
      </c>
      <c r="J1183" s="47">
        <v>0</v>
      </c>
      <c r="K1183" s="46">
        <f t="shared" si="273"/>
        <v>0</v>
      </c>
      <c r="L1183" s="47">
        <v>0</v>
      </c>
      <c r="AX1183" s="46">
        <v>0</v>
      </c>
      <c r="AY1183" s="47">
        <v>0</v>
      </c>
      <c r="AZ1183" s="70">
        <f t="shared" si="274"/>
        <v>0</v>
      </c>
      <c r="BC1183" s="50"/>
    </row>
    <row r="1184" spans="1:55" s="48" customFormat="1" ht="15.45" customHeight="1" outlineLevel="1" x14ac:dyDescent="0.25">
      <c r="A1184" s="42">
        <v>11</v>
      </c>
      <c r="B1184" s="43" t="s">
        <v>43</v>
      </c>
      <c r="C1184" s="44" t="s">
        <v>28</v>
      </c>
      <c r="D1184" s="45">
        <v>0.126</v>
      </c>
      <c r="E1184" s="45">
        <v>1200.0999999999999</v>
      </c>
      <c r="F1184" s="45">
        <f t="shared" si="269"/>
        <v>151.21259999999998</v>
      </c>
      <c r="G1184" s="46">
        <f t="shared" si="270"/>
        <v>0</v>
      </c>
      <c r="H1184" s="47">
        <f t="shared" si="271"/>
        <v>0</v>
      </c>
      <c r="I1184" s="46">
        <f t="shared" si="272"/>
        <v>0</v>
      </c>
      <c r="J1184" s="47">
        <v>0</v>
      </c>
      <c r="K1184" s="46">
        <f t="shared" si="273"/>
        <v>0</v>
      </c>
      <c r="L1184" s="47">
        <v>0</v>
      </c>
      <c r="AX1184" s="46">
        <v>0.4</v>
      </c>
      <c r="AY1184" s="47">
        <v>2874.7200000000012</v>
      </c>
      <c r="AZ1184" s="70">
        <f t="shared" si="274"/>
        <v>0</v>
      </c>
      <c r="BC1184" s="50"/>
    </row>
    <row r="1185" spans="1:55" s="56" customFormat="1" ht="17.25" customHeight="1" x14ac:dyDescent="0.3">
      <c r="A1185" s="31">
        <v>7.1</v>
      </c>
      <c r="B1185" s="51" t="s">
        <v>796</v>
      </c>
      <c r="C1185" s="52">
        <v>0</v>
      </c>
      <c r="D1185" s="53"/>
      <c r="E1185" s="53"/>
      <c r="F1185" s="53"/>
      <c r="G1185" s="54"/>
      <c r="H1185" s="55"/>
      <c r="I1185" s="54"/>
      <c r="J1185" s="55"/>
      <c r="K1185" s="54"/>
      <c r="L1185" s="55">
        <v>0</v>
      </c>
      <c r="AX1185" s="69">
        <v>0.4</v>
      </c>
      <c r="AY1185" s="71">
        <v>5766.4000000000005</v>
      </c>
      <c r="AZ1185" s="72">
        <f t="shared" si="274"/>
        <v>0</v>
      </c>
      <c r="BC1185" s="58"/>
    </row>
    <row r="1186" spans="1:55" s="48" customFormat="1" ht="27.75" customHeight="1" outlineLevel="1" x14ac:dyDescent="0.25">
      <c r="A1186" s="42">
        <v>1</v>
      </c>
      <c r="B1186" s="43" t="s">
        <v>797</v>
      </c>
      <c r="C1186" s="44" t="s">
        <v>93</v>
      </c>
      <c r="D1186" s="45">
        <v>4</v>
      </c>
      <c r="E1186" s="45">
        <v>140.83959999999999</v>
      </c>
      <c r="F1186" s="45">
        <f t="shared" ref="F1186:F1201" si="275">+E1186*D1186</f>
        <v>563.35839999999996</v>
      </c>
      <c r="G1186" s="46">
        <f t="shared" ref="G1186:G1201" si="276">I1186+K1186</f>
        <v>0</v>
      </c>
      <c r="H1186" s="47">
        <f t="shared" ref="H1186:H1201" si="277">J1186+L1186</f>
        <v>0</v>
      </c>
      <c r="I1186" s="46">
        <f t="shared" ref="I1186:I1201" si="278">J1186/F1186</f>
        <v>0</v>
      </c>
      <c r="J1186" s="47">
        <v>0</v>
      </c>
      <c r="K1186" s="46">
        <f t="shared" ref="K1186:K1201" si="279">L1186/F1186</f>
        <v>0</v>
      </c>
      <c r="L1186" s="47">
        <v>0</v>
      </c>
      <c r="AX1186" s="46">
        <v>0.4</v>
      </c>
      <c r="AY1186" s="47">
        <v>3254.4479999999999</v>
      </c>
      <c r="AZ1186" s="70">
        <f t="shared" si="274"/>
        <v>0</v>
      </c>
      <c r="BC1186" s="50"/>
    </row>
    <row r="1187" spans="1:55" s="48" customFormat="1" ht="15.45" customHeight="1" outlineLevel="1" x14ac:dyDescent="0.25">
      <c r="A1187" s="42">
        <v>2</v>
      </c>
      <c r="B1187" s="43" t="s">
        <v>798</v>
      </c>
      <c r="C1187" s="44" t="s">
        <v>93</v>
      </c>
      <c r="D1187" s="45">
        <v>4</v>
      </c>
      <c r="E1187" s="45">
        <v>272.78480000000008</v>
      </c>
      <c r="F1187" s="45">
        <f t="shared" si="275"/>
        <v>1091.1392000000003</v>
      </c>
      <c r="G1187" s="46">
        <f t="shared" si="276"/>
        <v>0</v>
      </c>
      <c r="H1187" s="47">
        <f t="shared" si="277"/>
        <v>0</v>
      </c>
      <c r="I1187" s="46">
        <f t="shared" si="278"/>
        <v>0</v>
      </c>
      <c r="J1187" s="47">
        <v>0</v>
      </c>
      <c r="K1187" s="46">
        <f t="shared" si="279"/>
        <v>0</v>
      </c>
      <c r="L1187" s="47">
        <v>0</v>
      </c>
      <c r="AX1187" s="46">
        <v>0.4</v>
      </c>
      <c r="AY1187" s="47">
        <v>7631.6805600000007</v>
      </c>
      <c r="AZ1187" s="70">
        <f t="shared" si="274"/>
        <v>0</v>
      </c>
      <c r="BC1187" s="50"/>
    </row>
    <row r="1188" spans="1:55" s="48" customFormat="1" ht="15.45" customHeight="1" outlineLevel="1" x14ac:dyDescent="0.25">
      <c r="A1188" s="42">
        <v>3</v>
      </c>
      <c r="B1188" s="43" t="s">
        <v>799</v>
      </c>
      <c r="C1188" s="44" t="s">
        <v>93</v>
      </c>
      <c r="D1188" s="45">
        <v>4</v>
      </c>
      <c r="E1188" s="45">
        <v>114.64400000000001</v>
      </c>
      <c r="F1188" s="45">
        <f t="shared" si="275"/>
        <v>458.57600000000002</v>
      </c>
      <c r="G1188" s="46">
        <f t="shared" si="276"/>
        <v>0</v>
      </c>
      <c r="H1188" s="47">
        <f t="shared" si="277"/>
        <v>0</v>
      </c>
      <c r="I1188" s="46">
        <f t="shared" si="278"/>
        <v>0</v>
      </c>
      <c r="J1188" s="47">
        <v>0</v>
      </c>
      <c r="K1188" s="46">
        <f t="shared" si="279"/>
        <v>0</v>
      </c>
      <c r="L1188" s="47">
        <v>0</v>
      </c>
      <c r="AX1188" s="46">
        <v>0.4</v>
      </c>
      <c r="AY1188" s="47">
        <v>2883.2</v>
      </c>
      <c r="AZ1188" s="70">
        <f t="shared" si="274"/>
        <v>0</v>
      </c>
      <c r="BC1188" s="50"/>
    </row>
    <row r="1189" spans="1:55" s="48" customFormat="1" ht="15.45" customHeight="1" outlineLevel="1" x14ac:dyDescent="0.25">
      <c r="A1189" s="42">
        <v>4</v>
      </c>
      <c r="B1189" s="43" t="s">
        <v>800</v>
      </c>
      <c r="C1189" s="44" t="s">
        <v>61</v>
      </c>
      <c r="D1189" s="45">
        <v>190</v>
      </c>
      <c r="E1189" s="45">
        <v>1.1894</v>
      </c>
      <c r="F1189" s="45">
        <f t="shared" si="275"/>
        <v>225.98599999999999</v>
      </c>
      <c r="G1189" s="46">
        <f t="shared" si="276"/>
        <v>0</v>
      </c>
      <c r="H1189" s="47">
        <f t="shared" si="277"/>
        <v>0</v>
      </c>
      <c r="I1189" s="46">
        <f t="shared" si="278"/>
        <v>0</v>
      </c>
      <c r="J1189" s="47">
        <v>0</v>
      </c>
      <c r="K1189" s="46">
        <f t="shared" si="279"/>
        <v>0</v>
      </c>
      <c r="L1189" s="47">
        <v>0</v>
      </c>
      <c r="AX1189" s="46">
        <v>0</v>
      </c>
      <c r="AY1189" s="47">
        <v>0</v>
      </c>
      <c r="AZ1189" s="70">
        <f t="shared" si="274"/>
        <v>0</v>
      </c>
      <c r="BC1189" s="50"/>
    </row>
    <row r="1190" spans="1:55" s="48" customFormat="1" ht="27.75" customHeight="1" outlineLevel="1" x14ac:dyDescent="0.25">
      <c r="A1190" s="42">
        <v>5</v>
      </c>
      <c r="B1190" s="43" t="s">
        <v>469</v>
      </c>
      <c r="C1190" s="44" t="s">
        <v>61</v>
      </c>
      <c r="D1190" s="45">
        <v>130</v>
      </c>
      <c r="E1190" s="45">
        <v>2.0379999999999998</v>
      </c>
      <c r="F1190" s="45">
        <f t="shared" si="275"/>
        <v>264.94</v>
      </c>
      <c r="G1190" s="46">
        <f t="shared" si="276"/>
        <v>0</v>
      </c>
      <c r="H1190" s="47">
        <f t="shared" si="277"/>
        <v>0</v>
      </c>
      <c r="I1190" s="46">
        <f t="shared" si="278"/>
        <v>0</v>
      </c>
      <c r="J1190" s="47">
        <v>0</v>
      </c>
      <c r="K1190" s="46">
        <f t="shared" si="279"/>
        <v>0</v>
      </c>
      <c r="L1190" s="47">
        <v>0</v>
      </c>
      <c r="AX1190" s="46">
        <v>0</v>
      </c>
      <c r="AY1190" s="47">
        <v>0</v>
      </c>
      <c r="AZ1190" s="70">
        <f t="shared" si="274"/>
        <v>0</v>
      </c>
      <c r="BC1190" s="50"/>
    </row>
    <row r="1191" spans="1:55" s="48" customFormat="1" ht="15.45" customHeight="1" outlineLevel="1" x14ac:dyDescent="0.25">
      <c r="A1191" s="42">
        <v>6</v>
      </c>
      <c r="B1191" s="43" t="s">
        <v>784</v>
      </c>
      <c r="C1191" s="44" t="s">
        <v>61</v>
      </c>
      <c r="D1191" s="45">
        <v>60</v>
      </c>
      <c r="E1191" s="45">
        <v>1.8646</v>
      </c>
      <c r="F1191" s="45">
        <f t="shared" si="275"/>
        <v>111.876</v>
      </c>
      <c r="G1191" s="46">
        <f t="shared" si="276"/>
        <v>0</v>
      </c>
      <c r="H1191" s="47">
        <f t="shared" si="277"/>
        <v>0</v>
      </c>
      <c r="I1191" s="46">
        <f t="shared" si="278"/>
        <v>0</v>
      </c>
      <c r="J1191" s="47">
        <v>0</v>
      </c>
      <c r="K1191" s="46">
        <f t="shared" si="279"/>
        <v>0</v>
      </c>
      <c r="L1191" s="47">
        <v>0</v>
      </c>
      <c r="AX1191" s="46">
        <v>0.5</v>
      </c>
      <c r="AY1191" s="47">
        <v>12898.25</v>
      </c>
      <c r="AZ1191" s="70">
        <f t="shared" si="274"/>
        <v>0</v>
      </c>
      <c r="BC1191" s="50"/>
    </row>
    <row r="1192" spans="1:55" s="48" customFormat="1" ht="33.75" customHeight="1" outlineLevel="1" x14ac:dyDescent="0.25">
      <c r="A1192" s="42">
        <v>7</v>
      </c>
      <c r="B1192" s="43" t="s">
        <v>783</v>
      </c>
      <c r="C1192" s="44" t="s">
        <v>61</v>
      </c>
      <c r="D1192" s="45">
        <v>60</v>
      </c>
      <c r="E1192" s="45">
        <v>1.3138000000000001</v>
      </c>
      <c r="F1192" s="45">
        <f t="shared" si="275"/>
        <v>78.828000000000003</v>
      </c>
      <c r="G1192" s="46">
        <f t="shared" si="276"/>
        <v>0</v>
      </c>
      <c r="H1192" s="47">
        <f t="shared" si="277"/>
        <v>0</v>
      </c>
      <c r="I1192" s="46">
        <f t="shared" si="278"/>
        <v>0</v>
      </c>
      <c r="J1192" s="47">
        <v>0</v>
      </c>
      <c r="K1192" s="46">
        <f t="shared" si="279"/>
        <v>0</v>
      </c>
      <c r="L1192" s="47">
        <v>0</v>
      </c>
      <c r="AX1192" s="46">
        <v>0.5</v>
      </c>
      <c r="AY1192" s="47">
        <v>11608.424999999999</v>
      </c>
      <c r="AZ1192" s="70">
        <f t="shared" si="274"/>
        <v>0</v>
      </c>
      <c r="BC1192" s="50"/>
    </row>
    <row r="1193" spans="1:55" s="48" customFormat="1" ht="41.7" customHeight="1" outlineLevel="1" x14ac:dyDescent="0.25">
      <c r="A1193" s="42">
        <v>8</v>
      </c>
      <c r="B1193" s="43" t="s">
        <v>801</v>
      </c>
      <c r="C1193" s="44" t="s">
        <v>61</v>
      </c>
      <c r="D1193" s="45">
        <v>130</v>
      </c>
      <c r="E1193" s="45">
        <v>3.4333999999999998</v>
      </c>
      <c r="F1193" s="45">
        <f t="shared" si="275"/>
        <v>446.34199999999998</v>
      </c>
      <c r="G1193" s="46">
        <f t="shared" si="276"/>
        <v>0</v>
      </c>
      <c r="H1193" s="47">
        <f t="shared" si="277"/>
        <v>0</v>
      </c>
      <c r="I1193" s="46">
        <f t="shared" si="278"/>
        <v>0</v>
      </c>
      <c r="J1193" s="47">
        <v>0</v>
      </c>
      <c r="K1193" s="46">
        <f t="shared" si="279"/>
        <v>0</v>
      </c>
      <c r="L1193" s="47">
        <v>0</v>
      </c>
      <c r="AX1193" s="46">
        <v>0</v>
      </c>
      <c r="AY1193" s="47">
        <v>0</v>
      </c>
      <c r="AZ1193" s="70">
        <f t="shared" si="274"/>
        <v>0</v>
      </c>
      <c r="BC1193" s="50"/>
    </row>
    <row r="1194" spans="1:55" s="48" customFormat="1" ht="27.75" customHeight="1" outlineLevel="1" x14ac:dyDescent="0.25">
      <c r="A1194" s="42">
        <v>9</v>
      </c>
      <c r="B1194" s="43" t="s">
        <v>802</v>
      </c>
      <c r="C1194" s="44" t="s">
        <v>61</v>
      </c>
      <c r="D1194" s="45">
        <v>130</v>
      </c>
      <c r="E1194" s="45">
        <v>1.0346</v>
      </c>
      <c r="F1194" s="45">
        <f t="shared" si="275"/>
        <v>134.49799999999999</v>
      </c>
      <c r="G1194" s="46">
        <f t="shared" si="276"/>
        <v>0</v>
      </c>
      <c r="H1194" s="47">
        <f t="shared" si="277"/>
        <v>0</v>
      </c>
      <c r="I1194" s="46">
        <f t="shared" si="278"/>
        <v>0</v>
      </c>
      <c r="J1194" s="47">
        <v>0</v>
      </c>
      <c r="K1194" s="46">
        <f t="shared" si="279"/>
        <v>0</v>
      </c>
      <c r="L1194" s="47">
        <v>0</v>
      </c>
      <c r="AX1194" s="46">
        <v>0.4</v>
      </c>
      <c r="AY1194" s="47">
        <v>339</v>
      </c>
      <c r="AZ1194" s="70">
        <f t="shared" si="274"/>
        <v>0</v>
      </c>
      <c r="BC1194" s="50"/>
    </row>
    <row r="1195" spans="1:55" s="48" customFormat="1" ht="27.75" customHeight="1" outlineLevel="1" x14ac:dyDescent="0.25">
      <c r="A1195" s="42">
        <v>10</v>
      </c>
      <c r="B1195" s="43" t="s">
        <v>707</v>
      </c>
      <c r="C1195" s="44" t="s">
        <v>110</v>
      </c>
      <c r="D1195" s="45">
        <v>77</v>
      </c>
      <c r="E1195" s="45">
        <v>0.86018000000000006</v>
      </c>
      <c r="F1195" s="45">
        <f t="shared" si="275"/>
        <v>66.233860000000007</v>
      </c>
      <c r="G1195" s="46">
        <f t="shared" si="276"/>
        <v>0</v>
      </c>
      <c r="H1195" s="47">
        <f t="shared" si="277"/>
        <v>0</v>
      </c>
      <c r="I1195" s="46">
        <f t="shared" si="278"/>
        <v>0</v>
      </c>
      <c r="J1195" s="47">
        <v>0</v>
      </c>
      <c r="K1195" s="46">
        <f t="shared" si="279"/>
        <v>0</v>
      </c>
      <c r="L1195" s="47">
        <v>0</v>
      </c>
      <c r="AX1195" s="46">
        <v>0.4</v>
      </c>
      <c r="AY1195" s="47">
        <v>1356</v>
      </c>
      <c r="AZ1195" s="70">
        <f t="shared" si="274"/>
        <v>0</v>
      </c>
      <c r="BC1195" s="50"/>
    </row>
    <row r="1196" spans="1:55" s="48" customFormat="1" ht="27.75" customHeight="1" outlineLevel="1" x14ac:dyDescent="0.25">
      <c r="A1196" s="42">
        <v>11</v>
      </c>
      <c r="B1196" s="43" t="s">
        <v>648</v>
      </c>
      <c r="C1196" s="44" t="s">
        <v>110</v>
      </c>
      <c r="D1196" s="45">
        <v>5</v>
      </c>
      <c r="E1196" s="45">
        <v>8.9600000000000009</v>
      </c>
      <c r="F1196" s="45">
        <f t="shared" si="275"/>
        <v>44.800000000000004</v>
      </c>
      <c r="G1196" s="46">
        <f t="shared" si="276"/>
        <v>0</v>
      </c>
      <c r="H1196" s="47">
        <f t="shared" si="277"/>
        <v>0</v>
      </c>
      <c r="I1196" s="46">
        <f t="shared" si="278"/>
        <v>0</v>
      </c>
      <c r="J1196" s="47">
        <v>0</v>
      </c>
      <c r="K1196" s="46">
        <f t="shared" si="279"/>
        <v>0</v>
      </c>
      <c r="L1196" s="47">
        <v>0</v>
      </c>
      <c r="AX1196" s="46">
        <v>0.4</v>
      </c>
      <c r="AY1196" s="47">
        <v>2712</v>
      </c>
      <c r="AZ1196" s="70">
        <f t="shared" si="274"/>
        <v>0</v>
      </c>
      <c r="BC1196" s="50"/>
    </row>
    <row r="1197" spans="1:55" s="48" customFormat="1" ht="27.75" customHeight="1" outlineLevel="1" x14ac:dyDescent="0.25">
      <c r="A1197" s="42">
        <v>12</v>
      </c>
      <c r="B1197" s="43" t="s">
        <v>649</v>
      </c>
      <c r="C1197" s="44" t="s">
        <v>110</v>
      </c>
      <c r="D1197" s="45">
        <v>69</v>
      </c>
      <c r="E1197" s="45">
        <v>0.9</v>
      </c>
      <c r="F1197" s="45">
        <f t="shared" si="275"/>
        <v>62.1</v>
      </c>
      <c r="G1197" s="46">
        <f t="shared" si="276"/>
        <v>0</v>
      </c>
      <c r="H1197" s="47">
        <f t="shared" si="277"/>
        <v>0</v>
      </c>
      <c r="I1197" s="46">
        <f t="shared" si="278"/>
        <v>0</v>
      </c>
      <c r="J1197" s="47">
        <v>0</v>
      </c>
      <c r="K1197" s="46">
        <f t="shared" si="279"/>
        <v>0</v>
      </c>
      <c r="L1197" s="47">
        <v>0</v>
      </c>
      <c r="AX1197" s="46">
        <v>0.4</v>
      </c>
      <c r="AY1197" s="47">
        <v>67.84</v>
      </c>
      <c r="AZ1197" s="70">
        <f t="shared" si="274"/>
        <v>0</v>
      </c>
      <c r="BC1197" s="50"/>
    </row>
    <row r="1198" spans="1:55" s="48" customFormat="1" ht="15.45" customHeight="1" outlineLevel="1" x14ac:dyDescent="0.25">
      <c r="A1198" s="42">
        <v>13</v>
      </c>
      <c r="B1198" s="43" t="s">
        <v>166</v>
      </c>
      <c r="C1198" s="44" t="s">
        <v>110</v>
      </c>
      <c r="D1198" s="45">
        <v>8</v>
      </c>
      <c r="E1198" s="45">
        <v>8.16</v>
      </c>
      <c r="F1198" s="45">
        <f t="shared" si="275"/>
        <v>65.28</v>
      </c>
      <c r="G1198" s="46">
        <f t="shared" si="276"/>
        <v>0</v>
      </c>
      <c r="H1198" s="47">
        <f t="shared" si="277"/>
        <v>0</v>
      </c>
      <c r="I1198" s="46">
        <f t="shared" si="278"/>
        <v>0</v>
      </c>
      <c r="J1198" s="47">
        <v>0</v>
      </c>
      <c r="K1198" s="46">
        <f t="shared" si="279"/>
        <v>0</v>
      </c>
      <c r="L1198" s="47">
        <v>0</v>
      </c>
      <c r="AX1198" s="46">
        <v>0.4</v>
      </c>
      <c r="AY1198" s="47">
        <v>1017</v>
      </c>
      <c r="AZ1198" s="70">
        <f t="shared" si="274"/>
        <v>0</v>
      </c>
      <c r="BC1198" s="50"/>
    </row>
    <row r="1199" spans="1:55" s="48" customFormat="1" ht="15.45" customHeight="1" outlineLevel="1" x14ac:dyDescent="0.25">
      <c r="A1199" s="42">
        <v>14</v>
      </c>
      <c r="B1199" s="43" t="s">
        <v>37</v>
      </c>
      <c r="C1199" s="44" t="s">
        <v>110</v>
      </c>
      <c r="D1199" s="45">
        <v>77</v>
      </c>
      <c r="E1199" s="45">
        <v>2</v>
      </c>
      <c r="F1199" s="45">
        <f t="shared" si="275"/>
        <v>154</v>
      </c>
      <c r="G1199" s="46">
        <f t="shared" si="276"/>
        <v>0</v>
      </c>
      <c r="H1199" s="47">
        <f t="shared" si="277"/>
        <v>0</v>
      </c>
      <c r="I1199" s="46">
        <f t="shared" si="278"/>
        <v>0</v>
      </c>
      <c r="J1199" s="47">
        <v>0</v>
      </c>
      <c r="K1199" s="46">
        <f t="shared" si="279"/>
        <v>0</v>
      </c>
      <c r="L1199" s="47">
        <v>0</v>
      </c>
      <c r="AX1199" s="46">
        <v>0.4</v>
      </c>
      <c r="AY1199" s="47">
        <v>678</v>
      </c>
      <c r="AZ1199" s="70">
        <f t="shared" si="274"/>
        <v>0</v>
      </c>
      <c r="BC1199" s="50"/>
    </row>
    <row r="1200" spans="1:55" s="48" customFormat="1" ht="27.75" customHeight="1" outlineLevel="1" x14ac:dyDescent="0.25">
      <c r="A1200" s="42">
        <v>15</v>
      </c>
      <c r="B1200" s="43" t="s">
        <v>803</v>
      </c>
      <c r="C1200" s="44" t="s">
        <v>110</v>
      </c>
      <c r="D1200" s="45">
        <v>4.5</v>
      </c>
      <c r="E1200" s="45">
        <v>0.86834000000000011</v>
      </c>
      <c r="F1200" s="45">
        <f t="shared" si="275"/>
        <v>3.9075300000000004</v>
      </c>
      <c r="G1200" s="46">
        <f t="shared" si="276"/>
        <v>0</v>
      </c>
      <c r="H1200" s="47">
        <f t="shared" si="277"/>
        <v>0</v>
      </c>
      <c r="I1200" s="46">
        <f t="shared" si="278"/>
        <v>0</v>
      </c>
      <c r="J1200" s="47">
        <v>0</v>
      </c>
      <c r="K1200" s="46">
        <f t="shared" si="279"/>
        <v>0</v>
      </c>
      <c r="L1200" s="47">
        <v>0</v>
      </c>
      <c r="AX1200" s="46">
        <v>0</v>
      </c>
      <c r="AY1200" s="47">
        <v>0</v>
      </c>
      <c r="AZ1200" s="70">
        <f t="shared" si="274"/>
        <v>0</v>
      </c>
      <c r="BC1200" s="50"/>
    </row>
    <row r="1201" spans="1:55" s="48" customFormat="1" ht="15.45" customHeight="1" outlineLevel="1" x14ac:dyDescent="0.25">
      <c r="A1201" s="42">
        <v>16</v>
      </c>
      <c r="B1201" s="43" t="s">
        <v>29</v>
      </c>
      <c r="C1201" s="44" t="s">
        <v>28</v>
      </c>
      <c r="D1201" s="45">
        <v>7.9</v>
      </c>
      <c r="E1201" s="45">
        <v>1.63</v>
      </c>
      <c r="F1201" s="45">
        <f t="shared" si="275"/>
        <v>12.876999999999999</v>
      </c>
      <c r="G1201" s="46">
        <f t="shared" si="276"/>
        <v>0</v>
      </c>
      <c r="H1201" s="47">
        <f t="shared" si="277"/>
        <v>0</v>
      </c>
      <c r="I1201" s="46">
        <f t="shared" si="278"/>
        <v>0</v>
      </c>
      <c r="J1201" s="47">
        <v>0</v>
      </c>
      <c r="K1201" s="46">
        <f t="shared" si="279"/>
        <v>0</v>
      </c>
      <c r="L1201" s="47">
        <v>0</v>
      </c>
      <c r="AX1201" s="46">
        <v>0</v>
      </c>
      <c r="AY1201" s="47">
        <v>0</v>
      </c>
      <c r="AZ1201" s="70">
        <f t="shared" si="274"/>
        <v>0</v>
      </c>
      <c r="BC1201" s="50"/>
    </row>
    <row r="1202" spans="1:55" s="56" customFormat="1" ht="17.25" customHeight="1" x14ac:dyDescent="0.3">
      <c r="A1202" s="31">
        <v>8.1</v>
      </c>
      <c r="B1202" s="51" t="s">
        <v>804</v>
      </c>
      <c r="C1202" s="52">
        <v>0</v>
      </c>
      <c r="D1202" s="53"/>
      <c r="E1202" s="53"/>
      <c r="F1202" s="53"/>
      <c r="G1202" s="54"/>
      <c r="H1202" s="55"/>
      <c r="I1202" s="54"/>
      <c r="J1202" s="55"/>
      <c r="K1202" s="54"/>
      <c r="L1202" s="55">
        <v>0</v>
      </c>
      <c r="AX1202" s="69">
        <v>0</v>
      </c>
      <c r="AY1202" s="71">
        <v>0</v>
      </c>
      <c r="AZ1202" s="72">
        <f t="shared" si="274"/>
        <v>0</v>
      </c>
      <c r="BC1202" s="58"/>
    </row>
    <row r="1203" spans="1:55" s="48" customFormat="1" ht="15.45" customHeight="1" outlineLevel="1" x14ac:dyDescent="0.25">
      <c r="A1203" s="42">
        <v>1</v>
      </c>
      <c r="B1203" s="43" t="s">
        <v>805</v>
      </c>
      <c r="C1203" s="44" t="s">
        <v>93</v>
      </c>
      <c r="D1203" s="45">
        <v>1</v>
      </c>
      <c r="E1203" s="45">
        <v>1662.1063999999999</v>
      </c>
      <c r="F1203" s="45">
        <f t="shared" ref="F1203:F1232" si="280">+E1203*D1203</f>
        <v>1662.1063999999999</v>
      </c>
      <c r="G1203" s="46">
        <f t="shared" ref="G1203:G1232" si="281">I1203+K1203</f>
        <v>0</v>
      </c>
      <c r="H1203" s="47">
        <f t="shared" ref="H1203:H1232" si="282">J1203+L1203</f>
        <v>0</v>
      </c>
      <c r="I1203" s="46">
        <f t="shared" ref="I1203:I1232" si="283">J1203/F1203</f>
        <v>0</v>
      </c>
      <c r="J1203" s="47">
        <v>0</v>
      </c>
      <c r="K1203" s="46">
        <f t="shared" ref="K1203:K1232" si="284">L1203/F1203</f>
        <v>0</v>
      </c>
      <c r="L1203" s="47">
        <v>0</v>
      </c>
      <c r="AX1203" s="46">
        <v>0</v>
      </c>
      <c r="AY1203" s="47">
        <v>0</v>
      </c>
      <c r="AZ1203" s="70">
        <f t="shared" si="274"/>
        <v>0</v>
      </c>
      <c r="BC1203" s="50"/>
    </row>
    <row r="1204" spans="1:55" s="48" customFormat="1" ht="15.45" customHeight="1" outlineLevel="1" x14ac:dyDescent="0.25">
      <c r="A1204" s="42">
        <v>2</v>
      </c>
      <c r="B1204" s="43" t="s">
        <v>525</v>
      </c>
      <c r="C1204" s="44" t="s">
        <v>93</v>
      </c>
      <c r="D1204" s="45">
        <v>1</v>
      </c>
      <c r="E1204" s="45">
        <v>47.621800000000007</v>
      </c>
      <c r="F1204" s="45">
        <f t="shared" si="280"/>
        <v>47.621800000000007</v>
      </c>
      <c r="G1204" s="46">
        <f t="shared" si="281"/>
        <v>0</v>
      </c>
      <c r="H1204" s="47">
        <f t="shared" si="282"/>
        <v>0</v>
      </c>
      <c r="I1204" s="46">
        <f t="shared" si="283"/>
        <v>0</v>
      </c>
      <c r="J1204" s="47">
        <v>0</v>
      </c>
      <c r="K1204" s="46">
        <f t="shared" si="284"/>
        <v>0</v>
      </c>
      <c r="L1204" s="47">
        <v>0</v>
      </c>
      <c r="AX1204" s="46">
        <v>0</v>
      </c>
      <c r="AY1204" s="47">
        <v>0</v>
      </c>
      <c r="AZ1204" s="70">
        <f t="shared" si="274"/>
        <v>0</v>
      </c>
      <c r="BC1204" s="50"/>
    </row>
    <row r="1205" spans="1:55" s="48" customFormat="1" ht="15.45" customHeight="1" outlineLevel="1" x14ac:dyDescent="0.25">
      <c r="A1205" s="42">
        <v>3</v>
      </c>
      <c r="B1205" s="43" t="s">
        <v>806</v>
      </c>
      <c r="C1205" s="44" t="s">
        <v>234</v>
      </c>
      <c r="D1205" s="45">
        <v>7</v>
      </c>
      <c r="E1205" s="45">
        <v>93.101599999999991</v>
      </c>
      <c r="F1205" s="45">
        <f t="shared" si="280"/>
        <v>651.71119999999996</v>
      </c>
      <c r="G1205" s="46">
        <f t="shared" si="281"/>
        <v>0</v>
      </c>
      <c r="H1205" s="47">
        <f t="shared" si="282"/>
        <v>0</v>
      </c>
      <c r="I1205" s="46">
        <f t="shared" si="283"/>
        <v>0</v>
      </c>
      <c r="J1205" s="47">
        <v>0</v>
      </c>
      <c r="K1205" s="46">
        <f t="shared" si="284"/>
        <v>0</v>
      </c>
      <c r="L1205" s="47">
        <v>0</v>
      </c>
      <c r="AX1205" s="46">
        <v>0</v>
      </c>
      <c r="AY1205" s="47">
        <v>0</v>
      </c>
      <c r="AZ1205" s="70">
        <f t="shared" si="274"/>
        <v>0</v>
      </c>
      <c r="BC1205" s="50"/>
    </row>
    <row r="1206" spans="1:55" s="48" customFormat="1" ht="15.45" customHeight="1" outlineLevel="1" x14ac:dyDescent="0.25">
      <c r="A1206" s="42">
        <v>4</v>
      </c>
      <c r="B1206" s="43" t="s">
        <v>493</v>
      </c>
      <c r="C1206" s="44" t="s">
        <v>93</v>
      </c>
      <c r="D1206" s="45">
        <v>7</v>
      </c>
      <c r="E1206" s="45">
        <v>23.2316</v>
      </c>
      <c r="F1206" s="45">
        <f t="shared" si="280"/>
        <v>162.62119999999999</v>
      </c>
      <c r="G1206" s="46">
        <f t="shared" si="281"/>
        <v>0</v>
      </c>
      <c r="H1206" s="47">
        <f t="shared" si="282"/>
        <v>0</v>
      </c>
      <c r="I1206" s="46">
        <f t="shared" si="283"/>
        <v>0</v>
      </c>
      <c r="J1206" s="47">
        <v>0</v>
      </c>
      <c r="K1206" s="46">
        <f t="shared" si="284"/>
        <v>0</v>
      </c>
      <c r="L1206" s="47">
        <v>0</v>
      </c>
      <c r="AX1206" s="46">
        <v>0</v>
      </c>
      <c r="AY1206" s="47">
        <v>0</v>
      </c>
      <c r="AZ1206" s="70">
        <f t="shared" si="274"/>
        <v>0</v>
      </c>
      <c r="BC1206" s="50"/>
    </row>
    <row r="1207" spans="1:55" s="48" customFormat="1" ht="34.5" customHeight="1" outlineLevel="1" x14ac:dyDescent="0.25">
      <c r="A1207" s="42">
        <v>5</v>
      </c>
      <c r="B1207" s="43" t="s">
        <v>807</v>
      </c>
      <c r="C1207" s="44" t="s">
        <v>93</v>
      </c>
      <c r="D1207" s="45">
        <v>2</v>
      </c>
      <c r="E1207" s="45">
        <v>387.29000000000008</v>
      </c>
      <c r="F1207" s="45">
        <f t="shared" si="280"/>
        <v>774.58000000000015</v>
      </c>
      <c r="G1207" s="46">
        <f t="shared" si="281"/>
        <v>0</v>
      </c>
      <c r="H1207" s="47">
        <f t="shared" si="282"/>
        <v>0</v>
      </c>
      <c r="I1207" s="46">
        <f t="shared" si="283"/>
        <v>0</v>
      </c>
      <c r="J1207" s="47">
        <v>0</v>
      </c>
      <c r="K1207" s="46">
        <f t="shared" si="284"/>
        <v>0</v>
      </c>
      <c r="L1207" s="47">
        <v>0</v>
      </c>
      <c r="AX1207" s="46">
        <v>0</v>
      </c>
      <c r="AY1207" s="47">
        <v>0</v>
      </c>
      <c r="AZ1207" s="70">
        <f t="shared" si="274"/>
        <v>0</v>
      </c>
      <c r="BC1207" s="50"/>
    </row>
    <row r="1208" spans="1:55" s="48" customFormat="1" ht="15.45" customHeight="1" outlineLevel="1" x14ac:dyDescent="0.25">
      <c r="A1208" s="42">
        <v>6</v>
      </c>
      <c r="B1208" s="43" t="s">
        <v>808</v>
      </c>
      <c r="C1208" s="44" t="s">
        <v>61</v>
      </c>
      <c r="D1208" s="45">
        <v>480</v>
      </c>
      <c r="E1208" s="45">
        <v>2.8622000000000001</v>
      </c>
      <c r="F1208" s="45">
        <f t="shared" si="280"/>
        <v>1373.856</v>
      </c>
      <c r="G1208" s="46">
        <f t="shared" si="281"/>
        <v>0</v>
      </c>
      <c r="H1208" s="47">
        <f t="shared" si="282"/>
        <v>0</v>
      </c>
      <c r="I1208" s="46">
        <f t="shared" si="283"/>
        <v>0</v>
      </c>
      <c r="J1208" s="47">
        <v>0</v>
      </c>
      <c r="K1208" s="46">
        <f t="shared" si="284"/>
        <v>0</v>
      </c>
      <c r="L1208" s="47">
        <v>0</v>
      </c>
      <c r="AX1208" s="46">
        <v>0</v>
      </c>
      <c r="AY1208" s="47">
        <v>0</v>
      </c>
      <c r="AZ1208" s="70">
        <f t="shared" si="274"/>
        <v>0</v>
      </c>
      <c r="BC1208" s="50"/>
    </row>
    <row r="1209" spans="1:55" s="48" customFormat="1" ht="15.45" customHeight="1" outlineLevel="1" x14ac:dyDescent="0.25">
      <c r="A1209" s="42">
        <v>7</v>
      </c>
      <c r="B1209" s="43" t="s">
        <v>809</v>
      </c>
      <c r="C1209" s="44" t="s">
        <v>61</v>
      </c>
      <c r="D1209" s="45">
        <v>220</v>
      </c>
      <c r="E1209" s="45">
        <v>1.1894</v>
      </c>
      <c r="F1209" s="45">
        <f t="shared" si="280"/>
        <v>261.66800000000001</v>
      </c>
      <c r="G1209" s="46">
        <f t="shared" si="281"/>
        <v>0</v>
      </c>
      <c r="H1209" s="47">
        <f t="shared" si="282"/>
        <v>0</v>
      </c>
      <c r="I1209" s="46">
        <f t="shared" si="283"/>
        <v>0</v>
      </c>
      <c r="J1209" s="47">
        <v>0</v>
      </c>
      <c r="K1209" s="46">
        <f t="shared" si="284"/>
        <v>0</v>
      </c>
      <c r="L1209" s="47">
        <v>0</v>
      </c>
      <c r="AX1209" s="46">
        <v>0</v>
      </c>
      <c r="AY1209" s="47">
        <v>0</v>
      </c>
      <c r="AZ1209" s="70">
        <f t="shared" si="274"/>
        <v>0</v>
      </c>
      <c r="BC1209" s="50"/>
    </row>
    <row r="1210" spans="1:55" s="48" customFormat="1" ht="15.45" customHeight="1" outlineLevel="1" x14ac:dyDescent="0.25">
      <c r="A1210" s="42">
        <v>8</v>
      </c>
      <c r="B1210" s="43" t="s">
        <v>784</v>
      </c>
      <c r="C1210" s="44" t="s">
        <v>61</v>
      </c>
      <c r="D1210" s="45">
        <v>7</v>
      </c>
      <c r="E1210" s="45">
        <v>0.91220000000000001</v>
      </c>
      <c r="F1210" s="45">
        <f t="shared" si="280"/>
        <v>6.3853999999999997</v>
      </c>
      <c r="G1210" s="46">
        <f t="shared" si="281"/>
        <v>0</v>
      </c>
      <c r="H1210" s="47">
        <f t="shared" si="282"/>
        <v>0</v>
      </c>
      <c r="I1210" s="46">
        <f t="shared" si="283"/>
        <v>0</v>
      </c>
      <c r="J1210" s="47">
        <v>0</v>
      </c>
      <c r="K1210" s="46">
        <f t="shared" si="284"/>
        <v>0</v>
      </c>
      <c r="L1210" s="47">
        <v>0</v>
      </c>
      <c r="AX1210" s="46">
        <v>0</v>
      </c>
      <c r="AY1210" s="47">
        <v>0</v>
      </c>
      <c r="AZ1210" s="70">
        <f t="shared" si="274"/>
        <v>0</v>
      </c>
      <c r="BC1210" s="50"/>
    </row>
    <row r="1211" spans="1:55" s="48" customFormat="1" ht="15.45" customHeight="1" outlineLevel="1" x14ac:dyDescent="0.25">
      <c r="A1211" s="42">
        <v>9</v>
      </c>
      <c r="B1211" s="43" t="s">
        <v>810</v>
      </c>
      <c r="C1211" s="44" t="s">
        <v>93</v>
      </c>
      <c r="D1211" s="45">
        <v>7</v>
      </c>
      <c r="E1211" s="45">
        <v>125.048</v>
      </c>
      <c r="F1211" s="45">
        <f t="shared" si="280"/>
        <v>875.33600000000001</v>
      </c>
      <c r="G1211" s="46">
        <f t="shared" si="281"/>
        <v>0</v>
      </c>
      <c r="H1211" s="47">
        <f t="shared" si="282"/>
        <v>0</v>
      </c>
      <c r="I1211" s="46">
        <f t="shared" si="283"/>
        <v>0</v>
      </c>
      <c r="J1211" s="47">
        <v>0</v>
      </c>
      <c r="K1211" s="46">
        <f t="shared" si="284"/>
        <v>0</v>
      </c>
      <c r="L1211" s="47">
        <v>0</v>
      </c>
      <c r="AX1211" s="46">
        <v>0</v>
      </c>
      <c r="AY1211" s="47">
        <v>0</v>
      </c>
      <c r="AZ1211" s="70">
        <f t="shared" si="274"/>
        <v>0</v>
      </c>
      <c r="BC1211" s="50"/>
    </row>
    <row r="1212" spans="1:55" s="48" customFormat="1" ht="15.45" customHeight="1" outlineLevel="1" x14ac:dyDescent="0.25">
      <c r="A1212" s="42">
        <v>10</v>
      </c>
      <c r="B1212" s="43" t="s">
        <v>503</v>
      </c>
      <c r="C1212" s="44" t="s">
        <v>93</v>
      </c>
      <c r="D1212" s="45">
        <v>7</v>
      </c>
      <c r="E1212" s="45">
        <v>6.883</v>
      </c>
      <c r="F1212" s="45">
        <f t="shared" si="280"/>
        <v>48.180999999999997</v>
      </c>
      <c r="G1212" s="46">
        <f t="shared" si="281"/>
        <v>0</v>
      </c>
      <c r="H1212" s="47">
        <f t="shared" si="282"/>
        <v>0</v>
      </c>
      <c r="I1212" s="46">
        <f t="shared" si="283"/>
        <v>0</v>
      </c>
      <c r="J1212" s="47">
        <v>0</v>
      </c>
      <c r="K1212" s="46">
        <f t="shared" si="284"/>
        <v>0</v>
      </c>
      <c r="L1212" s="47">
        <v>0</v>
      </c>
      <c r="AX1212" s="46">
        <v>0</v>
      </c>
      <c r="AY1212" s="47">
        <v>0</v>
      </c>
      <c r="AZ1212" s="70">
        <f t="shared" si="274"/>
        <v>0</v>
      </c>
      <c r="BC1212" s="50"/>
    </row>
    <row r="1213" spans="1:55" s="48" customFormat="1" ht="15.45" customHeight="1" outlineLevel="1" x14ac:dyDescent="0.25">
      <c r="A1213" s="42">
        <v>11</v>
      </c>
      <c r="B1213" s="43" t="s">
        <v>811</v>
      </c>
      <c r="C1213" s="44" t="s">
        <v>93</v>
      </c>
      <c r="D1213" s="45">
        <v>7</v>
      </c>
      <c r="E1213" s="45">
        <v>33.22760000000001</v>
      </c>
      <c r="F1213" s="45">
        <f t="shared" si="280"/>
        <v>232.59320000000008</v>
      </c>
      <c r="G1213" s="46">
        <f t="shared" si="281"/>
        <v>0</v>
      </c>
      <c r="H1213" s="47">
        <f t="shared" si="282"/>
        <v>0</v>
      </c>
      <c r="I1213" s="46">
        <f t="shared" si="283"/>
        <v>0</v>
      </c>
      <c r="J1213" s="47">
        <v>0</v>
      </c>
      <c r="K1213" s="46">
        <f t="shared" si="284"/>
        <v>0</v>
      </c>
      <c r="L1213" s="47">
        <v>0</v>
      </c>
      <c r="AX1213" s="46">
        <v>0</v>
      </c>
      <c r="AY1213" s="47">
        <v>0</v>
      </c>
      <c r="AZ1213" s="70">
        <f t="shared" si="274"/>
        <v>0</v>
      </c>
      <c r="BC1213" s="50"/>
    </row>
    <row r="1214" spans="1:55" s="48" customFormat="1" ht="15.45" customHeight="1" outlineLevel="1" x14ac:dyDescent="0.25">
      <c r="A1214" s="42">
        <v>12</v>
      </c>
      <c r="B1214" s="43" t="s">
        <v>812</v>
      </c>
      <c r="C1214" s="44" t="s">
        <v>93</v>
      </c>
      <c r="D1214" s="45">
        <v>1</v>
      </c>
      <c r="E1214" s="45">
        <v>98.262799999999984</v>
      </c>
      <c r="F1214" s="45">
        <f t="shared" si="280"/>
        <v>98.262799999999984</v>
      </c>
      <c r="G1214" s="46">
        <f t="shared" si="281"/>
        <v>0</v>
      </c>
      <c r="H1214" s="47">
        <f t="shared" si="282"/>
        <v>0</v>
      </c>
      <c r="I1214" s="46">
        <f t="shared" si="283"/>
        <v>0</v>
      </c>
      <c r="J1214" s="47">
        <v>0</v>
      </c>
      <c r="K1214" s="46">
        <f t="shared" si="284"/>
        <v>0</v>
      </c>
      <c r="L1214" s="47">
        <v>0</v>
      </c>
      <c r="AX1214" s="46">
        <v>0</v>
      </c>
      <c r="AY1214" s="47">
        <v>0</v>
      </c>
      <c r="AZ1214" s="70">
        <f t="shared" si="274"/>
        <v>0</v>
      </c>
      <c r="BC1214" s="50"/>
    </row>
    <row r="1215" spans="1:55" s="48" customFormat="1" ht="27.75" customHeight="1" outlineLevel="1" x14ac:dyDescent="0.25">
      <c r="A1215" s="42">
        <v>13</v>
      </c>
      <c r="B1215" s="43" t="s">
        <v>529</v>
      </c>
      <c r="C1215" s="44" t="s">
        <v>93</v>
      </c>
      <c r="D1215" s="45">
        <v>1</v>
      </c>
      <c r="E1215" s="45">
        <v>6.5157999999999996</v>
      </c>
      <c r="F1215" s="45">
        <f t="shared" si="280"/>
        <v>6.5157999999999996</v>
      </c>
      <c r="G1215" s="46">
        <f t="shared" si="281"/>
        <v>0</v>
      </c>
      <c r="H1215" s="47">
        <f t="shared" si="282"/>
        <v>0</v>
      </c>
      <c r="I1215" s="46">
        <f t="shared" si="283"/>
        <v>0</v>
      </c>
      <c r="J1215" s="47">
        <v>0</v>
      </c>
      <c r="K1215" s="46">
        <f t="shared" si="284"/>
        <v>0</v>
      </c>
      <c r="L1215" s="47">
        <v>0</v>
      </c>
      <c r="AX1215" s="46">
        <v>0</v>
      </c>
      <c r="AY1215" s="47">
        <v>0</v>
      </c>
      <c r="AZ1215" s="70">
        <f t="shared" si="274"/>
        <v>0</v>
      </c>
      <c r="BC1215" s="50"/>
    </row>
    <row r="1216" spans="1:55" s="48" customFormat="1" ht="15.45" customHeight="1" outlineLevel="1" x14ac:dyDescent="0.25">
      <c r="A1216" s="42">
        <v>14</v>
      </c>
      <c r="B1216" s="43" t="s">
        <v>813</v>
      </c>
      <c r="C1216" s="44" t="s">
        <v>93</v>
      </c>
      <c r="D1216" s="45">
        <v>1</v>
      </c>
      <c r="E1216" s="45">
        <v>424.9</v>
      </c>
      <c r="F1216" s="45">
        <f t="shared" si="280"/>
        <v>424.9</v>
      </c>
      <c r="G1216" s="46">
        <f t="shared" si="281"/>
        <v>0</v>
      </c>
      <c r="H1216" s="47">
        <f t="shared" si="282"/>
        <v>0</v>
      </c>
      <c r="I1216" s="46">
        <f t="shared" si="283"/>
        <v>0</v>
      </c>
      <c r="J1216" s="47">
        <v>0</v>
      </c>
      <c r="K1216" s="46">
        <f t="shared" si="284"/>
        <v>0</v>
      </c>
      <c r="L1216" s="47">
        <v>0</v>
      </c>
      <c r="AX1216" s="46">
        <v>0.4</v>
      </c>
      <c r="AY1216" s="47">
        <v>28204</v>
      </c>
      <c r="AZ1216" s="70">
        <f t="shared" si="274"/>
        <v>0</v>
      </c>
      <c r="BC1216" s="50"/>
    </row>
    <row r="1217" spans="1:55" s="48" customFormat="1" ht="27.75" customHeight="1" outlineLevel="1" x14ac:dyDescent="0.25">
      <c r="A1217" s="42">
        <v>15</v>
      </c>
      <c r="B1217" s="43" t="s">
        <v>814</v>
      </c>
      <c r="C1217" s="44" t="s">
        <v>93</v>
      </c>
      <c r="D1217" s="45">
        <v>1</v>
      </c>
      <c r="E1217" s="45">
        <v>17.042200000000001</v>
      </c>
      <c r="F1217" s="45">
        <f t="shared" si="280"/>
        <v>17.042200000000001</v>
      </c>
      <c r="G1217" s="46">
        <f t="shared" si="281"/>
        <v>0</v>
      </c>
      <c r="H1217" s="47">
        <f t="shared" si="282"/>
        <v>0</v>
      </c>
      <c r="I1217" s="46">
        <f t="shared" si="283"/>
        <v>0</v>
      </c>
      <c r="J1217" s="47">
        <v>0</v>
      </c>
      <c r="K1217" s="46">
        <f t="shared" si="284"/>
        <v>0</v>
      </c>
      <c r="L1217" s="47">
        <v>0</v>
      </c>
      <c r="AX1217" s="46">
        <v>0</v>
      </c>
      <c r="AY1217" s="47">
        <v>0</v>
      </c>
      <c r="AZ1217" s="70">
        <f t="shared" si="274"/>
        <v>0</v>
      </c>
      <c r="BC1217" s="50"/>
    </row>
    <row r="1218" spans="1:55" s="48" customFormat="1" ht="15.45" customHeight="1" outlineLevel="1" x14ac:dyDescent="0.25">
      <c r="A1218" s="42">
        <v>16</v>
      </c>
      <c r="B1218" s="43" t="s">
        <v>815</v>
      </c>
      <c r="C1218" s="44" t="s">
        <v>234</v>
      </c>
      <c r="D1218" s="45">
        <v>1</v>
      </c>
      <c r="E1218" s="45">
        <v>1032.44</v>
      </c>
      <c r="F1218" s="45">
        <f t="shared" si="280"/>
        <v>1032.44</v>
      </c>
      <c r="G1218" s="46">
        <f t="shared" si="281"/>
        <v>0</v>
      </c>
      <c r="H1218" s="47">
        <f t="shared" si="282"/>
        <v>0</v>
      </c>
      <c r="I1218" s="46">
        <f t="shared" si="283"/>
        <v>0</v>
      </c>
      <c r="J1218" s="47">
        <v>0</v>
      </c>
      <c r="K1218" s="46">
        <f t="shared" si="284"/>
        <v>0</v>
      </c>
      <c r="L1218" s="47">
        <v>0</v>
      </c>
      <c r="AX1218" s="46">
        <v>0.1</v>
      </c>
      <c r="AY1218" s="47">
        <v>4337</v>
      </c>
      <c r="AZ1218" s="70">
        <f t="shared" si="274"/>
        <v>0</v>
      </c>
      <c r="BC1218" s="50"/>
    </row>
    <row r="1219" spans="1:55" s="48" customFormat="1" ht="15.45" customHeight="1" outlineLevel="1" x14ac:dyDescent="0.25">
      <c r="A1219" s="42">
        <v>17</v>
      </c>
      <c r="B1219" s="43" t="s">
        <v>490</v>
      </c>
      <c r="C1219" s="44" t="s">
        <v>93</v>
      </c>
      <c r="D1219" s="45">
        <v>1</v>
      </c>
      <c r="E1219" s="45">
        <v>15.3592</v>
      </c>
      <c r="F1219" s="45">
        <f t="shared" si="280"/>
        <v>15.3592</v>
      </c>
      <c r="G1219" s="46">
        <f t="shared" si="281"/>
        <v>0</v>
      </c>
      <c r="H1219" s="47">
        <f t="shared" si="282"/>
        <v>0</v>
      </c>
      <c r="I1219" s="46">
        <f t="shared" si="283"/>
        <v>0</v>
      </c>
      <c r="J1219" s="47">
        <v>0</v>
      </c>
      <c r="K1219" s="46">
        <f t="shared" si="284"/>
        <v>0</v>
      </c>
      <c r="L1219" s="47">
        <v>0</v>
      </c>
      <c r="AX1219" s="46">
        <v>0.1</v>
      </c>
      <c r="AY1219" s="47">
        <v>3776.5310000000009</v>
      </c>
      <c r="AZ1219" s="70">
        <f t="shared" si="274"/>
        <v>0</v>
      </c>
      <c r="BC1219" s="50"/>
    </row>
    <row r="1220" spans="1:55" s="48" customFormat="1" ht="15.45" customHeight="1" outlineLevel="1" x14ac:dyDescent="0.25">
      <c r="A1220" s="42">
        <v>18</v>
      </c>
      <c r="B1220" s="43" t="s">
        <v>816</v>
      </c>
      <c r="C1220" s="44" t="s">
        <v>93</v>
      </c>
      <c r="D1220" s="45">
        <v>2</v>
      </c>
      <c r="E1220" s="45">
        <v>480.62000000000012</v>
      </c>
      <c r="F1220" s="45">
        <f t="shared" si="280"/>
        <v>961.24000000000024</v>
      </c>
      <c r="G1220" s="46">
        <f t="shared" si="281"/>
        <v>0</v>
      </c>
      <c r="H1220" s="47">
        <f t="shared" si="282"/>
        <v>0</v>
      </c>
      <c r="I1220" s="46">
        <f t="shared" si="283"/>
        <v>0</v>
      </c>
      <c r="J1220" s="47">
        <v>0</v>
      </c>
      <c r="K1220" s="46">
        <f t="shared" si="284"/>
        <v>0</v>
      </c>
      <c r="L1220" s="47">
        <v>0</v>
      </c>
      <c r="AX1220" s="46">
        <v>0</v>
      </c>
      <c r="AY1220" s="47">
        <v>0</v>
      </c>
      <c r="AZ1220" s="70">
        <f t="shared" si="274"/>
        <v>0</v>
      </c>
      <c r="BC1220" s="50"/>
    </row>
    <row r="1221" spans="1:55" s="48" customFormat="1" ht="15.45" customHeight="1" outlineLevel="1" x14ac:dyDescent="0.25">
      <c r="A1221" s="42">
        <v>19</v>
      </c>
      <c r="B1221" s="43" t="s">
        <v>496</v>
      </c>
      <c r="C1221" s="44" t="s">
        <v>93</v>
      </c>
      <c r="D1221" s="45">
        <v>2</v>
      </c>
      <c r="E1221" s="45">
        <v>28.4438</v>
      </c>
      <c r="F1221" s="45">
        <f t="shared" si="280"/>
        <v>56.887599999999999</v>
      </c>
      <c r="G1221" s="46">
        <f t="shared" si="281"/>
        <v>0</v>
      </c>
      <c r="H1221" s="47">
        <f t="shared" si="282"/>
        <v>0</v>
      </c>
      <c r="I1221" s="46">
        <f t="shared" si="283"/>
        <v>0</v>
      </c>
      <c r="J1221" s="47">
        <v>0</v>
      </c>
      <c r="K1221" s="46">
        <f t="shared" si="284"/>
        <v>0</v>
      </c>
      <c r="L1221" s="47">
        <v>0</v>
      </c>
      <c r="AX1221" s="46">
        <v>0.4</v>
      </c>
      <c r="AY1221" s="47">
        <v>1282</v>
      </c>
      <c r="AZ1221" s="70">
        <f t="shared" si="274"/>
        <v>0</v>
      </c>
      <c r="BC1221" s="50"/>
    </row>
    <row r="1222" spans="1:55" s="48" customFormat="1" ht="27.75" customHeight="1" outlineLevel="1" x14ac:dyDescent="0.25">
      <c r="A1222" s="42">
        <v>20</v>
      </c>
      <c r="B1222" s="43" t="s">
        <v>817</v>
      </c>
      <c r="C1222" s="44" t="s">
        <v>234</v>
      </c>
      <c r="D1222" s="45">
        <v>1</v>
      </c>
      <c r="E1222" s="45">
        <v>1032.44</v>
      </c>
      <c r="F1222" s="45">
        <f t="shared" si="280"/>
        <v>1032.44</v>
      </c>
      <c r="G1222" s="46">
        <f t="shared" si="281"/>
        <v>0</v>
      </c>
      <c r="H1222" s="47">
        <f t="shared" si="282"/>
        <v>0</v>
      </c>
      <c r="I1222" s="46">
        <f t="shared" si="283"/>
        <v>0</v>
      </c>
      <c r="J1222" s="47">
        <v>0</v>
      </c>
      <c r="K1222" s="46">
        <f t="shared" si="284"/>
        <v>0</v>
      </c>
      <c r="L1222" s="47">
        <v>0</v>
      </c>
      <c r="AX1222" s="46">
        <v>0</v>
      </c>
      <c r="AY1222" s="47">
        <v>0</v>
      </c>
      <c r="AZ1222" s="70">
        <f t="shared" si="274"/>
        <v>0</v>
      </c>
      <c r="BC1222" s="50"/>
    </row>
    <row r="1223" spans="1:55" s="48" customFormat="1" ht="15.45" customHeight="1" outlineLevel="1" x14ac:dyDescent="0.25">
      <c r="A1223" s="42">
        <v>21</v>
      </c>
      <c r="B1223" s="43" t="s">
        <v>490</v>
      </c>
      <c r="C1223" s="44" t="s">
        <v>93</v>
      </c>
      <c r="D1223" s="45">
        <v>1</v>
      </c>
      <c r="E1223" s="45">
        <v>15.145</v>
      </c>
      <c r="F1223" s="45">
        <f t="shared" si="280"/>
        <v>15.145</v>
      </c>
      <c r="G1223" s="46">
        <f t="shared" si="281"/>
        <v>0</v>
      </c>
      <c r="H1223" s="47">
        <f t="shared" si="282"/>
        <v>0</v>
      </c>
      <c r="I1223" s="46">
        <f t="shared" si="283"/>
        <v>0</v>
      </c>
      <c r="J1223" s="47">
        <v>0</v>
      </c>
      <c r="K1223" s="46">
        <f t="shared" si="284"/>
        <v>0</v>
      </c>
      <c r="L1223" s="47">
        <v>0</v>
      </c>
      <c r="AX1223" s="46">
        <v>0.1</v>
      </c>
      <c r="AY1223" s="47">
        <v>8131.875</v>
      </c>
      <c r="AZ1223" s="70">
        <f t="shared" si="274"/>
        <v>0</v>
      </c>
      <c r="BC1223" s="50"/>
    </row>
    <row r="1224" spans="1:55" s="48" customFormat="1" ht="15.45" customHeight="1" outlineLevel="1" x14ac:dyDescent="0.25">
      <c r="A1224" s="42">
        <v>22</v>
      </c>
      <c r="B1224" s="43" t="s">
        <v>818</v>
      </c>
      <c r="C1224" s="44" t="s">
        <v>93</v>
      </c>
      <c r="D1224" s="45">
        <v>1</v>
      </c>
      <c r="E1224" s="45">
        <v>1499.0083999999999</v>
      </c>
      <c r="F1224" s="45">
        <f t="shared" si="280"/>
        <v>1499.0083999999999</v>
      </c>
      <c r="G1224" s="46">
        <f t="shared" si="281"/>
        <v>0</v>
      </c>
      <c r="H1224" s="47">
        <f t="shared" si="282"/>
        <v>0</v>
      </c>
      <c r="I1224" s="46">
        <f t="shared" si="283"/>
        <v>0</v>
      </c>
      <c r="J1224" s="47">
        <v>0</v>
      </c>
      <c r="K1224" s="46">
        <f t="shared" si="284"/>
        <v>0</v>
      </c>
      <c r="L1224" s="47">
        <v>0</v>
      </c>
      <c r="AX1224" s="46">
        <v>0.1</v>
      </c>
      <c r="AY1224" s="47">
        <v>2239.0500000000002</v>
      </c>
      <c r="AZ1224" s="70">
        <f t="shared" si="274"/>
        <v>0</v>
      </c>
      <c r="BC1224" s="50"/>
    </row>
    <row r="1225" spans="1:55" s="48" customFormat="1" ht="15.45" customHeight="1" outlineLevel="1" x14ac:dyDescent="0.25">
      <c r="A1225" s="42">
        <v>23</v>
      </c>
      <c r="B1225" s="43" t="s">
        <v>819</v>
      </c>
      <c r="C1225" s="44" t="s">
        <v>93</v>
      </c>
      <c r="D1225" s="45">
        <v>1</v>
      </c>
      <c r="E1225" s="45">
        <v>24.835000000000001</v>
      </c>
      <c r="F1225" s="45">
        <f t="shared" si="280"/>
        <v>24.835000000000001</v>
      </c>
      <c r="G1225" s="46">
        <f t="shared" si="281"/>
        <v>0</v>
      </c>
      <c r="H1225" s="47">
        <f t="shared" si="282"/>
        <v>0</v>
      </c>
      <c r="I1225" s="46">
        <f t="shared" si="283"/>
        <v>0</v>
      </c>
      <c r="J1225" s="47">
        <v>0</v>
      </c>
      <c r="K1225" s="46">
        <f t="shared" si="284"/>
        <v>0</v>
      </c>
      <c r="L1225" s="47">
        <v>0</v>
      </c>
      <c r="AX1225" s="46">
        <v>0</v>
      </c>
      <c r="AY1225" s="47">
        <v>0</v>
      </c>
      <c r="AZ1225" s="70">
        <f t="shared" si="274"/>
        <v>0</v>
      </c>
      <c r="BC1225" s="50"/>
    </row>
    <row r="1226" spans="1:55" s="48" customFormat="1" ht="35.25" customHeight="1" outlineLevel="1" x14ac:dyDescent="0.25">
      <c r="A1226" s="42">
        <v>24</v>
      </c>
      <c r="B1226" s="43" t="s">
        <v>820</v>
      </c>
      <c r="C1226" s="44" t="s">
        <v>28</v>
      </c>
      <c r="D1226" s="45">
        <v>0.49</v>
      </c>
      <c r="E1226" s="45">
        <v>3015.8932</v>
      </c>
      <c r="F1226" s="45">
        <f t="shared" si="280"/>
        <v>1477.7876679999999</v>
      </c>
      <c r="G1226" s="46">
        <f t="shared" si="281"/>
        <v>0</v>
      </c>
      <c r="H1226" s="47">
        <f t="shared" si="282"/>
        <v>0</v>
      </c>
      <c r="I1226" s="46">
        <f t="shared" si="283"/>
        <v>0</v>
      </c>
      <c r="J1226" s="47">
        <v>0</v>
      </c>
      <c r="K1226" s="46">
        <f t="shared" si="284"/>
        <v>0</v>
      </c>
      <c r="L1226" s="47">
        <v>0</v>
      </c>
      <c r="AX1226" s="46">
        <v>0</v>
      </c>
      <c r="AY1226" s="47">
        <v>0</v>
      </c>
      <c r="AZ1226" s="70">
        <f t="shared" si="274"/>
        <v>0</v>
      </c>
      <c r="BC1226" s="50"/>
    </row>
    <row r="1227" spans="1:55" s="48" customFormat="1" ht="15.45" customHeight="1" outlineLevel="1" x14ac:dyDescent="0.25">
      <c r="A1227" s="42">
        <v>25</v>
      </c>
      <c r="B1227" s="43" t="s">
        <v>821</v>
      </c>
      <c r="C1227" s="44" t="s">
        <v>110</v>
      </c>
      <c r="D1227" s="45">
        <v>1.26</v>
      </c>
      <c r="E1227" s="45">
        <v>160.08699999999999</v>
      </c>
      <c r="F1227" s="45">
        <f t="shared" si="280"/>
        <v>201.70962</v>
      </c>
      <c r="G1227" s="46">
        <f t="shared" si="281"/>
        <v>0</v>
      </c>
      <c r="H1227" s="47">
        <f t="shared" si="282"/>
        <v>0</v>
      </c>
      <c r="I1227" s="46">
        <f t="shared" si="283"/>
        <v>0</v>
      </c>
      <c r="J1227" s="47">
        <v>0</v>
      </c>
      <c r="K1227" s="46">
        <f t="shared" si="284"/>
        <v>0</v>
      </c>
      <c r="L1227" s="47">
        <v>0</v>
      </c>
      <c r="AX1227" s="46">
        <v>0</v>
      </c>
      <c r="AY1227" s="47">
        <v>0</v>
      </c>
      <c r="AZ1227" s="70">
        <f t="shared" si="274"/>
        <v>0</v>
      </c>
      <c r="BC1227" s="50"/>
    </row>
    <row r="1228" spans="1:55" s="48" customFormat="1" ht="35.25" customHeight="1" outlineLevel="1" x14ac:dyDescent="0.25">
      <c r="A1228" s="42">
        <v>26</v>
      </c>
      <c r="B1228" s="43" t="s">
        <v>707</v>
      </c>
      <c r="C1228" s="44" t="s">
        <v>110</v>
      </c>
      <c r="D1228" s="45">
        <v>212.5</v>
      </c>
      <c r="E1228" s="45">
        <v>1.3814</v>
      </c>
      <c r="F1228" s="45">
        <f t="shared" si="280"/>
        <v>293.54750000000001</v>
      </c>
      <c r="G1228" s="46">
        <f t="shared" si="281"/>
        <v>0</v>
      </c>
      <c r="H1228" s="47">
        <f t="shared" si="282"/>
        <v>0</v>
      </c>
      <c r="I1228" s="46">
        <f t="shared" si="283"/>
        <v>0</v>
      </c>
      <c r="J1228" s="47">
        <v>0</v>
      </c>
      <c r="K1228" s="46">
        <f t="shared" si="284"/>
        <v>0</v>
      </c>
      <c r="L1228" s="47">
        <v>0</v>
      </c>
      <c r="AX1228" s="46">
        <v>0</v>
      </c>
      <c r="AY1228" s="47">
        <v>0</v>
      </c>
      <c r="AZ1228" s="70">
        <f t="shared" si="274"/>
        <v>0</v>
      </c>
      <c r="BC1228" s="50"/>
    </row>
    <row r="1229" spans="1:55" s="48" customFormat="1" ht="27.75" customHeight="1" outlineLevel="1" x14ac:dyDescent="0.25">
      <c r="A1229" s="42">
        <v>27</v>
      </c>
      <c r="B1229" s="43" t="s">
        <v>788</v>
      </c>
      <c r="C1229" s="44" t="s">
        <v>110</v>
      </c>
      <c r="D1229" s="45">
        <v>37.5</v>
      </c>
      <c r="E1229" s="45">
        <v>22.132000000000009</v>
      </c>
      <c r="F1229" s="45">
        <f t="shared" si="280"/>
        <v>829.95000000000027</v>
      </c>
      <c r="G1229" s="46">
        <f t="shared" si="281"/>
        <v>0</v>
      </c>
      <c r="H1229" s="47">
        <f t="shared" si="282"/>
        <v>0</v>
      </c>
      <c r="I1229" s="46">
        <f t="shared" si="283"/>
        <v>0</v>
      </c>
      <c r="J1229" s="47">
        <v>0</v>
      </c>
      <c r="K1229" s="46">
        <f t="shared" si="284"/>
        <v>0</v>
      </c>
      <c r="L1229" s="47">
        <v>0</v>
      </c>
      <c r="AX1229" s="46">
        <v>0</v>
      </c>
      <c r="AY1229" s="47">
        <v>0</v>
      </c>
      <c r="AZ1229" s="70">
        <f t="shared" si="274"/>
        <v>0</v>
      </c>
      <c r="BC1229" s="50"/>
    </row>
    <row r="1230" spans="1:55" s="48" customFormat="1" ht="27.75" customHeight="1" outlineLevel="1" x14ac:dyDescent="0.25">
      <c r="A1230" s="42">
        <v>28</v>
      </c>
      <c r="B1230" s="43" t="s">
        <v>649</v>
      </c>
      <c r="C1230" s="44" t="s">
        <v>110</v>
      </c>
      <c r="D1230" s="45">
        <v>220.5</v>
      </c>
      <c r="E1230" s="45">
        <v>0.9</v>
      </c>
      <c r="F1230" s="45">
        <f t="shared" si="280"/>
        <v>198.45000000000002</v>
      </c>
      <c r="G1230" s="46">
        <f t="shared" si="281"/>
        <v>0</v>
      </c>
      <c r="H1230" s="47">
        <f t="shared" si="282"/>
        <v>0</v>
      </c>
      <c r="I1230" s="46">
        <f t="shared" si="283"/>
        <v>0</v>
      </c>
      <c r="J1230" s="47">
        <v>0</v>
      </c>
      <c r="K1230" s="46">
        <f t="shared" si="284"/>
        <v>0</v>
      </c>
      <c r="L1230" s="47">
        <v>0</v>
      </c>
      <c r="AX1230" s="46">
        <v>0</v>
      </c>
      <c r="AY1230" s="47">
        <v>0</v>
      </c>
      <c r="AZ1230" s="70">
        <f t="shared" si="274"/>
        <v>0</v>
      </c>
      <c r="BC1230" s="50"/>
    </row>
    <row r="1231" spans="1:55" s="48" customFormat="1" ht="15.45" customHeight="1" outlineLevel="1" x14ac:dyDescent="0.25">
      <c r="A1231" s="42">
        <v>29</v>
      </c>
      <c r="B1231" s="43" t="s">
        <v>166</v>
      </c>
      <c r="C1231" s="44" t="s">
        <v>110</v>
      </c>
      <c r="D1231" s="45">
        <v>24.5</v>
      </c>
      <c r="E1231" s="45">
        <v>8.16</v>
      </c>
      <c r="F1231" s="45">
        <f t="shared" si="280"/>
        <v>199.92000000000002</v>
      </c>
      <c r="G1231" s="46">
        <f t="shared" si="281"/>
        <v>0</v>
      </c>
      <c r="H1231" s="47">
        <f t="shared" si="282"/>
        <v>0</v>
      </c>
      <c r="I1231" s="46">
        <f t="shared" si="283"/>
        <v>0</v>
      </c>
      <c r="J1231" s="47">
        <v>0</v>
      </c>
      <c r="K1231" s="46">
        <f t="shared" si="284"/>
        <v>0</v>
      </c>
      <c r="L1231" s="47">
        <v>0</v>
      </c>
      <c r="AX1231" s="46">
        <v>0</v>
      </c>
      <c r="AY1231" s="47">
        <v>0</v>
      </c>
      <c r="AZ1231" s="70">
        <f t="shared" si="274"/>
        <v>0</v>
      </c>
      <c r="BC1231" s="50"/>
    </row>
    <row r="1232" spans="1:55" s="48" customFormat="1" ht="15.45" customHeight="1" outlineLevel="1" x14ac:dyDescent="0.25">
      <c r="A1232" s="42">
        <v>30</v>
      </c>
      <c r="B1232" s="43" t="s">
        <v>37</v>
      </c>
      <c r="C1232" s="44" t="s">
        <v>110</v>
      </c>
      <c r="D1232" s="45">
        <v>220.5</v>
      </c>
      <c r="E1232" s="45">
        <v>2</v>
      </c>
      <c r="F1232" s="45">
        <f t="shared" si="280"/>
        <v>441</v>
      </c>
      <c r="G1232" s="46">
        <f t="shared" si="281"/>
        <v>0</v>
      </c>
      <c r="H1232" s="47">
        <f t="shared" si="282"/>
        <v>0</v>
      </c>
      <c r="I1232" s="46">
        <f t="shared" si="283"/>
        <v>0</v>
      </c>
      <c r="J1232" s="47">
        <v>0</v>
      </c>
      <c r="K1232" s="46">
        <f t="shared" si="284"/>
        <v>0</v>
      </c>
      <c r="L1232" s="47">
        <v>0</v>
      </c>
      <c r="AX1232" s="46">
        <v>0</v>
      </c>
      <c r="AY1232" s="47">
        <v>0</v>
      </c>
      <c r="AZ1232" s="70">
        <f t="shared" si="274"/>
        <v>0</v>
      </c>
      <c r="BC1232" s="50"/>
    </row>
    <row r="1233" spans="1:55" s="56" customFormat="1" ht="17.25" customHeight="1" x14ac:dyDescent="0.3">
      <c r="A1233" s="31">
        <v>9.1</v>
      </c>
      <c r="B1233" s="51" t="s">
        <v>822</v>
      </c>
      <c r="C1233" s="52">
        <v>0</v>
      </c>
      <c r="D1233" s="53"/>
      <c r="E1233" s="53"/>
      <c r="F1233" s="53"/>
      <c r="G1233" s="54"/>
      <c r="H1233" s="55"/>
      <c r="I1233" s="54"/>
      <c r="J1233" s="55"/>
      <c r="K1233" s="54"/>
      <c r="L1233" s="55">
        <v>0</v>
      </c>
      <c r="AX1233" s="69">
        <v>0</v>
      </c>
      <c r="AY1233" s="71">
        <v>0</v>
      </c>
      <c r="AZ1233" s="72">
        <f t="shared" si="274"/>
        <v>0</v>
      </c>
      <c r="BC1233" s="58"/>
    </row>
    <row r="1234" spans="1:55" s="48" customFormat="1" ht="27.75" customHeight="1" outlineLevel="1" x14ac:dyDescent="0.25">
      <c r="A1234" s="42">
        <v>1</v>
      </c>
      <c r="B1234" s="43" t="s">
        <v>707</v>
      </c>
      <c r="C1234" s="44" t="s">
        <v>110</v>
      </c>
      <c r="D1234" s="45">
        <v>113</v>
      </c>
      <c r="E1234" s="45">
        <v>0.88466</v>
      </c>
      <c r="F1234" s="45">
        <f t="shared" ref="F1234:F1241" si="285">+E1234*D1234</f>
        <v>99.966579999999993</v>
      </c>
      <c r="G1234" s="46">
        <f t="shared" ref="G1234:H1241" si="286">I1234+K1234</f>
        <v>0</v>
      </c>
      <c r="H1234" s="47">
        <f t="shared" si="286"/>
        <v>0</v>
      </c>
      <c r="I1234" s="46">
        <f t="shared" ref="I1234:I1241" si="287">J1234/F1234</f>
        <v>0</v>
      </c>
      <c r="J1234" s="47">
        <v>0</v>
      </c>
      <c r="K1234" s="46">
        <f t="shared" ref="K1234:K1241" si="288">L1234/F1234</f>
        <v>0</v>
      </c>
      <c r="L1234" s="47">
        <v>0</v>
      </c>
      <c r="AX1234" s="46">
        <v>0.45687243761941471</v>
      </c>
      <c r="AY1234" s="47">
        <v>4962.6172556269203</v>
      </c>
      <c r="AZ1234" s="70">
        <f t="shared" si="274"/>
        <v>0</v>
      </c>
      <c r="BC1234" s="50"/>
    </row>
    <row r="1235" spans="1:55" s="48" customFormat="1" ht="27.75" customHeight="1" outlineLevel="1" x14ac:dyDescent="0.25">
      <c r="A1235" s="42">
        <v>2</v>
      </c>
      <c r="B1235" s="43" t="s">
        <v>648</v>
      </c>
      <c r="C1235" s="44" t="s">
        <v>110</v>
      </c>
      <c r="D1235" s="45">
        <v>4</v>
      </c>
      <c r="E1235" s="45">
        <v>8.9600000000000009</v>
      </c>
      <c r="F1235" s="45">
        <f t="shared" si="285"/>
        <v>35.840000000000003</v>
      </c>
      <c r="G1235" s="46">
        <f t="shared" si="286"/>
        <v>0</v>
      </c>
      <c r="H1235" s="47">
        <f t="shared" si="286"/>
        <v>0</v>
      </c>
      <c r="I1235" s="46">
        <f t="shared" si="287"/>
        <v>0</v>
      </c>
      <c r="J1235" s="47">
        <v>0</v>
      </c>
      <c r="K1235" s="46">
        <f t="shared" si="288"/>
        <v>0</v>
      </c>
      <c r="L1235" s="47">
        <v>0</v>
      </c>
      <c r="AX1235" s="46">
        <v>0.40774483266588052</v>
      </c>
      <c r="AY1235" s="47">
        <v>14225.29554602212</v>
      </c>
      <c r="AZ1235" s="70">
        <f t="shared" si="274"/>
        <v>0</v>
      </c>
      <c r="BC1235" s="50"/>
    </row>
    <row r="1236" spans="1:55" s="48" customFormat="1" ht="27.75" customHeight="1" outlineLevel="1" x14ac:dyDescent="0.25">
      <c r="A1236" s="42">
        <v>3</v>
      </c>
      <c r="B1236" s="43" t="s">
        <v>649</v>
      </c>
      <c r="C1236" s="44" t="s">
        <v>110</v>
      </c>
      <c r="D1236" s="45">
        <v>35</v>
      </c>
      <c r="E1236" s="45">
        <v>0.9</v>
      </c>
      <c r="F1236" s="45">
        <f t="shared" si="285"/>
        <v>31.5</v>
      </c>
      <c r="G1236" s="46">
        <f t="shared" si="286"/>
        <v>0</v>
      </c>
      <c r="H1236" s="47">
        <f t="shared" si="286"/>
        <v>0</v>
      </c>
      <c r="I1236" s="46">
        <f t="shared" si="287"/>
        <v>0</v>
      </c>
      <c r="J1236" s="47">
        <v>0</v>
      </c>
      <c r="K1236" s="46">
        <f t="shared" si="288"/>
        <v>0</v>
      </c>
      <c r="L1236" s="47">
        <v>0</v>
      </c>
      <c r="AX1236" s="46">
        <v>0.50811473013550745</v>
      </c>
      <c r="AY1236" s="47">
        <v>3816.838143580429</v>
      </c>
      <c r="AZ1236" s="70">
        <f t="shared" si="274"/>
        <v>0</v>
      </c>
      <c r="BC1236" s="50"/>
    </row>
    <row r="1237" spans="1:55" s="48" customFormat="1" ht="15.45" customHeight="1" outlineLevel="1" x14ac:dyDescent="0.25">
      <c r="A1237" s="42">
        <v>4</v>
      </c>
      <c r="B1237" s="43" t="s">
        <v>166</v>
      </c>
      <c r="C1237" s="44" t="s">
        <v>110</v>
      </c>
      <c r="D1237" s="45">
        <v>11</v>
      </c>
      <c r="E1237" s="45">
        <v>8.16</v>
      </c>
      <c r="F1237" s="45">
        <f t="shared" si="285"/>
        <v>89.76</v>
      </c>
      <c r="G1237" s="46">
        <f t="shared" si="286"/>
        <v>0</v>
      </c>
      <c r="H1237" s="47">
        <f t="shared" si="286"/>
        <v>0</v>
      </c>
      <c r="I1237" s="46">
        <f t="shared" si="287"/>
        <v>0</v>
      </c>
      <c r="J1237" s="47">
        <v>0</v>
      </c>
      <c r="K1237" s="46">
        <f t="shared" si="288"/>
        <v>0</v>
      </c>
      <c r="L1237" s="47">
        <v>0</v>
      </c>
      <c r="AX1237" s="46">
        <v>0</v>
      </c>
      <c r="AY1237" s="47">
        <v>0</v>
      </c>
      <c r="AZ1237" s="70">
        <f t="shared" si="274"/>
        <v>0</v>
      </c>
      <c r="BC1237" s="50"/>
    </row>
    <row r="1238" spans="1:55" s="48" customFormat="1" ht="15.45" customHeight="1" outlineLevel="1" x14ac:dyDescent="0.25">
      <c r="A1238" s="42">
        <v>5</v>
      </c>
      <c r="B1238" s="43" t="s">
        <v>37</v>
      </c>
      <c r="C1238" s="44" t="s">
        <v>110</v>
      </c>
      <c r="D1238" s="45">
        <v>35</v>
      </c>
      <c r="E1238" s="45">
        <v>2</v>
      </c>
      <c r="F1238" s="45">
        <f t="shared" si="285"/>
        <v>70</v>
      </c>
      <c r="G1238" s="46">
        <f t="shared" si="286"/>
        <v>0</v>
      </c>
      <c r="H1238" s="47">
        <f t="shared" si="286"/>
        <v>0</v>
      </c>
      <c r="I1238" s="46">
        <f t="shared" si="287"/>
        <v>0</v>
      </c>
      <c r="J1238" s="47">
        <v>0</v>
      </c>
      <c r="K1238" s="46">
        <f t="shared" si="288"/>
        <v>0</v>
      </c>
      <c r="L1238" s="47">
        <v>0</v>
      </c>
      <c r="AX1238" s="46">
        <v>0</v>
      </c>
      <c r="AY1238" s="47">
        <v>0</v>
      </c>
      <c r="AZ1238" s="70">
        <f t="shared" si="274"/>
        <v>0</v>
      </c>
      <c r="BC1238" s="50"/>
    </row>
    <row r="1239" spans="1:55" s="48" customFormat="1" ht="27.75" customHeight="1" outlineLevel="1" x14ac:dyDescent="0.25">
      <c r="A1239" s="42">
        <v>6</v>
      </c>
      <c r="B1239" s="43" t="s">
        <v>823</v>
      </c>
      <c r="C1239" s="44" t="s">
        <v>110</v>
      </c>
      <c r="D1239" s="45">
        <v>69</v>
      </c>
      <c r="E1239" s="45">
        <v>0.86834000000000011</v>
      </c>
      <c r="F1239" s="45">
        <f t="shared" si="285"/>
        <v>59.91546000000001</v>
      </c>
      <c r="G1239" s="46">
        <f t="shared" si="286"/>
        <v>0</v>
      </c>
      <c r="H1239" s="47">
        <f t="shared" si="286"/>
        <v>0</v>
      </c>
      <c r="I1239" s="46">
        <f t="shared" si="287"/>
        <v>0</v>
      </c>
      <c r="J1239" s="47">
        <v>0</v>
      </c>
      <c r="K1239" s="46">
        <f t="shared" si="288"/>
        <v>0</v>
      </c>
      <c r="L1239" s="47">
        <v>0</v>
      </c>
      <c r="AX1239" s="46">
        <v>0.64125854422572826</v>
      </c>
      <c r="AY1239" s="47">
        <v>11153.43318376818</v>
      </c>
      <c r="AZ1239" s="70">
        <f t="shared" si="274"/>
        <v>0</v>
      </c>
      <c r="BC1239" s="50"/>
    </row>
    <row r="1240" spans="1:55" s="48" customFormat="1" ht="15.45" customHeight="1" outlineLevel="1" x14ac:dyDescent="0.25">
      <c r="A1240" s="42">
        <v>7</v>
      </c>
      <c r="B1240" s="43" t="s">
        <v>29</v>
      </c>
      <c r="C1240" s="44" t="s">
        <v>28</v>
      </c>
      <c r="D1240" s="45">
        <v>124.2</v>
      </c>
      <c r="E1240" s="45">
        <v>1.63</v>
      </c>
      <c r="F1240" s="45">
        <f t="shared" si="285"/>
        <v>202.446</v>
      </c>
      <c r="G1240" s="46">
        <f t="shared" si="286"/>
        <v>0</v>
      </c>
      <c r="H1240" s="47">
        <f t="shared" si="286"/>
        <v>0</v>
      </c>
      <c r="I1240" s="46">
        <f t="shared" si="287"/>
        <v>0</v>
      </c>
      <c r="J1240" s="47">
        <v>0</v>
      </c>
      <c r="K1240" s="46">
        <f t="shared" si="288"/>
        <v>0</v>
      </c>
      <c r="L1240" s="47">
        <v>0</v>
      </c>
      <c r="AX1240" s="46">
        <v>0.5168669875016817</v>
      </c>
      <c r="AY1240" s="47">
        <v>662.06215754588038</v>
      </c>
      <c r="AZ1240" s="70">
        <f t="shared" si="274"/>
        <v>0</v>
      </c>
      <c r="BC1240" s="50"/>
    </row>
    <row r="1241" spans="1:55" s="48" customFormat="1" ht="15.45" customHeight="1" outlineLevel="1" x14ac:dyDescent="0.25">
      <c r="A1241" s="42">
        <v>8</v>
      </c>
      <c r="B1241" s="43" t="s">
        <v>30</v>
      </c>
      <c r="C1241" s="44" t="s">
        <v>110</v>
      </c>
      <c r="D1241" s="45">
        <v>69</v>
      </c>
      <c r="E1241" s="45">
        <v>0.90200000000000002</v>
      </c>
      <c r="F1241" s="45">
        <f t="shared" si="285"/>
        <v>62.238</v>
      </c>
      <c r="G1241" s="46">
        <f t="shared" si="286"/>
        <v>0</v>
      </c>
      <c r="H1241" s="47">
        <f t="shared" si="286"/>
        <v>0</v>
      </c>
      <c r="I1241" s="46">
        <f t="shared" si="287"/>
        <v>0</v>
      </c>
      <c r="J1241" s="47">
        <v>0</v>
      </c>
      <c r="K1241" s="46">
        <f t="shared" si="288"/>
        <v>0</v>
      </c>
      <c r="L1241" s="47">
        <v>0</v>
      </c>
      <c r="AX1241" s="46">
        <v>0.41474483266588053</v>
      </c>
      <c r="AY1241" s="47">
        <v>3393.330602562542</v>
      </c>
      <c r="AZ1241" s="70">
        <f t="shared" si="274"/>
        <v>0</v>
      </c>
      <c r="BC1241" s="50"/>
    </row>
    <row r="1242" spans="1:55" s="56" customFormat="1" ht="17.25" customHeight="1" x14ac:dyDescent="0.3">
      <c r="A1242" s="31">
        <v>9.1999999999999993</v>
      </c>
      <c r="B1242" s="51" t="s">
        <v>824</v>
      </c>
      <c r="C1242" s="52">
        <v>0</v>
      </c>
      <c r="D1242" s="53"/>
      <c r="E1242" s="53"/>
      <c r="F1242" s="53"/>
      <c r="G1242" s="54"/>
      <c r="H1242" s="55"/>
      <c r="I1242" s="54"/>
      <c r="J1242" s="55"/>
      <c r="K1242" s="54"/>
      <c r="L1242" s="55">
        <v>0</v>
      </c>
      <c r="AX1242" s="69">
        <v>0.54311473013550748</v>
      </c>
      <c r="AY1242" s="71">
        <v>95.994115241453898</v>
      </c>
      <c r="AZ1242" s="72">
        <f t="shared" ref="AZ1242:AZ1305" si="289">H1242-J1242</f>
        <v>0</v>
      </c>
      <c r="BC1242" s="58"/>
    </row>
    <row r="1243" spans="1:55" s="48" customFormat="1" ht="15.45" customHeight="1" outlineLevel="1" x14ac:dyDescent="0.25">
      <c r="A1243" s="42">
        <v>1</v>
      </c>
      <c r="B1243" s="43" t="s">
        <v>167</v>
      </c>
      <c r="C1243" s="44" t="s">
        <v>110</v>
      </c>
      <c r="D1243" s="45">
        <v>3.2</v>
      </c>
      <c r="E1243" s="45">
        <v>36.616</v>
      </c>
      <c r="F1243" s="45">
        <f t="shared" ref="F1243:F1254" si="290">+E1243*D1243</f>
        <v>117.1712</v>
      </c>
      <c r="G1243" s="46">
        <f t="shared" ref="G1243:G1254" si="291">I1243+K1243</f>
        <v>0</v>
      </c>
      <c r="H1243" s="47">
        <f t="shared" ref="H1243:H1254" si="292">J1243+L1243</f>
        <v>0</v>
      </c>
      <c r="I1243" s="46">
        <f t="shared" ref="I1243:I1254" si="293">J1243/F1243</f>
        <v>0</v>
      </c>
      <c r="J1243" s="47">
        <v>0</v>
      </c>
      <c r="K1243" s="46">
        <f t="shared" ref="K1243:K1254" si="294">L1243/F1243</f>
        <v>0</v>
      </c>
      <c r="L1243" s="47">
        <v>0</v>
      </c>
      <c r="AX1243" s="46">
        <v>0</v>
      </c>
      <c r="AY1243" s="47">
        <v>0</v>
      </c>
      <c r="AZ1243" s="70">
        <f t="shared" si="289"/>
        <v>0</v>
      </c>
      <c r="BC1243" s="50"/>
    </row>
    <row r="1244" spans="1:55" s="48" customFormat="1" ht="15.45" customHeight="1" outlineLevel="1" x14ac:dyDescent="0.25">
      <c r="A1244" s="42">
        <v>2</v>
      </c>
      <c r="B1244" s="43" t="s">
        <v>709</v>
      </c>
      <c r="C1244" s="44" t="s">
        <v>110</v>
      </c>
      <c r="D1244" s="45">
        <v>1.4</v>
      </c>
      <c r="E1244" s="45">
        <v>99.24</v>
      </c>
      <c r="F1244" s="45">
        <f t="shared" si="290"/>
        <v>138.93599999999998</v>
      </c>
      <c r="G1244" s="46">
        <f t="shared" si="291"/>
        <v>0</v>
      </c>
      <c r="H1244" s="47">
        <f t="shared" si="292"/>
        <v>0</v>
      </c>
      <c r="I1244" s="46">
        <f t="shared" si="293"/>
        <v>0</v>
      </c>
      <c r="J1244" s="47">
        <v>0</v>
      </c>
      <c r="K1244" s="46">
        <f t="shared" si="294"/>
        <v>0</v>
      </c>
      <c r="L1244" s="47">
        <v>0</v>
      </c>
      <c r="AX1244" s="46">
        <v>0</v>
      </c>
      <c r="AY1244" s="47">
        <v>0</v>
      </c>
      <c r="AZ1244" s="70">
        <f t="shared" si="289"/>
        <v>0</v>
      </c>
      <c r="BC1244" s="50"/>
    </row>
    <row r="1245" spans="1:55" s="48" customFormat="1" ht="15.45" customHeight="1" outlineLevel="1" x14ac:dyDescent="0.25">
      <c r="A1245" s="42">
        <v>3</v>
      </c>
      <c r="B1245" s="43" t="s">
        <v>825</v>
      </c>
      <c r="C1245" s="44" t="s">
        <v>110</v>
      </c>
      <c r="D1245" s="45">
        <v>14</v>
      </c>
      <c r="E1245" s="45">
        <v>226.6318</v>
      </c>
      <c r="F1245" s="45">
        <f t="shared" si="290"/>
        <v>3172.8451999999997</v>
      </c>
      <c r="G1245" s="46">
        <f t="shared" si="291"/>
        <v>0</v>
      </c>
      <c r="H1245" s="47">
        <f t="shared" si="292"/>
        <v>0</v>
      </c>
      <c r="I1245" s="46">
        <f t="shared" si="293"/>
        <v>0</v>
      </c>
      <c r="J1245" s="47">
        <v>0</v>
      </c>
      <c r="K1245" s="46">
        <f t="shared" si="294"/>
        <v>0</v>
      </c>
      <c r="L1245" s="47">
        <v>0</v>
      </c>
      <c r="AX1245" s="46">
        <v>1</v>
      </c>
      <c r="AY1245" s="47">
        <v>469.34399999999999</v>
      </c>
      <c r="AZ1245" s="70">
        <f t="shared" si="289"/>
        <v>0</v>
      </c>
      <c r="BC1245" s="50"/>
    </row>
    <row r="1246" spans="1:55" s="48" customFormat="1" ht="15.45" customHeight="1" outlineLevel="1" x14ac:dyDescent="0.25">
      <c r="A1246" s="42">
        <v>4</v>
      </c>
      <c r="B1246" s="43" t="s">
        <v>711</v>
      </c>
      <c r="C1246" s="44" t="s">
        <v>28</v>
      </c>
      <c r="D1246" s="45">
        <v>3.7999999999999999E-2</v>
      </c>
      <c r="E1246" s="45">
        <v>1325.1</v>
      </c>
      <c r="F1246" s="45">
        <f t="shared" si="290"/>
        <v>50.353799999999993</v>
      </c>
      <c r="G1246" s="46">
        <f t="shared" si="291"/>
        <v>0</v>
      </c>
      <c r="H1246" s="47">
        <f t="shared" si="292"/>
        <v>0</v>
      </c>
      <c r="I1246" s="46">
        <f t="shared" si="293"/>
        <v>0</v>
      </c>
      <c r="J1246" s="47">
        <v>0</v>
      </c>
      <c r="K1246" s="46">
        <f t="shared" si="294"/>
        <v>0</v>
      </c>
      <c r="L1246" s="47">
        <v>0</v>
      </c>
      <c r="AX1246" s="46">
        <v>0.42704907641736028</v>
      </c>
      <c r="AY1246" s="47">
        <v>2230.5461730268548</v>
      </c>
      <c r="AZ1246" s="70">
        <f t="shared" si="289"/>
        <v>0</v>
      </c>
      <c r="BC1246" s="50"/>
    </row>
    <row r="1247" spans="1:55" s="48" customFormat="1" ht="15.45" customHeight="1" outlineLevel="1" x14ac:dyDescent="0.25">
      <c r="A1247" s="42">
        <v>5</v>
      </c>
      <c r="B1247" s="43" t="s">
        <v>712</v>
      </c>
      <c r="C1247" s="44" t="s">
        <v>28</v>
      </c>
      <c r="D1247" s="45">
        <v>1.0449999999999999</v>
      </c>
      <c r="E1247" s="45">
        <v>1200.0999999999999</v>
      </c>
      <c r="F1247" s="45">
        <f t="shared" si="290"/>
        <v>1254.1044999999999</v>
      </c>
      <c r="G1247" s="46">
        <f t="shared" si="291"/>
        <v>0</v>
      </c>
      <c r="H1247" s="47">
        <f t="shared" si="292"/>
        <v>0</v>
      </c>
      <c r="I1247" s="46">
        <f t="shared" si="293"/>
        <v>0</v>
      </c>
      <c r="J1247" s="47">
        <v>0</v>
      </c>
      <c r="K1247" s="46">
        <f t="shared" si="294"/>
        <v>0</v>
      </c>
      <c r="L1247" s="47">
        <v>0</v>
      </c>
      <c r="AX1247" s="46">
        <v>0</v>
      </c>
      <c r="AY1247" s="47">
        <v>0</v>
      </c>
      <c r="AZ1247" s="70">
        <f t="shared" si="289"/>
        <v>0</v>
      </c>
      <c r="BC1247" s="50"/>
    </row>
    <row r="1248" spans="1:55" s="48" customFormat="1" ht="27.75" customHeight="1" outlineLevel="1" x14ac:dyDescent="0.25">
      <c r="A1248" s="42">
        <v>6</v>
      </c>
      <c r="B1248" s="43" t="s">
        <v>653</v>
      </c>
      <c r="C1248" s="44" t="s">
        <v>98</v>
      </c>
      <c r="D1248" s="45">
        <v>21.1</v>
      </c>
      <c r="E1248" s="45">
        <v>52.936000000000007</v>
      </c>
      <c r="F1248" s="45">
        <f t="shared" si="290"/>
        <v>1116.9496000000001</v>
      </c>
      <c r="G1248" s="46">
        <f t="shared" si="291"/>
        <v>0</v>
      </c>
      <c r="H1248" s="47">
        <f t="shared" si="292"/>
        <v>0</v>
      </c>
      <c r="I1248" s="46">
        <f t="shared" si="293"/>
        <v>0</v>
      </c>
      <c r="J1248" s="47">
        <v>0</v>
      </c>
      <c r="K1248" s="46">
        <f t="shared" si="294"/>
        <v>0</v>
      </c>
      <c r="L1248" s="47">
        <v>0</v>
      </c>
      <c r="AX1248" s="46">
        <v>0</v>
      </c>
      <c r="AY1248" s="47">
        <v>0</v>
      </c>
      <c r="AZ1248" s="70">
        <f t="shared" si="289"/>
        <v>0</v>
      </c>
      <c r="BC1248" s="50"/>
    </row>
    <row r="1249" spans="1:55" s="48" customFormat="1" ht="27.75" customHeight="1" outlineLevel="1" x14ac:dyDescent="0.25">
      <c r="A1249" s="42">
        <v>7</v>
      </c>
      <c r="B1249" s="43" t="s">
        <v>826</v>
      </c>
      <c r="C1249" s="44" t="s">
        <v>98</v>
      </c>
      <c r="D1249" s="45">
        <v>21.1</v>
      </c>
      <c r="E1249" s="45">
        <v>10.8202</v>
      </c>
      <c r="F1249" s="45">
        <f t="shared" si="290"/>
        <v>228.30622000000002</v>
      </c>
      <c r="G1249" s="46">
        <f t="shared" si="291"/>
        <v>0</v>
      </c>
      <c r="H1249" s="47">
        <f t="shared" si="292"/>
        <v>0</v>
      </c>
      <c r="I1249" s="46">
        <f t="shared" si="293"/>
        <v>0</v>
      </c>
      <c r="J1249" s="47">
        <v>0</v>
      </c>
      <c r="K1249" s="46">
        <f t="shared" si="294"/>
        <v>0</v>
      </c>
      <c r="L1249" s="47">
        <v>0</v>
      </c>
      <c r="AX1249" s="46">
        <v>1</v>
      </c>
      <c r="AY1249" s="47">
        <v>645.34800000000007</v>
      </c>
      <c r="AZ1249" s="70">
        <f t="shared" si="289"/>
        <v>0</v>
      </c>
      <c r="BC1249" s="50"/>
    </row>
    <row r="1250" spans="1:55" s="48" customFormat="1" ht="27.75" customHeight="1" outlineLevel="1" x14ac:dyDescent="0.25">
      <c r="A1250" s="42">
        <v>8</v>
      </c>
      <c r="B1250" s="43" t="s">
        <v>827</v>
      </c>
      <c r="C1250" s="44" t="s">
        <v>98</v>
      </c>
      <c r="D1250" s="45">
        <v>37.1</v>
      </c>
      <c r="E1250" s="45">
        <v>12.1258</v>
      </c>
      <c r="F1250" s="45">
        <f t="shared" si="290"/>
        <v>449.86718000000002</v>
      </c>
      <c r="G1250" s="46">
        <f t="shared" si="291"/>
        <v>0</v>
      </c>
      <c r="H1250" s="47">
        <f t="shared" si="292"/>
        <v>0</v>
      </c>
      <c r="I1250" s="46">
        <f t="shared" si="293"/>
        <v>0</v>
      </c>
      <c r="J1250" s="47">
        <v>0</v>
      </c>
      <c r="K1250" s="46">
        <f t="shared" si="294"/>
        <v>0</v>
      </c>
      <c r="L1250" s="47">
        <v>0</v>
      </c>
      <c r="AX1250" s="46">
        <v>1</v>
      </c>
      <c r="AY1250" s="47">
        <v>26989.23777</v>
      </c>
      <c r="AZ1250" s="70">
        <f t="shared" si="289"/>
        <v>0</v>
      </c>
      <c r="BC1250" s="50"/>
    </row>
    <row r="1251" spans="1:55" s="48" customFormat="1" ht="15.45" customHeight="1" outlineLevel="1" x14ac:dyDescent="0.25">
      <c r="A1251" s="42">
        <v>9</v>
      </c>
      <c r="B1251" s="43" t="s">
        <v>828</v>
      </c>
      <c r="C1251" s="44" t="s">
        <v>110</v>
      </c>
      <c r="D1251" s="45">
        <v>2.02</v>
      </c>
      <c r="E1251" s="45">
        <v>36.616</v>
      </c>
      <c r="F1251" s="45">
        <f t="shared" si="290"/>
        <v>73.964320000000001</v>
      </c>
      <c r="G1251" s="46">
        <f t="shared" si="291"/>
        <v>0</v>
      </c>
      <c r="H1251" s="47">
        <f t="shared" si="292"/>
        <v>0</v>
      </c>
      <c r="I1251" s="46">
        <f t="shared" si="293"/>
        <v>0</v>
      </c>
      <c r="J1251" s="47">
        <v>0</v>
      </c>
      <c r="K1251" s="46">
        <f t="shared" si="294"/>
        <v>0</v>
      </c>
      <c r="L1251" s="47">
        <v>0</v>
      </c>
      <c r="AX1251" s="46">
        <v>1</v>
      </c>
      <c r="AY1251" s="47">
        <v>1308.3047999999999</v>
      </c>
      <c r="AZ1251" s="70">
        <f t="shared" si="289"/>
        <v>0</v>
      </c>
      <c r="BC1251" s="50"/>
    </row>
    <row r="1252" spans="1:55" s="48" customFormat="1" ht="15.45" customHeight="1" outlineLevel="1" x14ac:dyDescent="0.25">
      <c r="A1252" s="42">
        <v>10</v>
      </c>
      <c r="B1252" s="43" t="s">
        <v>829</v>
      </c>
      <c r="C1252" s="44" t="s">
        <v>110</v>
      </c>
      <c r="D1252" s="45">
        <v>2.02</v>
      </c>
      <c r="E1252" s="45">
        <v>105.8638</v>
      </c>
      <c r="F1252" s="45">
        <f t="shared" si="290"/>
        <v>213.844876</v>
      </c>
      <c r="G1252" s="46">
        <f t="shared" si="291"/>
        <v>0</v>
      </c>
      <c r="H1252" s="47">
        <f t="shared" si="292"/>
        <v>0</v>
      </c>
      <c r="I1252" s="46">
        <f t="shared" si="293"/>
        <v>0</v>
      </c>
      <c r="J1252" s="47">
        <v>0</v>
      </c>
      <c r="K1252" s="46">
        <f t="shared" si="294"/>
        <v>0</v>
      </c>
      <c r="L1252" s="47">
        <v>0</v>
      </c>
      <c r="AX1252" s="46">
        <v>1.000034090134315</v>
      </c>
      <c r="AY1252" s="47">
        <v>1100.6492000000001</v>
      </c>
      <c r="AZ1252" s="70">
        <f t="shared" si="289"/>
        <v>0</v>
      </c>
      <c r="BC1252" s="50"/>
    </row>
    <row r="1253" spans="1:55" s="48" customFormat="1" ht="15.45" customHeight="1" outlineLevel="1" x14ac:dyDescent="0.25">
      <c r="A1253" s="42">
        <v>11</v>
      </c>
      <c r="B1253" s="43" t="s">
        <v>830</v>
      </c>
      <c r="C1253" s="44" t="s">
        <v>110</v>
      </c>
      <c r="D1253" s="45">
        <v>1.1499999999999999</v>
      </c>
      <c r="E1253" s="45">
        <v>147.08199999999999</v>
      </c>
      <c r="F1253" s="45">
        <f t="shared" si="290"/>
        <v>169.14429999999999</v>
      </c>
      <c r="G1253" s="46">
        <f t="shared" si="291"/>
        <v>0</v>
      </c>
      <c r="H1253" s="47">
        <f t="shared" si="292"/>
        <v>0</v>
      </c>
      <c r="I1253" s="46">
        <f t="shared" si="293"/>
        <v>0</v>
      </c>
      <c r="J1253" s="47">
        <v>0</v>
      </c>
      <c r="K1253" s="46">
        <f t="shared" si="294"/>
        <v>0</v>
      </c>
      <c r="L1253" s="47">
        <v>0</v>
      </c>
      <c r="AX1253" s="46">
        <v>0</v>
      </c>
      <c r="AY1253" s="47">
        <v>0</v>
      </c>
      <c r="AZ1253" s="70">
        <f t="shared" si="289"/>
        <v>0</v>
      </c>
      <c r="BC1253" s="50"/>
    </row>
    <row r="1254" spans="1:55" s="48" customFormat="1" ht="15.45" customHeight="1" outlineLevel="1" x14ac:dyDescent="0.25">
      <c r="A1254" s="42">
        <v>12</v>
      </c>
      <c r="B1254" s="43" t="s">
        <v>43</v>
      </c>
      <c r="C1254" s="44" t="s">
        <v>28</v>
      </c>
      <c r="D1254" s="45">
        <v>1.2999999999999999E-2</v>
      </c>
      <c r="E1254" s="45">
        <v>1200.0999999999999</v>
      </c>
      <c r="F1254" s="45">
        <f t="shared" si="290"/>
        <v>15.601299999999998</v>
      </c>
      <c r="G1254" s="46">
        <f t="shared" si="291"/>
        <v>0</v>
      </c>
      <c r="H1254" s="47">
        <f t="shared" si="292"/>
        <v>0</v>
      </c>
      <c r="I1254" s="46">
        <f t="shared" si="293"/>
        <v>0</v>
      </c>
      <c r="J1254" s="47">
        <v>0</v>
      </c>
      <c r="K1254" s="46">
        <f t="shared" si="294"/>
        <v>0</v>
      </c>
      <c r="L1254" s="47">
        <v>0</v>
      </c>
      <c r="AX1254" s="46">
        <v>0</v>
      </c>
      <c r="AY1254" s="47">
        <v>0</v>
      </c>
      <c r="AZ1254" s="70">
        <f t="shared" si="289"/>
        <v>0</v>
      </c>
      <c r="BC1254" s="50"/>
    </row>
    <row r="1255" spans="1:55" s="56" customFormat="1" ht="17.25" customHeight="1" x14ac:dyDescent="0.3">
      <c r="A1255" s="31">
        <v>9.3000000000000007</v>
      </c>
      <c r="B1255" s="51" t="s">
        <v>831</v>
      </c>
      <c r="C1255" s="52">
        <v>0</v>
      </c>
      <c r="D1255" s="53"/>
      <c r="E1255" s="53"/>
      <c r="F1255" s="53"/>
      <c r="G1255" s="54"/>
      <c r="H1255" s="55"/>
      <c r="I1255" s="54"/>
      <c r="J1255" s="55"/>
      <c r="K1255" s="54"/>
      <c r="L1255" s="55">
        <v>0</v>
      </c>
      <c r="AX1255" s="69">
        <v>0</v>
      </c>
      <c r="AY1255" s="71">
        <v>0</v>
      </c>
      <c r="AZ1255" s="72">
        <f t="shared" si="289"/>
        <v>0</v>
      </c>
      <c r="BC1255" s="58"/>
    </row>
    <row r="1256" spans="1:55" s="48" customFormat="1" ht="27.75" customHeight="1" outlineLevel="1" x14ac:dyDescent="0.25">
      <c r="A1256" s="42">
        <v>1</v>
      </c>
      <c r="B1256" s="43" t="s">
        <v>656</v>
      </c>
      <c r="C1256" s="44" t="s">
        <v>110</v>
      </c>
      <c r="D1256" s="45">
        <v>1.26</v>
      </c>
      <c r="E1256" s="45">
        <v>271.50400000000002</v>
      </c>
      <c r="F1256" s="45">
        <f t="shared" ref="F1256:F1264" si="295">+E1256*D1256</f>
        <v>342.09504000000004</v>
      </c>
      <c r="G1256" s="46">
        <f t="shared" ref="G1256:G1264" si="296">I1256+K1256</f>
        <v>0</v>
      </c>
      <c r="H1256" s="47">
        <f t="shared" ref="H1256:H1264" si="297">J1256+L1256</f>
        <v>0</v>
      </c>
      <c r="I1256" s="46">
        <f t="shared" ref="I1256:I1264" si="298">J1256/F1256</f>
        <v>0</v>
      </c>
      <c r="J1256" s="47">
        <v>0</v>
      </c>
      <c r="K1256" s="46">
        <f t="shared" ref="K1256:K1264" si="299">L1256/F1256</f>
        <v>0</v>
      </c>
      <c r="L1256" s="47">
        <v>0</v>
      </c>
      <c r="AX1256" s="46">
        <v>0.42205242687875311</v>
      </c>
      <c r="AY1256" s="47">
        <v>1049.7370794998681</v>
      </c>
      <c r="AZ1256" s="70">
        <f t="shared" si="289"/>
        <v>0</v>
      </c>
      <c r="BC1256" s="50"/>
    </row>
    <row r="1257" spans="1:55" s="48" customFormat="1" ht="15.45" customHeight="1" outlineLevel="1" x14ac:dyDescent="0.25">
      <c r="A1257" s="42">
        <v>2</v>
      </c>
      <c r="B1257" s="43" t="s">
        <v>42</v>
      </c>
      <c r="C1257" s="44" t="s">
        <v>28</v>
      </c>
      <c r="D1257" s="45">
        <v>5.2999999999999999E-2</v>
      </c>
      <c r="E1257" s="45">
        <v>1325.1</v>
      </c>
      <c r="F1257" s="45">
        <f t="shared" si="295"/>
        <v>70.2303</v>
      </c>
      <c r="G1257" s="46">
        <f t="shared" si="296"/>
        <v>0</v>
      </c>
      <c r="H1257" s="47">
        <f t="shared" si="297"/>
        <v>0</v>
      </c>
      <c r="I1257" s="46">
        <f t="shared" si="298"/>
        <v>0</v>
      </c>
      <c r="J1257" s="47">
        <v>0</v>
      </c>
      <c r="K1257" s="46">
        <f t="shared" si="299"/>
        <v>0</v>
      </c>
      <c r="L1257" s="47">
        <v>0</v>
      </c>
      <c r="AX1257" s="46">
        <v>0</v>
      </c>
      <c r="AY1257" s="47">
        <v>0</v>
      </c>
      <c r="AZ1257" s="70">
        <f t="shared" si="289"/>
        <v>0</v>
      </c>
      <c r="BC1257" s="50"/>
    </row>
    <row r="1258" spans="1:55" s="48" customFormat="1" ht="15.45" customHeight="1" outlineLevel="1" x14ac:dyDescent="0.25">
      <c r="A1258" s="42">
        <v>3</v>
      </c>
      <c r="B1258" s="43" t="s">
        <v>43</v>
      </c>
      <c r="C1258" s="44" t="s">
        <v>28</v>
      </c>
      <c r="D1258" s="45">
        <v>0.08</v>
      </c>
      <c r="E1258" s="45">
        <v>1200.0999999999999</v>
      </c>
      <c r="F1258" s="45">
        <f t="shared" si="295"/>
        <v>96.007999999999996</v>
      </c>
      <c r="G1258" s="46">
        <f t="shared" si="296"/>
        <v>0</v>
      </c>
      <c r="H1258" s="47">
        <f t="shared" si="297"/>
        <v>0</v>
      </c>
      <c r="I1258" s="46">
        <f t="shared" si="298"/>
        <v>0</v>
      </c>
      <c r="J1258" s="47">
        <v>0</v>
      </c>
      <c r="K1258" s="46">
        <f t="shared" si="299"/>
        <v>0</v>
      </c>
      <c r="L1258" s="47">
        <v>0</v>
      </c>
      <c r="AX1258" s="46">
        <v>0</v>
      </c>
      <c r="AY1258" s="47">
        <v>0</v>
      </c>
      <c r="AZ1258" s="70">
        <f t="shared" si="289"/>
        <v>0</v>
      </c>
      <c r="BC1258" s="50"/>
    </row>
    <row r="1259" spans="1:55" s="48" customFormat="1" ht="27.75" customHeight="1" outlineLevel="1" x14ac:dyDescent="0.25">
      <c r="A1259" s="42">
        <v>4</v>
      </c>
      <c r="B1259" s="43" t="s">
        <v>718</v>
      </c>
      <c r="C1259" s="44" t="s">
        <v>110</v>
      </c>
      <c r="D1259" s="45">
        <v>4.2300000000000004</v>
      </c>
      <c r="E1259" s="45">
        <v>280</v>
      </c>
      <c r="F1259" s="45">
        <f t="shared" si="295"/>
        <v>1184.4000000000001</v>
      </c>
      <c r="G1259" s="46">
        <f t="shared" si="296"/>
        <v>0</v>
      </c>
      <c r="H1259" s="47">
        <f t="shared" si="297"/>
        <v>0</v>
      </c>
      <c r="I1259" s="46">
        <f t="shared" si="298"/>
        <v>0</v>
      </c>
      <c r="J1259" s="47">
        <v>0</v>
      </c>
      <c r="K1259" s="46">
        <f t="shared" si="299"/>
        <v>0</v>
      </c>
      <c r="L1259" s="47">
        <v>0</v>
      </c>
      <c r="AX1259" s="46">
        <v>0</v>
      </c>
      <c r="AY1259" s="47">
        <v>0</v>
      </c>
      <c r="AZ1259" s="70">
        <f t="shared" si="289"/>
        <v>0</v>
      </c>
      <c r="BC1259" s="50"/>
    </row>
    <row r="1260" spans="1:55" s="48" customFormat="1" ht="15.45" customHeight="1" outlineLevel="1" x14ac:dyDescent="0.25">
      <c r="A1260" s="42">
        <v>5</v>
      </c>
      <c r="B1260" s="43" t="s">
        <v>42</v>
      </c>
      <c r="C1260" s="44" t="s">
        <v>28</v>
      </c>
      <c r="D1260" s="45">
        <v>3.5999999999999997E-2</v>
      </c>
      <c r="E1260" s="45">
        <v>1325.1</v>
      </c>
      <c r="F1260" s="45">
        <f t="shared" si="295"/>
        <v>47.703599999999994</v>
      </c>
      <c r="G1260" s="46">
        <f t="shared" si="296"/>
        <v>0</v>
      </c>
      <c r="H1260" s="47">
        <f t="shared" si="297"/>
        <v>0</v>
      </c>
      <c r="I1260" s="46">
        <f t="shared" si="298"/>
        <v>0</v>
      </c>
      <c r="J1260" s="47">
        <v>0</v>
      </c>
      <c r="K1260" s="46">
        <f t="shared" si="299"/>
        <v>0</v>
      </c>
      <c r="L1260" s="47">
        <v>0</v>
      </c>
      <c r="AX1260" s="46">
        <v>8.55363520794237E-2</v>
      </c>
      <c r="AY1260" s="47">
        <v>345.048495</v>
      </c>
      <c r="AZ1260" s="70">
        <f t="shared" si="289"/>
        <v>0</v>
      </c>
      <c r="BC1260" s="50"/>
    </row>
    <row r="1261" spans="1:55" s="48" customFormat="1" ht="15.45" customHeight="1" outlineLevel="1" x14ac:dyDescent="0.25">
      <c r="A1261" s="42">
        <v>6</v>
      </c>
      <c r="B1261" s="43" t="s">
        <v>43</v>
      </c>
      <c r="C1261" s="44" t="s">
        <v>28</v>
      </c>
      <c r="D1261" s="45">
        <v>0.44800000000000001</v>
      </c>
      <c r="E1261" s="45">
        <v>1200.0999999999999</v>
      </c>
      <c r="F1261" s="45">
        <f t="shared" si="295"/>
        <v>537.64479999999992</v>
      </c>
      <c r="G1261" s="46">
        <f t="shared" si="296"/>
        <v>0</v>
      </c>
      <c r="H1261" s="47">
        <f t="shared" si="297"/>
        <v>0</v>
      </c>
      <c r="I1261" s="46">
        <f t="shared" si="298"/>
        <v>0</v>
      </c>
      <c r="J1261" s="47">
        <v>0</v>
      </c>
      <c r="K1261" s="46">
        <f t="shared" si="299"/>
        <v>0</v>
      </c>
      <c r="L1261" s="47">
        <v>0</v>
      </c>
      <c r="AX1261" s="46">
        <v>8.4536352079423699E-2</v>
      </c>
      <c r="AY1261" s="47">
        <v>55.299657600000003</v>
      </c>
      <c r="AZ1261" s="70">
        <f t="shared" si="289"/>
        <v>0</v>
      </c>
      <c r="BC1261" s="50"/>
    </row>
    <row r="1262" spans="1:55" s="48" customFormat="1" ht="15.45" customHeight="1" outlineLevel="1" x14ac:dyDescent="0.25">
      <c r="A1262" s="42">
        <v>7</v>
      </c>
      <c r="B1262" s="43" t="s">
        <v>720</v>
      </c>
      <c r="C1262" s="44" t="s">
        <v>110</v>
      </c>
      <c r="D1262" s="45">
        <v>0.74</v>
      </c>
      <c r="E1262" s="45">
        <v>249.4084</v>
      </c>
      <c r="F1262" s="45">
        <f t="shared" si="295"/>
        <v>184.56221600000001</v>
      </c>
      <c r="G1262" s="46">
        <f t="shared" si="296"/>
        <v>0</v>
      </c>
      <c r="H1262" s="47">
        <f t="shared" si="297"/>
        <v>0</v>
      </c>
      <c r="I1262" s="46">
        <f t="shared" si="298"/>
        <v>0</v>
      </c>
      <c r="J1262" s="47">
        <v>0</v>
      </c>
      <c r="K1262" s="46">
        <f t="shared" si="299"/>
        <v>0</v>
      </c>
      <c r="L1262" s="47">
        <v>0</v>
      </c>
      <c r="AX1262" s="46">
        <v>0</v>
      </c>
      <c r="AY1262" s="47">
        <v>0</v>
      </c>
      <c r="AZ1262" s="70">
        <f t="shared" si="289"/>
        <v>0</v>
      </c>
      <c r="BC1262" s="50"/>
    </row>
    <row r="1263" spans="1:55" s="48" customFormat="1" ht="15.45" customHeight="1" outlineLevel="1" x14ac:dyDescent="0.25">
      <c r="A1263" s="42">
        <v>8</v>
      </c>
      <c r="B1263" s="43" t="s">
        <v>42</v>
      </c>
      <c r="C1263" s="44" t="s">
        <v>28</v>
      </c>
      <c r="D1263" s="45">
        <v>5.1999999999999998E-2</v>
      </c>
      <c r="E1263" s="45">
        <v>1325.1</v>
      </c>
      <c r="F1263" s="45">
        <f t="shared" si="295"/>
        <v>68.905199999999994</v>
      </c>
      <c r="G1263" s="46">
        <f t="shared" si="296"/>
        <v>0</v>
      </c>
      <c r="H1263" s="47">
        <f t="shared" si="297"/>
        <v>0</v>
      </c>
      <c r="I1263" s="46">
        <f t="shared" si="298"/>
        <v>0</v>
      </c>
      <c r="J1263" s="47">
        <v>0</v>
      </c>
      <c r="K1263" s="46">
        <f t="shared" si="299"/>
        <v>0</v>
      </c>
      <c r="L1263" s="47">
        <v>0</v>
      </c>
      <c r="AX1263" s="46">
        <v>0</v>
      </c>
      <c r="AY1263" s="47">
        <v>0</v>
      </c>
      <c r="AZ1263" s="70">
        <f t="shared" si="289"/>
        <v>0</v>
      </c>
      <c r="BC1263" s="50"/>
    </row>
    <row r="1264" spans="1:55" s="48" customFormat="1" ht="15.45" customHeight="1" outlineLevel="1" x14ac:dyDescent="0.25">
      <c r="A1264" s="42">
        <v>9</v>
      </c>
      <c r="B1264" s="43" t="s">
        <v>43</v>
      </c>
      <c r="C1264" s="44" t="s">
        <v>28</v>
      </c>
      <c r="D1264" s="45">
        <v>5.8999999999999997E-2</v>
      </c>
      <c r="E1264" s="45">
        <v>1200.0999999999999</v>
      </c>
      <c r="F1264" s="45">
        <f t="shared" si="295"/>
        <v>70.805899999999994</v>
      </c>
      <c r="G1264" s="46">
        <f t="shared" si="296"/>
        <v>0</v>
      </c>
      <c r="H1264" s="47">
        <f t="shared" si="297"/>
        <v>0</v>
      </c>
      <c r="I1264" s="46">
        <f t="shared" si="298"/>
        <v>0</v>
      </c>
      <c r="J1264" s="47">
        <v>0</v>
      </c>
      <c r="K1264" s="46">
        <f t="shared" si="299"/>
        <v>0</v>
      </c>
      <c r="L1264" s="47">
        <v>0</v>
      </c>
      <c r="AX1264" s="46">
        <v>0</v>
      </c>
      <c r="AY1264" s="47">
        <v>0</v>
      </c>
      <c r="AZ1264" s="70">
        <f t="shared" si="289"/>
        <v>0</v>
      </c>
      <c r="BC1264" s="50"/>
    </row>
    <row r="1265" spans="1:55" s="56" customFormat="1" ht="17.25" customHeight="1" x14ac:dyDescent="0.3">
      <c r="A1265" s="31">
        <v>9.4</v>
      </c>
      <c r="B1265" s="51" t="s">
        <v>832</v>
      </c>
      <c r="C1265" s="52">
        <v>0</v>
      </c>
      <c r="D1265" s="53"/>
      <c r="E1265" s="53"/>
      <c r="F1265" s="53"/>
      <c r="G1265" s="54"/>
      <c r="H1265" s="55"/>
      <c r="I1265" s="54"/>
      <c r="J1265" s="55"/>
      <c r="K1265" s="54"/>
      <c r="L1265" s="55">
        <v>0</v>
      </c>
      <c r="AX1265" s="69">
        <v>0</v>
      </c>
      <c r="AY1265" s="71">
        <v>0</v>
      </c>
      <c r="AZ1265" s="72">
        <f t="shared" si="289"/>
        <v>0</v>
      </c>
      <c r="BC1265" s="58"/>
    </row>
    <row r="1266" spans="1:55" s="48" customFormat="1" ht="27.75" customHeight="1" outlineLevel="1" x14ac:dyDescent="0.25">
      <c r="A1266" s="42">
        <v>1</v>
      </c>
      <c r="B1266" s="43" t="s">
        <v>67</v>
      </c>
      <c r="C1266" s="44" t="s">
        <v>98</v>
      </c>
      <c r="D1266" s="45">
        <v>61</v>
      </c>
      <c r="E1266" s="45">
        <v>41.92</v>
      </c>
      <c r="F1266" s="45">
        <f>+E1266*D1266</f>
        <v>2557.12</v>
      </c>
      <c r="G1266" s="46">
        <f t="shared" ref="G1266:H1270" si="300">I1266+K1266</f>
        <v>0</v>
      </c>
      <c r="H1266" s="47">
        <f t="shared" si="300"/>
        <v>0</v>
      </c>
      <c r="I1266" s="46">
        <f>J1266/F1266</f>
        <v>0</v>
      </c>
      <c r="J1266" s="47">
        <v>0</v>
      </c>
      <c r="K1266" s="46">
        <f>L1266/F1266</f>
        <v>0</v>
      </c>
      <c r="L1266" s="47">
        <v>0</v>
      </c>
      <c r="AX1266" s="46">
        <v>0.30972358821269069</v>
      </c>
      <c r="AY1266" s="47">
        <v>22803.201150467241</v>
      </c>
      <c r="AZ1266" s="70">
        <f t="shared" si="289"/>
        <v>0</v>
      </c>
      <c r="BC1266" s="50"/>
    </row>
    <row r="1267" spans="1:55" s="48" customFormat="1" ht="15.45" customHeight="1" outlineLevel="1" x14ac:dyDescent="0.25">
      <c r="A1267" s="42">
        <v>2</v>
      </c>
      <c r="B1267" s="43" t="s">
        <v>71</v>
      </c>
      <c r="C1267" s="44" t="s">
        <v>28</v>
      </c>
      <c r="D1267" s="45">
        <v>7.3999999999999996E-2</v>
      </c>
      <c r="E1267" s="45">
        <v>2150</v>
      </c>
      <c r="F1267" s="45">
        <f>+E1267*D1267</f>
        <v>159.1</v>
      </c>
      <c r="G1267" s="46">
        <f t="shared" si="300"/>
        <v>0</v>
      </c>
      <c r="H1267" s="47">
        <f t="shared" si="300"/>
        <v>0</v>
      </c>
      <c r="I1267" s="46">
        <f>J1267/F1267</f>
        <v>0</v>
      </c>
      <c r="J1267" s="47">
        <v>0</v>
      </c>
      <c r="K1267" s="46">
        <f>L1267/F1267</f>
        <v>0</v>
      </c>
      <c r="L1267" s="47">
        <v>0</v>
      </c>
      <c r="AX1267" s="46">
        <v>0.2449552084901363</v>
      </c>
      <c r="AY1267" s="47">
        <v>6773.6078914481104</v>
      </c>
      <c r="AZ1267" s="70">
        <f t="shared" si="289"/>
        <v>0</v>
      </c>
      <c r="BC1267" s="50"/>
    </row>
    <row r="1268" spans="1:55" s="48" customFormat="1" ht="15.45" customHeight="1" outlineLevel="1" x14ac:dyDescent="0.25">
      <c r="A1268" s="42">
        <v>3</v>
      </c>
      <c r="B1268" s="43" t="s">
        <v>108</v>
      </c>
      <c r="C1268" s="44" t="s">
        <v>93</v>
      </c>
      <c r="D1268" s="45">
        <v>2</v>
      </c>
      <c r="E1268" s="45">
        <v>40.9</v>
      </c>
      <c r="F1268" s="45">
        <f>+E1268*D1268</f>
        <v>81.8</v>
      </c>
      <c r="G1268" s="46">
        <f t="shared" si="300"/>
        <v>0</v>
      </c>
      <c r="H1268" s="47">
        <f t="shared" si="300"/>
        <v>0</v>
      </c>
      <c r="I1268" s="46">
        <f>J1268/F1268</f>
        <v>0</v>
      </c>
      <c r="J1268" s="47">
        <v>0</v>
      </c>
      <c r="K1268" s="46">
        <f>L1268/F1268</f>
        <v>0</v>
      </c>
      <c r="L1268" s="47">
        <v>0</v>
      </c>
      <c r="AX1268" s="46">
        <v>0.44645611890858689</v>
      </c>
      <c r="AY1268" s="47">
        <v>6859.5267351305883</v>
      </c>
      <c r="AZ1268" s="70">
        <f t="shared" si="289"/>
        <v>0</v>
      </c>
      <c r="BC1268" s="50"/>
    </row>
    <row r="1269" spans="1:55" s="48" customFormat="1" ht="15.45" customHeight="1" outlineLevel="1" x14ac:dyDescent="0.25">
      <c r="A1269" s="42">
        <v>4</v>
      </c>
      <c r="B1269" s="43" t="s">
        <v>833</v>
      </c>
      <c r="C1269" s="44" t="s">
        <v>93</v>
      </c>
      <c r="D1269" s="45">
        <v>2</v>
      </c>
      <c r="E1269" s="45">
        <v>55.902200000000001</v>
      </c>
      <c r="F1269" s="45">
        <f>+E1269*D1269</f>
        <v>111.8044</v>
      </c>
      <c r="G1269" s="46">
        <f t="shared" si="300"/>
        <v>0</v>
      </c>
      <c r="H1269" s="47">
        <f t="shared" si="300"/>
        <v>0</v>
      </c>
      <c r="I1269" s="46">
        <f>J1269/F1269</f>
        <v>0</v>
      </c>
      <c r="J1269" s="47">
        <v>0</v>
      </c>
      <c r="K1269" s="46">
        <f>L1269/F1269</f>
        <v>0</v>
      </c>
      <c r="L1269" s="47">
        <v>0</v>
      </c>
      <c r="AX1269" s="46">
        <v>0</v>
      </c>
      <c r="AY1269" s="47">
        <v>0</v>
      </c>
      <c r="AZ1269" s="70">
        <f t="shared" si="289"/>
        <v>0</v>
      </c>
      <c r="BC1269" s="50"/>
    </row>
    <row r="1270" spans="1:55" s="48" customFormat="1" ht="15.45" customHeight="1" outlineLevel="1" x14ac:dyDescent="0.25">
      <c r="A1270" s="42">
        <v>5</v>
      </c>
      <c r="B1270" s="43" t="s">
        <v>334</v>
      </c>
      <c r="C1270" s="44" t="s">
        <v>93</v>
      </c>
      <c r="D1270" s="45">
        <v>1</v>
      </c>
      <c r="E1270" s="45">
        <v>31.515999999999998</v>
      </c>
      <c r="F1270" s="45">
        <f>+E1270*D1270</f>
        <v>31.515999999999998</v>
      </c>
      <c r="G1270" s="46">
        <f t="shared" si="300"/>
        <v>0</v>
      </c>
      <c r="H1270" s="47">
        <f t="shared" si="300"/>
        <v>0</v>
      </c>
      <c r="I1270" s="46">
        <f>J1270/F1270</f>
        <v>0</v>
      </c>
      <c r="J1270" s="47">
        <v>0</v>
      </c>
      <c r="K1270" s="46">
        <f>L1270/F1270</f>
        <v>0</v>
      </c>
      <c r="L1270" s="47">
        <v>0</v>
      </c>
      <c r="AX1270" s="46">
        <v>0</v>
      </c>
      <c r="AY1270" s="47">
        <v>0</v>
      </c>
      <c r="AZ1270" s="70">
        <f t="shared" si="289"/>
        <v>0</v>
      </c>
      <c r="BC1270" s="50"/>
    </row>
    <row r="1271" spans="1:55" s="56" customFormat="1" ht="17.25" customHeight="1" x14ac:dyDescent="0.3">
      <c r="A1271" s="31">
        <v>9.5</v>
      </c>
      <c r="B1271" s="51" t="s">
        <v>834</v>
      </c>
      <c r="C1271" s="52">
        <v>0</v>
      </c>
      <c r="D1271" s="53"/>
      <c r="E1271" s="53"/>
      <c r="F1271" s="53"/>
      <c r="G1271" s="54"/>
      <c r="H1271" s="55"/>
      <c r="I1271" s="54"/>
      <c r="J1271" s="55"/>
      <c r="K1271" s="54"/>
      <c r="L1271" s="55">
        <v>0</v>
      </c>
      <c r="AX1271" s="69">
        <v>0</v>
      </c>
      <c r="AY1271" s="71">
        <v>0</v>
      </c>
      <c r="AZ1271" s="72">
        <f t="shared" si="289"/>
        <v>0</v>
      </c>
      <c r="BC1271" s="58"/>
    </row>
    <row r="1272" spans="1:55" s="48" customFormat="1" ht="15.45" customHeight="1" outlineLevel="1" x14ac:dyDescent="0.25">
      <c r="A1272" s="42">
        <v>1</v>
      </c>
      <c r="B1272" s="43" t="s">
        <v>82</v>
      </c>
      <c r="C1272" s="44" t="s">
        <v>110</v>
      </c>
      <c r="D1272" s="45">
        <v>1.2589999999999999</v>
      </c>
      <c r="E1272" s="45">
        <v>803.86</v>
      </c>
      <c r="F1272" s="45">
        <f t="shared" ref="F1272:F1278" si="301">+E1272*D1272</f>
        <v>1012.0597399999999</v>
      </c>
      <c r="G1272" s="46">
        <f t="shared" ref="G1272:H1278" si="302">I1272+K1272</f>
        <v>0</v>
      </c>
      <c r="H1272" s="47">
        <f t="shared" si="302"/>
        <v>0</v>
      </c>
      <c r="I1272" s="46">
        <f t="shared" ref="I1272:I1278" si="303">J1272/F1272</f>
        <v>0</v>
      </c>
      <c r="J1272" s="47">
        <v>0</v>
      </c>
      <c r="K1272" s="46">
        <f t="shared" ref="K1272:K1278" si="304">L1272/F1272</f>
        <v>0</v>
      </c>
      <c r="L1272" s="47">
        <v>0</v>
      </c>
      <c r="AX1272" s="46">
        <v>0.30074574771976259</v>
      </c>
      <c r="AY1272" s="47">
        <v>1168.3312254350551</v>
      </c>
      <c r="AZ1272" s="70">
        <f t="shared" si="289"/>
        <v>0</v>
      </c>
      <c r="BC1272" s="50"/>
    </row>
    <row r="1273" spans="1:55" s="48" customFormat="1" ht="27.75" customHeight="1" outlineLevel="1" x14ac:dyDescent="0.25">
      <c r="A1273" s="42">
        <v>2</v>
      </c>
      <c r="B1273" s="43" t="s">
        <v>666</v>
      </c>
      <c r="C1273" s="44" t="s">
        <v>98</v>
      </c>
      <c r="D1273" s="45">
        <v>42</v>
      </c>
      <c r="E1273" s="45">
        <v>19.7758</v>
      </c>
      <c r="F1273" s="45">
        <f t="shared" si="301"/>
        <v>830.58360000000005</v>
      </c>
      <c r="G1273" s="46">
        <f t="shared" si="302"/>
        <v>0</v>
      </c>
      <c r="H1273" s="47">
        <f t="shared" si="302"/>
        <v>0</v>
      </c>
      <c r="I1273" s="46">
        <f t="shared" si="303"/>
        <v>0</v>
      </c>
      <c r="J1273" s="47">
        <v>0</v>
      </c>
      <c r="K1273" s="46">
        <f t="shared" si="304"/>
        <v>0</v>
      </c>
      <c r="L1273" s="47">
        <v>0</v>
      </c>
      <c r="AX1273" s="46">
        <v>0.2449552084901363</v>
      </c>
      <c r="AY1273" s="47">
        <v>12700.51479646521</v>
      </c>
      <c r="AZ1273" s="70">
        <f t="shared" si="289"/>
        <v>0</v>
      </c>
      <c r="BC1273" s="50"/>
    </row>
    <row r="1274" spans="1:55" s="48" customFormat="1" ht="15.45" customHeight="1" outlineLevel="1" x14ac:dyDescent="0.25">
      <c r="A1274" s="42">
        <v>3</v>
      </c>
      <c r="B1274" s="43" t="s">
        <v>835</v>
      </c>
      <c r="C1274" s="44" t="s">
        <v>98</v>
      </c>
      <c r="D1274" s="45">
        <v>42</v>
      </c>
      <c r="E1274" s="45">
        <v>1.7422</v>
      </c>
      <c r="F1274" s="45">
        <f t="shared" si="301"/>
        <v>73.172399999999996</v>
      </c>
      <c r="G1274" s="46">
        <f t="shared" si="302"/>
        <v>0</v>
      </c>
      <c r="H1274" s="47">
        <f t="shared" si="302"/>
        <v>0</v>
      </c>
      <c r="I1274" s="46">
        <f t="shared" si="303"/>
        <v>0</v>
      </c>
      <c r="J1274" s="47">
        <v>0</v>
      </c>
      <c r="K1274" s="46">
        <f t="shared" si="304"/>
        <v>0</v>
      </c>
      <c r="L1274" s="47">
        <v>0</v>
      </c>
      <c r="AX1274" s="46">
        <v>0.44643366439139198</v>
      </c>
      <c r="AY1274" s="47">
        <v>4260.3613261680666</v>
      </c>
      <c r="AZ1274" s="70">
        <f t="shared" si="289"/>
        <v>0</v>
      </c>
      <c r="BC1274" s="50"/>
    </row>
    <row r="1275" spans="1:55" s="48" customFormat="1" ht="15.45" customHeight="1" outlineLevel="1" x14ac:dyDescent="0.25">
      <c r="A1275" s="42">
        <v>4</v>
      </c>
      <c r="B1275" s="43" t="s">
        <v>92</v>
      </c>
      <c r="C1275" s="44" t="s">
        <v>93</v>
      </c>
      <c r="D1275" s="45">
        <v>2</v>
      </c>
      <c r="E1275" s="45">
        <v>102.1</v>
      </c>
      <c r="F1275" s="45">
        <f t="shared" si="301"/>
        <v>204.2</v>
      </c>
      <c r="G1275" s="46">
        <f t="shared" si="302"/>
        <v>0</v>
      </c>
      <c r="H1275" s="47">
        <f t="shared" si="302"/>
        <v>0</v>
      </c>
      <c r="I1275" s="46">
        <f t="shared" si="303"/>
        <v>0</v>
      </c>
      <c r="J1275" s="47">
        <v>0</v>
      </c>
      <c r="K1275" s="46">
        <f t="shared" si="304"/>
        <v>0</v>
      </c>
      <c r="L1275" s="47">
        <v>0</v>
      </c>
      <c r="AX1275" s="46">
        <v>0</v>
      </c>
      <c r="AY1275" s="47">
        <v>0</v>
      </c>
      <c r="AZ1275" s="70">
        <f t="shared" si="289"/>
        <v>0</v>
      </c>
      <c r="BC1275" s="50"/>
    </row>
    <row r="1276" spans="1:55" s="48" customFormat="1" ht="15.45" customHeight="1" outlineLevel="1" x14ac:dyDescent="0.25">
      <c r="A1276" s="42">
        <v>5</v>
      </c>
      <c r="B1276" s="43" t="s">
        <v>86</v>
      </c>
      <c r="C1276" s="44" t="s">
        <v>61</v>
      </c>
      <c r="D1276" s="45">
        <v>24</v>
      </c>
      <c r="E1276" s="45">
        <v>14.329000000000001</v>
      </c>
      <c r="F1276" s="45">
        <f t="shared" si="301"/>
        <v>343.89600000000002</v>
      </c>
      <c r="G1276" s="46">
        <f t="shared" si="302"/>
        <v>0</v>
      </c>
      <c r="H1276" s="47">
        <f t="shared" si="302"/>
        <v>0</v>
      </c>
      <c r="I1276" s="46">
        <f t="shared" si="303"/>
        <v>0</v>
      </c>
      <c r="J1276" s="47">
        <v>0</v>
      </c>
      <c r="K1276" s="46">
        <f t="shared" si="304"/>
        <v>0</v>
      </c>
      <c r="L1276" s="47">
        <v>0</v>
      </c>
      <c r="AX1276" s="46">
        <v>0</v>
      </c>
      <c r="AY1276" s="47">
        <v>0</v>
      </c>
      <c r="AZ1276" s="70">
        <f t="shared" si="289"/>
        <v>0</v>
      </c>
      <c r="BC1276" s="50"/>
    </row>
    <row r="1277" spans="1:55" s="48" customFormat="1" ht="15.45" customHeight="1" outlineLevel="1" x14ac:dyDescent="0.25">
      <c r="A1277" s="42">
        <v>6</v>
      </c>
      <c r="B1277" s="43" t="s">
        <v>734</v>
      </c>
      <c r="C1277" s="44" t="s">
        <v>61</v>
      </c>
      <c r="D1277" s="45">
        <v>7.8</v>
      </c>
      <c r="E1277" s="45">
        <v>11.473000000000001</v>
      </c>
      <c r="F1277" s="45">
        <f t="shared" si="301"/>
        <v>89.489400000000003</v>
      </c>
      <c r="G1277" s="46">
        <f t="shared" si="302"/>
        <v>0</v>
      </c>
      <c r="H1277" s="47">
        <f t="shared" si="302"/>
        <v>0</v>
      </c>
      <c r="I1277" s="46">
        <f t="shared" si="303"/>
        <v>0</v>
      </c>
      <c r="J1277" s="47">
        <v>0</v>
      </c>
      <c r="K1277" s="46">
        <f t="shared" si="304"/>
        <v>0</v>
      </c>
      <c r="L1277" s="47">
        <v>0</v>
      </c>
      <c r="AX1277" s="46">
        <v>0</v>
      </c>
      <c r="AY1277" s="47">
        <v>0</v>
      </c>
      <c r="AZ1277" s="70">
        <f t="shared" si="289"/>
        <v>0</v>
      </c>
      <c r="BC1277" s="50"/>
    </row>
    <row r="1278" spans="1:55" s="48" customFormat="1" ht="15.45" customHeight="1" outlineLevel="1" x14ac:dyDescent="0.25">
      <c r="A1278" s="42">
        <v>7</v>
      </c>
      <c r="B1278" s="43" t="s">
        <v>836</v>
      </c>
      <c r="C1278" s="44" t="s">
        <v>93</v>
      </c>
      <c r="D1278" s="45">
        <v>2</v>
      </c>
      <c r="E1278" s="45">
        <v>5.7303999999999986</v>
      </c>
      <c r="F1278" s="45">
        <f t="shared" si="301"/>
        <v>11.460799999999997</v>
      </c>
      <c r="G1278" s="46">
        <f t="shared" si="302"/>
        <v>0</v>
      </c>
      <c r="H1278" s="47">
        <f t="shared" si="302"/>
        <v>0</v>
      </c>
      <c r="I1278" s="46">
        <f t="shared" si="303"/>
        <v>0</v>
      </c>
      <c r="J1278" s="47">
        <v>0</v>
      </c>
      <c r="K1278" s="46">
        <f t="shared" si="304"/>
        <v>0</v>
      </c>
      <c r="L1278" s="47">
        <v>0</v>
      </c>
      <c r="AX1278" s="46">
        <v>0</v>
      </c>
      <c r="AY1278" s="47">
        <v>0</v>
      </c>
      <c r="AZ1278" s="70">
        <f t="shared" si="289"/>
        <v>0</v>
      </c>
      <c r="BC1278" s="50"/>
    </row>
    <row r="1279" spans="1:55" s="56" customFormat="1" ht="17.25" customHeight="1" x14ac:dyDescent="0.3">
      <c r="A1279" s="31">
        <v>9.6</v>
      </c>
      <c r="B1279" s="51" t="s">
        <v>837</v>
      </c>
      <c r="C1279" s="52">
        <v>0</v>
      </c>
      <c r="D1279" s="53"/>
      <c r="E1279" s="53"/>
      <c r="F1279" s="53"/>
      <c r="G1279" s="54"/>
      <c r="H1279" s="55"/>
      <c r="I1279" s="54"/>
      <c r="J1279" s="55"/>
      <c r="K1279" s="54"/>
      <c r="L1279" s="55">
        <v>0</v>
      </c>
      <c r="AX1279" s="69">
        <v>0</v>
      </c>
      <c r="AY1279" s="71">
        <v>0</v>
      </c>
      <c r="AZ1279" s="72">
        <f t="shared" si="289"/>
        <v>0</v>
      </c>
      <c r="BC1279" s="58"/>
    </row>
    <row r="1280" spans="1:55" s="48" customFormat="1" ht="27.75" customHeight="1" outlineLevel="1" x14ac:dyDescent="0.25">
      <c r="A1280" s="42">
        <v>1</v>
      </c>
      <c r="B1280" s="43" t="s">
        <v>838</v>
      </c>
      <c r="C1280" s="44" t="s">
        <v>98</v>
      </c>
      <c r="D1280" s="45">
        <v>2.16</v>
      </c>
      <c r="E1280" s="45">
        <v>157.88380000000001</v>
      </c>
      <c r="F1280" s="45">
        <f>+E1280*D1280</f>
        <v>341.02900800000003</v>
      </c>
      <c r="G1280" s="46">
        <f t="shared" ref="G1280:H1282" si="305">I1280+K1280</f>
        <v>0</v>
      </c>
      <c r="H1280" s="47">
        <f t="shared" si="305"/>
        <v>0</v>
      </c>
      <c r="I1280" s="46">
        <f>J1280/F1280</f>
        <v>0</v>
      </c>
      <c r="J1280" s="47">
        <v>0</v>
      </c>
      <c r="K1280" s="46">
        <f>L1280/F1280</f>
        <v>0</v>
      </c>
      <c r="L1280" s="47">
        <v>0</v>
      </c>
      <c r="AX1280" s="46">
        <v>0</v>
      </c>
      <c r="AY1280" s="47">
        <v>0</v>
      </c>
      <c r="AZ1280" s="70">
        <f t="shared" si="289"/>
        <v>0</v>
      </c>
      <c r="BC1280" s="50"/>
    </row>
    <row r="1281" spans="1:55" s="48" customFormat="1" ht="15.45" customHeight="1" outlineLevel="1" x14ac:dyDescent="0.25">
      <c r="A1281" s="42">
        <v>2</v>
      </c>
      <c r="B1281" s="43" t="s">
        <v>96</v>
      </c>
      <c r="C1281" s="44" t="s">
        <v>98</v>
      </c>
      <c r="D1281" s="45">
        <v>2.2000000000000002</v>
      </c>
      <c r="E1281" s="45">
        <v>178.6</v>
      </c>
      <c r="F1281" s="45">
        <f>+E1281*D1281</f>
        <v>392.92</v>
      </c>
      <c r="G1281" s="46">
        <f t="shared" si="305"/>
        <v>0</v>
      </c>
      <c r="H1281" s="47">
        <f t="shared" si="305"/>
        <v>0</v>
      </c>
      <c r="I1281" s="46">
        <f>J1281/F1281</f>
        <v>0</v>
      </c>
      <c r="J1281" s="47">
        <v>0</v>
      </c>
      <c r="K1281" s="46">
        <f>L1281/F1281</f>
        <v>0</v>
      </c>
      <c r="L1281" s="47">
        <v>0</v>
      </c>
      <c r="AX1281" s="46">
        <v>0.62017288711832197</v>
      </c>
      <c r="AY1281" s="47">
        <v>2404.8000000000002</v>
      </c>
      <c r="AZ1281" s="70">
        <f t="shared" si="289"/>
        <v>0</v>
      </c>
      <c r="BC1281" s="50"/>
    </row>
    <row r="1282" spans="1:55" s="48" customFormat="1" ht="27.75" customHeight="1" outlineLevel="1" x14ac:dyDescent="0.25">
      <c r="A1282" s="42">
        <v>3</v>
      </c>
      <c r="B1282" s="43" t="s">
        <v>736</v>
      </c>
      <c r="C1282" s="44" t="s">
        <v>98</v>
      </c>
      <c r="D1282" s="45">
        <v>4.4000000000000004</v>
      </c>
      <c r="E1282" s="45">
        <v>2.9763999999999999</v>
      </c>
      <c r="F1282" s="45">
        <f>+E1282*D1282</f>
        <v>13.096160000000001</v>
      </c>
      <c r="G1282" s="46">
        <f t="shared" si="305"/>
        <v>0</v>
      </c>
      <c r="H1282" s="47">
        <f t="shared" si="305"/>
        <v>0</v>
      </c>
      <c r="I1282" s="46">
        <f>J1282/F1282</f>
        <v>0</v>
      </c>
      <c r="J1282" s="47">
        <v>0</v>
      </c>
      <c r="K1282" s="46">
        <f>L1282/F1282</f>
        <v>0</v>
      </c>
      <c r="L1282" s="47">
        <v>0</v>
      </c>
      <c r="AX1282" s="46">
        <v>0.50198481879540013</v>
      </c>
      <c r="AY1282" s="47">
        <v>1349.6524312639999</v>
      </c>
      <c r="AZ1282" s="70">
        <f t="shared" si="289"/>
        <v>0</v>
      </c>
      <c r="BC1282" s="50"/>
    </row>
    <row r="1283" spans="1:55" s="56" customFormat="1" ht="17.25" customHeight="1" x14ac:dyDescent="0.3">
      <c r="A1283" s="31">
        <v>9.6999999999999993</v>
      </c>
      <c r="B1283" s="51" t="s">
        <v>839</v>
      </c>
      <c r="C1283" s="52">
        <v>0</v>
      </c>
      <c r="D1283" s="53"/>
      <c r="E1283" s="53"/>
      <c r="F1283" s="53"/>
      <c r="G1283" s="54"/>
      <c r="H1283" s="55"/>
      <c r="I1283" s="54"/>
      <c r="J1283" s="55"/>
      <c r="K1283" s="54"/>
      <c r="L1283" s="55">
        <v>0</v>
      </c>
      <c r="AX1283" s="69">
        <v>0.47536356913975841</v>
      </c>
      <c r="AY1283" s="71">
        <v>491.78025000000002</v>
      </c>
      <c r="AZ1283" s="72">
        <f t="shared" si="289"/>
        <v>0</v>
      </c>
      <c r="BC1283" s="58"/>
    </row>
    <row r="1284" spans="1:55" s="48" customFormat="1" ht="15.45" customHeight="1" outlineLevel="1" x14ac:dyDescent="0.25">
      <c r="A1284" s="42">
        <v>1</v>
      </c>
      <c r="B1284" s="43" t="s">
        <v>117</v>
      </c>
      <c r="C1284" s="44" t="s">
        <v>98</v>
      </c>
      <c r="D1284" s="45">
        <v>20.2</v>
      </c>
      <c r="E1284" s="45">
        <v>5.4732580000000004</v>
      </c>
      <c r="F1284" s="45">
        <f t="shared" ref="F1284:F1289" si="306">+E1284*D1284</f>
        <v>110.5598116</v>
      </c>
      <c r="G1284" s="46">
        <f t="shared" ref="G1284:H1289" si="307">I1284+K1284</f>
        <v>0</v>
      </c>
      <c r="H1284" s="47">
        <f t="shared" si="307"/>
        <v>0</v>
      </c>
      <c r="I1284" s="46">
        <f t="shared" ref="I1284:I1289" si="308">J1284/F1284</f>
        <v>0</v>
      </c>
      <c r="J1284" s="47">
        <v>0</v>
      </c>
      <c r="K1284" s="46">
        <f t="shared" ref="K1284:K1289" si="309">L1284/F1284</f>
        <v>0</v>
      </c>
      <c r="L1284" s="47">
        <v>0</v>
      </c>
      <c r="AX1284" s="46">
        <v>0</v>
      </c>
      <c r="AY1284" s="47">
        <v>0</v>
      </c>
      <c r="AZ1284" s="70">
        <f t="shared" si="289"/>
        <v>0</v>
      </c>
      <c r="BC1284" s="50"/>
    </row>
    <row r="1285" spans="1:55" s="48" customFormat="1" ht="15.45" customHeight="1" outlineLevel="1" x14ac:dyDescent="0.25">
      <c r="A1285" s="42">
        <v>2</v>
      </c>
      <c r="B1285" s="43" t="s">
        <v>840</v>
      </c>
      <c r="C1285" s="44" t="s">
        <v>98</v>
      </c>
      <c r="D1285" s="45">
        <v>20.2</v>
      </c>
      <c r="E1285" s="45">
        <v>0.82040000000000002</v>
      </c>
      <c r="F1285" s="45">
        <f t="shared" si="306"/>
        <v>16.57208</v>
      </c>
      <c r="G1285" s="46">
        <f t="shared" si="307"/>
        <v>0</v>
      </c>
      <c r="H1285" s="47">
        <f t="shared" si="307"/>
        <v>0</v>
      </c>
      <c r="I1285" s="46">
        <f t="shared" si="308"/>
        <v>0</v>
      </c>
      <c r="J1285" s="47">
        <v>0</v>
      </c>
      <c r="K1285" s="46">
        <f t="shared" si="309"/>
        <v>0</v>
      </c>
      <c r="L1285" s="47">
        <v>0</v>
      </c>
      <c r="AX1285" s="46">
        <v>0</v>
      </c>
      <c r="AY1285" s="47">
        <v>0</v>
      </c>
      <c r="AZ1285" s="70">
        <f t="shared" si="289"/>
        <v>0</v>
      </c>
      <c r="BC1285" s="50"/>
    </row>
    <row r="1286" spans="1:55" s="48" customFormat="1" ht="27.75" customHeight="1" outlineLevel="1" x14ac:dyDescent="0.25">
      <c r="A1286" s="42">
        <v>3</v>
      </c>
      <c r="B1286" s="43" t="s">
        <v>745</v>
      </c>
      <c r="C1286" s="44" t="s">
        <v>98</v>
      </c>
      <c r="D1286" s="45">
        <v>20.2</v>
      </c>
      <c r="E1286" s="45">
        <v>32.403399999999998</v>
      </c>
      <c r="F1286" s="45">
        <f t="shared" si="306"/>
        <v>654.54867999999988</v>
      </c>
      <c r="G1286" s="46">
        <f t="shared" si="307"/>
        <v>0</v>
      </c>
      <c r="H1286" s="47">
        <f t="shared" si="307"/>
        <v>0</v>
      </c>
      <c r="I1286" s="46">
        <f t="shared" si="308"/>
        <v>0</v>
      </c>
      <c r="J1286" s="47">
        <v>0</v>
      </c>
      <c r="K1286" s="46">
        <f t="shared" si="309"/>
        <v>0</v>
      </c>
      <c r="L1286" s="47">
        <v>0</v>
      </c>
      <c r="AX1286" s="46">
        <v>0.49528185486995763</v>
      </c>
      <c r="AY1286" s="47">
        <v>830.85016999999993</v>
      </c>
      <c r="AZ1286" s="70">
        <f t="shared" si="289"/>
        <v>0</v>
      </c>
      <c r="BC1286" s="50"/>
    </row>
    <row r="1287" spans="1:55" s="48" customFormat="1" ht="15.45" customHeight="1" outlineLevel="1" x14ac:dyDescent="0.25">
      <c r="A1287" s="42">
        <v>4</v>
      </c>
      <c r="B1287" s="43" t="s">
        <v>841</v>
      </c>
      <c r="C1287" s="44" t="s">
        <v>98</v>
      </c>
      <c r="D1287" s="45">
        <v>3.9</v>
      </c>
      <c r="E1287" s="45">
        <v>5.4732580000000004</v>
      </c>
      <c r="F1287" s="45">
        <f t="shared" si="306"/>
        <v>21.345706200000002</v>
      </c>
      <c r="G1287" s="46">
        <f t="shared" si="307"/>
        <v>0</v>
      </c>
      <c r="H1287" s="47">
        <f t="shared" si="307"/>
        <v>0</v>
      </c>
      <c r="I1287" s="46">
        <f t="shared" si="308"/>
        <v>0</v>
      </c>
      <c r="J1287" s="47">
        <v>0</v>
      </c>
      <c r="K1287" s="46">
        <f t="shared" si="309"/>
        <v>0</v>
      </c>
      <c r="L1287" s="47">
        <v>0</v>
      </c>
      <c r="AX1287" s="46">
        <v>0.6202058969858999</v>
      </c>
      <c r="AY1287" s="47">
        <v>283.60000000000002</v>
      </c>
      <c r="AZ1287" s="70">
        <f t="shared" si="289"/>
        <v>0</v>
      </c>
      <c r="BC1287" s="50"/>
    </row>
    <row r="1288" spans="1:55" s="48" customFormat="1" ht="15.45" customHeight="1" outlineLevel="1" x14ac:dyDescent="0.25">
      <c r="A1288" s="42">
        <v>5</v>
      </c>
      <c r="B1288" s="43" t="s">
        <v>840</v>
      </c>
      <c r="C1288" s="44" t="s">
        <v>98</v>
      </c>
      <c r="D1288" s="45">
        <v>3.9</v>
      </c>
      <c r="E1288" s="45">
        <v>1.4974000000000001</v>
      </c>
      <c r="F1288" s="45">
        <f t="shared" si="306"/>
        <v>5.8398599999999998</v>
      </c>
      <c r="G1288" s="46">
        <f t="shared" si="307"/>
        <v>0</v>
      </c>
      <c r="H1288" s="47">
        <f t="shared" si="307"/>
        <v>0</v>
      </c>
      <c r="I1288" s="46">
        <f t="shared" si="308"/>
        <v>0</v>
      </c>
      <c r="J1288" s="47">
        <v>0</v>
      </c>
      <c r="K1288" s="46">
        <f t="shared" si="309"/>
        <v>0</v>
      </c>
      <c r="L1288" s="47">
        <v>0</v>
      </c>
      <c r="AX1288" s="46">
        <v>0.49997244819191239</v>
      </c>
      <c r="AY1288" s="47">
        <v>315.24614783999988</v>
      </c>
      <c r="AZ1288" s="70">
        <f t="shared" si="289"/>
        <v>0</v>
      </c>
      <c r="BC1288" s="50"/>
    </row>
    <row r="1289" spans="1:55" s="48" customFormat="1" ht="27.75" customHeight="1" outlineLevel="1" x14ac:dyDescent="0.25">
      <c r="A1289" s="42">
        <v>6</v>
      </c>
      <c r="B1289" s="43" t="s">
        <v>842</v>
      </c>
      <c r="C1289" s="44" t="s">
        <v>98</v>
      </c>
      <c r="D1289" s="45">
        <v>3.9</v>
      </c>
      <c r="E1289" s="45">
        <v>32.403399999999998</v>
      </c>
      <c r="F1289" s="45">
        <f t="shared" si="306"/>
        <v>126.37325999999999</v>
      </c>
      <c r="G1289" s="46">
        <f t="shared" si="307"/>
        <v>0</v>
      </c>
      <c r="H1289" s="47">
        <f t="shared" si="307"/>
        <v>0</v>
      </c>
      <c r="I1289" s="46">
        <f t="shared" si="308"/>
        <v>0</v>
      </c>
      <c r="J1289" s="47">
        <v>0</v>
      </c>
      <c r="K1289" s="46">
        <f t="shared" si="309"/>
        <v>0</v>
      </c>
      <c r="L1289" s="47">
        <v>0</v>
      </c>
      <c r="AX1289" s="46">
        <v>0.50736356913975844</v>
      </c>
      <c r="AY1289" s="47">
        <v>12.350244</v>
      </c>
      <c r="AZ1289" s="70">
        <f t="shared" si="289"/>
        <v>0</v>
      </c>
      <c r="BC1289" s="50"/>
    </row>
    <row r="1290" spans="1:55" s="56" customFormat="1" ht="17.25" customHeight="1" x14ac:dyDescent="0.3">
      <c r="A1290" s="31">
        <v>9.8000000000000007</v>
      </c>
      <c r="B1290" s="51" t="s">
        <v>843</v>
      </c>
      <c r="C1290" s="52">
        <v>0</v>
      </c>
      <c r="D1290" s="53"/>
      <c r="E1290" s="53"/>
      <c r="F1290" s="53"/>
      <c r="G1290" s="54"/>
      <c r="H1290" s="55"/>
      <c r="I1290" s="54"/>
      <c r="J1290" s="55"/>
      <c r="K1290" s="54"/>
      <c r="L1290" s="55">
        <v>0</v>
      </c>
      <c r="AX1290" s="69">
        <v>0</v>
      </c>
      <c r="AY1290" s="71">
        <v>0</v>
      </c>
      <c r="AZ1290" s="72">
        <f t="shared" si="289"/>
        <v>0</v>
      </c>
      <c r="BC1290" s="58"/>
    </row>
    <row r="1291" spans="1:55" s="48" customFormat="1" ht="15.45" customHeight="1" outlineLevel="1" x14ac:dyDescent="0.25">
      <c r="A1291" s="42">
        <v>1</v>
      </c>
      <c r="B1291" s="43" t="s">
        <v>149</v>
      </c>
      <c r="C1291" s="44" t="s">
        <v>98</v>
      </c>
      <c r="D1291" s="45">
        <v>20.16</v>
      </c>
      <c r="E1291" s="45">
        <v>6.5157999999999996</v>
      </c>
      <c r="F1291" s="45">
        <f t="shared" ref="F1291:F1296" si="310">+E1291*D1291</f>
        <v>131.35852800000001</v>
      </c>
      <c r="G1291" s="46">
        <f t="shared" ref="G1291:H1296" si="311">I1291+K1291</f>
        <v>0</v>
      </c>
      <c r="H1291" s="47">
        <f t="shared" si="311"/>
        <v>0</v>
      </c>
      <c r="I1291" s="46">
        <f t="shared" ref="I1291:I1296" si="312">J1291/F1291</f>
        <v>0</v>
      </c>
      <c r="J1291" s="47">
        <v>0</v>
      </c>
      <c r="K1291" s="46">
        <f t="shared" ref="K1291:K1296" si="313">L1291/F1291</f>
        <v>0</v>
      </c>
      <c r="L1291" s="47">
        <v>0</v>
      </c>
      <c r="AX1291" s="46">
        <v>0</v>
      </c>
      <c r="AY1291" s="47">
        <v>0</v>
      </c>
      <c r="AZ1291" s="70">
        <f t="shared" si="289"/>
        <v>0</v>
      </c>
      <c r="BC1291" s="50"/>
    </row>
    <row r="1292" spans="1:55" s="48" customFormat="1" ht="27.75" customHeight="1" outlineLevel="1" x14ac:dyDescent="0.25">
      <c r="A1292" s="42">
        <v>2</v>
      </c>
      <c r="B1292" s="43" t="s">
        <v>150</v>
      </c>
      <c r="C1292" s="44" t="s">
        <v>98</v>
      </c>
      <c r="D1292" s="45">
        <v>20.16</v>
      </c>
      <c r="E1292" s="45">
        <v>8.2498000000000005</v>
      </c>
      <c r="F1292" s="45">
        <f t="shared" si="310"/>
        <v>166.315968</v>
      </c>
      <c r="G1292" s="46">
        <f t="shared" si="311"/>
        <v>0</v>
      </c>
      <c r="H1292" s="47">
        <f t="shared" si="311"/>
        <v>0</v>
      </c>
      <c r="I1292" s="46">
        <f t="shared" si="312"/>
        <v>0</v>
      </c>
      <c r="J1292" s="47">
        <v>0</v>
      </c>
      <c r="K1292" s="46">
        <f t="shared" si="313"/>
        <v>0</v>
      </c>
      <c r="L1292" s="47">
        <v>0</v>
      </c>
      <c r="AX1292" s="46">
        <v>0</v>
      </c>
      <c r="AY1292" s="47">
        <v>0</v>
      </c>
      <c r="AZ1292" s="70">
        <f t="shared" si="289"/>
        <v>0</v>
      </c>
      <c r="BC1292" s="50"/>
    </row>
    <row r="1293" spans="1:55" s="48" customFormat="1" ht="27.75" customHeight="1" outlineLevel="1" x14ac:dyDescent="0.25">
      <c r="A1293" s="42">
        <v>3</v>
      </c>
      <c r="B1293" s="43" t="s">
        <v>156</v>
      </c>
      <c r="C1293" s="44" t="s">
        <v>98</v>
      </c>
      <c r="D1293" s="45">
        <v>58.2</v>
      </c>
      <c r="E1293" s="45">
        <v>12.778600000000001</v>
      </c>
      <c r="F1293" s="45">
        <f t="shared" si="310"/>
        <v>743.71452000000011</v>
      </c>
      <c r="G1293" s="46">
        <f t="shared" si="311"/>
        <v>0</v>
      </c>
      <c r="H1293" s="47">
        <f t="shared" si="311"/>
        <v>0</v>
      </c>
      <c r="I1293" s="46">
        <f t="shared" si="312"/>
        <v>0</v>
      </c>
      <c r="J1293" s="47">
        <v>0</v>
      </c>
      <c r="K1293" s="46">
        <f t="shared" si="313"/>
        <v>0</v>
      </c>
      <c r="L1293" s="47">
        <v>0</v>
      </c>
      <c r="AX1293" s="46">
        <v>0.529887</v>
      </c>
      <c r="AY1293" s="47">
        <v>404.90374555574999</v>
      </c>
      <c r="AZ1293" s="70">
        <f t="shared" si="289"/>
        <v>0</v>
      </c>
      <c r="BC1293" s="50"/>
    </row>
    <row r="1294" spans="1:55" s="48" customFormat="1" ht="27.75" customHeight="1" outlineLevel="1" x14ac:dyDescent="0.25">
      <c r="A1294" s="42">
        <v>4</v>
      </c>
      <c r="B1294" s="43" t="s">
        <v>157</v>
      </c>
      <c r="C1294" s="44" t="s">
        <v>98</v>
      </c>
      <c r="D1294" s="45">
        <v>58.2</v>
      </c>
      <c r="E1294" s="45">
        <v>5.71</v>
      </c>
      <c r="F1294" s="45">
        <f t="shared" si="310"/>
        <v>332.322</v>
      </c>
      <c r="G1294" s="46">
        <f t="shared" si="311"/>
        <v>0</v>
      </c>
      <c r="H1294" s="47">
        <f t="shared" si="311"/>
        <v>0</v>
      </c>
      <c r="I1294" s="46">
        <f t="shared" si="312"/>
        <v>0</v>
      </c>
      <c r="J1294" s="47">
        <v>0</v>
      </c>
      <c r="K1294" s="46">
        <f t="shared" si="313"/>
        <v>0</v>
      </c>
      <c r="L1294" s="47">
        <v>0</v>
      </c>
      <c r="AX1294" s="46">
        <v>0</v>
      </c>
      <c r="AY1294" s="47">
        <v>0</v>
      </c>
      <c r="AZ1294" s="70">
        <f t="shared" si="289"/>
        <v>0</v>
      </c>
      <c r="BC1294" s="50"/>
    </row>
    <row r="1295" spans="1:55" s="48" customFormat="1" ht="15.45" customHeight="1" outlineLevel="1" x14ac:dyDescent="0.25">
      <c r="A1295" s="42">
        <v>5</v>
      </c>
      <c r="B1295" s="43" t="s">
        <v>161</v>
      </c>
      <c r="C1295" s="44" t="s">
        <v>98</v>
      </c>
      <c r="D1295" s="45">
        <v>85</v>
      </c>
      <c r="E1295" s="45">
        <v>10.320399999999999</v>
      </c>
      <c r="F1295" s="45">
        <f t="shared" si="310"/>
        <v>877.23399999999992</v>
      </c>
      <c r="G1295" s="46">
        <f t="shared" si="311"/>
        <v>0</v>
      </c>
      <c r="H1295" s="47">
        <f t="shared" si="311"/>
        <v>0</v>
      </c>
      <c r="I1295" s="46">
        <f t="shared" si="312"/>
        <v>0</v>
      </c>
      <c r="J1295" s="47">
        <v>0</v>
      </c>
      <c r="K1295" s="46">
        <f t="shared" si="313"/>
        <v>0</v>
      </c>
      <c r="L1295" s="47">
        <v>0</v>
      </c>
      <c r="AX1295" s="46">
        <v>0</v>
      </c>
      <c r="AY1295" s="47">
        <v>0</v>
      </c>
      <c r="AZ1295" s="70">
        <f t="shared" si="289"/>
        <v>0</v>
      </c>
      <c r="BC1295" s="50"/>
    </row>
    <row r="1296" spans="1:55" s="48" customFormat="1" ht="27.75" customHeight="1" outlineLevel="1" x14ac:dyDescent="0.25">
      <c r="A1296" s="42">
        <v>6</v>
      </c>
      <c r="B1296" s="43" t="s">
        <v>678</v>
      </c>
      <c r="C1296" s="44" t="s">
        <v>98</v>
      </c>
      <c r="D1296" s="45">
        <v>85</v>
      </c>
      <c r="E1296" s="45">
        <v>4.9857999999999993</v>
      </c>
      <c r="F1296" s="45">
        <f t="shared" si="310"/>
        <v>423.79299999999995</v>
      </c>
      <c r="G1296" s="46">
        <f t="shared" si="311"/>
        <v>0</v>
      </c>
      <c r="H1296" s="47">
        <f t="shared" si="311"/>
        <v>0</v>
      </c>
      <c r="I1296" s="46">
        <f t="shared" si="312"/>
        <v>0</v>
      </c>
      <c r="J1296" s="47">
        <v>0</v>
      </c>
      <c r="K1296" s="46">
        <f t="shared" si="313"/>
        <v>0</v>
      </c>
      <c r="L1296" s="47">
        <v>0</v>
      </c>
      <c r="AX1296" s="46">
        <v>0</v>
      </c>
      <c r="AY1296" s="47">
        <v>0</v>
      </c>
      <c r="AZ1296" s="70">
        <f t="shared" si="289"/>
        <v>0</v>
      </c>
      <c r="BC1296" s="50"/>
    </row>
    <row r="1297" spans="1:55" s="56" customFormat="1" ht="17.25" customHeight="1" x14ac:dyDescent="0.3">
      <c r="A1297" s="31">
        <v>9.9</v>
      </c>
      <c r="B1297" s="51" t="s">
        <v>844</v>
      </c>
      <c r="C1297" s="52">
        <v>0</v>
      </c>
      <c r="D1297" s="53"/>
      <c r="E1297" s="53"/>
      <c r="F1297" s="53"/>
      <c r="G1297" s="54"/>
      <c r="H1297" s="55"/>
      <c r="I1297" s="54"/>
      <c r="J1297" s="55"/>
      <c r="K1297" s="54"/>
      <c r="L1297" s="55">
        <v>0</v>
      </c>
      <c r="AX1297" s="69">
        <v>0</v>
      </c>
      <c r="AY1297" s="71">
        <v>0</v>
      </c>
      <c r="AZ1297" s="72">
        <f t="shared" si="289"/>
        <v>0</v>
      </c>
      <c r="BC1297" s="58"/>
    </row>
    <row r="1298" spans="1:55" s="48" customFormat="1" ht="27.75" customHeight="1" outlineLevel="1" x14ac:dyDescent="0.25">
      <c r="A1298" s="42">
        <v>1</v>
      </c>
      <c r="B1298" s="43" t="s">
        <v>184</v>
      </c>
      <c r="C1298" s="44" t="s">
        <v>61</v>
      </c>
      <c r="D1298" s="45">
        <v>10</v>
      </c>
      <c r="E1298" s="45">
        <v>7.8723999999999998</v>
      </c>
      <c r="F1298" s="45">
        <f t="shared" ref="F1298:F1306" si="314">+E1298*D1298</f>
        <v>78.724000000000004</v>
      </c>
      <c r="G1298" s="46">
        <f t="shared" ref="G1298:G1306" si="315">I1298+K1298</f>
        <v>0</v>
      </c>
      <c r="H1298" s="47">
        <f t="shared" ref="H1298:H1306" si="316">J1298+L1298</f>
        <v>0</v>
      </c>
      <c r="I1298" s="46">
        <f t="shared" ref="I1298:I1306" si="317">J1298/F1298</f>
        <v>0</v>
      </c>
      <c r="J1298" s="47">
        <v>0</v>
      </c>
      <c r="K1298" s="46">
        <f t="shared" ref="K1298:K1306" si="318">L1298/F1298</f>
        <v>0</v>
      </c>
      <c r="L1298" s="47">
        <v>0</v>
      </c>
      <c r="AX1298" s="46">
        <v>0</v>
      </c>
      <c r="AY1298" s="47">
        <v>0</v>
      </c>
      <c r="AZ1298" s="70">
        <f t="shared" si="289"/>
        <v>0</v>
      </c>
      <c r="BC1298" s="50"/>
    </row>
    <row r="1299" spans="1:55" s="48" customFormat="1" ht="27.75" customHeight="1" outlineLevel="1" x14ac:dyDescent="0.25">
      <c r="A1299" s="42">
        <v>2</v>
      </c>
      <c r="B1299" s="43" t="s">
        <v>185</v>
      </c>
      <c r="C1299" s="44" t="s">
        <v>61</v>
      </c>
      <c r="D1299" s="45">
        <v>10</v>
      </c>
      <c r="E1299" s="45">
        <v>8.686399999999999</v>
      </c>
      <c r="F1299" s="45">
        <f t="shared" si="314"/>
        <v>86.86399999999999</v>
      </c>
      <c r="G1299" s="46">
        <f t="shared" si="315"/>
        <v>0</v>
      </c>
      <c r="H1299" s="47">
        <f t="shared" si="316"/>
        <v>0</v>
      </c>
      <c r="I1299" s="46">
        <f t="shared" si="317"/>
        <v>0</v>
      </c>
      <c r="J1299" s="47">
        <v>0</v>
      </c>
      <c r="K1299" s="46">
        <f t="shared" si="318"/>
        <v>0</v>
      </c>
      <c r="L1299" s="47">
        <v>0</v>
      </c>
      <c r="AX1299" s="46">
        <v>0</v>
      </c>
      <c r="AY1299" s="47">
        <v>0</v>
      </c>
      <c r="AZ1299" s="70">
        <f t="shared" si="289"/>
        <v>0</v>
      </c>
      <c r="BC1299" s="50"/>
    </row>
    <row r="1300" spans="1:55" s="48" customFormat="1" ht="27.75" customHeight="1" outlineLevel="1" x14ac:dyDescent="0.25">
      <c r="A1300" s="42">
        <v>3</v>
      </c>
      <c r="B1300" s="43" t="s">
        <v>192</v>
      </c>
      <c r="C1300" s="44" t="s">
        <v>61</v>
      </c>
      <c r="D1300" s="45">
        <v>1</v>
      </c>
      <c r="E1300" s="45">
        <v>4.7614000000000001</v>
      </c>
      <c r="F1300" s="45">
        <f t="shared" si="314"/>
        <v>4.7614000000000001</v>
      </c>
      <c r="G1300" s="46">
        <f t="shared" si="315"/>
        <v>0</v>
      </c>
      <c r="H1300" s="47">
        <f t="shared" si="316"/>
        <v>0</v>
      </c>
      <c r="I1300" s="46">
        <f t="shared" si="317"/>
        <v>0</v>
      </c>
      <c r="J1300" s="47">
        <v>0</v>
      </c>
      <c r="K1300" s="46">
        <f t="shared" si="318"/>
        <v>0</v>
      </c>
      <c r="L1300" s="47">
        <v>0</v>
      </c>
      <c r="AX1300" s="46">
        <v>0</v>
      </c>
      <c r="AY1300" s="47">
        <v>0</v>
      </c>
      <c r="AZ1300" s="70">
        <f t="shared" si="289"/>
        <v>0</v>
      </c>
      <c r="BC1300" s="50"/>
    </row>
    <row r="1301" spans="1:55" s="48" customFormat="1" ht="27.75" customHeight="1" outlineLevel="1" x14ac:dyDescent="0.25">
      <c r="A1301" s="42">
        <v>4</v>
      </c>
      <c r="B1301" s="43" t="s">
        <v>193</v>
      </c>
      <c r="C1301" s="44" t="s">
        <v>61</v>
      </c>
      <c r="D1301" s="45">
        <v>1</v>
      </c>
      <c r="E1301" s="45">
        <v>2.1787999999999998</v>
      </c>
      <c r="F1301" s="45">
        <f t="shared" si="314"/>
        <v>2.1787999999999998</v>
      </c>
      <c r="G1301" s="46">
        <f t="shared" si="315"/>
        <v>0</v>
      </c>
      <c r="H1301" s="47">
        <f t="shared" si="316"/>
        <v>0</v>
      </c>
      <c r="I1301" s="46">
        <f t="shared" si="317"/>
        <v>0</v>
      </c>
      <c r="J1301" s="47">
        <v>0</v>
      </c>
      <c r="K1301" s="46">
        <f t="shared" si="318"/>
        <v>0</v>
      </c>
      <c r="L1301" s="47">
        <v>0</v>
      </c>
      <c r="AX1301" s="46">
        <v>0</v>
      </c>
      <c r="AY1301" s="47">
        <v>0</v>
      </c>
      <c r="AZ1301" s="70">
        <f t="shared" si="289"/>
        <v>0</v>
      </c>
      <c r="BC1301" s="50"/>
    </row>
    <row r="1302" spans="1:55" s="48" customFormat="1" ht="27.75" customHeight="1" outlineLevel="1" x14ac:dyDescent="0.25">
      <c r="A1302" s="42">
        <v>5</v>
      </c>
      <c r="B1302" s="43" t="s">
        <v>194</v>
      </c>
      <c r="C1302" s="44" t="s">
        <v>61</v>
      </c>
      <c r="D1302" s="45">
        <v>11</v>
      </c>
      <c r="E1302" s="45">
        <v>1.1876</v>
      </c>
      <c r="F1302" s="45">
        <f t="shared" si="314"/>
        <v>13.063599999999999</v>
      </c>
      <c r="G1302" s="46">
        <f t="shared" si="315"/>
        <v>0</v>
      </c>
      <c r="H1302" s="47">
        <f t="shared" si="316"/>
        <v>0</v>
      </c>
      <c r="I1302" s="46">
        <f t="shared" si="317"/>
        <v>0</v>
      </c>
      <c r="J1302" s="47">
        <v>0</v>
      </c>
      <c r="K1302" s="46">
        <f t="shared" si="318"/>
        <v>0</v>
      </c>
      <c r="L1302" s="47">
        <v>0</v>
      </c>
      <c r="AX1302" s="46">
        <v>0</v>
      </c>
      <c r="AY1302" s="47">
        <v>0</v>
      </c>
      <c r="AZ1302" s="70">
        <f t="shared" si="289"/>
        <v>0</v>
      </c>
      <c r="BC1302" s="50"/>
    </row>
    <row r="1303" spans="1:55" s="48" customFormat="1" ht="41.7" customHeight="1" outlineLevel="1" x14ac:dyDescent="0.25">
      <c r="A1303" s="42">
        <v>6</v>
      </c>
      <c r="B1303" s="43" t="s">
        <v>845</v>
      </c>
      <c r="C1303" s="44" t="s">
        <v>93</v>
      </c>
      <c r="D1303" s="45">
        <v>2</v>
      </c>
      <c r="E1303" s="45">
        <v>23.631399999999999</v>
      </c>
      <c r="F1303" s="45">
        <f t="shared" si="314"/>
        <v>47.262799999999999</v>
      </c>
      <c r="G1303" s="46">
        <f t="shared" si="315"/>
        <v>0</v>
      </c>
      <c r="H1303" s="47">
        <f t="shared" si="316"/>
        <v>0</v>
      </c>
      <c r="I1303" s="46">
        <f t="shared" si="317"/>
        <v>0</v>
      </c>
      <c r="J1303" s="47">
        <v>0</v>
      </c>
      <c r="K1303" s="46">
        <f t="shared" si="318"/>
        <v>0</v>
      </c>
      <c r="L1303" s="47">
        <v>0</v>
      </c>
      <c r="AX1303" s="46">
        <v>0.52985000000000004</v>
      </c>
      <c r="AY1303" s="47">
        <v>192.79784412500001</v>
      </c>
      <c r="AZ1303" s="70">
        <f t="shared" si="289"/>
        <v>0</v>
      </c>
      <c r="BC1303" s="50"/>
    </row>
    <row r="1304" spans="1:55" s="48" customFormat="1" ht="15.45" customHeight="1" outlineLevel="1" x14ac:dyDescent="0.25">
      <c r="A1304" s="42">
        <v>7</v>
      </c>
      <c r="B1304" s="43" t="s">
        <v>202</v>
      </c>
      <c r="C1304" s="44" t="s">
        <v>93</v>
      </c>
      <c r="D1304" s="45">
        <v>2</v>
      </c>
      <c r="E1304" s="45">
        <v>106.32080000000001</v>
      </c>
      <c r="F1304" s="45">
        <f t="shared" si="314"/>
        <v>212.64160000000001</v>
      </c>
      <c r="G1304" s="46">
        <f t="shared" si="315"/>
        <v>0</v>
      </c>
      <c r="H1304" s="47">
        <f t="shared" si="316"/>
        <v>0</v>
      </c>
      <c r="I1304" s="46">
        <f t="shared" si="317"/>
        <v>0</v>
      </c>
      <c r="J1304" s="47">
        <v>0</v>
      </c>
      <c r="K1304" s="46">
        <f t="shared" si="318"/>
        <v>0</v>
      </c>
      <c r="L1304" s="47">
        <v>0</v>
      </c>
      <c r="AX1304" s="46">
        <v>0</v>
      </c>
      <c r="AY1304" s="47">
        <v>0</v>
      </c>
      <c r="AZ1304" s="70">
        <f t="shared" si="289"/>
        <v>0</v>
      </c>
      <c r="BC1304" s="50"/>
    </row>
    <row r="1305" spans="1:55" s="48" customFormat="1" ht="27.75" customHeight="1" outlineLevel="1" x14ac:dyDescent="0.25">
      <c r="A1305" s="42">
        <v>8</v>
      </c>
      <c r="B1305" s="43" t="s">
        <v>203</v>
      </c>
      <c r="C1305" s="44" t="s">
        <v>93</v>
      </c>
      <c r="D1305" s="45">
        <v>4</v>
      </c>
      <c r="E1305" s="45">
        <v>6.4423999999999992</v>
      </c>
      <c r="F1305" s="45">
        <f t="shared" si="314"/>
        <v>25.769599999999997</v>
      </c>
      <c r="G1305" s="46">
        <f t="shared" si="315"/>
        <v>0</v>
      </c>
      <c r="H1305" s="47">
        <f t="shared" si="316"/>
        <v>0</v>
      </c>
      <c r="I1305" s="46">
        <f t="shared" si="317"/>
        <v>0</v>
      </c>
      <c r="J1305" s="47">
        <v>0</v>
      </c>
      <c r="K1305" s="46">
        <f t="shared" si="318"/>
        <v>0</v>
      </c>
      <c r="L1305" s="47">
        <v>0</v>
      </c>
      <c r="AX1305" s="46">
        <v>0</v>
      </c>
      <c r="AY1305" s="47">
        <v>0</v>
      </c>
      <c r="AZ1305" s="70">
        <f t="shared" si="289"/>
        <v>0</v>
      </c>
      <c r="BC1305" s="50"/>
    </row>
    <row r="1306" spans="1:55" s="48" customFormat="1" ht="27.75" customHeight="1" outlineLevel="1" x14ac:dyDescent="0.25">
      <c r="A1306" s="42">
        <v>9</v>
      </c>
      <c r="B1306" s="43" t="s">
        <v>846</v>
      </c>
      <c r="C1306" s="44" t="s">
        <v>93</v>
      </c>
      <c r="D1306" s="45">
        <v>1</v>
      </c>
      <c r="E1306" s="45">
        <v>38.694800000000008</v>
      </c>
      <c r="F1306" s="45">
        <f t="shared" si="314"/>
        <v>38.694800000000008</v>
      </c>
      <c r="G1306" s="46">
        <f t="shared" si="315"/>
        <v>0</v>
      </c>
      <c r="H1306" s="47">
        <f t="shared" si="316"/>
        <v>0</v>
      </c>
      <c r="I1306" s="46">
        <f t="shared" si="317"/>
        <v>0</v>
      </c>
      <c r="J1306" s="47">
        <v>0</v>
      </c>
      <c r="K1306" s="46">
        <f t="shared" si="318"/>
        <v>0</v>
      </c>
      <c r="L1306" s="47">
        <v>0</v>
      </c>
      <c r="AX1306" s="46">
        <v>0</v>
      </c>
      <c r="AY1306" s="47">
        <v>0</v>
      </c>
      <c r="AZ1306" s="70">
        <f t="shared" ref="AZ1306:AZ1369" si="319">H1306-J1306</f>
        <v>0</v>
      </c>
      <c r="BC1306" s="50"/>
    </row>
    <row r="1307" spans="1:55" s="56" customFormat="1" ht="17.25" customHeight="1" x14ac:dyDescent="0.3">
      <c r="A1307" s="31">
        <v>9.1</v>
      </c>
      <c r="B1307" s="51" t="s">
        <v>847</v>
      </c>
      <c r="C1307" s="52">
        <v>0</v>
      </c>
      <c r="D1307" s="53"/>
      <c r="E1307" s="53"/>
      <c r="F1307" s="53"/>
      <c r="G1307" s="54"/>
      <c r="H1307" s="55"/>
      <c r="I1307" s="54"/>
      <c r="J1307" s="55"/>
      <c r="K1307" s="54"/>
      <c r="L1307" s="55">
        <v>0</v>
      </c>
      <c r="AX1307" s="69">
        <v>0</v>
      </c>
      <c r="AY1307" s="71">
        <v>0</v>
      </c>
      <c r="AZ1307" s="72">
        <f t="shared" si="319"/>
        <v>0</v>
      </c>
      <c r="BC1307" s="58"/>
    </row>
    <row r="1308" spans="1:55" s="48" customFormat="1" ht="27.75" customHeight="1" outlineLevel="1" x14ac:dyDescent="0.25">
      <c r="A1308" s="42">
        <v>1</v>
      </c>
      <c r="B1308" s="43" t="s">
        <v>848</v>
      </c>
      <c r="C1308" s="44" t="s">
        <v>61</v>
      </c>
      <c r="D1308" s="45">
        <v>1</v>
      </c>
      <c r="E1308" s="45">
        <v>7.7805999999999997</v>
      </c>
      <c r="F1308" s="45">
        <f t="shared" ref="F1308:F1313" si="320">+E1308*D1308</f>
        <v>7.7805999999999997</v>
      </c>
      <c r="G1308" s="46">
        <f t="shared" ref="G1308:H1313" si="321">I1308+K1308</f>
        <v>0</v>
      </c>
      <c r="H1308" s="47">
        <f t="shared" si="321"/>
        <v>0</v>
      </c>
      <c r="I1308" s="46">
        <f t="shared" ref="I1308:I1313" si="322">J1308/F1308</f>
        <v>0</v>
      </c>
      <c r="J1308" s="47">
        <v>0</v>
      </c>
      <c r="K1308" s="46">
        <f t="shared" ref="K1308:K1313" si="323">L1308/F1308</f>
        <v>0</v>
      </c>
      <c r="L1308" s="47">
        <v>0</v>
      </c>
      <c r="AX1308" s="46">
        <v>0</v>
      </c>
      <c r="AY1308" s="47">
        <v>0</v>
      </c>
      <c r="AZ1308" s="70">
        <f t="shared" si="319"/>
        <v>0</v>
      </c>
      <c r="BC1308" s="50"/>
    </row>
    <row r="1309" spans="1:55" s="59" customFormat="1" ht="27.75" customHeight="1" outlineLevel="1" x14ac:dyDescent="0.35">
      <c r="A1309" s="42">
        <v>2</v>
      </c>
      <c r="B1309" s="43" t="s">
        <v>218</v>
      </c>
      <c r="C1309" s="44" t="s">
        <v>61</v>
      </c>
      <c r="D1309" s="45">
        <v>1</v>
      </c>
      <c r="E1309" s="45">
        <v>5.0959999999999992</v>
      </c>
      <c r="F1309" s="45">
        <f t="shared" si="320"/>
        <v>5.0959999999999992</v>
      </c>
      <c r="G1309" s="46">
        <f t="shared" si="321"/>
        <v>0</v>
      </c>
      <c r="H1309" s="47">
        <f t="shared" si="321"/>
        <v>0</v>
      </c>
      <c r="I1309" s="46">
        <f t="shared" si="322"/>
        <v>0</v>
      </c>
      <c r="J1309" s="47">
        <v>0</v>
      </c>
      <c r="K1309" s="46">
        <f t="shared" si="323"/>
        <v>0</v>
      </c>
      <c r="L1309" s="47">
        <v>0</v>
      </c>
      <c r="AX1309" s="73">
        <v>0</v>
      </c>
      <c r="AY1309" s="74">
        <v>0</v>
      </c>
      <c r="AZ1309" s="75">
        <f t="shared" si="319"/>
        <v>0</v>
      </c>
      <c r="BC1309" s="61"/>
    </row>
    <row r="1310" spans="1:55" s="48" customFormat="1" ht="27.75" customHeight="1" outlineLevel="1" x14ac:dyDescent="0.25">
      <c r="A1310" s="42">
        <v>3</v>
      </c>
      <c r="B1310" s="43" t="s">
        <v>192</v>
      </c>
      <c r="C1310" s="44" t="s">
        <v>61</v>
      </c>
      <c r="D1310" s="45">
        <v>10</v>
      </c>
      <c r="E1310" s="45">
        <v>4.7614000000000001</v>
      </c>
      <c r="F1310" s="45">
        <f t="shared" si="320"/>
        <v>47.614000000000004</v>
      </c>
      <c r="G1310" s="46">
        <f t="shared" si="321"/>
        <v>0</v>
      </c>
      <c r="H1310" s="47">
        <f t="shared" si="321"/>
        <v>0</v>
      </c>
      <c r="I1310" s="46">
        <f t="shared" si="322"/>
        <v>0</v>
      </c>
      <c r="J1310" s="47">
        <v>0</v>
      </c>
      <c r="K1310" s="46">
        <f t="shared" si="323"/>
        <v>0</v>
      </c>
      <c r="L1310" s="47">
        <v>0</v>
      </c>
      <c r="AX1310" s="46">
        <v>0</v>
      </c>
      <c r="AY1310" s="47">
        <v>0</v>
      </c>
      <c r="AZ1310" s="70">
        <f t="shared" si="319"/>
        <v>0</v>
      </c>
      <c r="BC1310" s="50"/>
    </row>
    <row r="1311" spans="1:55" s="48" customFormat="1" ht="27.75" customHeight="1" outlineLevel="1" x14ac:dyDescent="0.25">
      <c r="A1311" s="42">
        <v>4</v>
      </c>
      <c r="B1311" s="43" t="s">
        <v>193</v>
      </c>
      <c r="C1311" s="44" t="s">
        <v>61</v>
      </c>
      <c r="D1311" s="45">
        <v>10</v>
      </c>
      <c r="E1311" s="45">
        <v>2.1787999999999998</v>
      </c>
      <c r="F1311" s="45">
        <f t="shared" si="320"/>
        <v>21.787999999999997</v>
      </c>
      <c r="G1311" s="46">
        <f t="shared" si="321"/>
        <v>0</v>
      </c>
      <c r="H1311" s="47">
        <f t="shared" si="321"/>
        <v>0</v>
      </c>
      <c r="I1311" s="46">
        <f t="shared" si="322"/>
        <v>0</v>
      </c>
      <c r="J1311" s="47">
        <v>0</v>
      </c>
      <c r="K1311" s="46">
        <f t="shared" si="323"/>
        <v>0</v>
      </c>
      <c r="L1311" s="47">
        <v>0</v>
      </c>
      <c r="AX1311" s="46">
        <v>0</v>
      </c>
      <c r="AY1311" s="47">
        <v>0</v>
      </c>
      <c r="AZ1311" s="70">
        <f t="shared" si="319"/>
        <v>0</v>
      </c>
      <c r="BC1311" s="50"/>
    </row>
    <row r="1312" spans="1:55" s="48" customFormat="1" ht="27.75" customHeight="1" outlineLevel="1" x14ac:dyDescent="0.25">
      <c r="A1312" s="42">
        <v>5</v>
      </c>
      <c r="B1312" s="43" t="s">
        <v>194</v>
      </c>
      <c r="C1312" s="44" t="s">
        <v>61</v>
      </c>
      <c r="D1312" s="45">
        <v>11</v>
      </c>
      <c r="E1312" s="45">
        <v>1.1876</v>
      </c>
      <c r="F1312" s="45">
        <f t="shared" si="320"/>
        <v>13.063599999999999</v>
      </c>
      <c r="G1312" s="46">
        <f t="shared" si="321"/>
        <v>0</v>
      </c>
      <c r="H1312" s="47">
        <f t="shared" si="321"/>
        <v>0</v>
      </c>
      <c r="I1312" s="46">
        <f t="shared" si="322"/>
        <v>0</v>
      </c>
      <c r="J1312" s="47">
        <v>0</v>
      </c>
      <c r="K1312" s="46">
        <f t="shared" si="323"/>
        <v>0</v>
      </c>
      <c r="L1312" s="47">
        <v>0</v>
      </c>
      <c r="AX1312" s="46">
        <v>0.49938817918582862</v>
      </c>
      <c r="AY1312" s="47">
        <v>6743.3883999999998</v>
      </c>
      <c r="AZ1312" s="70">
        <f t="shared" si="319"/>
        <v>0</v>
      </c>
      <c r="BC1312" s="50"/>
    </row>
    <row r="1313" spans="1:55" s="48" customFormat="1" ht="27.75" customHeight="1" outlineLevel="1" x14ac:dyDescent="0.25">
      <c r="A1313" s="42">
        <v>6</v>
      </c>
      <c r="B1313" s="43" t="s">
        <v>849</v>
      </c>
      <c r="C1313" s="44" t="s">
        <v>93</v>
      </c>
      <c r="D1313" s="45">
        <v>1</v>
      </c>
      <c r="E1313" s="45">
        <v>3.3212000000000002</v>
      </c>
      <c r="F1313" s="45">
        <f t="shared" si="320"/>
        <v>3.3212000000000002</v>
      </c>
      <c r="G1313" s="46">
        <f t="shared" si="321"/>
        <v>0</v>
      </c>
      <c r="H1313" s="47">
        <f t="shared" si="321"/>
        <v>0</v>
      </c>
      <c r="I1313" s="46">
        <f t="shared" si="322"/>
        <v>0</v>
      </c>
      <c r="J1313" s="47">
        <v>0</v>
      </c>
      <c r="K1313" s="46">
        <f t="shared" si="323"/>
        <v>0</v>
      </c>
      <c r="L1313" s="47">
        <v>0</v>
      </c>
      <c r="AX1313" s="46">
        <v>0.4987822251535512</v>
      </c>
      <c r="AY1313" s="47">
        <v>2298.9920200000001</v>
      </c>
      <c r="AZ1313" s="70">
        <f t="shared" si="319"/>
        <v>0</v>
      </c>
      <c r="BC1313" s="50"/>
    </row>
    <row r="1314" spans="1:55" s="56" customFormat="1" ht="27" customHeight="1" x14ac:dyDescent="0.3">
      <c r="A1314" s="62">
        <v>9.11</v>
      </c>
      <c r="B1314" s="51" t="s">
        <v>850</v>
      </c>
      <c r="C1314" s="52">
        <v>0</v>
      </c>
      <c r="D1314" s="53"/>
      <c r="E1314" s="53"/>
      <c r="F1314" s="53"/>
      <c r="G1314" s="54"/>
      <c r="H1314" s="55"/>
      <c r="I1314" s="54"/>
      <c r="J1314" s="55"/>
      <c r="K1314" s="54"/>
      <c r="L1314" s="55">
        <v>0</v>
      </c>
      <c r="AX1314" s="69">
        <v>0.61685657495946078</v>
      </c>
      <c r="AY1314" s="71">
        <v>2488.1093634101881</v>
      </c>
      <c r="AZ1314" s="72">
        <f t="shared" si="319"/>
        <v>0</v>
      </c>
      <c r="BC1314" s="58"/>
    </row>
    <row r="1315" spans="1:55" s="48" customFormat="1" ht="27.75" customHeight="1" outlineLevel="1" x14ac:dyDescent="0.25">
      <c r="A1315" s="42">
        <v>1</v>
      </c>
      <c r="B1315" s="43" t="s">
        <v>238</v>
      </c>
      <c r="C1315" s="44" t="s">
        <v>61</v>
      </c>
      <c r="D1315" s="45">
        <v>18</v>
      </c>
      <c r="E1315" s="45">
        <v>7.5460000000000012</v>
      </c>
      <c r="F1315" s="45">
        <f t="shared" ref="F1315:F1322" si="324">+E1315*D1315</f>
        <v>135.82800000000003</v>
      </c>
      <c r="G1315" s="46">
        <f t="shared" ref="G1315:H1322" si="325">I1315+K1315</f>
        <v>0</v>
      </c>
      <c r="H1315" s="47">
        <f t="shared" si="325"/>
        <v>0</v>
      </c>
      <c r="I1315" s="46">
        <f t="shared" ref="I1315:I1322" si="326">J1315/F1315</f>
        <v>0</v>
      </c>
      <c r="J1315" s="47">
        <v>0</v>
      </c>
      <c r="K1315" s="46">
        <f t="shared" ref="K1315:K1322" si="327">L1315/F1315</f>
        <v>0</v>
      </c>
      <c r="L1315" s="47">
        <v>0</v>
      </c>
      <c r="AX1315" s="46">
        <v>0</v>
      </c>
      <c r="AY1315" s="47">
        <v>0</v>
      </c>
      <c r="AZ1315" s="70">
        <f t="shared" si="319"/>
        <v>0</v>
      </c>
      <c r="BC1315" s="50"/>
    </row>
    <row r="1316" spans="1:55" s="48" customFormat="1" ht="27.75" customHeight="1" outlineLevel="1" x14ac:dyDescent="0.25">
      <c r="A1316" s="42">
        <v>2</v>
      </c>
      <c r="B1316" s="43" t="s">
        <v>239</v>
      </c>
      <c r="C1316" s="44" t="s">
        <v>61</v>
      </c>
      <c r="D1316" s="45">
        <v>18</v>
      </c>
      <c r="E1316" s="45">
        <v>5.9222000000000001</v>
      </c>
      <c r="F1316" s="45">
        <f t="shared" si="324"/>
        <v>106.59960000000001</v>
      </c>
      <c r="G1316" s="46">
        <f t="shared" si="325"/>
        <v>0</v>
      </c>
      <c r="H1316" s="47">
        <f t="shared" si="325"/>
        <v>0</v>
      </c>
      <c r="I1316" s="46">
        <f t="shared" si="326"/>
        <v>0</v>
      </c>
      <c r="J1316" s="47">
        <v>0</v>
      </c>
      <c r="K1316" s="46">
        <f t="shared" si="327"/>
        <v>0</v>
      </c>
      <c r="L1316" s="47">
        <v>0</v>
      </c>
      <c r="AX1316" s="46">
        <v>0</v>
      </c>
      <c r="AY1316" s="47">
        <v>0</v>
      </c>
      <c r="AZ1316" s="70">
        <f t="shared" si="319"/>
        <v>0</v>
      </c>
      <c r="BC1316" s="50"/>
    </row>
    <row r="1317" spans="1:55" s="48" customFormat="1" ht="27.75" customHeight="1" outlineLevel="1" x14ac:dyDescent="0.25">
      <c r="A1317" s="42">
        <v>3</v>
      </c>
      <c r="B1317" s="43" t="s">
        <v>240</v>
      </c>
      <c r="C1317" s="44" t="s">
        <v>61</v>
      </c>
      <c r="D1317" s="45">
        <v>1</v>
      </c>
      <c r="E1317" s="45">
        <v>8.0661999999999985</v>
      </c>
      <c r="F1317" s="45">
        <f t="shared" si="324"/>
        <v>8.0661999999999985</v>
      </c>
      <c r="G1317" s="46">
        <f t="shared" si="325"/>
        <v>0</v>
      </c>
      <c r="H1317" s="47">
        <f t="shared" si="325"/>
        <v>0</v>
      </c>
      <c r="I1317" s="46">
        <f t="shared" si="326"/>
        <v>0</v>
      </c>
      <c r="J1317" s="47">
        <v>0</v>
      </c>
      <c r="K1317" s="46">
        <f t="shared" si="327"/>
        <v>0</v>
      </c>
      <c r="L1317" s="47">
        <v>0</v>
      </c>
      <c r="AX1317" s="46">
        <v>0</v>
      </c>
      <c r="AY1317" s="47">
        <v>0</v>
      </c>
      <c r="AZ1317" s="70">
        <f t="shared" si="319"/>
        <v>0</v>
      </c>
      <c r="BC1317" s="50"/>
    </row>
    <row r="1318" spans="1:55" s="48" customFormat="1" ht="27.75" customHeight="1" outlineLevel="1" x14ac:dyDescent="0.25">
      <c r="A1318" s="42">
        <v>4</v>
      </c>
      <c r="B1318" s="43" t="s">
        <v>241</v>
      </c>
      <c r="C1318" s="44" t="s">
        <v>61</v>
      </c>
      <c r="D1318" s="45">
        <v>1</v>
      </c>
      <c r="E1318" s="45">
        <v>3.3212000000000002</v>
      </c>
      <c r="F1318" s="45">
        <f t="shared" si="324"/>
        <v>3.3212000000000002</v>
      </c>
      <c r="G1318" s="46">
        <f t="shared" si="325"/>
        <v>0</v>
      </c>
      <c r="H1318" s="47">
        <f t="shared" si="325"/>
        <v>0</v>
      </c>
      <c r="I1318" s="46">
        <f t="shared" si="326"/>
        <v>0</v>
      </c>
      <c r="J1318" s="47">
        <v>0</v>
      </c>
      <c r="K1318" s="46">
        <f t="shared" si="327"/>
        <v>0</v>
      </c>
      <c r="L1318" s="47">
        <v>0</v>
      </c>
      <c r="AX1318" s="46">
        <v>0.50140350877192974</v>
      </c>
      <c r="AY1318" s="47">
        <v>357.25</v>
      </c>
      <c r="AZ1318" s="70">
        <f t="shared" si="319"/>
        <v>0</v>
      </c>
      <c r="BC1318" s="50"/>
    </row>
    <row r="1319" spans="1:55" s="48" customFormat="1" ht="27.75" customHeight="1" outlineLevel="1" x14ac:dyDescent="0.25">
      <c r="A1319" s="42">
        <v>5</v>
      </c>
      <c r="B1319" s="43" t="s">
        <v>851</v>
      </c>
      <c r="C1319" s="44" t="s">
        <v>93</v>
      </c>
      <c r="D1319" s="45">
        <v>1</v>
      </c>
      <c r="E1319" s="45">
        <v>10.8916</v>
      </c>
      <c r="F1319" s="45">
        <f t="shared" si="324"/>
        <v>10.8916</v>
      </c>
      <c r="G1319" s="46">
        <f t="shared" si="325"/>
        <v>0</v>
      </c>
      <c r="H1319" s="47">
        <f t="shared" si="325"/>
        <v>0</v>
      </c>
      <c r="I1319" s="46">
        <f t="shared" si="326"/>
        <v>0</v>
      </c>
      <c r="J1319" s="47">
        <v>0</v>
      </c>
      <c r="K1319" s="46">
        <f t="shared" si="327"/>
        <v>0</v>
      </c>
      <c r="L1319" s="47">
        <v>0</v>
      </c>
      <c r="AX1319" s="46">
        <v>0.4967822251535513</v>
      </c>
      <c r="AY1319" s="47">
        <v>4293.3255000000008</v>
      </c>
      <c r="AZ1319" s="70">
        <f t="shared" si="319"/>
        <v>0</v>
      </c>
      <c r="BC1319" s="50"/>
    </row>
    <row r="1320" spans="1:55" s="48" customFormat="1" ht="27.75" customHeight="1" outlineLevel="1" x14ac:dyDescent="0.25">
      <c r="A1320" s="42">
        <v>6</v>
      </c>
      <c r="B1320" s="43" t="s">
        <v>852</v>
      </c>
      <c r="C1320" s="44" t="s">
        <v>234</v>
      </c>
      <c r="D1320" s="45">
        <v>1</v>
      </c>
      <c r="E1320" s="45">
        <v>2.9763999999999999</v>
      </c>
      <c r="F1320" s="45">
        <f t="shared" si="324"/>
        <v>2.9763999999999999</v>
      </c>
      <c r="G1320" s="46">
        <f t="shared" si="325"/>
        <v>0</v>
      </c>
      <c r="H1320" s="47">
        <f t="shared" si="325"/>
        <v>0</v>
      </c>
      <c r="I1320" s="46">
        <f t="shared" si="326"/>
        <v>0</v>
      </c>
      <c r="J1320" s="47">
        <v>0</v>
      </c>
      <c r="K1320" s="46">
        <f t="shared" si="327"/>
        <v>0</v>
      </c>
      <c r="L1320" s="47">
        <v>0</v>
      </c>
      <c r="AX1320" s="46">
        <v>0.61680551991914889</v>
      </c>
      <c r="AY1320" s="47">
        <v>1545.281634400503</v>
      </c>
      <c r="AZ1320" s="70">
        <f t="shared" si="319"/>
        <v>0</v>
      </c>
      <c r="BC1320" s="50"/>
    </row>
    <row r="1321" spans="1:55" s="48" customFormat="1" ht="15.45" customHeight="1" outlineLevel="1" x14ac:dyDescent="0.25">
      <c r="A1321" s="42">
        <v>7</v>
      </c>
      <c r="B1321" s="43" t="s">
        <v>853</v>
      </c>
      <c r="C1321" s="44" t="s">
        <v>234</v>
      </c>
      <c r="D1321" s="45">
        <v>1</v>
      </c>
      <c r="E1321" s="45">
        <v>148.97720000000001</v>
      </c>
      <c r="F1321" s="45">
        <f t="shared" si="324"/>
        <v>148.97720000000001</v>
      </c>
      <c r="G1321" s="46">
        <f t="shared" si="325"/>
        <v>0</v>
      </c>
      <c r="H1321" s="47">
        <f t="shared" si="325"/>
        <v>0</v>
      </c>
      <c r="I1321" s="46">
        <f t="shared" si="326"/>
        <v>0</v>
      </c>
      <c r="J1321" s="47">
        <v>0</v>
      </c>
      <c r="K1321" s="46">
        <f t="shared" si="327"/>
        <v>0</v>
      </c>
      <c r="L1321" s="47">
        <v>0</v>
      </c>
      <c r="AX1321" s="46">
        <v>0</v>
      </c>
      <c r="AY1321" s="47">
        <v>0</v>
      </c>
      <c r="AZ1321" s="70">
        <f t="shared" si="319"/>
        <v>0</v>
      </c>
      <c r="BC1321" s="50"/>
    </row>
    <row r="1322" spans="1:55" s="48" customFormat="1" ht="15.45" customHeight="1" outlineLevel="1" x14ac:dyDescent="0.25">
      <c r="A1322" s="42">
        <v>8</v>
      </c>
      <c r="B1322" s="43" t="s">
        <v>250</v>
      </c>
      <c r="C1322" s="44" t="s">
        <v>234</v>
      </c>
      <c r="D1322" s="45">
        <v>1</v>
      </c>
      <c r="E1322" s="45">
        <v>7.0768000000000004</v>
      </c>
      <c r="F1322" s="45">
        <f t="shared" si="324"/>
        <v>7.0768000000000004</v>
      </c>
      <c r="G1322" s="46">
        <f t="shared" si="325"/>
        <v>0</v>
      </c>
      <c r="H1322" s="47">
        <f t="shared" si="325"/>
        <v>0</v>
      </c>
      <c r="I1322" s="46">
        <f t="shared" si="326"/>
        <v>0</v>
      </c>
      <c r="J1322" s="47">
        <v>0</v>
      </c>
      <c r="K1322" s="46">
        <f t="shared" si="327"/>
        <v>0</v>
      </c>
      <c r="L1322" s="47">
        <v>0</v>
      </c>
      <c r="AX1322" s="46">
        <v>0</v>
      </c>
      <c r="AY1322" s="47">
        <v>0</v>
      </c>
      <c r="AZ1322" s="70">
        <f t="shared" si="319"/>
        <v>0</v>
      </c>
      <c r="BC1322" s="50"/>
    </row>
    <row r="1323" spans="1:55" s="56" customFormat="1" ht="17.25" customHeight="1" x14ac:dyDescent="0.3">
      <c r="A1323" s="62">
        <v>9.1199999999999992</v>
      </c>
      <c r="B1323" s="51" t="s">
        <v>854</v>
      </c>
      <c r="C1323" s="52">
        <v>0</v>
      </c>
      <c r="D1323" s="53"/>
      <c r="E1323" s="53"/>
      <c r="F1323" s="53"/>
      <c r="G1323" s="54"/>
      <c r="H1323" s="55"/>
      <c r="I1323" s="54"/>
      <c r="J1323" s="55"/>
      <c r="K1323" s="54"/>
      <c r="L1323" s="55">
        <v>0</v>
      </c>
      <c r="AX1323" s="69">
        <v>0</v>
      </c>
      <c r="AY1323" s="71">
        <v>0</v>
      </c>
      <c r="AZ1323" s="72">
        <f t="shared" si="319"/>
        <v>0</v>
      </c>
      <c r="BC1323" s="58"/>
    </row>
    <row r="1324" spans="1:55" s="48" customFormat="1" ht="27.75" customHeight="1" outlineLevel="1" x14ac:dyDescent="0.25">
      <c r="A1324" s="42">
        <v>1</v>
      </c>
      <c r="B1324" s="43" t="s">
        <v>855</v>
      </c>
      <c r="C1324" s="44" t="s">
        <v>93</v>
      </c>
      <c r="D1324" s="45">
        <v>4</v>
      </c>
      <c r="E1324" s="45">
        <v>161.65780000000001</v>
      </c>
      <c r="F1324" s="45">
        <f t="shared" ref="F1324:F1367" si="328">+E1324*D1324</f>
        <v>646.63120000000004</v>
      </c>
      <c r="G1324" s="46">
        <f t="shared" ref="G1324:G1367" si="329">I1324+K1324</f>
        <v>0</v>
      </c>
      <c r="H1324" s="47">
        <f t="shared" ref="H1324:H1367" si="330">J1324+L1324</f>
        <v>0</v>
      </c>
      <c r="I1324" s="46">
        <f t="shared" ref="I1324:I1367" si="331">J1324/F1324</f>
        <v>0</v>
      </c>
      <c r="J1324" s="47">
        <v>0</v>
      </c>
      <c r="K1324" s="46">
        <f t="shared" ref="K1324:K1367" si="332">L1324/F1324</f>
        <v>0</v>
      </c>
      <c r="L1324" s="47">
        <v>0</v>
      </c>
      <c r="AX1324" s="46">
        <v>0</v>
      </c>
      <c r="AY1324" s="47">
        <v>0</v>
      </c>
      <c r="AZ1324" s="70">
        <f t="shared" si="319"/>
        <v>0</v>
      </c>
      <c r="BC1324" s="50"/>
    </row>
    <row r="1325" spans="1:55" s="48" customFormat="1" ht="15.45" customHeight="1" outlineLevel="1" x14ac:dyDescent="0.25">
      <c r="A1325" s="42">
        <v>2</v>
      </c>
      <c r="B1325" s="43" t="s">
        <v>856</v>
      </c>
      <c r="C1325" s="44" t="s">
        <v>93</v>
      </c>
      <c r="D1325" s="45">
        <v>4</v>
      </c>
      <c r="E1325" s="45">
        <v>4439.8621999999996</v>
      </c>
      <c r="F1325" s="45">
        <f t="shared" si="328"/>
        <v>17759.448799999998</v>
      </c>
      <c r="G1325" s="46">
        <f t="shared" si="329"/>
        <v>0</v>
      </c>
      <c r="H1325" s="47">
        <f t="shared" si="330"/>
        <v>0</v>
      </c>
      <c r="I1325" s="46">
        <f t="shared" si="331"/>
        <v>0</v>
      </c>
      <c r="J1325" s="47">
        <v>0</v>
      </c>
      <c r="K1325" s="46">
        <f t="shared" si="332"/>
        <v>0</v>
      </c>
      <c r="L1325" s="47">
        <v>0</v>
      </c>
      <c r="AX1325" s="46">
        <v>0</v>
      </c>
      <c r="AY1325" s="47">
        <v>0</v>
      </c>
      <c r="AZ1325" s="70">
        <f t="shared" si="319"/>
        <v>0</v>
      </c>
      <c r="BC1325" s="50"/>
    </row>
    <row r="1326" spans="1:55" s="48" customFormat="1" ht="27.75" customHeight="1" outlineLevel="1" x14ac:dyDescent="0.25">
      <c r="A1326" s="42">
        <v>3</v>
      </c>
      <c r="B1326" s="43" t="s">
        <v>857</v>
      </c>
      <c r="C1326" s="44" t="s">
        <v>93</v>
      </c>
      <c r="D1326" s="45">
        <v>2</v>
      </c>
      <c r="E1326" s="45">
        <v>201.04</v>
      </c>
      <c r="F1326" s="45">
        <f t="shared" si="328"/>
        <v>402.08</v>
      </c>
      <c r="G1326" s="46">
        <f t="shared" si="329"/>
        <v>0</v>
      </c>
      <c r="H1326" s="47">
        <f t="shared" si="330"/>
        <v>0</v>
      </c>
      <c r="I1326" s="46">
        <f t="shared" si="331"/>
        <v>0</v>
      </c>
      <c r="J1326" s="47">
        <v>0</v>
      </c>
      <c r="K1326" s="46">
        <f t="shared" si="332"/>
        <v>0</v>
      </c>
      <c r="L1326" s="47">
        <v>0</v>
      </c>
      <c r="AX1326" s="46">
        <v>0</v>
      </c>
      <c r="AY1326" s="47">
        <v>0</v>
      </c>
      <c r="AZ1326" s="70">
        <f t="shared" si="319"/>
        <v>0</v>
      </c>
      <c r="BC1326" s="50"/>
    </row>
    <row r="1327" spans="1:55" s="48" customFormat="1" ht="15.45" customHeight="1" outlineLevel="1" x14ac:dyDescent="0.25">
      <c r="A1327" s="42">
        <v>4</v>
      </c>
      <c r="B1327" s="43" t="s">
        <v>858</v>
      </c>
      <c r="C1327" s="44" t="s">
        <v>93</v>
      </c>
      <c r="D1327" s="45">
        <v>2</v>
      </c>
      <c r="E1327" s="45">
        <v>1235.0999999999999</v>
      </c>
      <c r="F1327" s="45">
        <f t="shared" si="328"/>
        <v>2470.1999999999998</v>
      </c>
      <c r="G1327" s="46">
        <f t="shared" si="329"/>
        <v>0</v>
      </c>
      <c r="H1327" s="47">
        <f t="shared" si="330"/>
        <v>0</v>
      </c>
      <c r="I1327" s="46">
        <f t="shared" si="331"/>
        <v>0</v>
      </c>
      <c r="J1327" s="47">
        <v>0</v>
      </c>
      <c r="K1327" s="46">
        <f t="shared" si="332"/>
        <v>0</v>
      </c>
      <c r="L1327" s="47">
        <v>0</v>
      </c>
      <c r="AX1327" s="46">
        <v>0</v>
      </c>
      <c r="AY1327" s="47">
        <v>0</v>
      </c>
      <c r="AZ1327" s="70">
        <f t="shared" si="319"/>
        <v>0</v>
      </c>
      <c r="BC1327" s="50"/>
    </row>
    <row r="1328" spans="1:55" s="48" customFormat="1" ht="27.75" customHeight="1" outlineLevel="1" x14ac:dyDescent="0.25">
      <c r="A1328" s="42">
        <v>5</v>
      </c>
      <c r="B1328" s="43" t="s">
        <v>859</v>
      </c>
      <c r="C1328" s="44" t="s">
        <v>93</v>
      </c>
      <c r="D1328" s="45">
        <v>4</v>
      </c>
      <c r="E1328" s="45">
        <v>201.04</v>
      </c>
      <c r="F1328" s="45">
        <f t="shared" si="328"/>
        <v>804.16</v>
      </c>
      <c r="G1328" s="46">
        <f t="shared" si="329"/>
        <v>0</v>
      </c>
      <c r="H1328" s="47">
        <f t="shared" si="330"/>
        <v>0</v>
      </c>
      <c r="I1328" s="46">
        <f t="shared" si="331"/>
        <v>0</v>
      </c>
      <c r="J1328" s="47">
        <v>0</v>
      </c>
      <c r="K1328" s="46">
        <f t="shared" si="332"/>
        <v>0</v>
      </c>
      <c r="L1328" s="47">
        <v>0</v>
      </c>
      <c r="AX1328" s="46">
        <v>1</v>
      </c>
      <c r="AY1328" s="47">
        <v>270.60527999999999</v>
      </c>
      <c r="AZ1328" s="70">
        <f t="shared" si="319"/>
        <v>0</v>
      </c>
      <c r="BC1328" s="50"/>
    </row>
    <row r="1329" spans="1:55" s="48" customFormat="1" ht="15.45" customHeight="1" outlineLevel="1" x14ac:dyDescent="0.25">
      <c r="A1329" s="42">
        <v>6</v>
      </c>
      <c r="B1329" s="43" t="s">
        <v>860</v>
      </c>
      <c r="C1329" s="44" t="s">
        <v>93</v>
      </c>
      <c r="D1329" s="45">
        <v>4</v>
      </c>
      <c r="E1329" s="45">
        <v>1000.2</v>
      </c>
      <c r="F1329" s="45">
        <f t="shared" si="328"/>
        <v>4000.8</v>
      </c>
      <c r="G1329" s="46">
        <f t="shared" si="329"/>
        <v>0</v>
      </c>
      <c r="H1329" s="47">
        <f t="shared" si="330"/>
        <v>0</v>
      </c>
      <c r="I1329" s="46">
        <f t="shared" si="331"/>
        <v>0</v>
      </c>
      <c r="J1329" s="47">
        <v>0</v>
      </c>
      <c r="K1329" s="46">
        <f t="shared" si="332"/>
        <v>0</v>
      </c>
      <c r="L1329" s="47">
        <v>0</v>
      </c>
      <c r="AX1329" s="46">
        <v>1</v>
      </c>
      <c r="AY1329" s="47">
        <v>1463.1100607999999</v>
      </c>
      <c r="AZ1329" s="70">
        <f t="shared" si="319"/>
        <v>0</v>
      </c>
      <c r="BC1329" s="50"/>
    </row>
    <row r="1330" spans="1:55" s="48" customFormat="1" ht="27.75" customHeight="1" outlineLevel="1" x14ac:dyDescent="0.25">
      <c r="A1330" s="42">
        <v>7</v>
      </c>
      <c r="B1330" s="43" t="s">
        <v>861</v>
      </c>
      <c r="C1330" s="44" t="s">
        <v>93</v>
      </c>
      <c r="D1330" s="45">
        <v>2</v>
      </c>
      <c r="E1330" s="45">
        <v>240.58539999999999</v>
      </c>
      <c r="F1330" s="45">
        <f t="shared" si="328"/>
        <v>481.17079999999999</v>
      </c>
      <c r="G1330" s="46">
        <f t="shared" si="329"/>
        <v>0</v>
      </c>
      <c r="H1330" s="47">
        <f t="shared" si="330"/>
        <v>0</v>
      </c>
      <c r="I1330" s="46">
        <f t="shared" si="331"/>
        <v>0</v>
      </c>
      <c r="J1330" s="47">
        <v>0</v>
      </c>
      <c r="K1330" s="46">
        <f t="shared" si="332"/>
        <v>0</v>
      </c>
      <c r="L1330" s="47">
        <v>0</v>
      </c>
      <c r="AX1330" s="46">
        <v>1</v>
      </c>
      <c r="AY1330" s="47">
        <v>1084.5999999999999</v>
      </c>
      <c r="AZ1330" s="70">
        <f t="shared" si="319"/>
        <v>0</v>
      </c>
      <c r="BC1330" s="50"/>
    </row>
    <row r="1331" spans="1:55" s="48" customFormat="1" ht="15.45" customHeight="1" outlineLevel="1" x14ac:dyDescent="0.25">
      <c r="A1331" s="42">
        <v>8</v>
      </c>
      <c r="B1331" s="43" t="s">
        <v>862</v>
      </c>
      <c r="C1331" s="44" t="s">
        <v>93</v>
      </c>
      <c r="D1331" s="45">
        <v>2</v>
      </c>
      <c r="E1331" s="45">
        <v>2198.8712</v>
      </c>
      <c r="F1331" s="45">
        <f t="shared" si="328"/>
        <v>4397.7424000000001</v>
      </c>
      <c r="G1331" s="46">
        <f t="shared" si="329"/>
        <v>0</v>
      </c>
      <c r="H1331" s="47">
        <f t="shared" si="330"/>
        <v>0</v>
      </c>
      <c r="I1331" s="46">
        <f t="shared" si="331"/>
        <v>0</v>
      </c>
      <c r="J1331" s="47">
        <v>0</v>
      </c>
      <c r="K1331" s="46">
        <f t="shared" si="332"/>
        <v>0</v>
      </c>
      <c r="L1331" s="47">
        <v>0</v>
      </c>
      <c r="AX1331" s="46">
        <v>0</v>
      </c>
      <c r="AY1331" s="47">
        <v>0</v>
      </c>
      <c r="AZ1331" s="70">
        <f t="shared" si="319"/>
        <v>0</v>
      </c>
      <c r="BC1331" s="50"/>
    </row>
    <row r="1332" spans="1:55" s="59" customFormat="1" ht="27.75" customHeight="1" outlineLevel="1" x14ac:dyDescent="0.35">
      <c r="A1332" s="42">
        <v>9</v>
      </c>
      <c r="B1332" s="43" t="s">
        <v>863</v>
      </c>
      <c r="C1332" s="44" t="s">
        <v>28</v>
      </c>
      <c r="D1332" s="45">
        <v>0.02</v>
      </c>
      <c r="E1332" s="45">
        <v>3360.9052000000001</v>
      </c>
      <c r="F1332" s="45">
        <f t="shared" si="328"/>
        <v>67.218104000000011</v>
      </c>
      <c r="G1332" s="46">
        <f t="shared" si="329"/>
        <v>0</v>
      </c>
      <c r="H1332" s="47">
        <f t="shared" si="330"/>
        <v>0</v>
      </c>
      <c r="I1332" s="46">
        <f t="shared" si="331"/>
        <v>0</v>
      </c>
      <c r="J1332" s="47">
        <v>0</v>
      </c>
      <c r="K1332" s="46">
        <f t="shared" si="332"/>
        <v>0</v>
      </c>
      <c r="L1332" s="47">
        <v>0</v>
      </c>
      <c r="AX1332" s="73">
        <v>0.99996866284353358</v>
      </c>
      <c r="AY1332" s="74">
        <v>31.91</v>
      </c>
      <c r="AZ1332" s="75">
        <f t="shared" si="319"/>
        <v>0</v>
      </c>
      <c r="BC1332" s="61"/>
    </row>
    <row r="1333" spans="1:55" s="48" customFormat="1" ht="27.75" customHeight="1" outlineLevel="1" x14ac:dyDescent="0.25">
      <c r="A1333" s="42">
        <v>10</v>
      </c>
      <c r="B1333" s="43" t="s">
        <v>864</v>
      </c>
      <c r="C1333" s="44" t="s">
        <v>93</v>
      </c>
      <c r="D1333" s="45">
        <v>1</v>
      </c>
      <c r="E1333" s="45">
        <v>710.38520000000005</v>
      </c>
      <c r="F1333" s="45">
        <f t="shared" si="328"/>
        <v>710.38520000000005</v>
      </c>
      <c r="G1333" s="46">
        <f t="shared" si="329"/>
        <v>0</v>
      </c>
      <c r="H1333" s="47">
        <f t="shared" si="330"/>
        <v>0</v>
      </c>
      <c r="I1333" s="46">
        <f t="shared" si="331"/>
        <v>0</v>
      </c>
      <c r="J1333" s="47">
        <v>0</v>
      </c>
      <c r="K1333" s="46">
        <f t="shared" si="332"/>
        <v>0</v>
      </c>
      <c r="L1333" s="47">
        <v>0</v>
      </c>
      <c r="AX1333" s="46">
        <v>1.0000436462038711</v>
      </c>
      <c r="AY1333" s="47">
        <v>343.13760000000002</v>
      </c>
      <c r="AZ1333" s="70">
        <f t="shared" si="319"/>
        <v>0</v>
      </c>
      <c r="BC1333" s="50"/>
    </row>
    <row r="1334" spans="1:55" s="48" customFormat="1" ht="27.75" customHeight="1" outlineLevel="1" x14ac:dyDescent="0.25">
      <c r="A1334" s="42">
        <v>11</v>
      </c>
      <c r="B1334" s="43" t="s">
        <v>865</v>
      </c>
      <c r="C1334" s="44" t="s">
        <v>28</v>
      </c>
      <c r="D1334" s="45">
        <v>0.02</v>
      </c>
      <c r="E1334" s="45">
        <v>3360.9052000000001</v>
      </c>
      <c r="F1334" s="45">
        <f t="shared" si="328"/>
        <v>67.218104000000011</v>
      </c>
      <c r="G1334" s="46">
        <f t="shared" si="329"/>
        <v>0</v>
      </c>
      <c r="H1334" s="47">
        <f t="shared" si="330"/>
        <v>0</v>
      </c>
      <c r="I1334" s="46">
        <f t="shared" si="331"/>
        <v>0</v>
      </c>
      <c r="J1334" s="47">
        <v>0</v>
      </c>
      <c r="K1334" s="46">
        <f t="shared" si="332"/>
        <v>0</v>
      </c>
      <c r="L1334" s="47">
        <v>0</v>
      </c>
      <c r="AX1334" s="46">
        <v>1</v>
      </c>
      <c r="AY1334" s="47">
        <v>25.52</v>
      </c>
      <c r="AZ1334" s="70">
        <f t="shared" si="319"/>
        <v>0</v>
      </c>
      <c r="BC1334" s="50"/>
    </row>
    <row r="1335" spans="1:55" s="48" customFormat="1" ht="15.45" customHeight="1" outlineLevel="1" x14ac:dyDescent="0.25">
      <c r="A1335" s="42">
        <v>12</v>
      </c>
      <c r="B1335" s="43" t="s">
        <v>866</v>
      </c>
      <c r="C1335" s="44" t="s">
        <v>93</v>
      </c>
      <c r="D1335" s="45">
        <v>2</v>
      </c>
      <c r="E1335" s="45">
        <v>825.99200000000008</v>
      </c>
      <c r="F1335" s="45">
        <f t="shared" si="328"/>
        <v>1651.9840000000002</v>
      </c>
      <c r="G1335" s="46">
        <f t="shared" si="329"/>
        <v>0</v>
      </c>
      <c r="H1335" s="47">
        <f t="shared" si="330"/>
        <v>0</v>
      </c>
      <c r="I1335" s="46">
        <f t="shared" si="331"/>
        <v>0</v>
      </c>
      <c r="J1335" s="47">
        <v>0</v>
      </c>
      <c r="K1335" s="46">
        <f t="shared" si="332"/>
        <v>0</v>
      </c>
      <c r="L1335" s="47">
        <v>0</v>
      </c>
      <c r="AX1335" s="46">
        <v>0</v>
      </c>
      <c r="AY1335" s="47">
        <v>0</v>
      </c>
      <c r="AZ1335" s="70">
        <f t="shared" si="319"/>
        <v>0</v>
      </c>
      <c r="BC1335" s="50"/>
    </row>
    <row r="1336" spans="1:55" s="48" customFormat="1" ht="15.45" customHeight="1" outlineLevel="1" x14ac:dyDescent="0.25">
      <c r="A1336" s="42">
        <v>13</v>
      </c>
      <c r="B1336" s="43" t="s">
        <v>867</v>
      </c>
      <c r="C1336" s="44" t="s">
        <v>93</v>
      </c>
      <c r="D1336" s="45">
        <v>1</v>
      </c>
      <c r="E1336" s="45">
        <v>51.242800000000003</v>
      </c>
      <c r="F1336" s="45">
        <f t="shared" si="328"/>
        <v>51.242800000000003</v>
      </c>
      <c r="G1336" s="46">
        <f t="shared" si="329"/>
        <v>0</v>
      </c>
      <c r="H1336" s="47">
        <f t="shared" si="330"/>
        <v>0</v>
      </c>
      <c r="I1336" s="46">
        <f t="shared" si="331"/>
        <v>0</v>
      </c>
      <c r="J1336" s="47">
        <v>0</v>
      </c>
      <c r="K1336" s="46">
        <f t="shared" si="332"/>
        <v>0</v>
      </c>
      <c r="L1336" s="47">
        <v>0</v>
      </c>
      <c r="AX1336" s="46">
        <v>0</v>
      </c>
      <c r="AY1336" s="47">
        <v>0</v>
      </c>
      <c r="AZ1336" s="70">
        <f t="shared" si="319"/>
        <v>0</v>
      </c>
      <c r="BC1336" s="50"/>
    </row>
    <row r="1337" spans="1:55" s="48" customFormat="1" ht="15.45" customHeight="1" outlineLevel="1" x14ac:dyDescent="0.25">
      <c r="A1337" s="42">
        <v>14</v>
      </c>
      <c r="B1337" s="43" t="s">
        <v>868</v>
      </c>
      <c r="C1337" s="44" t="s">
        <v>93</v>
      </c>
      <c r="D1337" s="45">
        <v>1</v>
      </c>
      <c r="E1337" s="45">
        <v>333.12799999999999</v>
      </c>
      <c r="F1337" s="45">
        <f t="shared" si="328"/>
        <v>333.12799999999999</v>
      </c>
      <c r="G1337" s="46">
        <f t="shared" si="329"/>
        <v>0</v>
      </c>
      <c r="H1337" s="47">
        <f t="shared" si="330"/>
        <v>0</v>
      </c>
      <c r="I1337" s="46">
        <f t="shared" si="331"/>
        <v>0</v>
      </c>
      <c r="J1337" s="47">
        <v>0</v>
      </c>
      <c r="K1337" s="46">
        <f t="shared" si="332"/>
        <v>0</v>
      </c>
      <c r="L1337" s="47">
        <v>0</v>
      </c>
      <c r="AX1337" s="46">
        <v>0</v>
      </c>
      <c r="AY1337" s="47">
        <v>0</v>
      </c>
      <c r="AZ1337" s="70">
        <f t="shared" si="319"/>
        <v>0</v>
      </c>
      <c r="BC1337" s="50"/>
    </row>
    <row r="1338" spans="1:55" s="48" customFormat="1" ht="15.45" customHeight="1" outlineLevel="1" x14ac:dyDescent="0.25">
      <c r="A1338" s="42">
        <v>15</v>
      </c>
      <c r="B1338" s="43" t="s">
        <v>869</v>
      </c>
      <c r="C1338" s="44" t="s">
        <v>93</v>
      </c>
      <c r="D1338" s="45">
        <v>1</v>
      </c>
      <c r="E1338" s="45">
        <v>79.048000000000002</v>
      </c>
      <c r="F1338" s="45">
        <f t="shared" si="328"/>
        <v>79.048000000000002</v>
      </c>
      <c r="G1338" s="46">
        <f t="shared" si="329"/>
        <v>0</v>
      </c>
      <c r="H1338" s="47">
        <f t="shared" si="330"/>
        <v>0</v>
      </c>
      <c r="I1338" s="46">
        <f t="shared" si="331"/>
        <v>0</v>
      </c>
      <c r="J1338" s="47">
        <v>0</v>
      </c>
      <c r="K1338" s="46">
        <f t="shared" si="332"/>
        <v>0</v>
      </c>
      <c r="L1338" s="47">
        <v>0</v>
      </c>
      <c r="AX1338" s="46">
        <v>0.7</v>
      </c>
      <c r="AY1338" s="47">
        <v>976.33725000000004</v>
      </c>
      <c r="AZ1338" s="70">
        <f t="shared" si="319"/>
        <v>0</v>
      </c>
      <c r="BC1338" s="50"/>
    </row>
    <row r="1339" spans="1:55" s="59" customFormat="1" ht="17.7" customHeight="1" outlineLevel="1" x14ac:dyDescent="0.35">
      <c r="A1339" s="42">
        <v>16</v>
      </c>
      <c r="B1339" s="43" t="s">
        <v>870</v>
      </c>
      <c r="C1339" s="44" t="s">
        <v>93</v>
      </c>
      <c r="D1339" s="45">
        <v>1</v>
      </c>
      <c r="E1339" s="45">
        <v>1614.9926</v>
      </c>
      <c r="F1339" s="45">
        <f t="shared" si="328"/>
        <v>1614.9926</v>
      </c>
      <c r="G1339" s="46">
        <f t="shared" si="329"/>
        <v>0</v>
      </c>
      <c r="H1339" s="47">
        <f t="shared" si="330"/>
        <v>0</v>
      </c>
      <c r="I1339" s="46">
        <f t="shared" si="331"/>
        <v>0</v>
      </c>
      <c r="J1339" s="47">
        <v>0</v>
      </c>
      <c r="K1339" s="46">
        <f t="shared" si="332"/>
        <v>0</v>
      </c>
      <c r="L1339" s="47">
        <v>0</v>
      </c>
      <c r="AX1339" s="73">
        <v>0</v>
      </c>
      <c r="AY1339" s="74">
        <v>0</v>
      </c>
      <c r="AZ1339" s="75">
        <f t="shared" si="319"/>
        <v>0</v>
      </c>
      <c r="BC1339" s="61"/>
    </row>
    <row r="1340" spans="1:55" s="48" customFormat="1" ht="15.45" customHeight="1" outlineLevel="1" x14ac:dyDescent="0.25">
      <c r="A1340" s="42">
        <v>17</v>
      </c>
      <c r="B1340" s="43" t="s">
        <v>871</v>
      </c>
      <c r="C1340" s="44" t="s">
        <v>93</v>
      </c>
      <c r="D1340" s="45">
        <v>1</v>
      </c>
      <c r="E1340" s="45">
        <v>210.779</v>
      </c>
      <c r="F1340" s="45">
        <f t="shared" si="328"/>
        <v>210.779</v>
      </c>
      <c r="G1340" s="46">
        <f t="shared" si="329"/>
        <v>0</v>
      </c>
      <c r="H1340" s="47">
        <f t="shared" si="330"/>
        <v>0</v>
      </c>
      <c r="I1340" s="46">
        <f t="shared" si="331"/>
        <v>0</v>
      </c>
      <c r="J1340" s="47">
        <v>0</v>
      </c>
      <c r="K1340" s="46">
        <f t="shared" si="332"/>
        <v>0</v>
      </c>
      <c r="L1340" s="47">
        <v>0</v>
      </c>
      <c r="AX1340" s="46">
        <v>0</v>
      </c>
      <c r="AY1340" s="47">
        <v>0</v>
      </c>
      <c r="AZ1340" s="70">
        <f t="shared" si="319"/>
        <v>0</v>
      </c>
      <c r="BC1340" s="50"/>
    </row>
    <row r="1341" spans="1:55" s="48" customFormat="1" ht="15.45" customHeight="1" outlineLevel="1" x14ac:dyDescent="0.25">
      <c r="A1341" s="42">
        <v>18</v>
      </c>
      <c r="B1341" s="43" t="s">
        <v>872</v>
      </c>
      <c r="C1341" s="44" t="s">
        <v>93</v>
      </c>
      <c r="D1341" s="45">
        <v>8</v>
      </c>
      <c r="E1341" s="45">
        <v>35.269599999999997</v>
      </c>
      <c r="F1341" s="45">
        <f t="shared" si="328"/>
        <v>282.15679999999998</v>
      </c>
      <c r="G1341" s="46">
        <f t="shared" si="329"/>
        <v>0</v>
      </c>
      <c r="H1341" s="47">
        <f t="shared" si="330"/>
        <v>0</v>
      </c>
      <c r="I1341" s="46">
        <f t="shared" si="331"/>
        <v>0</v>
      </c>
      <c r="J1341" s="47">
        <v>0</v>
      </c>
      <c r="K1341" s="46">
        <f t="shared" si="332"/>
        <v>0</v>
      </c>
      <c r="L1341" s="47">
        <v>0</v>
      </c>
      <c r="AX1341" s="46">
        <v>0</v>
      </c>
      <c r="AY1341" s="47">
        <v>0</v>
      </c>
      <c r="AZ1341" s="70">
        <f t="shared" si="319"/>
        <v>0</v>
      </c>
      <c r="BC1341" s="50"/>
    </row>
    <row r="1342" spans="1:55" s="48" customFormat="1" ht="27.75" customHeight="1" outlineLevel="1" x14ac:dyDescent="0.25">
      <c r="A1342" s="42">
        <v>19</v>
      </c>
      <c r="B1342" s="43" t="s">
        <v>849</v>
      </c>
      <c r="C1342" s="44" t="s">
        <v>93</v>
      </c>
      <c r="D1342" s="45">
        <v>11</v>
      </c>
      <c r="E1342" s="45">
        <v>3.3212000000000002</v>
      </c>
      <c r="F1342" s="45">
        <f t="shared" si="328"/>
        <v>36.533200000000001</v>
      </c>
      <c r="G1342" s="46">
        <f t="shared" si="329"/>
        <v>0</v>
      </c>
      <c r="H1342" s="47">
        <f t="shared" si="330"/>
        <v>0</v>
      </c>
      <c r="I1342" s="46">
        <f t="shared" si="331"/>
        <v>0</v>
      </c>
      <c r="J1342" s="47">
        <v>0</v>
      </c>
      <c r="K1342" s="46">
        <f t="shared" si="332"/>
        <v>0</v>
      </c>
      <c r="L1342" s="47">
        <v>0</v>
      </c>
      <c r="AX1342" s="46">
        <v>0</v>
      </c>
      <c r="AY1342" s="47">
        <v>0</v>
      </c>
      <c r="AZ1342" s="70">
        <f t="shared" si="319"/>
        <v>0</v>
      </c>
      <c r="BC1342" s="50"/>
    </row>
    <row r="1343" spans="1:55" s="48" customFormat="1" ht="15.45" customHeight="1" outlineLevel="1" x14ac:dyDescent="0.25">
      <c r="A1343" s="42">
        <v>20</v>
      </c>
      <c r="B1343" s="43" t="s">
        <v>206</v>
      </c>
      <c r="C1343" s="44" t="s">
        <v>93</v>
      </c>
      <c r="D1343" s="45">
        <v>3</v>
      </c>
      <c r="E1343" s="45">
        <v>4.8817999999999993</v>
      </c>
      <c r="F1343" s="45">
        <f t="shared" si="328"/>
        <v>14.645399999999999</v>
      </c>
      <c r="G1343" s="46">
        <f t="shared" si="329"/>
        <v>0</v>
      </c>
      <c r="H1343" s="47">
        <f t="shared" si="330"/>
        <v>0</v>
      </c>
      <c r="I1343" s="46">
        <f t="shared" si="331"/>
        <v>0</v>
      </c>
      <c r="J1343" s="47">
        <v>0</v>
      </c>
      <c r="K1343" s="46">
        <f t="shared" si="332"/>
        <v>0</v>
      </c>
      <c r="L1343" s="47">
        <v>0</v>
      </c>
      <c r="AX1343" s="46">
        <v>0</v>
      </c>
      <c r="AY1343" s="47">
        <v>0</v>
      </c>
      <c r="AZ1343" s="70">
        <f t="shared" si="319"/>
        <v>0</v>
      </c>
      <c r="BC1343" s="50"/>
    </row>
    <row r="1344" spans="1:55" s="48" customFormat="1" ht="27.75" customHeight="1" outlineLevel="1" x14ac:dyDescent="0.25">
      <c r="A1344" s="42">
        <v>21</v>
      </c>
      <c r="B1344" s="43" t="s">
        <v>873</v>
      </c>
      <c r="C1344" s="44" t="s">
        <v>93</v>
      </c>
      <c r="D1344" s="45">
        <v>11</v>
      </c>
      <c r="E1344" s="45">
        <v>5.4019999999999992</v>
      </c>
      <c r="F1344" s="45">
        <f t="shared" si="328"/>
        <v>59.42199999999999</v>
      </c>
      <c r="G1344" s="46">
        <f t="shared" si="329"/>
        <v>0</v>
      </c>
      <c r="H1344" s="47">
        <f t="shared" si="330"/>
        <v>0</v>
      </c>
      <c r="I1344" s="46">
        <f t="shared" si="331"/>
        <v>0</v>
      </c>
      <c r="J1344" s="47">
        <v>0</v>
      </c>
      <c r="K1344" s="46">
        <f t="shared" si="332"/>
        <v>0</v>
      </c>
      <c r="L1344" s="47">
        <v>0</v>
      </c>
      <c r="AX1344" s="46">
        <v>0</v>
      </c>
      <c r="AY1344" s="47">
        <v>0</v>
      </c>
      <c r="AZ1344" s="70">
        <f t="shared" si="319"/>
        <v>0</v>
      </c>
      <c r="BC1344" s="50"/>
    </row>
    <row r="1345" spans="1:55" s="48" customFormat="1" ht="27.75" customHeight="1" outlineLevel="1" x14ac:dyDescent="0.25">
      <c r="A1345" s="42">
        <v>22</v>
      </c>
      <c r="B1345" s="43" t="s">
        <v>874</v>
      </c>
      <c r="C1345" s="44" t="s">
        <v>93</v>
      </c>
      <c r="D1345" s="45">
        <v>16</v>
      </c>
      <c r="E1345" s="45">
        <v>6.4423999999999992</v>
      </c>
      <c r="F1345" s="45">
        <f t="shared" si="328"/>
        <v>103.07839999999999</v>
      </c>
      <c r="G1345" s="46">
        <f t="shared" si="329"/>
        <v>0</v>
      </c>
      <c r="H1345" s="47">
        <f t="shared" si="330"/>
        <v>0</v>
      </c>
      <c r="I1345" s="46">
        <f t="shared" si="331"/>
        <v>0</v>
      </c>
      <c r="J1345" s="47">
        <v>0</v>
      </c>
      <c r="K1345" s="46">
        <f t="shared" si="332"/>
        <v>0</v>
      </c>
      <c r="L1345" s="47">
        <v>0</v>
      </c>
      <c r="AX1345" s="46">
        <v>0</v>
      </c>
      <c r="AY1345" s="47">
        <v>0</v>
      </c>
      <c r="AZ1345" s="70">
        <f t="shared" si="319"/>
        <v>0</v>
      </c>
      <c r="BC1345" s="50"/>
    </row>
    <row r="1346" spans="1:55" s="48" customFormat="1" ht="27.75" customHeight="1" outlineLevel="1" x14ac:dyDescent="0.25">
      <c r="A1346" s="42">
        <v>23</v>
      </c>
      <c r="B1346" s="43" t="s">
        <v>875</v>
      </c>
      <c r="C1346" s="44" t="s">
        <v>93</v>
      </c>
      <c r="D1346" s="45">
        <v>10</v>
      </c>
      <c r="E1346" s="45">
        <v>8.5231999999999992</v>
      </c>
      <c r="F1346" s="45">
        <f t="shared" si="328"/>
        <v>85.231999999999999</v>
      </c>
      <c r="G1346" s="46">
        <f t="shared" si="329"/>
        <v>0</v>
      </c>
      <c r="H1346" s="47">
        <f t="shared" si="330"/>
        <v>0</v>
      </c>
      <c r="I1346" s="46">
        <f t="shared" si="331"/>
        <v>0</v>
      </c>
      <c r="J1346" s="47">
        <v>0</v>
      </c>
      <c r="K1346" s="46">
        <f t="shared" si="332"/>
        <v>0</v>
      </c>
      <c r="L1346" s="47">
        <v>0</v>
      </c>
      <c r="AX1346" s="46">
        <v>0.7</v>
      </c>
      <c r="AY1346" s="47">
        <v>464.92250000000001</v>
      </c>
      <c r="AZ1346" s="70">
        <f t="shared" si="319"/>
        <v>0</v>
      </c>
      <c r="BC1346" s="50"/>
    </row>
    <row r="1347" spans="1:55" s="48" customFormat="1" ht="15.45" customHeight="1" outlineLevel="1" x14ac:dyDescent="0.25">
      <c r="A1347" s="42">
        <v>24</v>
      </c>
      <c r="B1347" s="43" t="s">
        <v>314</v>
      </c>
      <c r="C1347" s="44" t="s">
        <v>93</v>
      </c>
      <c r="D1347" s="45">
        <v>7</v>
      </c>
      <c r="E1347" s="45">
        <v>10.0838</v>
      </c>
      <c r="F1347" s="45">
        <f t="shared" si="328"/>
        <v>70.586600000000004</v>
      </c>
      <c r="G1347" s="46">
        <f t="shared" si="329"/>
        <v>0</v>
      </c>
      <c r="H1347" s="47">
        <f t="shared" si="330"/>
        <v>0</v>
      </c>
      <c r="I1347" s="46">
        <f t="shared" si="331"/>
        <v>0</v>
      </c>
      <c r="J1347" s="47">
        <v>0</v>
      </c>
      <c r="K1347" s="46">
        <f t="shared" si="332"/>
        <v>0</v>
      </c>
      <c r="L1347" s="47">
        <v>0</v>
      </c>
      <c r="AX1347" s="46">
        <v>0</v>
      </c>
      <c r="AY1347" s="47">
        <v>0</v>
      </c>
      <c r="AZ1347" s="70">
        <f t="shared" si="319"/>
        <v>0</v>
      </c>
      <c r="BC1347" s="50"/>
    </row>
    <row r="1348" spans="1:55" s="48" customFormat="1" ht="15.45" customHeight="1" outlineLevel="1" x14ac:dyDescent="0.25">
      <c r="A1348" s="42">
        <v>25</v>
      </c>
      <c r="B1348" s="43" t="s">
        <v>876</v>
      </c>
      <c r="C1348" s="44" t="s">
        <v>93</v>
      </c>
      <c r="D1348" s="45">
        <v>5</v>
      </c>
      <c r="E1348" s="45">
        <v>10.808</v>
      </c>
      <c r="F1348" s="45">
        <f t="shared" si="328"/>
        <v>54.04</v>
      </c>
      <c r="G1348" s="46">
        <f t="shared" si="329"/>
        <v>0</v>
      </c>
      <c r="H1348" s="47">
        <f t="shared" si="330"/>
        <v>0</v>
      </c>
      <c r="I1348" s="46">
        <f t="shared" si="331"/>
        <v>0</v>
      </c>
      <c r="J1348" s="47">
        <v>0</v>
      </c>
      <c r="K1348" s="46">
        <f t="shared" si="332"/>
        <v>0</v>
      </c>
      <c r="L1348" s="47">
        <v>0</v>
      </c>
      <c r="AX1348" s="46">
        <v>0</v>
      </c>
      <c r="AY1348" s="47">
        <v>0</v>
      </c>
      <c r="AZ1348" s="70">
        <f t="shared" si="319"/>
        <v>0</v>
      </c>
      <c r="BC1348" s="50"/>
    </row>
    <row r="1349" spans="1:55" s="48" customFormat="1" ht="41.7" customHeight="1" outlineLevel="1" x14ac:dyDescent="0.25">
      <c r="A1349" s="42">
        <v>26</v>
      </c>
      <c r="B1349" s="43" t="s">
        <v>877</v>
      </c>
      <c r="C1349" s="44" t="s">
        <v>93</v>
      </c>
      <c r="D1349" s="45">
        <v>6</v>
      </c>
      <c r="E1349" s="45">
        <v>54.792400000000001</v>
      </c>
      <c r="F1349" s="45">
        <f t="shared" si="328"/>
        <v>328.75440000000003</v>
      </c>
      <c r="G1349" s="46">
        <f t="shared" si="329"/>
        <v>0</v>
      </c>
      <c r="H1349" s="47">
        <f t="shared" si="330"/>
        <v>0</v>
      </c>
      <c r="I1349" s="46">
        <f t="shared" si="331"/>
        <v>0</v>
      </c>
      <c r="J1349" s="47">
        <v>0</v>
      </c>
      <c r="K1349" s="46">
        <f t="shared" si="332"/>
        <v>0</v>
      </c>
      <c r="L1349" s="47">
        <v>0</v>
      </c>
      <c r="AX1349" s="46">
        <v>0</v>
      </c>
      <c r="AY1349" s="47">
        <v>0</v>
      </c>
      <c r="AZ1349" s="70">
        <f t="shared" si="319"/>
        <v>0</v>
      </c>
      <c r="BC1349" s="50"/>
    </row>
    <row r="1350" spans="1:55" s="48" customFormat="1" ht="15.45" customHeight="1" outlineLevel="1" x14ac:dyDescent="0.25">
      <c r="A1350" s="42">
        <v>27</v>
      </c>
      <c r="B1350" s="43" t="s">
        <v>878</v>
      </c>
      <c r="C1350" s="44" t="s">
        <v>93</v>
      </c>
      <c r="D1350" s="45">
        <v>6</v>
      </c>
      <c r="E1350" s="45">
        <v>104.24</v>
      </c>
      <c r="F1350" s="45">
        <f t="shared" si="328"/>
        <v>625.43999999999994</v>
      </c>
      <c r="G1350" s="46">
        <f t="shared" si="329"/>
        <v>0</v>
      </c>
      <c r="H1350" s="47">
        <f t="shared" si="330"/>
        <v>0</v>
      </c>
      <c r="I1350" s="46">
        <f t="shared" si="331"/>
        <v>0</v>
      </c>
      <c r="J1350" s="47">
        <v>0</v>
      </c>
      <c r="K1350" s="46">
        <f t="shared" si="332"/>
        <v>0</v>
      </c>
      <c r="L1350" s="47">
        <v>0</v>
      </c>
      <c r="AX1350" s="46">
        <v>0</v>
      </c>
      <c r="AY1350" s="47">
        <v>0</v>
      </c>
      <c r="AZ1350" s="70">
        <f t="shared" si="319"/>
        <v>0</v>
      </c>
      <c r="BC1350" s="50"/>
    </row>
    <row r="1351" spans="1:55" s="48" customFormat="1" ht="41.7" customHeight="1" outlineLevel="1" x14ac:dyDescent="0.25">
      <c r="A1351" s="42">
        <v>28</v>
      </c>
      <c r="B1351" s="43" t="s">
        <v>879</v>
      </c>
      <c r="C1351" s="44" t="s">
        <v>93</v>
      </c>
      <c r="D1351" s="45">
        <v>7</v>
      </c>
      <c r="E1351" s="45">
        <v>35.024799999999999</v>
      </c>
      <c r="F1351" s="45">
        <f t="shared" si="328"/>
        <v>245.17359999999999</v>
      </c>
      <c r="G1351" s="46">
        <f t="shared" si="329"/>
        <v>0</v>
      </c>
      <c r="H1351" s="47">
        <f t="shared" si="330"/>
        <v>0</v>
      </c>
      <c r="I1351" s="46">
        <f t="shared" si="331"/>
        <v>0</v>
      </c>
      <c r="J1351" s="47">
        <v>0</v>
      </c>
      <c r="K1351" s="46">
        <f t="shared" si="332"/>
        <v>0</v>
      </c>
      <c r="L1351" s="47">
        <v>0</v>
      </c>
      <c r="AX1351" s="46">
        <v>0</v>
      </c>
      <c r="AY1351" s="47">
        <v>0</v>
      </c>
      <c r="AZ1351" s="70">
        <f t="shared" si="319"/>
        <v>0</v>
      </c>
      <c r="BC1351" s="50"/>
    </row>
    <row r="1352" spans="1:55" s="48" customFormat="1" ht="15.45" customHeight="1" outlineLevel="1" x14ac:dyDescent="0.25">
      <c r="A1352" s="42">
        <v>29</v>
      </c>
      <c r="B1352" s="43" t="s">
        <v>880</v>
      </c>
      <c r="C1352" s="44" t="s">
        <v>93</v>
      </c>
      <c r="D1352" s="45">
        <v>1</v>
      </c>
      <c r="E1352" s="45">
        <v>76.291999999999987</v>
      </c>
      <c r="F1352" s="45">
        <f t="shared" si="328"/>
        <v>76.291999999999987</v>
      </c>
      <c r="G1352" s="46">
        <f t="shared" si="329"/>
        <v>0</v>
      </c>
      <c r="H1352" s="47">
        <f t="shared" si="330"/>
        <v>0</v>
      </c>
      <c r="I1352" s="46">
        <f t="shared" si="331"/>
        <v>0</v>
      </c>
      <c r="J1352" s="47">
        <v>0</v>
      </c>
      <c r="K1352" s="46">
        <f t="shared" si="332"/>
        <v>0</v>
      </c>
      <c r="L1352" s="47">
        <v>0</v>
      </c>
      <c r="AX1352" s="46">
        <v>0</v>
      </c>
      <c r="AY1352" s="47">
        <v>0</v>
      </c>
      <c r="AZ1352" s="70">
        <f t="shared" si="319"/>
        <v>0</v>
      </c>
      <c r="BC1352" s="50"/>
    </row>
    <row r="1353" spans="1:55" s="48" customFormat="1" ht="15.45" customHeight="1" outlineLevel="1" x14ac:dyDescent="0.25">
      <c r="A1353" s="42">
        <v>30</v>
      </c>
      <c r="B1353" s="43" t="s">
        <v>881</v>
      </c>
      <c r="C1353" s="44" t="s">
        <v>93</v>
      </c>
      <c r="D1353" s="45">
        <v>2</v>
      </c>
      <c r="E1353" s="45">
        <v>89.929399999999987</v>
      </c>
      <c r="F1353" s="45">
        <f t="shared" si="328"/>
        <v>179.85879999999997</v>
      </c>
      <c r="G1353" s="46">
        <f t="shared" si="329"/>
        <v>0</v>
      </c>
      <c r="H1353" s="47">
        <f t="shared" si="330"/>
        <v>0</v>
      </c>
      <c r="I1353" s="46">
        <f t="shared" si="331"/>
        <v>0</v>
      </c>
      <c r="J1353" s="47">
        <v>0</v>
      </c>
      <c r="K1353" s="46">
        <f t="shared" si="332"/>
        <v>0</v>
      </c>
      <c r="L1353" s="47">
        <v>0</v>
      </c>
      <c r="AX1353" s="46">
        <v>0</v>
      </c>
      <c r="AY1353" s="47">
        <v>0</v>
      </c>
      <c r="AZ1353" s="70">
        <f t="shared" si="319"/>
        <v>0</v>
      </c>
      <c r="BC1353" s="50"/>
    </row>
    <row r="1354" spans="1:55" s="48" customFormat="1" ht="15.45" customHeight="1" outlineLevel="1" x14ac:dyDescent="0.25">
      <c r="A1354" s="42">
        <v>31</v>
      </c>
      <c r="B1354" s="43" t="s">
        <v>882</v>
      </c>
      <c r="C1354" s="44" t="s">
        <v>93</v>
      </c>
      <c r="D1354" s="45">
        <v>4</v>
      </c>
      <c r="E1354" s="45">
        <v>103.9034</v>
      </c>
      <c r="F1354" s="45">
        <f t="shared" si="328"/>
        <v>415.61360000000002</v>
      </c>
      <c r="G1354" s="46">
        <f t="shared" si="329"/>
        <v>0</v>
      </c>
      <c r="H1354" s="47">
        <f t="shared" si="330"/>
        <v>0</v>
      </c>
      <c r="I1354" s="46">
        <f t="shared" si="331"/>
        <v>0</v>
      </c>
      <c r="J1354" s="47">
        <v>0</v>
      </c>
      <c r="K1354" s="46">
        <f t="shared" si="332"/>
        <v>0</v>
      </c>
      <c r="L1354" s="47">
        <v>0</v>
      </c>
      <c r="AX1354" s="46">
        <v>0</v>
      </c>
      <c r="AY1354" s="47">
        <v>0</v>
      </c>
      <c r="AZ1354" s="70">
        <f t="shared" si="319"/>
        <v>0</v>
      </c>
      <c r="BC1354" s="50"/>
    </row>
    <row r="1355" spans="1:55" s="48" customFormat="1" ht="15.45" customHeight="1" outlineLevel="1" x14ac:dyDescent="0.25">
      <c r="A1355" s="42">
        <v>32</v>
      </c>
      <c r="B1355" s="43" t="s">
        <v>883</v>
      </c>
      <c r="C1355" s="44" t="s">
        <v>93</v>
      </c>
      <c r="D1355" s="45">
        <v>2</v>
      </c>
      <c r="E1355" s="45">
        <v>64.564000000000007</v>
      </c>
      <c r="F1355" s="45">
        <f t="shared" si="328"/>
        <v>129.12800000000001</v>
      </c>
      <c r="G1355" s="46">
        <f t="shared" si="329"/>
        <v>0</v>
      </c>
      <c r="H1355" s="47">
        <f t="shared" si="330"/>
        <v>0</v>
      </c>
      <c r="I1355" s="46">
        <f t="shared" si="331"/>
        <v>0</v>
      </c>
      <c r="J1355" s="47">
        <v>0</v>
      </c>
      <c r="K1355" s="46">
        <f t="shared" si="332"/>
        <v>0</v>
      </c>
      <c r="L1355" s="47">
        <v>0</v>
      </c>
      <c r="AX1355" s="46">
        <v>0</v>
      </c>
      <c r="AY1355" s="47">
        <v>0</v>
      </c>
      <c r="AZ1355" s="70">
        <f t="shared" si="319"/>
        <v>0</v>
      </c>
      <c r="BC1355" s="50"/>
    </row>
    <row r="1356" spans="1:55" s="48" customFormat="1" ht="15.45" customHeight="1" outlineLevel="1" x14ac:dyDescent="0.25">
      <c r="A1356" s="42">
        <v>33</v>
      </c>
      <c r="B1356" s="43" t="s">
        <v>884</v>
      </c>
      <c r="C1356" s="44" t="s">
        <v>93</v>
      </c>
      <c r="D1356" s="45">
        <v>4</v>
      </c>
      <c r="E1356" s="45">
        <v>66.91</v>
      </c>
      <c r="F1356" s="45">
        <f t="shared" si="328"/>
        <v>267.64</v>
      </c>
      <c r="G1356" s="46">
        <f t="shared" si="329"/>
        <v>0</v>
      </c>
      <c r="H1356" s="47">
        <f t="shared" si="330"/>
        <v>0</v>
      </c>
      <c r="I1356" s="46">
        <f t="shared" si="331"/>
        <v>0</v>
      </c>
      <c r="J1356" s="47">
        <v>0</v>
      </c>
      <c r="K1356" s="46">
        <f t="shared" si="332"/>
        <v>0</v>
      </c>
      <c r="L1356" s="47">
        <v>0</v>
      </c>
      <c r="AX1356" s="46">
        <v>0.50003333333333333</v>
      </c>
      <c r="AY1356" s="47">
        <v>2306.3537466666671</v>
      </c>
      <c r="AZ1356" s="70">
        <f t="shared" si="319"/>
        <v>0</v>
      </c>
      <c r="BC1356" s="50"/>
    </row>
    <row r="1357" spans="1:55" s="48" customFormat="1" ht="15.45" customHeight="1" outlineLevel="1" x14ac:dyDescent="0.25">
      <c r="A1357" s="42">
        <v>34</v>
      </c>
      <c r="B1357" s="43" t="s">
        <v>885</v>
      </c>
      <c r="C1357" s="44" t="s">
        <v>93</v>
      </c>
      <c r="D1357" s="45">
        <v>1</v>
      </c>
      <c r="E1357" s="45">
        <v>79.048000000000002</v>
      </c>
      <c r="F1357" s="45">
        <f t="shared" si="328"/>
        <v>79.048000000000002</v>
      </c>
      <c r="G1357" s="46">
        <f t="shared" si="329"/>
        <v>0</v>
      </c>
      <c r="H1357" s="47">
        <f t="shared" si="330"/>
        <v>0</v>
      </c>
      <c r="I1357" s="46">
        <f t="shared" si="331"/>
        <v>0</v>
      </c>
      <c r="J1357" s="47">
        <v>0</v>
      </c>
      <c r="K1357" s="46">
        <f t="shared" si="332"/>
        <v>0</v>
      </c>
      <c r="L1357" s="47">
        <v>0</v>
      </c>
      <c r="AX1357" s="46">
        <v>0.50002385381649872</v>
      </c>
      <c r="AY1357" s="47">
        <v>1235.5647307867489</v>
      </c>
      <c r="AZ1357" s="70">
        <f t="shared" si="319"/>
        <v>0</v>
      </c>
      <c r="BC1357" s="50"/>
    </row>
    <row r="1358" spans="1:55" s="48" customFormat="1" ht="15.45" customHeight="1" outlineLevel="1" x14ac:dyDescent="0.25">
      <c r="A1358" s="42">
        <v>35</v>
      </c>
      <c r="B1358" s="43" t="s">
        <v>886</v>
      </c>
      <c r="C1358" s="44" t="s">
        <v>93</v>
      </c>
      <c r="D1358" s="45">
        <v>1</v>
      </c>
      <c r="E1358" s="45">
        <v>5.5039999999999996</v>
      </c>
      <c r="F1358" s="45">
        <f t="shared" si="328"/>
        <v>5.5039999999999996</v>
      </c>
      <c r="G1358" s="46">
        <f t="shared" si="329"/>
        <v>0</v>
      </c>
      <c r="H1358" s="47">
        <f t="shared" si="330"/>
        <v>0</v>
      </c>
      <c r="I1358" s="46">
        <f t="shared" si="331"/>
        <v>0</v>
      </c>
      <c r="J1358" s="47">
        <v>0</v>
      </c>
      <c r="K1358" s="46">
        <f t="shared" si="332"/>
        <v>0</v>
      </c>
      <c r="L1358" s="47">
        <v>0</v>
      </c>
      <c r="AX1358" s="46">
        <v>0</v>
      </c>
      <c r="AY1358" s="47">
        <v>0</v>
      </c>
      <c r="AZ1358" s="70">
        <f t="shared" si="319"/>
        <v>0</v>
      </c>
      <c r="BC1358" s="50"/>
    </row>
    <row r="1359" spans="1:55" s="48" customFormat="1" ht="15.45" customHeight="1" outlineLevel="1" x14ac:dyDescent="0.25">
      <c r="A1359" s="42">
        <v>36</v>
      </c>
      <c r="B1359" s="43" t="s">
        <v>887</v>
      </c>
      <c r="C1359" s="44" t="s">
        <v>93</v>
      </c>
      <c r="D1359" s="45">
        <v>2</v>
      </c>
      <c r="E1359" s="45">
        <v>36.340600000000002</v>
      </c>
      <c r="F1359" s="45">
        <f t="shared" si="328"/>
        <v>72.681200000000004</v>
      </c>
      <c r="G1359" s="46">
        <f t="shared" si="329"/>
        <v>0</v>
      </c>
      <c r="H1359" s="47">
        <f t="shared" si="330"/>
        <v>0</v>
      </c>
      <c r="I1359" s="46">
        <f t="shared" si="331"/>
        <v>0</v>
      </c>
      <c r="J1359" s="47">
        <v>0</v>
      </c>
      <c r="K1359" s="46">
        <f t="shared" si="332"/>
        <v>0</v>
      </c>
      <c r="L1359" s="47">
        <v>0</v>
      </c>
      <c r="AX1359" s="46">
        <v>0</v>
      </c>
      <c r="AY1359" s="47">
        <v>0</v>
      </c>
      <c r="AZ1359" s="70">
        <f t="shared" si="319"/>
        <v>0</v>
      </c>
      <c r="BC1359" s="50"/>
    </row>
    <row r="1360" spans="1:55" s="48" customFormat="1" ht="15.45" customHeight="1" outlineLevel="1" x14ac:dyDescent="0.25">
      <c r="A1360" s="42">
        <v>37</v>
      </c>
      <c r="B1360" s="43" t="s">
        <v>888</v>
      </c>
      <c r="C1360" s="44" t="s">
        <v>93</v>
      </c>
      <c r="D1360" s="45">
        <v>2</v>
      </c>
      <c r="E1360" s="45">
        <v>117.76519999999999</v>
      </c>
      <c r="F1360" s="45">
        <f t="shared" si="328"/>
        <v>235.53039999999999</v>
      </c>
      <c r="G1360" s="46">
        <f t="shared" si="329"/>
        <v>0</v>
      </c>
      <c r="H1360" s="47">
        <f t="shared" si="330"/>
        <v>0</v>
      </c>
      <c r="I1360" s="46">
        <f t="shared" si="331"/>
        <v>0</v>
      </c>
      <c r="J1360" s="47">
        <v>0</v>
      </c>
      <c r="K1360" s="46">
        <f t="shared" si="332"/>
        <v>0</v>
      </c>
      <c r="L1360" s="47">
        <v>0</v>
      </c>
      <c r="AX1360" s="46">
        <v>0</v>
      </c>
      <c r="AY1360" s="47">
        <v>0</v>
      </c>
      <c r="AZ1360" s="70">
        <f t="shared" si="319"/>
        <v>0</v>
      </c>
      <c r="BC1360" s="50"/>
    </row>
    <row r="1361" spans="1:55" s="48" customFormat="1" ht="15.45" customHeight="1" outlineLevel="1" x14ac:dyDescent="0.25">
      <c r="A1361" s="42">
        <v>38</v>
      </c>
      <c r="B1361" s="43" t="s">
        <v>889</v>
      </c>
      <c r="C1361" s="44" t="s">
        <v>234</v>
      </c>
      <c r="D1361" s="45">
        <v>11</v>
      </c>
      <c r="E1361" s="45">
        <v>4.5880000000000001</v>
      </c>
      <c r="F1361" s="45">
        <f t="shared" si="328"/>
        <v>50.468000000000004</v>
      </c>
      <c r="G1361" s="46">
        <f t="shared" si="329"/>
        <v>0</v>
      </c>
      <c r="H1361" s="47">
        <f t="shared" si="330"/>
        <v>0</v>
      </c>
      <c r="I1361" s="46">
        <f t="shared" si="331"/>
        <v>0</v>
      </c>
      <c r="J1361" s="47">
        <v>0</v>
      </c>
      <c r="K1361" s="46">
        <f t="shared" si="332"/>
        <v>0</v>
      </c>
      <c r="L1361" s="47">
        <v>0</v>
      </c>
      <c r="AX1361" s="46">
        <v>0.50003333333333322</v>
      </c>
      <c r="AY1361" s="47">
        <v>541.97362916666657</v>
      </c>
      <c r="AZ1361" s="70">
        <f t="shared" si="319"/>
        <v>0</v>
      </c>
      <c r="BC1361" s="50"/>
    </row>
    <row r="1362" spans="1:55" s="48" customFormat="1" ht="15.45" customHeight="1" outlineLevel="1" x14ac:dyDescent="0.25">
      <c r="A1362" s="42">
        <v>39</v>
      </c>
      <c r="B1362" s="43" t="s">
        <v>890</v>
      </c>
      <c r="C1362" s="44" t="s">
        <v>93</v>
      </c>
      <c r="D1362" s="45">
        <v>11</v>
      </c>
      <c r="E1362" s="45">
        <v>19.814599999999999</v>
      </c>
      <c r="F1362" s="45">
        <f t="shared" si="328"/>
        <v>217.9606</v>
      </c>
      <c r="G1362" s="46">
        <f t="shared" si="329"/>
        <v>0</v>
      </c>
      <c r="H1362" s="47">
        <f t="shared" si="330"/>
        <v>0</v>
      </c>
      <c r="I1362" s="46">
        <f t="shared" si="331"/>
        <v>0</v>
      </c>
      <c r="J1362" s="47">
        <v>0</v>
      </c>
      <c r="K1362" s="46">
        <f t="shared" si="332"/>
        <v>0</v>
      </c>
      <c r="L1362" s="47">
        <v>0</v>
      </c>
      <c r="AX1362" s="46">
        <v>0.50003333333333333</v>
      </c>
      <c r="AY1362" s="47">
        <v>4324.4132750000008</v>
      </c>
      <c r="AZ1362" s="70">
        <f t="shared" si="319"/>
        <v>0</v>
      </c>
      <c r="BC1362" s="50"/>
    </row>
    <row r="1363" spans="1:55" s="48" customFormat="1" ht="15.45" customHeight="1" outlineLevel="1" x14ac:dyDescent="0.25">
      <c r="A1363" s="42">
        <v>40</v>
      </c>
      <c r="B1363" s="43" t="s">
        <v>323</v>
      </c>
      <c r="C1363" s="44" t="s">
        <v>234</v>
      </c>
      <c r="D1363" s="45">
        <v>10</v>
      </c>
      <c r="E1363" s="45">
        <v>4.6083999999999996</v>
      </c>
      <c r="F1363" s="45">
        <f t="shared" si="328"/>
        <v>46.083999999999996</v>
      </c>
      <c r="G1363" s="46">
        <f t="shared" si="329"/>
        <v>0</v>
      </c>
      <c r="H1363" s="47">
        <f t="shared" si="330"/>
        <v>0</v>
      </c>
      <c r="I1363" s="46">
        <f t="shared" si="331"/>
        <v>0</v>
      </c>
      <c r="J1363" s="47">
        <v>0</v>
      </c>
      <c r="K1363" s="46">
        <f t="shared" si="332"/>
        <v>0</v>
      </c>
      <c r="L1363" s="47">
        <v>0</v>
      </c>
      <c r="AX1363" s="46">
        <v>0</v>
      </c>
      <c r="AY1363" s="47">
        <v>0</v>
      </c>
      <c r="AZ1363" s="70">
        <f t="shared" si="319"/>
        <v>0</v>
      </c>
      <c r="BC1363" s="50"/>
    </row>
    <row r="1364" spans="1:55" s="48" customFormat="1" ht="15.45" customHeight="1" outlineLevel="1" x14ac:dyDescent="0.25">
      <c r="A1364" s="42">
        <v>41</v>
      </c>
      <c r="B1364" s="43" t="s">
        <v>324</v>
      </c>
      <c r="C1364" s="44" t="s">
        <v>93</v>
      </c>
      <c r="D1364" s="45">
        <v>10</v>
      </c>
      <c r="E1364" s="45">
        <v>16.173200000000001</v>
      </c>
      <c r="F1364" s="45">
        <f t="shared" si="328"/>
        <v>161.73200000000003</v>
      </c>
      <c r="G1364" s="46">
        <f t="shared" si="329"/>
        <v>0</v>
      </c>
      <c r="H1364" s="47">
        <f t="shared" si="330"/>
        <v>0</v>
      </c>
      <c r="I1364" s="46">
        <f t="shared" si="331"/>
        <v>0</v>
      </c>
      <c r="J1364" s="47">
        <v>0</v>
      </c>
      <c r="K1364" s="46">
        <f t="shared" si="332"/>
        <v>0</v>
      </c>
      <c r="L1364" s="47">
        <v>0</v>
      </c>
      <c r="AX1364" s="46">
        <v>0</v>
      </c>
      <c r="AY1364" s="47">
        <v>0</v>
      </c>
      <c r="AZ1364" s="70">
        <f t="shared" si="319"/>
        <v>0</v>
      </c>
      <c r="BC1364" s="50"/>
    </row>
    <row r="1365" spans="1:55" s="59" customFormat="1" ht="27.75" customHeight="1" outlineLevel="1" x14ac:dyDescent="0.35">
      <c r="A1365" s="42">
        <v>42</v>
      </c>
      <c r="B1365" s="43" t="s">
        <v>891</v>
      </c>
      <c r="C1365" s="44" t="s">
        <v>93</v>
      </c>
      <c r="D1365" s="45">
        <v>12</v>
      </c>
      <c r="E1365" s="45">
        <v>43.286799999999999</v>
      </c>
      <c r="F1365" s="45">
        <f t="shared" si="328"/>
        <v>519.44159999999999</v>
      </c>
      <c r="G1365" s="46">
        <f t="shared" si="329"/>
        <v>0</v>
      </c>
      <c r="H1365" s="47">
        <f t="shared" si="330"/>
        <v>0</v>
      </c>
      <c r="I1365" s="46">
        <f t="shared" si="331"/>
        <v>0</v>
      </c>
      <c r="J1365" s="47">
        <v>0</v>
      </c>
      <c r="K1365" s="46">
        <f t="shared" si="332"/>
        <v>0</v>
      </c>
      <c r="L1365" s="47">
        <v>0</v>
      </c>
      <c r="AX1365" s="73">
        <v>0</v>
      </c>
      <c r="AY1365" s="74">
        <v>0</v>
      </c>
      <c r="AZ1365" s="75">
        <f t="shared" si="319"/>
        <v>0</v>
      </c>
      <c r="BC1365" s="61"/>
    </row>
    <row r="1366" spans="1:55" s="48" customFormat="1" ht="15.45" customHeight="1" outlineLevel="1" x14ac:dyDescent="0.25">
      <c r="A1366" s="42">
        <v>43</v>
      </c>
      <c r="B1366" s="43" t="s">
        <v>892</v>
      </c>
      <c r="C1366" s="44" t="s">
        <v>93</v>
      </c>
      <c r="D1366" s="45">
        <v>8</v>
      </c>
      <c r="E1366" s="45">
        <v>104.24</v>
      </c>
      <c r="F1366" s="45">
        <f t="shared" si="328"/>
        <v>833.92</v>
      </c>
      <c r="G1366" s="46">
        <f t="shared" si="329"/>
        <v>0</v>
      </c>
      <c r="H1366" s="47">
        <f t="shared" si="330"/>
        <v>0</v>
      </c>
      <c r="I1366" s="46">
        <f t="shared" si="331"/>
        <v>0</v>
      </c>
      <c r="J1366" s="47">
        <v>0</v>
      </c>
      <c r="K1366" s="46">
        <f t="shared" si="332"/>
        <v>0</v>
      </c>
      <c r="L1366" s="47">
        <v>0</v>
      </c>
      <c r="AX1366" s="46">
        <v>0</v>
      </c>
      <c r="AY1366" s="47">
        <v>0</v>
      </c>
      <c r="AZ1366" s="70">
        <f t="shared" si="319"/>
        <v>0</v>
      </c>
      <c r="BC1366" s="50"/>
    </row>
    <row r="1367" spans="1:55" s="48" customFormat="1" ht="15.45" customHeight="1" outlineLevel="1" x14ac:dyDescent="0.25">
      <c r="A1367" s="42">
        <v>44</v>
      </c>
      <c r="B1367" s="43" t="s">
        <v>893</v>
      </c>
      <c r="C1367" s="44" t="s">
        <v>93</v>
      </c>
      <c r="D1367" s="45">
        <v>4</v>
      </c>
      <c r="E1367" s="45">
        <v>145.85599999999999</v>
      </c>
      <c r="F1367" s="45">
        <f t="shared" si="328"/>
        <v>583.42399999999998</v>
      </c>
      <c r="G1367" s="46">
        <f t="shared" si="329"/>
        <v>0</v>
      </c>
      <c r="H1367" s="47">
        <f t="shared" si="330"/>
        <v>0</v>
      </c>
      <c r="I1367" s="46">
        <f t="shared" si="331"/>
        <v>0</v>
      </c>
      <c r="J1367" s="47">
        <v>0</v>
      </c>
      <c r="K1367" s="46">
        <f t="shared" si="332"/>
        <v>0</v>
      </c>
      <c r="L1367" s="47">
        <v>0</v>
      </c>
      <c r="AX1367" s="46">
        <v>0</v>
      </c>
      <c r="AY1367" s="47">
        <v>0</v>
      </c>
      <c r="AZ1367" s="70">
        <f t="shared" si="319"/>
        <v>0</v>
      </c>
      <c r="BC1367" s="50"/>
    </row>
    <row r="1368" spans="1:55" s="56" customFormat="1" ht="17.25" customHeight="1" x14ac:dyDescent="0.3">
      <c r="A1368" s="62">
        <v>9.1300000000000008</v>
      </c>
      <c r="B1368" s="51" t="s">
        <v>894</v>
      </c>
      <c r="C1368" s="52">
        <v>0</v>
      </c>
      <c r="D1368" s="53"/>
      <c r="E1368" s="53"/>
      <c r="F1368" s="53"/>
      <c r="G1368" s="54"/>
      <c r="H1368" s="55"/>
      <c r="I1368" s="54"/>
      <c r="J1368" s="55"/>
      <c r="K1368" s="54"/>
      <c r="L1368" s="55">
        <v>0</v>
      </c>
      <c r="AX1368" s="69">
        <v>0.33329780051877911</v>
      </c>
      <c r="AY1368" s="71">
        <v>125.06666666666671</v>
      </c>
      <c r="AZ1368" s="72">
        <f t="shared" si="319"/>
        <v>0</v>
      </c>
      <c r="BC1368" s="58"/>
    </row>
    <row r="1369" spans="1:55" s="48" customFormat="1" ht="27.75" customHeight="1" outlineLevel="1" x14ac:dyDescent="0.25">
      <c r="A1369" s="42">
        <v>1</v>
      </c>
      <c r="B1369" s="43" t="s">
        <v>895</v>
      </c>
      <c r="C1369" s="44" t="s">
        <v>61</v>
      </c>
      <c r="D1369" s="45">
        <v>1</v>
      </c>
      <c r="E1369" s="45">
        <v>4.2105999999999986</v>
      </c>
      <c r="F1369" s="45">
        <f t="shared" ref="F1369:F1398" si="333">+E1369*D1369</f>
        <v>4.2105999999999986</v>
      </c>
      <c r="G1369" s="46">
        <f t="shared" ref="G1369:G1398" si="334">I1369+K1369</f>
        <v>0</v>
      </c>
      <c r="H1369" s="47">
        <f t="shared" ref="H1369:H1398" si="335">J1369+L1369</f>
        <v>0</v>
      </c>
      <c r="I1369" s="46">
        <f t="shared" ref="I1369:I1398" si="336">J1369/F1369</f>
        <v>0</v>
      </c>
      <c r="J1369" s="47">
        <v>0</v>
      </c>
      <c r="K1369" s="46">
        <f t="shared" ref="K1369:K1398" si="337">L1369/F1369</f>
        <v>0</v>
      </c>
      <c r="L1369" s="47">
        <v>0</v>
      </c>
      <c r="AX1369" s="46">
        <v>0.3333273890196638</v>
      </c>
      <c r="AY1369" s="47">
        <v>621.68483333333324</v>
      </c>
      <c r="AZ1369" s="70">
        <f t="shared" si="319"/>
        <v>0</v>
      </c>
      <c r="BC1369" s="50"/>
    </row>
    <row r="1370" spans="1:55" s="48" customFormat="1" ht="15.45" customHeight="1" outlineLevel="1" x14ac:dyDescent="0.25">
      <c r="A1370" s="42">
        <v>2</v>
      </c>
      <c r="B1370" s="43" t="s">
        <v>896</v>
      </c>
      <c r="C1370" s="44" t="s">
        <v>572</v>
      </c>
      <c r="D1370" s="45">
        <v>1</v>
      </c>
      <c r="E1370" s="45">
        <v>2.0768</v>
      </c>
      <c r="F1370" s="45">
        <f t="shared" si="333"/>
        <v>2.0768</v>
      </c>
      <c r="G1370" s="46">
        <f t="shared" si="334"/>
        <v>0</v>
      </c>
      <c r="H1370" s="47">
        <f t="shared" si="335"/>
        <v>0</v>
      </c>
      <c r="I1370" s="46">
        <f t="shared" si="336"/>
        <v>0</v>
      </c>
      <c r="J1370" s="47">
        <v>0</v>
      </c>
      <c r="K1370" s="46">
        <f t="shared" si="337"/>
        <v>0</v>
      </c>
      <c r="L1370" s="47">
        <v>0</v>
      </c>
      <c r="AX1370" s="46">
        <v>0.33333333333333331</v>
      </c>
      <c r="AY1370" s="47">
        <v>501.49999999999989</v>
      </c>
      <c r="AZ1370" s="70">
        <f t="shared" ref="AZ1370:AZ1433" si="338">H1370-J1370</f>
        <v>0</v>
      </c>
      <c r="BC1370" s="50"/>
    </row>
    <row r="1371" spans="1:55" s="48" customFormat="1" ht="27.75" customHeight="1" outlineLevel="1" x14ac:dyDescent="0.25">
      <c r="A1371" s="42">
        <v>3</v>
      </c>
      <c r="B1371" s="43" t="s">
        <v>897</v>
      </c>
      <c r="C1371" s="44" t="s">
        <v>61</v>
      </c>
      <c r="D1371" s="45">
        <v>2</v>
      </c>
      <c r="E1371" s="45">
        <v>4.2105999999999986</v>
      </c>
      <c r="F1371" s="45">
        <f t="shared" si="333"/>
        <v>8.4211999999999971</v>
      </c>
      <c r="G1371" s="46">
        <f t="shared" si="334"/>
        <v>0</v>
      </c>
      <c r="H1371" s="47">
        <f t="shared" si="335"/>
        <v>0</v>
      </c>
      <c r="I1371" s="46">
        <f t="shared" si="336"/>
        <v>0</v>
      </c>
      <c r="J1371" s="47">
        <v>0</v>
      </c>
      <c r="K1371" s="46">
        <f t="shared" si="337"/>
        <v>0</v>
      </c>
      <c r="L1371" s="47">
        <v>0</v>
      </c>
      <c r="AX1371" s="46">
        <v>0</v>
      </c>
      <c r="AY1371" s="47">
        <v>0</v>
      </c>
      <c r="AZ1371" s="70">
        <f t="shared" si="338"/>
        <v>0</v>
      </c>
      <c r="BC1371" s="50"/>
    </row>
    <row r="1372" spans="1:55" s="48" customFormat="1" ht="15.45" customHeight="1" outlineLevel="1" x14ac:dyDescent="0.25">
      <c r="A1372" s="42">
        <v>4</v>
      </c>
      <c r="B1372" s="43" t="s">
        <v>898</v>
      </c>
      <c r="C1372" s="44" t="s">
        <v>61</v>
      </c>
      <c r="D1372" s="45">
        <v>2</v>
      </c>
      <c r="E1372" s="45">
        <v>2.6581999999999999</v>
      </c>
      <c r="F1372" s="45">
        <f t="shared" si="333"/>
        <v>5.3163999999999998</v>
      </c>
      <c r="G1372" s="46">
        <f t="shared" si="334"/>
        <v>0</v>
      </c>
      <c r="H1372" s="47">
        <f t="shared" si="335"/>
        <v>0</v>
      </c>
      <c r="I1372" s="46">
        <f t="shared" si="336"/>
        <v>0</v>
      </c>
      <c r="J1372" s="47">
        <v>0</v>
      </c>
      <c r="K1372" s="46">
        <f t="shared" si="337"/>
        <v>0</v>
      </c>
      <c r="L1372" s="47">
        <v>0</v>
      </c>
      <c r="AX1372" s="46">
        <v>0</v>
      </c>
      <c r="AY1372" s="47">
        <v>0</v>
      </c>
      <c r="AZ1372" s="70">
        <f t="shared" si="338"/>
        <v>0</v>
      </c>
      <c r="BC1372" s="50"/>
    </row>
    <row r="1373" spans="1:55" s="48" customFormat="1" ht="27.75" customHeight="1" outlineLevel="1" x14ac:dyDescent="0.25">
      <c r="A1373" s="42">
        <v>5</v>
      </c>
      <c r="B1373" s="43" t="s">
        <v>899</v>
      </c>
      <c r="C1373" s="44" t="s">
        <v>61</v>
      </c>
      <c r="D1373" s="45">
        <v>8</v>
      </c>
      <c r="E1373" s="45">
        <v>4.2105999999999986</v>
      </c>
      <c r="F1373" s="45">
        <f t="shared" si="333"/>
        <v>33.684799999999989</v>
      </c>
      <c r="G1373" s="46">
        <f t="shared" si="334"/>
        <v>0</v>
      </c>
      <c r="H1373" s="47">
        <f t="shared" si="335"/>
        <v>0</v>
      </c>
      <c r="I1373" s="46">
        <f t="shared" si="336"/>
        <v>0</v>
      </c>
      <c r="J1373" s="47">
        <v>0</v>
      </c>
      <c r="K1373" s="46">
        <f t="shared" si="337"/>
        <v>0</v>
      </c>
      <c r="L1373" s="47">
        <v>0</v>
      </c>
      <c r="AX1373" s="46">
        <v>1</v>
      </c>
      <c r="AY1373" s="47">
        <v>1134.75</v>
      </c>
      <c r="AZ1373" s="70">
        <f t="shared" si="338"/>
        <v>0</v>
      </c>
      <c r="BC1373" s="50"/>
    </row>
    <row r="1374" spans="1:55" s="48" customFormat="1" ht="15.45" customHeight="1" outlineLevel="1" x14ac:dyDescent="0.25">
      <c r="A1374" s="42">
        <v>6</v>
      </c>
      <c r="B1374" s="43" t="s">
        <v>900</v>
      </c>
      <c r="C1374" s="44" t="s">
        <v>61</v>
      </c>
      <c r="D1374" s="45">
        <v>8</v>
      </c>
      <c r="E1374" s="45">
        <v>2.7806000000000002</v>
      </c>
      <c r="F1374" s="45">
        <f t="shared" si="333"/>
        <v>22.244800000000001</v>
      </c>
      <c r="G1374" s="46">
        <f t="shared" si="334"/>
        <v>0</v>
      </c>
      <c r="H1374" s="47">
        <f t="shared" si="335"/>
        <v>0</v>
      </c>
      <c r="I1374" s="46">
        <f t="shared" si="336"/>
        <v>0</v>
      </c>
      <c r="J1374" s="47">
        <v>0</v>
      </c>
      <c r="K1374" s="46">
        <f t="shared" si="337"/>
        <v>0</v>
      </c>
      <c r="L1374" s="47">
        <v>0</v>
      </c>
      <c r="AX1374" s="46">
        <v>0.33333333333333343</v>
      </c>
      <c r="AY1374" s="47">
        <v>14.75</v>
      </c>
      <c r="AZ1374" s="70">
        <f t="shared" si="338"/>
        <v>0</v>
      </c>
      <c r="BC1374" s="50"/>
    </row>
    <row r="1375" spans="1:55" s="48" customFormat="1" ht="27.75" customHeight="1" outlineLevel="1" x14ac:dyDescent="0.25">
      <c r="A1375" s="42">
        <v>7</v>
      </c>
      <c r="B1375" s="43" t="s">
        <v>901</v>
      </c>
      <c r="C1375" s="44" t="s">
        <v>61</v>
      </c>
      <c r="D1375" s="45">
        <v>4</v>
      </c>
      <c r="E1375" s="45">
        <v>4.2105999999999986</v>
      </c>
      <c r="F1375" s="45">
        <f t="shared" si="333"/>
        <v>16.842399999999994</v>
      </c>
      <c r="G1375" s="46">
        <f t="shared" si="334"/>
        <v>0</v>
      </c>
      <c r="H1375" s="47">
        <f t="shared" si="335"/>
        <v>0</v>
      </c>
      <c r="I1375" s="46">
        <f t="shared" si="336"/>
        <v>0</v>
      </c>
      <c r="J1375" s="47">
        <v>0</v>
      </c>
      <c r="K1375" s="46">
        <f t="shared" si="337"/>
        <v>0</v>
      </c>
      <c r="L1375" s="47">
        <v>0</v>
      </c>
      <c r="AX1375" s="46">
        <v>0.33333333333333343</v>
      </c>
      <c r="AY1375" s="47">
        <v>145.79759999999999</v>
      </c>
      <c r="AZ1375" s="70">
        <f t="shared" si="338"/>
        <v>0</v>
      </c>
      <c r="BC1375" s="50"/>
    </row>
    <row r="1376" spans="1:55" s="48" customFormat="1" ht="15.45" customHeight="1" outlineLevel="1" x14ac:dyDescent="0.25">
      <c r="A1376" s="42">
        <v>8</v>
      </c>
      <c r="B1376" s="43" t="s">
        <v>902</v>
      </c>
      <c r="C1376" s="44" t="s">
        <v>61</v>
      </c>
      <c r="D1376" s="45">
        <v>4</v>
      </c>
      <c r="E1376" s="45">
        <v>5.3611999999999993</v>
      </c>
      <c r="F1376" s="45">
        <f t="shared" si="333"/>
        <v>21.444799999999997</v>
      </c>
      <c r="G1376" s="46">
        <f t="shared" si="334"/>
        <v>0</v>
      </c>
      <c r="H1376" s="47">
        <f t="shared" si="335"/>
        <v>0</v>
      </c>
      <c r="I1376" s="46">
        <f t="shared" si="336"/>
        <v>0</v>
      </c>
      <c r="J1376" s="47">
        <v>0</v>
      </c>
      <c r="K1376" s="46">
        <f t="shared" si="337"/>
        <v>0</v>
      </c>
      <c r="L1376" s="47">
        <v>0</v>
      </c>
      <c r="AX1376" s="46">
        <v>0.33333333333333343</v>
      </c>
      <c r="AY1376" s="47">
        <v>11.8</v>
      </c>
      <c r="AZ1376" s="70">
        <f t="shared" si="338"/>
        <v>0</v>
      </c>
      <c r="BC1376" s="50"/>
    </row>
    <row r="1377" spans="1:55" s="48" customFormat="1" ht="27.75" customHeight="1" outlineLevel="1" x14ac:dyDescent="0.25">
      <c r="A1377" s="42">
        <v>9</v>
      </c>
      <c r="B1377" s="43" t="s">
        <v>903</v>
      </c>
      <c r="C1377" s="44" t="s">
        <v>61</v>
      </c>
      <c r="D1377" s="45">
        <v>8</v>
      </c>
      <c r="E1377" s="45">
        <v>4.2208000000000014</v>
      </c>
      <c r="F1377" s="45">
        <f t="shared" si="333"/>
        <v>33.766400000000012</v>
      </c>
      <c r="G1377" s="46">
        <f t="shared" si="334"/>
        <v>0</v>
      </c>
      <c r="H1377" s="47">
        <f t="shared" si="335"/>
        <v>0</v>
      </c>
      <c r="I1377" s="46">
        <f t="shared" si="336"/>
        <v>0</v>
      </c>
      <c r="J1377" s="47">
        <v>0</v>
      </c>
      <c r="K1377" s="46">
        <f t="shared" si="337"/>
        <v>0</v>
      </c>
      <c r="L1377" s="47">
        <v>0</v>
      </c>
      <c r="AX1377" s="46">
        <v>0</v>
      </c>
      <c r="AY1377" s="47">
        <v>0</v>
      </c>
      <c r="AZ1377" s="70">
        <f t="shared" si="338"/>
        <v>0</v>
      </c>
      <c r="BC1377" s="50"/>
    </row>
    <row r="1378" spans="1:55" s="48" customFormat="1" ht="15.45" customHeight="1" outlineLevel="1" x14ac:dyDescent="0.25">
      <c r="A1378" s="42">
        <v>10</v>
      </c>
      <c r="B1378" s="43" t="s">
        <v>904</v>
      </c>
      <c r="C1378" s="44" t="s">
        <v>61</v>
      </c>
      <c r="D1378" s="45">
        <v>8</v>
      </c>
      <c r="E1378" s="45">
        <v>7.3603999999999994</v>
      </c>
      <c r="F1378" s="45">
        <f t="shared" si="333"/>
        <v>58.883199999999995</v>
      </c>
      <c r="G1378" s="46">
        <f t="shared" si="334"/>
        <v>0</v>
      </c>
      <c r="H1378" s="47">
        <f t="shared" si="335"/>
        <v>0</v>
      </c>
      <c r="I1378" s="46">
        <f t="shared" si="336"/>
        <v>0</v>
      </c>
      <c r="J1378" s="47">
        <v>0</v>
      </c>
      <c r="K1378" s="46">
        <f t="shared" si="337"/>
        <v>0</v>
      </c>
      <c r="L1378" s="47">
        <v>0</v>
      </c>
      <c r="AX1378" s="46">
        <v>0</v>
      </c>
      <c r="AY1378" s="47">
        <v>0</v>
      </c>
      <c r="AZ1378" s="70">
        <f t="shared" si="338"/>
        <v>0</v>
      </c>
      <c r="BC1378" s="50"/>
    </row>
    <row r="1379" spans="1:55" s="48" customFormat="1" ht="27.75" customHeight="1" outlineLevel="1" x14ac:dyDescent="0.25">
      <c r="A1379" s="42">
        <v>11</v>
      </c>
      <c r="B1379" s="43" t="s">
        <v>905</v>
      </c>
      <c r="C1379" s="44" t="s">
        <v>61</v>
      </c>
      <c r="D1379" s="45">
        <v>6</v>
      </c>
      <c r="E1379" s="45">
        <v>5.3224</v>
      </c>
      <c r="F1379" s="45">
        <f t="shared" si="333"/>
        <v>31.9344</v>
      </c>
      <c r="G1379" s="46">
        <f t="shared" si="334"/>
        <v>0</v>
      </c>
      <c r="H1379" s="47">
        <f t="shared" si="335"/>
        <v>0</v>
      </c>
      <c r="I1379" s="46">
        <f t="shared" si="336"/>
        <v>0</v>
      </c>
      <c r="J1379" s="47">
        <v>0</v>
      </c>
      <c r="K1379" s="46">
        <f t="shared" si="337"/>
        <v>0</v>
      </c>
      <c r="L1379" s="47">
        <v>0</v>
      </c>
      <c r="AX1379" s="46">
        <v>0.33329999999999999</v>
      </c>
      <c r="AY1379" s="47">
        <v>378.349041312</v>
      </c>
      <c r="AZ1379" s="70">
        <f t="shared" si="338"/>
        <v>0</v>
      </c>
      <c r="BC1379" s="50"/>
    </row>
    <row r="1380" spans="1:55" s="48" customFormat="1" ht="15.45" customHeight="1" outlineLevel="1" x14ac:dyDescent="0.25">
      <c r="A1380" s="42">
        <v>12</v>
      </c>
      <c r="B1380" s="43" t="s">
        <v>906</v>
      </c>
      <c r="C1380" s="44" t="s">
        <v>61</v>
      </c>
      <c r="D1380" s="45">
        <v>6</v>
      </c>
      <c r="E1380" s="45">
        <v>9.3187999999999995</v>
      </c>
      <c r="F1380" s="45">
        <f t="shared" si="333"/>
        <v>55.912799999999997</v>
      </c>
      <c r="G1380" s="46">
        <f t="shared" si="334"/>
        <v>0</v>
      </c>
      <c r="H1380" s="47">
        <f t="shared" si="335"/>
        <v>0</v>
      </c>
      <c r="I1380" s="46">
        <f t="shared" si="336"/>
        <v>0</v>
      </c>
      <c r="J1380" s="47">
        <v>0</v>
      </c>
      <c r="K1380" s="46">
        <f t="shared" si="337"/>
        <v>0</v>
      </c>
      <c r="L1380" s="47">
        <v>0</v>
      </c>
      <c r="AX1380" s="46">
        <v>0.33329999999999999</v>
      </c>
      <c r="AY1380" s="47">
        <v>52.050119467499997</v>
      </c>
      <c r="AZ1380" s="70">
        <f t="shared" si="338"/>
        <v>0</v>
      </c>
      <c r="BC1380" s="50"/>
    </row>
    <row r="1381" spans="1:55" s="48" customFormat="1" ht="27.75" customHeight="1" outlineLevel="1" x14ac:dyDescent="0.25">
      <c r="A1381" s="42">
        <v>13</v>
      </c>
      <c r="B1381" s="43" t="s">
        <v>907</v>
      </c>
      <c r="C1381" s="44" t="s">
        <v>61</v>
      </c>
      <c r="D1381" s="45">
        <v>8</v>
      </c>
      <c r="E1381" s="45">
        <v>10.4428</v>
      </c>
      <c r="F1381" s="45">
        <f t="shared" si="333"/>
        <v>83.542400000000001</v>
      </c>
      <c r="G1381" s="46">
        <f t="shared" si="334"/>
        <v>0</v>
      </c>
      <c r="H1381" s="47">
        <f t="shared" si="335"/>
        <v>0</v>
      </c>
      <c r="I1381" s="46">
        <f t="shared" si="336"/>
        <v>0</v>
      </c>
      <c r="J1381" s="47">
        <v>0</v>
      </c>
      <c r="K1381" s="46">
        <f t="shared" si="337"/>
        <v>0</v>
      </c>
      <c r="L1381" s="47">
        <v>0</v>
      </c>
      <c r="AX1381" s="46">
        <v>0.33329999999999999</v>
      </c>
      <c r="AY1381" s="47">
        <v>148.71462704999999</v>
      </c>
      <c r="AZ1381" s="70">
        <f t="shared" si="338"/>
        <v>0</v>
      </c>
      <c r="BC1381" s="50"/>
    </row>
    <row r="1382" spans="1:55" s="48" customFormat="1" ht="15.45" customHeight="1" outlineLevel="1" x14ac:dyDescent="0.25">
      <c r="A1382" s="42">
        <v>14</v>
      </c>
      <c r="B1382" s="43" t="s">
        <v>908</v>
      </c>
      <c r="C1382" s="44" t="s">
        <v>61</v>
      </c>
      <c r="D1382" s="45">
        <v>8</v>
      </c>
      <c r="E1382" s="45">
        <v>10.502000000000001</v>
      </c>
      <c r="F1382" s="45">
        <f t="shared" si="333"/>
        <v>84.016000000000005</v>
      </c>
      <c r="G1382" s="46">
        <f t="shared" si="334"/>
        <v>0</v>
      </c>
      <c r="H1382" s="47">
        <f t="shared" si="335"/>
        <v>0</v>
      </c>
      <c r="I1382" s="46">
        <f t="shared" si="336"/>
        <v>0</v>
      </c>
      <c r="J1382" s="47">
        <v>0</v>
      </c>
      <c r="K1382" s="46">
        <f t="shared" si="337"/>
        <v>0</v>
      </c>
      <c r="L1382" s="47">
        <v>0</v>
      </c>
      <c r="AX1382" s="46">
        <v>0.33329999999999999</v>
      </c>
      <c r="AY1382" s="47">
        <v>434.06586907200011</v>
      </c>
      <c r="AZ1382" s="70">
        <f t="shared" si="338"/>
        <v>0</v>
      </c>
      <c r="BC1382" s="50"/>
    </row>
    <row r="1383" spans="1:55" s="48" customFormat="1" ht="27.75" customHeight="1" outlineLevel="1" x14ac:dyDescent="0.25">
      <c r="A1383" s="42">
        <v>15</v>
      </c>
      <c r="B1383" s="43" t="s">
        <v>909</v>
      </c>
      <c r="C1383" s="44" t="s">
        <v>61</v>
      </c>
      <c r="D1383" s="45">
        <v>7</v>
      </c>
      <c r="E1383" s="45">
        <v>10.4734</v>
      </c>
      <c r="F1383" s="45">
        <f t="shared" si="333"/>
        <v>73.313800000000001</v>
      </c>
      <c r="G1383" s="46">
        <f t="shared" si="334"/>
        <v>0</v>
      </c>
      <c r="H1383" s="47">
        <f t="shared" si="335"/>
        <v>0</v>
      </c>
      <c r="I1383" s="46">
        <f t="shared" si="336"/>
        <v>0</v>
      </c>
      <c r="J1383" s="47">
        <v>0</v>
      </c>
      <c r="K1383" s="46">
        <f t="shared" si="337"/>
        <v>0</v>
      </c>
      <c r="L1383" s="47">
        <v>0</v>
      </c>
      <c r="AX1383" s="46">
        <v>0.33329999999999999</v>
      </c>
      <c r="AY1383" s="47">
        <v>325.54940180400013</v>
      </c>
      <c r="AZ1383" s="70">
        <f t="shared" si="338"/>
        <v>0</v>
      </c>
      <c r="BC1383" s="50"/>
    </row>
    <row r="1384" spans="1:55" s="48" customFormat="1" ht="15.45" customHeight="1" outlineLevel="1" x14ac:dyDescent="0.25">
      <c r="A1384" s="42">
        <v>16</v>
      </c>
      <c r="B1384" s="43" t="s">
        <v>910</v>
      </c>
      <c r="C1384" s="44" t="s">
        <v>61</v>
      </c>
      <c r="D1384" s="45">
        <v>7</v>
      </c>
      <c r="E1384" s="45">
        <v>14.979799999999999</v>
      </c>
      <c r="F1384" s="45">
        <f t="shared" si="333"/>
        <v>104.8586</v>
      </c>
      <c r="G1384" s="46">
        <f t="shared" si="334"/>
        <v>0</v>
      </c>
      <c r="H1384" s="47">
        <f t="shared" si="335"/>
        <v>0</v>
      </c>
      <c r="I1384" s="46">
        <f t="shared" si="336"/>
        <v>0</v>
      </c>
      <c r="J1384" s="47">
        <v>0</v>
      </c>
      <c r="K1384" s="46">
        <f t="shared" si="337"/>
        <v>0</v>
      </c>
      <c r="L1384" s="47">
        <v>0</v>
      </c>
      <c r="AX1384" s="46">
        <v>0</v>
      </c>
      <c r="AY1384" s="47">
        <v>0</v>
      </c>
      <c r="AZ1384" s="70">
        <f t="shared" si="338"/>
        <v>0</v>
      </c>
      <c r="BC1384" s="50"/>
    </row>
    <row r="1385" spans="1:55" s="48" customFormat="1" ht="27.75" customHeight="1" outlineLevel="1" x14ac:dyDescent="0.25">
      <c r="A1385" s="42">
        <v>17</v>
      </c>
      <c r="B1385" s="43" t="s">
        <v>911</v>
      </c>
      <c r="C1385" s="44" t="s">
        <v>93</v>
      </c>
      <c r="D1385" s="45">
        <v>6</v>
      </c>
      <c r="E1385" s="45">
        <v>120.001</v>
      </c>
      <c r="F1385" s="45">
        <f t="shared" si="333"/>
        <v>720.00600000000009</v>
      </c>
      <c r="G1385" s="46">
        <f t="shared" si="334"/>
        <v>0</v>
      </c>
      <c r="H1385" s="47">
        <f t="shared" si="335"/>
        <v>0</v>
      </c>
      <c r="I1385" s="46">
        <f t="shared" si="336"/>
        <v>0</v>
      </c>
      <c r="J1385" s="47">
        <v>0</v>
      </c>
      <c r="K1385" s="46">
        <f t="shared" si="337"/>
        <v>0</v>
      </c>
      <c r="L1385" s="47">
        <v>0</v>
      </c>
      <c r="AX1385" s="46">
        <v>0</v>
      </c>
      <c r="AY1385" s="47">
        <v>0</v>
      </c>
      <c r="AZ1385" s="70">
        <f t="shared" si="338"/>
        <v>0</v>
      </c>
      <c r="BC1385" s="50"/>
    </row>
    <row r="1386" spans="1:55" s="48" customFormat="1" ht="15.45" customHeight="1" outlineLevel="1" x14ac:dyDescent="0.25">
      <c r="A1386" s="42">
        <v>18</v>
      </c>
      <c r="B1386" s="43" t="s">
        <v>912</v>
      </c>
      <c r="C1386" s="44" t="s">
        <v>93</v>
      </c>
      <c r="D1386" s="45">
        <v>2</v>
      </c>
      <c r="E1386" s="45">
        <v>59.706800000000008</v>
      </c>
      <c r="F1386" s="45">
        <f t="shared" si="333"/>
        <v>119.41360000000002</v>
      </c>
      <c r="G1386" s="46">
        <f t="shared" si="334"/>
        <v>0</v>
      </c>
      <c r="H1386" s="47">
        <f t="shared" si="335"/>
        <v>0</v>
      </c>
      <c r="I1386" s="46">
        <f t="shared" si="336"/>
        <v>0</v>
      </c>
      <c r="J1386" s="47">
        <v>0</v>
      </c>
      <c r="K1386" s="46">
        <f t="shared" si="337"/>
        <v>0</v>
      </c>
      <c r="L1386" s="47">
        <v>0</v>
      </c>
      <c r="AX1386" s="46">
        <v>0.33329999999999999</v>
      </c>
      <c r="AY1386" s="47">
        <v>555.20970707664003</v>
      </c>
      <c r="AZ1386" s="70">
        <f t="shared" si="338"/>
        <v>0</v>
      </c>
      <c r="BC1386" s="50"/>
    </row>
    <row r="1387" spans="1:55" s="48" customFormat="1" ht="15.45" customHeight="1" outlineLevel="1" x14ac:dyDescent="0.25">
      <c r="A1387" s="42">
        <v>19</v>
      </c>
      <c r="B1387" s="43" t="s">
        <v>913</v>
      </c>
      <c r="C1387" s="44" t="s">
        <v>93</v>
      </c>
      <c r="D1387" s="45">
        <v>4</v>
      </c>
      <c r="E1387" s="45">
        <v>31.48340000000001</v>
      </c>
      <c r="F1387" s="45">
        <f t="shared" si="333"/>
        <v>125.93360000000004</v>
      </c>
      <c r="G1387" s="46">
        <f t="shared" si="334"/>
        <v>0</v>
      </c>
      <c r="H1387" s="47">
        <f t="shared" si="335"/>
        <v>0</v>
      </c>
      <c r="I1387" s="46">
        <f t="shared" si="336"/>
        <v>0</v>
      </c>
      <c r="J1387" s="47">
        <v>0</v>
      </c>
      <c r="K1387" s="46">
        <f t="shared" si="337"/>
        <v>0</v>
      </c>
      <c r="L1387" s="47">
        <v>0</v>
      </c>
      <c r="AX1387" s="46">
        <v>0</v>
      </c>
      <c r="AY1387" s="47">
        <v>0</v>
      </c>
      <c r="AZ1387" s="70">
        <f t="shared" si="338"/>
        <v>0</v>
      </c>
      <c r="BC1387" s="50"/>
    </row>
    <row r="1388" spans="1:55" s="48" customFormat="1" ht="15.45" customHeight="1" outlineLevel="1" x14ac:dyDescent="0.25">
      <c r="A1388" s="42">
        <v>20</v>
      </c>
      <c r="B1388" s="43" t="s">
        <v>914</v>
      </c>
      <c r="C1388" s="44" t="s">
        <v>93</v>
      </c>
      <c r="D1388" s="45">
        <v>8</v>
      </c>
      <c r="E1388" s="45">
        <v>2.2808000000000002</v>
      </c>
      <c r="F1388" s="45">
        <f t="shared" si="333"/>
        <v>18.246400000000001</v>
      </c>
      <c r="G1388" s="46">
        <f t="shared" si="334"/>
        <v>0</v>
      </c>
      <c r="H1388" s="47">
        <f t="shared" si="335"/>
        <v>0</v>
      </c>
      <c r="I1388" s="46">
        <f t="shared" si="336"/>
        <v>0</v>
      </c>
      <c r="J1388" s="47">
        <v>0</v>
      </c>
      <c r="K1388" s="46">
        <f t="shared" si="337"/>
        <v>0</v>
      </c>
      <c r="L1388" s="47">
        <v>0</v>
      </c>
      <c r="AX1388" s="46">
        <v>0</v>
      </c>
      <c r="AY1388" s="47">
        <v>0</v>
      </c>
      <c r="AZ1388" s="70">
        <f t="shared" si="338"/>
        <v>0</v>
      </c>
      <c r="BC1388" s="50"/>
    </row>
    <row r="1389" spans="1:55" s="48" customFormat="1" ht="15.45" customHeight="1" outlineLevel="1" x14ac:dyDescent="0.25">
      <c r="A1389" s="42">
        <v>21</v>
      </c>
      <c r="B1389" s="43" t="s">
        <v>915</v>
      </c>
      <c r="C1389" s="44" t="s">
        <v>93</v>
      </c>
      <c r="D1389" s="45">
        <v>2</v>
      </c>
      <c r="E1389" s="45">
        <v>11.960599999999999</v>
      </c>
      <c r="F1389" s="45">
        <f t="shared" si="333"/>
        <v>23.921199999999999</v>
      </c>
      <c r="G1389" s="46">
        <f t="shared" si="334"/>
        <v>0</v>
      </c>
      <c r="H1389" s="47">
        <f t="shared" si="335"/>
        <v>0</v>
      </c>
      <c r="I1389" s="46">
        <f t="shared" si="336"/>
        <v>0</v>
      </c>
      <c r="J1389" s="47">
        <v>0</v>
      </c>
      <c r="K1389" s="46">
        <f t="shared" si="337"/>
        <v>0</v>
      </c>
      <c r="L1389" s="47">
        <v>0</v>
      </c>
      <c r="AX1389" s="46">
        <v>0.33329999999999999</v>
      </c>
      <c r="AY1389" s="47">
        <v>157.64543388000001</v>
      </c>
      <c r="AZ1389" s="70">
        <f t="shared" si="338"/>
        <v>0</v>
      </c>
      <c r="BC1389" s="50"/>
    </row>
    <row r="1390" spans="1:55" s="48" customFormat="1" ht="15.45" customHeight="1" outlineLevel="1" x14ac:dyDescent="0.25">
      <c r="A1390" s="42">
        <v>22</v>
      </c>
      <c r="B1390" s="43" t="s">
        <v>916</v>
      </c>
      <c r="C1390" s="44" t="s">
        <v>93</v>
      </c>
      <c r="D1390" s="45">
        <v>2</v>
      </c>
      <c r="E1390" s="45">
        <v>12.174799999999999</v>
      </c>
      <c r="F1390" s="45">
        <f t="shared" si="333"/>
        <v>24.349599999999999</v>
      </c>
      <c r="G1390" s="46">
        <f t="shared" si="334"/>
        <v>0</v>
      </c>
      <c r="H1390" s="47">
        <f t="shared" si="335"/>
        <v>0</v>
      </c>
      <c r="I1390" s="46">
        <f t="shared" si="336"/>
        <v>0</v>
      </c>
      <c r="J1390" s="47">
        <v>0</v>
      </c>
      <c r="K1390" s="46">
        <f t="shared" si="337"/>
        <v>0</v>
      </c>
      <c r="L1390" s="47">
        <v>0</v>
      </c>
      <c r="AX1390" s="46">
        <v>0.33329999999999999</v>
      </c>
      <c r="AY1390" s="47">
        <v>24.785771175000001</v>
      </c>
      <c r="AZ1390" s="70">
        <f t="shared" si="338"/>
        <v>0</v>
      </c>
      <c r="BC1390" s="50"/>
    </row>
    <row r="1391" spans="1:55" s="48" customFormat="1" ht="15.45" customHeight="1" outlineLevel="1" x14ac:dyDescent="0.25">
      <c r="A1391" s="42">
        <v>23</v>
      </c>
      <c r="B1391" s="43" t="s">
        <v>917</v>
      </c>
      <c r="C1391" s="44" t="s">
        <v>93</v>
      </c>
      <c r="D1391" s="45">
        <v>4</v>
      </c>
      <c r="E1391" s="45">
        <v>4.8817999999999993</v>
      </c>
      <c r="F1391" s="45">
        <f t="shared" si="333"/>
        <v>19.527199999999997</v>
      </c>
      <c r="G1391" s="46">
        <f t="shared" si="334"/>
        <v>0</v>
      </c>
      <c r="H1391" s="47">
        <f t="shared" si="335"/>
        <v>0</v>
      </c>
      <c r="I1391" s="46">
        <f t="shared" si="336"/>
        <v>0</v>
      </c>
      <c r="J1391" s="47">
        <v>0</v>
      </c>
      <c r="K1391" s="46">
        <f t="shared" si="337"/>
        <v>0</v>
      </c>
      <c r="L1391" s="47">
        <v>0</v>
      </c>
      <c r="AX1391" s="46">
        <v>0.33329999999999999</v>
      </c>
      <c r="AY1391" s="47">
        <v>86.849342197199988</v>
      </c>
      <c r="AZ1391" s="70">
        <f t="shared" si="338"/>
        <v>0</v>
      </c>
      <c r="BC1391" s="50"/>
    </row>
    <row r="1392" spans="1:55" s="48" customFormat="1" ht="27.75" customHeight="1" outlineLevel="1" x14ac:dyDescent="0.25">
      <c r="A1392" s="42">
        <v>24</v>
      </c>
      <c r="B1392" s="43" t="s">
        <v>918</v>
      </c>
      <c r="C1392" s="44" t="s">
        <v>61</v>
      </c>
      <c r="D1392" s="45">
        <v>7</v>
      </c>
      <c r="E1392" s="45">
        <v>14.7982</v>
      </c>
      <c r="F1392" s="45">
        <f t="shared" si="333"/>
        <v>103.5874</v>
      </c>
      <c r="G1392" s="46">
        <f t="shared" si="334"/>
        <v>0</v>
      </c>
      <c r="H1392" s="47">
        <f t="shared" si="335"/>
        <v>0</v>
      </c>
      <c r="I1392" s="46">
        <f t="shared" si="336"/>
        <v>0</v>
      </c>
      <c r="J1392" s="47">
        <v>0</v>
      </c>
      <c r="K1392" s="46">
        <f t="shared" si="337"/>
        <v>0</v>
      </c>
      <c r="L1392" s="47">
        <v>0</v>
      </c>
      <c r="AX1392" s="46">
        <v>0.33329999999999999</v>
      </c>
      <c r="AY1392" s="47">
        <v>34.182687189420001</v>
      </c>
      <c r="AZ1392" s="70">
        <f t="shared" si="338"/>
        <v>0</v>
      </c>
      <c r="BC1392" s="50"/>
    </row>
    <row r="1393" spans="1:55" s="48" customFormat="1" ht="27.75" customHeight="1" outlineLevel="1" x14ac:dyDescent="0.25">
      <c r="A1393" s="42">
        <v>25</v>
      </c>
      <c r="B1393" s="43" t="s">
        <v>919</v>
      </c>
      <c r="C1393" s="44" t="s">
        <v>61</v>
      </c>
      <c r="D1393" s="45">
        <v>7</v>
      </c>
      <c r="E1393" s="45">
        <v>50.506400000000014</v>
      </c>
      <c r="F1393" s="45">
        <f t="shared" si="333"/>
        <v>353.54480000000012</v>
      </c>
      <c r="G1393" s="46">
        <f t="shared" si="334"/>
        <v>0</v>
      </c>
      <c r="H1393" s="47">
        <f t="shared" si="335"/>
        <v>0</v>
      </c>
      <c r="I1393" s="46">
        <f t="shared" si="336"/>
        <v>0</v>
      </c>
      <c r="J1393" s="47">
        <v>0</v>
      </c>
      <c r="K1393" s="46">
        <f t="shared" si="337"/>
        <v>0</v>
      </c>
      <c r="L1393" s="47">
        <v>0</v>
      </c>
      <c r="AX1393" s="46">
        <v>0</v>
      </c>
      <c r="AY1393" s="47">
        <v>0</v>
      </c>
      <c r="AZ1393" s="70">
        <f t="shared" si="338"/>
        <v>0</v>
      </c>
      <c r="BC1393" s="50"/>
    </row>
    <row r="1394" spans="1:55" s="48" customFormat="1" ht="15.45" customHeight="1" outlineLevel="1" x14ac:dyDescent="0.25">
      <c r="A1394" s="42">
        <v>26</v>
      </c>
      <c r="B1394" s="43" t="s">
        <v>920</v>
      </c>
      <c r="C1394" s="44" t="s">
        <v>93</v>
      </c>
      <c r="D1394" s="45">
        <v>1</v>
      </c>
      <c r="E1394" s="45">
        <v>17.042200000000001</v>
      </c>
      <c r="F1394" s="45">
        <f t="shared" si="333"/>
        <v>17.042200000000001</v>
      </c>
      <c r="G1394" s="46">
        <f t="shared" si="334"/>
        <v>0</v>
      </c>
      <c r="H1394" s="47">
        <f t="shared" si="335"/>
        <v>0</v>
      </c>
      <c r="I1394" s="46">
        <f t="shared" si="336"/>
        <v>0</v>
      </c>
      <c r="J1394" s="47">
        <v>0</v>
      </c>
      <c r="K1394" s="46">
        <f t="shared" si="337"/>
        <v>0</v>
      </c>
      <c r="L1394" s="47">
        <v>0</v>
      </c>
      <c r="AX1394" s="46">
        <v>0</v>
      </c>
      <c r="AY1394" s="47">
        <v>0</v>
      </c>
      <c r="AZ1394" s="70">
        <f t="shared" si="338"/>
        <v>0</v>
      </c>
      <c r="BC1394" s="50"/>
    </row>
    <row r="1395" spans="1:55" s="48" customFormat="1" ht="15.45" customHeight="1" outlineLevel="1" x14ac:dyDescent="0.25">
      <c r="A1395" s="42">
        <v>27</v>
      </c>
      <c r="B1395" s="43" t="s">
        <v>334</v>
      </c>
      <c r="C1395" s="44" t="s">
        <v>93</v>
      </c>
      <c r="D1395" s="45">
        <v>1</v>
      </c>
      <c r="E1395" s="45">
        <v>31.006</v>
      </c>
      <c r="F1395" s="45">
        <f t="shared" si="333"/>
        <v>31.006</v>
      </c>
      <c r="G1395" s="46">
        <f t="shared" si="334"/>
        <v>0</v>
      </c>
      <c r="H1395" s="47">
        <f t="shared" si="335"/>
        <v>0</v>
      </c>
      <c r="I1395" s="46">
        <f t="shared" si="336"/>
        <v>0</v>
      </c>
      <c r="J1395" s="47">
        <v>0</v>
      </c>
      <c r="K1395" s="46">
        <f t="shared" si="337"/>
        <v>0</v>
      </c>
      <c r="L1395" s="47">
        <v>0</v>
      </c>
      <c r="AX1395" s="46">
        <v>0.33329999999999999</v>
      </c>
      <c r="AY1395" s="47">
        <v>236.76320131200001</v>
      </c>
      <c r="AZ1395" s="70">
        <f t="shared" si="338"/>
        <v>0</v>
      </c>
      <c r="BC1395" s="50"/>
    </row>
    <row r="1396" spans="1:55" s="48" customFormat="1" ht="27.75" customHeight="1" outlineLevel="1" x14ac:dyDescent="0.25">
      <c r="A1396" s="42">
        <v>28</v>
      </c>
      <c r="B1396" s="43" t="s">
        <v>921</v>
      </c>
      <c r="C1396" s="44" t="s">
        <v>98</v>
      </c>
      <c r="D1396" s="45">
        <v>5.3</v>
      </c>
      <c r="E1396" s="45">
        <v>5.9139999999999997</v>
      </c>
      <c r="F1396" s="45">
        <f t="shared" si="333"/>
        <v>31.344199999999997</v>
      </c>
      <c r="G1396" s="46">
        <f t="shared" si="334"/>
        <v>0</v>
      </c>
      <c r="H1396" s="47">
        <f t="shared" si="335"/>
        <v>0</v>
      </c>
      <c r="I1396" s="46">
        <f t="shared" si="336"/>
        <v>0</v>
      </c>
      <c r="J1396" s="47">
        <v>0</v>
      </c>
      <c r="K1396" s="46">
        <f t="shared" si="337"/>
        <v>0</v>
      </c>
      <c r="L1396" s="47">
        <v>0</v>
      </c>
      <c r="AX1396" s="46">
        <v>0</v>
      </c>
      <c r="AY1396" s="47">
        <v>0</v>
      </c>
      <c r="AZ1396" s="70">
        <f t="shared" si="338"/>
        <v>0</v>
      </c>
      <c r="BC1396" s="50"/>
    </row>
    <row r="1397" spans="1:55" s="48" customFormat="1" ht="15.45" customHeight="1" outlineLevel="1" x14ac:dyDescent="0.25">
      <c r="A1397" s="42">
        <v>29</v>
      </c>
      <c r="B1397" s="43" t="s">
        <v>922</v>
      </c>
      <c r="C1397" s="44" t="s">
        <v>98</v>
      </c>
      <c r="D1397" s="45">
        <v>18.28</v>
      </c>
      <c r="E1397" s="45">
        <v>0.9</v>
      </c>
      <c r="F1397" s="45">
        <f t="shared" si="333"/>
        <v>16.452000000000002</v>
      </c>
      <c r="G1397" s="46">
        <f t="shared" si="334"/>
        <v>0</v>
      </c>
      <c r="H1397" s="47">
        <f t="shared" si="335"/>
        <v>0</v>
      </c>
      <c r="I1397" s="46">
        <f t="shared" si="336"/>
        <v>0</v>
      </c>
      <c r="J1397" s="47">
        <v>0</v>
      </c>
      <c r="K1397" s="46">
        <f t="shared" si="337"/>
        <v>0</v>
      </c>
      <c r="L1397" s="47">
        <v>0</v>
      </c>
      <c r="AX1397" s="46">
        <v>0</v>
      </c>
      <c r="AY1397" s="47">
        <v>0</v>
      </c>
      <c r="AZ1397" s="70">
        <f t="shared" si="338"/>
        <v>0</v>
      </c>
      <c r="BC1397" s="50"/>
    </row>
    <row r="1398" spans="1:55" s="48" customFormat="1" ht="27.75" customHeight="1" outlineLevel="1" x14ac:dyDescent="0.25">
      <c r="A1398" s="42">
        <v>30</v>
      </c>
      <c r="B1398" s="43" t="s">
        <v>325</v>
      </c>
      <c r="C1398" s="44" t="s">
        <v>110</v>
      </c>
      <c r="D1398" s="45">
        <v>0.54400000000000004</v>
      </c>
      <c r="E1398" s="45">
        <v>508.26400000000001</v>
      </c>
      <c r="F1398" s="45">
        <f t="shared" si="333"/>
        <v>276.49561600000004</v>
      </c>
      <c r="G1398" s="46">
        <f t="shared" si="334"/>
        <v>0</v>
      </c>
      <c r="H1398" s="47">
        <f t="shared" si="335"/>
        <v>0</v>
      </c>
      <c r="I1398" s="46">
        <f t="shared" si="336"/>
        <v>0</v>
      </c>
      <c r="J1398" s="47">
        <v>0</v>
      </c>
      <c r="K1398" s="46">
        <f t="shared" si="337"/>
        <v>0</v>
      </c>
      <c r="L1398" s="47">
        <v>0</v>
      </c>
      <c r="AX1398" s="46">
        <v>0</v>
      </c>
      <c r="AY1398" s="47">
        <v>0</v>
      </c>
      <c r="AZ1398" s="70">
        <f t="shared" si="338"/>
        <v>0</v>
      </c>
      <c r="BC1398" s="50"/>
    </row>
    <row r="1399" spans="1:55" s="56" customFormat="1" ht="17.25" customHeight="1" x14ac:dyDescent="0.3">
      <c r="A1399" s="62">
        <v>9.14</v>
      </c>
      <c r="B1399" s="51" t="s">
        <v>923</v>
      </c>
      <c r="C1399" s="52">
        <v>0</v>
      </c>
      <c r="D1399" s="53"/>
      <c r="E1399" s="53"/>
      <c r="F1399" s="53"/>
      <c r="G1399" s="54"/>
      <c r="H1399" s="55"/>
      <c r="I1399" s="54"/>
      <c r="J1399" s="55"/>
      <c r="K1399" s="54"/>
      <c r="L1399" s="55">
        <v>0</v>
      </c>
      <c r="AX1399" s="69">
        <v>0.15</v>
      </c>
      <c r="AY1399" s="71">
        <v>449.48489999999998</v>
      </c>
      <c r="AZ1399" s="72">
        <f t="shared" si="338"/>
        <v>0</v>
      </c>
      <c r="BC1399" s="58"/>
    </row>
    <row r="1400" spans="1:55" s="48" customFormat="1" ht="15.45" customHeight="1" outlineLevel="1" x14ac:dyDescent="0.25">
      <c r="A1400" s="42">
        <v>1</v>
      </c>
      <c r="B1400" s="43" t="s">
        <v>924</v>
      </c>
      <c r="C1400" s="44" t="s">
        <v>93</v>
      </c>
      <c r="D1400" s="45">
        <v>5</v>
      </c>
      <c r="E1400" s="45">
        <v>21.426200000000001</v>
      </c>
      <c r="F1400" s="45">
        <f t="shared" ref="F1400:F1431" si="339">+E1400*D1400</f>
        <v>107.131</v>
      </c>
      <c r="G1400" s="46">
        <f t="shared" ref="G1400:G1431" si="340">I1400+K1400</f>
        <v>0</v>
      </c>
      <c r="H1400" s="47">
        <f t="shared" ref="H1400:H1431" si="341">J1400+L1400</f>
        <v>0</v>
      </c>
      <c r="I1400" s="46">
        <f t="shared" ref="I1400:I1431" si="342">J1400/F1400</f>
        <v>0</v>
      </c>
      <c r="J1400" s="47">
        <v>0</v>
      </c>
      <c r="K1400" s="46">
        <f t="shared" ref="K1400:K1431" si="343">L1400/F1400</f>
        <v>0</v>
      </c>
      <c r="L1400" s="47">
        <v>0</v>
      </c>
      <c r="AX1400" s="46">
        <v>0.15</v>
      </c>
      <c r="AY1400" s="47">
        <v>526.05751294430934</v>
      </c>
      <c r="AZ1400" s="70">
        <f t="shared" si="338"/>
        <v>0</v>
      </c>
      <c r="BC1400" s="50"/>
    </row>
    <row r="1401" spans="1:55" s="48" customFormat="1" ht="15.45" customHeight="1" outlineLevel="1" x14ac:dyDescent="0.25">
      <c r="A1401" s="42">
        <v>2</v>
      </c>
      <c r="B1401" s="43" t="s">
        <v>450</v>
      </c>
      <c r="C1401" s="44" t="s">
        <v>93</v>
      </c>
      <c r="D1401" s="45">
        <v>5</v>
      </c>
      <c r="E1401" s="45">
        <v>10.045</v>
      </c>
      <c r="F1401" s="45">
        <f t="shared" si="339"/>
        <v>50.225000000000001</v>
      </c>
      <c r="G1401" s="46">
        <f t="shared" si="340"/>
        <v>0</v>
      </c>
      <c r="H1401" s="47">
        <f t="shared" si="341"/>
        <v>0</v>
      </c>
      <c r="I1401" s="46">
        <f t="shared" si="342"/>
        <v>0</v>
      </c>
      <c r="J1401" s="47">
        <v>0</v>
      </c>
      <c r="K1401" s="46">
        <f t="shared" si="343"/>
        <v>0</v>
      </c>
      <c r="L1401" s="47">
        <v>0</v>
      </c>
      <c r="AX1401" s="46">
        <v>0</v>
      </c>
      <c r="AY1401" s="47">
        <v>0</v>
      </c>
      <c r="AZ1401" s="70">
        <f t="shared" si="338"/>
        <v>0</v>
      </c>
      <c r="BC1401" s="50"/>
    </row>
    <row r="1402" spans="1:55" s="48" customFormat="1" ht="15.45" customHeight="1" outlineLevel="1" x14ac:dyDescent="0.25">
      <c r="A1402" s="42">
        <v>3</v>
      </c>
      <c r="B1402" s="43" t="s">
        <v>925</v>
      </c>
      <c r="C1402" s="44" t="s">
        <v>93</v>
      </c>
      <c r="D1402" s="45">
        <v>1</v>
      </c>
      <c r="E1402" s="45">
        <v>26.21</v>
      </c>
      <c r="F1402" s="45">
        <f t="shared" si="339"/>
        <v>26.21</v>
      </c>
      <c r="G1402" s="46">
        <f t="shared" si="340"/>
        <v>0</v>
      </c>
      <c r="H1402" s="47">
        <f t="shared" si="341"/>
        <v>0</v>
      </c>
      <c r="I1402" s="46">
        <f t="shared" si="342"/>
        <v>0</v>
      </c>
      <c r="J1402" s="47">
        <v>0</v>
      </c>
      <c r="K1402" s="46">
        <f t="shared" si="343"/>
        <v>0</v>
      </c>
      <c r="L1402" s="47">
        <v>0</v>
      </c>
      <c r="AX1402" s="46">
        <v>0</v>
      </c>
      <c r="AY1402" s="47">
        <v>0</v>
      </c>
      <c r="AZ1402" s="70">
        <f t="shared" si="338"/>
        <v>0</v>
      </c>
      <c r="BC1402" s="50"/>
    </row>
    <row r="1403" spans="1:55" s="48" customFormat="1" ht="15.45" customHeight="1" outlineLevel="1" x14ac:dyDescent="0.25">
      <c r="A1403" s="42">
        <v>4</v>
      </c>
      <c r="B1403" s="43" t="s">
        <v>446</v>
      </c>
      <c r="C1403" s="44" t="s">
        <v>93</v>
      </c>
      <c r="D1403" s="45">
        <v>1</v>
      </c>
      <c r="E1403" s="45">
        <v>14.002599999999999</v>
      </c>
      <c r="F1403" s="45">
        <f t="shared" si="339"/>
        <v>14.002599999999999</v>
      </c>
      <c r="G1403" s="46">
        <f t="shared" si="340"/>
        <v>0</v>
      </c>
      <c r="H1403" s="47">
        <f t="shared" si="341"/>
        <v>0</v>
      </c>
      <c r="I1403" s="46">
        <f t="shared" si="342"/>
        <v>0</v>
      </c>
      <c r="J1403" s="47">
        <v>0</v>
      </c>
      <c r="K1403" s="46">
        <f t="shared" si="343"/>
        <v>0</v>
      </c>
      <c r="L1403" s="47">
        <v>0</v>
      </c>
      <c r="AX1403" s="46">
        <v>0</v>
      </c>
      <c r="AY1403" s="47">
        <v>0</v>
      </c>
      <c r="AZ1403" s="70">
        <f t="shared" si="338"/>
        <v>0</v>
      </c>
      <c r="BC1403" s="50"/>
    </row>
    <row r="1404" spans="1:55" s="48" customFormat="1" ht="15.45" customHeight="1" outlineLevel="1" x14ac:dyDescent="0.25">
      <c r="A1404" s="42">
        <v>5</v>
      </c>
      <c r="B1404" s="43" t="s">
        <v>926</v>
      </c>
      <c r="C1404" s="44" t="s">
        <v>93</v>
      </c>
      <c r="D1404" s="45">
        <v>5</v>
      </c>
      <c r="E1404" s="45">
        <v>1.4137999999999999</v>
      </c>
      <c r="F1404" s="45">
        <f t="shared" si="339"/>
        <v>7.069</v>
      </c>
      <c r="G1404" s="46">
        <f t="shared" si="340"/>
        <v>0</v>
      </c>
      <c r="H1404" s="47">
        <f t="shared" si="341"/>
        <v>0</v>
      </c>
      <c r="I1404" s="46">
        <f t="shared" si="342"/>
        <v>0</v>
      </c>
      <c r="J1404" s="47">
        <v>0</v>
      </c>
      <c r="K1404" s="46">
        <f t="shared" si="343"/>
        <v>0</v>
      </c>
      <c r="L1404" s="47">
        <v>0</v>
      </c>
      <c r="AX1404" s="46">
        <v>0.15</v>
      </c>
      <c r="AY1404" s="47">
        <v>44.353096874999991</v>
      </c>
      <c r="AZ1404" s="70">
        <f t="shared" si="338"/>
        <v>0</v>
      </c>
      <c r="BC1404" s="50"/>
    </row>
    <row r="1405" spans="1:55" s="48" customFormat="1" ht="15.45" customHeight="1" outlineLevel="1" x14ac:dyDescent="0.25">
      <c r="A1405" s="42">
        <v>6</v>
      </c>
      <c r="B1405" s="43" t="s">
        <v>927</v>
      </c>
      <c r="C1405" s="44" t="s">
        <v>93</v>
      </c>
      <c r="D1405" s="45">
        <v>1</v>
      </c>
      <c r="E1405" s="45">
        <v>3.3212000000000002</v>
      </c>
      <c r="F1405" s="45">
        <f t="shared" si="339"/>
        <v>3.3212000000000002</v>
      </c>
      <c r="G1405" s="46">
        <f t="shared" si="340"/>
        <v>0</v>
      </c>
      <c r="H1405" s="47">
        <f t="shared" si="341"/>
        <v>0</v>
      </c>
      <c r="I1405" s="46">
        <f t="shared" si="342"/>
        <v>0</v>
      </c>
      <c r="J1405" s="47">
        <v>0</v>
      </c>
      <c r="K1405" s="46">
        <f t="shared" si="343"/>
        <v>0</v>
      </c>
      <c r="L1405" s="47">
        <v>0</v>
      </c>
      <c r="AX1405" s="46">
        <v>0.15</v>
      </c>
      <c r="AY1405" s="47">
        <v>842.78418749999992</v>
      </c>
      <c r="AZ1405" s="70">
        <f t="shared" si="338"/>
        <v>0</v>
      </c>
      <c r="BC1405" s="50"/>
    </row>
    <row r="1406" spans="1:55" s="48" customFormat="1" ht="15.45" customHeight="1" outlineLevel="1" x14ac:dyDescent="0.25">
      <c r="A1406" s="42">
        <v>7</v>
      </c>
      <c r="B1406" s="43" t="s">
        <v>928</v>
      </c>
      <c r="C1406" s="44" t="s">
        <v>93</v>
      </c>
      <c r="D1406" s="45">
        <v>1</v>
      </c>
      <c r="E1406" s="45">
        <v>9.7064000000000004</v>
      </c>
      <c r="F1406" s="45">
        <f t="shared" si="339"/>
        <v>9.7064000000000004</v>
      </c>
      <c r="G1406" s="46">
        <f t="shared" si="340"/>
        <v>0</v>
      </c>
      <c r="H1406" s="47">
        <f t="shared" si="341"/>
        <v>0</v>
      </c>
      <c r="I1406" s="46">
        <f t="shared" si="342"/>
        <v>0</v>
      </c>
      <c r="J1406" s="47">
        <v>0</v>
      </c>
      <c r="K1406" s="46">
        <f t="shared" si="343"/>
        <v>0</v>
      </c>
      <c r="L1406" s="47">
        <v>0</v>
      </c>
      <c r="AX1406" s="46">
        <v>0.15</v>
      </c>
      <c r="AY1406" s="47">
        <v>326.7437968598195</v>
      </c>
      <c r="AZ1406" s="70">
        <f t="shared" si="338"/>
        <v>0</v>
      </c>
      <c r="BC1406" s="50"/>
    </row>
    <row r="1407" spans="1:55" s="48" customFormat="1" ht="15.45" customHeight="1" outlineLevel="1" x14ac:dyDescent="0.25">
      <c r="A1407" s="42">
        <v>8</v>
      </c>
      <c r="B1407" s="43" t="s">
        <v>456</v>
      </c>
      <c r="C1407" s="44" t="s">
        <v>234</v>
      </c>
      <c r="D1407" s="45">
        <v>1</v>
      </c>
      <c r="E1407" s="45">
        <v>134.3912</v>
      </c>
      <c r="F1407" s="45">
        <f t="shared" si="339"/>
        <v>134.3912</v>
      </c>
      <c r="G1407" s="46">
        <f t="shared" si="340"/>
        <v>0</v>
      </c>
      <c r="H1407" s="47">
        <f t="shared" si="341"/>
        <v>0</v>
      </c>
      <c r="I1407" s="46">
        <f t="shared" si="342"/>
        <v>0</v>
      </c>
      <c r="J1407" s="47">
        <v>0</v>
      </c>
      <c r="K1407" s="46">
        <f t="shared" si="343"/>
        <v>0</v>
      </c>
      <c r="L1407" s="47">
        <v>0</v>
      </c>
      <c r="AX1407" s="46">
        <v>0</v>
      </c>
      <c r="AY1407" s="47">
        <v>0</v>
      </c>
      <c r="AZ1407" s="70">
        <f t="shared" si="338"/>
        <v>0</v>
      </c>
      <c r="BC1407" s="50"/>
    </row>
    <row r="1408" spans="1:55" s="48" customFormat="1" ht="15.45" customHeight="1" outlineLevel="1" x14ac:dyDescent="0.25">
      <c r="A1408" s="42">
        <v>9</v>
      </c>
      <c r="B1408" s="43" t="s">
        <v>457</v>
      </c>
      <c r="C1408" s="44" t="s">
        <v>93</v>
      </c>
      <c r="D1408" s="45">
        <v>1</v>
      </c>
      <c r="E1408" s="45">
        <v>16.807600000000001</v>
      </c>
      <c r="F1408" s="45">
        <f t="shared" si="339"/>
        <v>16.807600000000001</v>
      </c>
      <c r="G1408" s="46">
        <f t="shared" si="340"/>
        <v>0</v>
      </c>
      <c r="H1408" s="47">
        <f t="shared" si="341"/>
        <v>0</v>
      </c>
      <c r="I1408" s="46">
        <f t="shared" si="342"/>
        <v>0</v>
      </c>
      <c r="J1408" s="47">
        <v>0</v>
      </c>
      <c r="K1408" s="46">
        <f t="shared" si="343"/>
        <v>0</v>
      </c>
      <c r="L1408" s="47">
        <v>0</v>
      </c>
      <c r="AX1408" s="46">
        <v>0</v>
      </c>
      <c r="AY1408" s="47">
        <v>0</v>
      </c>
      <c r="AZ1408" s="70">
        <f t="shared" si="338"/>
        <v>0</v>
      </c>
      <c r="BC1408" s="50"/>
    </row>
    <row r="1409" spans="1:55" s="48" customFormat="1" ht="27.75" customHeight="1" outlineLevel="1" x14ac:dyDescent="0.25">
      <c r="A1409" s="42">
        <v>10</v>
      </c>
      <c r="B1409" s="43" t="s">
        <v>929</v>
      </c>
      <c r="C1409" s="44" t="s">
        <v>93</v>
      </c>
      <c r="D1409" s="45">
        <v>1</v>
      </c>
      <c r="E1409" s="45">
        <v>6.5444000000000004</v>
      </c>
      <c r="F1409" s="45">
        <f t="shared" si="339"/>
        <v>6.5444000000000004</v>
      </c>
      <c r="G1409" s="46">
        <f t="shared" si="340"/>
        <v>0</v>
      </c>
      <c r="H1409" s="47">
        <f t="shared" si="341"/>
        <v>0</v>
      </c>
      <c r="I1409" s="46">
        <f t="shared" si="342"/>
        <v>0</v>
      </c>
      <c r="J1409" s="47">
        <v>0</v>
      </c>
      <c r="K1409" s="46">
        <f t="shared" si="343"/>
        <v>0</v>
      </c>
      <c r="L1409" s="47">
        <v>0</v>
      </c>
      <c r="AX1409" s="46">
        <v>0</v>
      </c>
      <c r="AY1409" s="47">
        <v>0</v>
      </c>
      <c r="AZ1409" s="70">
        <f t="shared" si="338"/>
        <v>0</v>
      </c>
      <c r="BC1409" s="50"/>
    </row>
    <row r="1410" spans="1:55" s="48" customFormat="1" ht="54.75" customHeight="1" outlineLevel="1" x14ac:dyDescent="0.25">
      <c r="A1410" s="42">
        <v>11</v>
      </c>
      <c r="B1410" s="43" t="s">
        <v>930</v>
      </c>
      <c r="C1410" s="44" t="s">
        <v>93</v>
      </c>
      <c r="D1410" s="45">
        <v>1</v>
      </c>
      <c r="E1410" s="45">
        <v>7.0135999999999994</v>
      </c>
      <c r="F1410" s="45">
        <f t="shared" si="339"/>
        <v>7.0135999999999994</v>
      </c>
      <c r="G1410" s="46">
        <f t="shared" si="340"/>
        <v>0</v>
      </c>
      <c r="H1410" s="47">
        <f t="shared" si="341"/>
        <v>0</v>
      </c>
      <c r="I1410" s="46">
        <f t="shared" si="342"/>
        <v>0</v>
      </c>
      <c r="J1410" s="47">
        <v>0</v>
      </c>
      <c r="K1410" s="46">
        <f t="shared" si="343"/>
        <v>0</v>
      </c>
      <c r="L1410" s="47">
        <v>0</v>
      </c>
      <c r="AX1410" s="46">
        <v>0</v>
      </c>
      <c r="AY1410" s="47">
        <v>0</v>
      </c>
      <c r="AZ1410" s="70">
        <f t="shared" si="338"/>
        <v>0</v>
      </c>
      <c r="BC1410" s="50"/>
    </row>
    <row r="1411" spans="1:55" s="48" customFormat="1" ht="15.45" customHeight="1" outlineLevel="1" x14ac:dyDescent="0.25">
      <c r="A1411" s="42">
        <v>12</v>
      </c>
      <c r="B1411" s="43" t="s">
        <v>464</v>
      </c>
      <c r="C1411" s="44" t="s">
        <v>93</v>
      </c>
      <c r="D1411" s="45">
        <v>2</v>
      </c>
      <c r="E1411" s="45">
        <v>9.1780000000000008</v>
      </c>
      <c r="F1411" s="45">
        <f t="shared" si="339"/>
        <v>18.356000000000002</v>
      </c>
      <c r="G1411" s="46">
        <f t="shared" si="340"/>
        <v>0</v>
      </c>
      <c r="H1411" s="47">
        <f t="shared" si="341"/>
        <v>0</v>
      </c>
      <c r="I1411" s="46">
        <f t="shared" si="342"/>
        <v>0</v>
      </c>
      <c r="J1411" s="47">
        <v>0</v>
      </c>
      <c r="K1411" s="46">
        <f t="shared" si="343"/>
        <v>0</v>
      </c>
      <c r="L1411" s="47">
        <v>0</v>
      </c>
      <c r="AX1411" s="46">
        <v>0</v>
      </c>
      <c r="AY1411" s="47">
        <v>0</v>
      </c>
      <c r="AZ1411" s="70">
        <f t="shared" si="338"/>
        <v>0</v>
      </c>
      <c r="BC1411" s="50"/>
    </row>
    <row r="1412" spans="1:55" s="48" customFormat="1" ht="15.45" customHeight="1" outlineLevel="1" x14ac:dyDescent="0.25">
      <c r="A1412" s="42">
        <v>13</v>
      </c>
      <c r="B1412" s="43" t="s">
        <v>465</v>
      </c>
      <c r="C1412" s="44" t="s">
        <v>93</v>
      </c>
      <c r="D1412" s="45">
        <v>2</v>
      </c>
      <c r="E1412" s="45">
        <v>0.9</v>
      </c>
      <c r="F1412" s="45">
        <f t="shared" si="339"/>
        <v>1.8</v>
      </c>
      <c r="G1412" s="46">
        <f t="shared" si="340"/>
        <v>0</v>
      </c>
      <c r="H1412" s="47">
        <f t="shared" si="341"/>
        <v>0</v>
      </c>
      <c r="I1412" s="46">
        <f t="shared" si="342"/>
        <v>0</v>
      </c>
      <c r="J1412" s="47">
        <v>0</v>
      </c>
      <c r="K1412" s="46">
        <f t="shared" si="343"/>
        <v>0</v>
      </c>
      <c r="L1412" s="47">
        <v>0</v>
      </c>
      <c r="AX1412" s="46">
        <v>0</v>
      </c>
      <c r="AY1412" s="47">
        <v>0</v>
      </c>
      <c r="AZ1412" s="70">
        <f t="shared" si="338"/>
        <v>0</v>
      </c>
      <c r="BC1412" s="50"/>
    </row>
    <row r="1413" spans="1:55" s="48" customFormat="1" ht="27.75" customHeight="1" outlineLevel="1" x14ac:dyDescent="0.25">
      <c r="A1413" s="42">
        <v>14</v>
      </c>
      <c r="B1413" s="43" t="s">
        <v>402</v>
      </c>
      <c r="C1413" s="44" t="s">
        <v>93</v>
      </c>
      <c r="D1413" s="45">
        <v>2</v>
      </c>
      <c r="E1413" s="45">
        <v>0.9</v>
      </c>
      <c r="F1413" s="45">
        <f t="shared" si="339"/>
        <v>1.8</v>
      </c>
      <c r="G1413" s="46">
        <f t="shared" si="340"/>
        <v>0</v>
      </c>
      <c r="H1413" s="47">
        <f t="shared" si="341"/>
        <v>0</v>
      </c>
      <c r="I1413" s="46">
        <f t="shared" si="342"/>
        <v>0</v>
      </c>
      <c r="J1413" s="47">
        <v>0</v>
      </c>
      <c r="K1413" s="46">
        <f t="shared" si="343"/>
        <v>0</v>
      </c>
      <c r="L1413" s="47">
        <v>0</v>
      </c>
      <c r="AX1413" s="46">
        <v>0.75</v>
      </c>
      <c r="AY1413" s="47">
        <v>1477.809600000001</v>
      </c>
      <c r="AZ1413" s="70">
        <f t="shared" si="338"/>
        <v>0</v>
      </c>
      <c r="BC1413" s="50"/>
    </row>
    <row r="1414" spans="1:55" s="48" customFormat="1" ht="15.45" customHeight="1" outlineLevel="1" x14ac:dyDescent="0.25">
      <c r="A1414" s="42">
        <v>15</v>
      </c>
      <c r="B1414" s="43" t="s">
        <v>686</v>
      </c>
      <c r="C1414" s="44" t="s">
        <v>93</v>
      </c>
      <c r="D1414" s="45">
        <v>1</v>
      </c>
      <c r="E1414" s="45">
        <v>82.779199999999989</v>
      </c>
      <c r="F1414" s="45">
        <f t="shared" si="339"/>
        <v>82.779199999999989</v>
      </c>
      <c r="G1414" s="46">
        <f t="shared" si="340"/>
        <v>0</v>
      </c>
      <c r="H1414" s="47">
        <f t="shared" si="341"/>
        <v>0</v>
      </c>
      <c r="I1414" s="46">
        <f t="shared" si="342"/>
        <v>0</v>
      </c>
      <c r="J1414" s="47">
        <v>0</v>
      </c>
      <c r="K1414" s="46">
        <f t="shared" si="343"/>
        <v>0</v>
      </c>
      <c r="L1414" s="47">
        <v>0</v>
      </c>
      <c r="AX1414" s="46">
        <v>0.75</v>
      </c>
      <c r="AY1414" s="47">
        <v>6486.6977999999981</v>
      </c>
      <c r="AZ1414" s="70">
        <f t="shared" si="338"/>
        <v>0</v>
      </c>
      <c r="BC1414" s="50"/>
    </row>
    <row r="1415" spans="1:55" s="48" customFormat="1" ht="15.45" customHeight="1" outlineLevel="1" x14ac:dyDescent="0.25">
      <c r="A1415" s="42">
        <v>16</v>
      </c>
      <c r="B1415" s="43" t="s">
        <v>931</v>
      </c>
      <c r="C1415" s="44" t="s">
        <v>93</v>
      </c>
      <c r="D1415" s="45">
        <v>5</v>
      </c>
      <c r="E1415" s="45">
        <v>1.2505999999999999</v>
      </c>
      <c r="F1415" s="45">
        <f t="shared" si="339"/>
        <v>6.2530000000000001</v>
      </c>
      <c r="G1415" s="46">
        <f t="shared" si="340"/>
        <v>0</v>
      </c>
      <c r="H1415" s="47">
        <f t="shared" si="341"/>
        <v>0</v>
      </c>
      <c r="I1415" s="46">
        <f t="shared" si="342"/>
        <v>0</v>
      </c>
      <c r="J1415" s="47">
        <v>0</v>
      </c>
      <c r="K1415" s="46">
        <f t="shared" si="343"/>
        <v>0</v>
      </c>
      <c r="L1415" s="47">
        <v>0</v>
      </c>
      <c r="AX1415" s="46">
        <v>0.75</v>
      </c>
      <c r="AY1415" s="47">
        <v>5925.1800000000012</v>
      </c>
      <c r="AZ1415" s="70">
        <f t="shared" si="338"/>
        <v>0</v>
      </c>
      <c r="BC1415" s="50"/>
    </row>
    <row r="1416" spans="1:55" s="48" customFormat="1" ht="15.45" customHeight="1" outlineLevel="1" x14ac:dyDescent="0.25">
      <c r="A1416" s="42">
        <v>17</v>
      </c>
      <c r="B1416" s="43" t="s">
        <v>503</v>
      </c>
      <c r="C1416" s="44" t="s">
        <v>93</v>
      </c>
      <c r="D1416" s="45">
        <v>5</v>
      </c>
      <c r="E1416" s="45">
        <v>13.2784</v>
      </c>
      <c r="F1416" s="45">
        <f t="shared" si="339"/>
        <v>66.391999999999996</v>
      </c>
      <c r="G1416" s="46">
        <f t="shared" si="340"/>
        <v>0</v>
      </c>
      <c r="H1416" s="47">
        <f t="shared" si="341"/>
        <v>0</v>
      </c>
      <c r="I1416" s="46">
        <f t="shared" si="342"/>
        <v>0</v>
      </c>
      <c r="J1416" s="47">
        <v>0</v>
      </c>
      <c r="K1416" s="46">
        <f t="shared" si="343"/>
        <v>0</v>
      </c>
      <c r="L1416" s="47">
        <v>0</v>
      </c>
      <c r="AX1416" s="46">
        <v>0</v>
      </c>
      <c r="AY1416" s="47">
        <v>0</v>
      </c>
      <c r="AZ1416" s="70">
        <f t="shared" si="338"/>
        <v>0</v>
      </c>
      <c r="BC1416" s="50"/>
    </row>
    <row r="1417" spans="1:55" s="48" customFormat="1" ht="27.75" customHeight="1" outlineLevel="1" x14ac:dyDescent="0.25">
      <c r="A1417" s="42">
        <v>18</v>
      </c>
      <c r="B1417" s="43" t="s">
        <v>932</v>
      </c>
      <c r="C1417" s="44" t="s">
        <v>61</v>
      </c>
      <c r="D1417" s="45">
        <v>40</v>
      </c>
      <c r="E1417" s="45">
        <v>0.9</v>
      </c>
      <c r="F1417" s="45">
        <f t="shared" si="339"/>
        <v>36</v>
      </c>
      <c r="G1417" s="46">
        <f t="shared" si="340"/>
        <v>0</v>
      </c>
      <c r="H1417" s="47">
        <f t="shared" si="341"/>
        <v>0</v>
      </c>
      <c r="I1417" s="46">
        <f t="shared" si="342"/>
        <v>0</v>
      </c>
      <c r="J1417" s="47">
        <v>0</v>
      </c>
      <c r="K1417" s="46">
        <f t="shared" si="343"/>
        <v>0</v>
      </c>
      <c r="L1417" s="47">
        <v>0</v>
      </c>
      <c r="AX1417" s="46">
        <v>0</v>
      </c>
      <c r="AY1417" s="47">
        <v>0</v>
      </c>
      <c r="AZ1417" s="70">
        <f t="shared" si="338"/>
        <v>0</v>
      </c>
      <c r="BC1417" s="50"/>
    </row>
    <row r="1418" spans="1:55" s="48" customFormat="1" ht="27.75" customHeight="1" outlineLevel="1" x14ac:dyDescent="0.25">
      <c r="A1418" s="42">
        <v>19</v>
      </c>
      <c r="B1418" s="43" t="s">
        <v>407</v>
      </c>
      <c r="C1418" s="44" t="s">
        <v>61</v>
      </c>
      <c r="D1418" s="45">
        <v>40</v>
      </c>
      <c r="E1418" s="45">
        <v>2.242</v>
      </c>
      <c r="F1418" s="45">
        <f t="shared" si="339"/>
        <v>89.68</v>
      </c>
      <c r="G1418" s="46">
        <f t="shared" si="340"/>
        <v>0</v>
      </c>
      <c r="H1418" s="47">
        <f t="shared" si="341"/>
        <v>0</v>
      </c>
      <c r="I1418" s="46">
        <f t="shared" si="342"/>
        <v>0</v>
      </c>
      <c r="J1418" s="47">
        <v>0</v>
      </c>
      <c r="K1418" s="46">
        <f t="shared" si="343"/>
        <v>0</v>
      </c>
      <c r="L1418" s="47">
        <v>0</v>
      </c>
      <c r="AX1418" s="46">
        <v>0.75</v>
      </c>
      <c r="AY1418" s="47">
        <v>3072.4050000000002</v>
      </c>
      <c r="AZ1418" s="70">
        <f t="shared" si="338"/>
        <v>0</v>
      </c>
      <c r="BC1418" s="50"/>
    </row>
    <row r="1419" spans="1:55" s="48" customFormat="1" ht="15.45" customHeight="1" outlineLevel="1" x14ac:dyDescent="0.25">
      <c r="A1419" s="42">
        <v>20</v>
      </c>
      <c r="B1419" s="43" t="s">
        <v>417</v>
      </c>
      <c r="C1419" s="44" t="s">
        <v>61</v>
      </c>
      <c r="D1419" s="45">
        <v>40</v>
      </c>
      <c r="E1419" s="45">
        <v>2.2999999999999998</v>
      </c>
      <c r="F1419" s="45">
        <f t="shared" si="339"/>
        <v>92</v>
      </c>
      <c r="G1419" s="46">
        <f t="shared" si="340"/>
        <v>0</v>
      </c>
      <c r="H1419" s="47">
        <f t="shared" si="341"/>
        <v>0</v>
      </c>
      <c r="I1419" s="46">
        <f t="shared" si="342"/>
        <v>0</v>
      </c>
      <c r="J1419" s="47">
        <v>0</v>
      </c>
      <c r="K1419" s="46">
        <f t="shared" si="343"/>
        <v>0</v>
      </c>
      <c r="L1419" s="47">
        <v>0</v>
      </c>
      <c r="AX1419" s="46">
        <v>0.75</v>
      </c>
      <c r="AY1419" s="47">
        <v>174.27</v>
      </c>
      <c r="AZ1419" s="70">
        <f t="shared" si="338"/>
        <v>0</v>
      </c>
      <c r="BC1419" s="50"/>
    </row>
    <row r="1420" spans="1:55" s="48" customFormat="1" ht="27.75" customHeight="1" outlineLevel="1" x14ac:dyDescent="0.25">
      <c r="A1420" s="42">
        <v>21</v>
      </c>
      <c r="B1420" s="43" t="s">
        <v>469</v>
      </c>
      <c r="C1420" s="44" t="s">
        <v>61</v>
      </c>
      <c r="D1420" s="45">
        <v>40</v>
      </c>
      <c r="E1420" s="45">
        <v>2.0379999999999998</v>
      </c>
      <c r="F1420" s="45">
        <f t="shared" si="339"/>
        <v>81.52</v>
      </c>
      <c r="G1420" s="46">
        <f t="shared" si="340"/>
        <v>0</v>
      </c>
      <c r="H1420" s="47">
        <f t="shared" si="341"/>
        <v>0</v>
      </c>
      <c r="I1420" s="46">
        <f t="shared" si="342"/>
        <v>0</v>
      </c>
      <c r="J1420" s="47">
        <v>0</v>
      </c>
      <c r="K1420" s="46">
        <f t="shared" si="343"/>
        <v>0</v>
      </c>
      <c r="L1420" s="47">
        <v>0</v>
      </c>
      <c r="AX1420" s="46">
        <v>0.75</v>
      </c>
      <c r="AY1420" s="47">
        <v>1521.2339999999999</v>
      </c>
      <c r="AZ1420" s="70">
        <f t="shared" si="338"/>
        <v>0</v>
      </c>
      <c r="BC1420" s="50"/>
    </row>
    <row r="1421" spans="1:55" s="48" customFormat="1" ht="27.75" customHeight="1" outlineLevel="1" x14ac:dyDescent="0.25">
      <c r="A1421" s="42">
        <v>22</v>
      </c>
      <c r="B1421" s="43" t="s">
        <v>933</v>
      </c>
      <c r="C1421" s="44" t="s">
        <v>93</v>
      </c>
      <c r="D1421" s="45">
        <v>1</v>
      </c>
      <c r="E1421" s="45">
        <v>51.811999999999998</v>
      </c>
      <c r="F1421" s="45">
        <f t="shared" si="339"/>
        <v>51.811999999999998</v>
      </c>
      <c r="G1421" s="46">
        <f t="shared" si="340"/>
        <v>0</v>
      </c>
      <c r="H1421" s="47">
        <f t="shared" si="341"/>
        <v>0</v>
      </c>
      <c r="I1421" s="46">
        <f t="shared" si="342"/>
        <v>0</v>
      </c>
      <c r="J1421" s="47">
        <v>0</v>
      </c>
      <c r="K1421" s="46">
        <f t="shared" si="343"/>
        <v>0</v>
      </c>
      <c r="L1421" s="47">
        <v>0</v>
      </c>
      <c r="AX1421" s="46">
        <v>0.75</v>
      </c>
      <c r="AY1421" s="47">
        <v>139.416</v>
      </c>
      <c r="AZ1421" s="70">
        <f t="shared" si="338"/>
        <v>0</v>
      </c>
      <c r="BC1421" s="50"/>
    </row>
    <row r="1422" spans="1:55" s="48" customFormat="1" ht="27.75" customHeight="1" outlineLevel="1" x14ac:dyDescent="0.25">
      <c r="A1422" s="42">
        <v>23</v>
      </c>
      <c r="B1422" s="43" t="s">
        <v>370</v>
      </c>
      <c r="C1422" s="44" t="s">
        <v>93</v>
      </c>
      <c r="D1422" s="45">
        <v>1</v>
      </c>
      <c r="E1422" s="45">
        <v>36.146799999999999</v>
      </c>
      <c r="F1422" s="45">
        <f t="shared" si="339"/>
        <v>36.146799999999999</v>
      </c>
      <c r="G1422" s="46">
        <f t="shared" si="340"/>
        <v>0</v>
      </c>
      <c r="H1422" s="47">
        <f t="shared" si="341"/>
        <v>0</v>
      </c>
      <c r="I1422" s="46">
        <f t="shared" si="342"/>
        <v>0</v>
      </c>
      <c r="J1422" s="47">
        <v>0</v>
      </c>
      <c r="K1422" s="46">
        <f t="shared" si="343"/>
        <v>0</v>
      </c>
      <c r="L1422" s="47">
        <v>0</v>
      </c>
      <c r="AX1422" s="46">
        <v>0</v>
      </c>
      <c r="AY1422" s="47">
        <v>0</v>
      </c>
      <c r="AZ1422" s="70">
        <f t="shared" si="338"/>
        <v>0</v>
      </c>
      <c r="BC1422" s="50"/>
    </row>
    <row r="1423" spans="1:55" s="48" customFormat="1" ht="15.45" customHeight="1" outlineLevel="1" x14ac:dyDescent="0.25">
      <c r="A1423" s="42">
        <v>24</v>
      </c>
      <c r="B1423" s="43" t="s">
        <v>360</v>
      </c>
      <c r="C1423" s="44" t="s">
        <v>93</v>
      </c>
      <c r="D1423" s="45">
        <v>1</v>
      </c>
      <c r="E1423" s="45">
        <v>20.79</v>
      </c>
      <c r="F1423" s="45">
        <f t="shared" si="339"/>
        <v>20.79</v>
      </c>
      <c r="G1423" s="46">
        <f t="shared" si="340"/>
        <v>0</v>
      </c>
      <c r="H1423" s="47">
        <f t="shared" si="341"/>
        <v>0</v>
      </c>
      <c r="I1423" s="46">
        <f t="shared" si="342"/>
        <v>0</v>
      </c>
      <c r="J1423" s="47">
        <v>0</v>
      </c>
      <c r="K1423" s="46">
        <f t="shared" si="343"/>
        <v>0</v>
      </c>
      <c r="L1423" s="47">
        <v>0</v>
      </c>
      <c r="AX1423" s="46">
        <v>0</v>
      </c>
      <c r="AY1423" s="47">
        <v>0</v>
      </c>
      <c r="AZ1423" s="70">
        <f t="shared" si="338"/>
        <v>0</v>
      </c>
      <c r="BC1423" s="50"/>
    </row>
    <row r="1424" spans="1:55" s="48" customFormat="1" ht="15.45" customHeight="1" outlineLevel="1" x14ac:dyDescent="0.25">
      <c r="A1424" s="42">
        <v>25</v>
      </c>
      <c r="B1424" s="43" t="s">
        <v>934</v>
      </c>
      <c r="C1424" s="44" t="s">
        <v>93</v>
      </c>
      <c r="D1424" s="45">
        <v>6</v>
      </c>
      <c r="E1424" s="45">
        <v>20.498000000000001</v>
      </c>
      <c r="F1424" s="45">
        <f t="shared" si="339"/>
        <v>122.988</v>
      </c>
      <c r="G1424" s="46">
        <f t="shared" si="340"/>
        <v>0</v>
      </c>
      <c r="H1424" s="47">
        <f t="shared" si="341"/>
        <v>0</v>
      </c>
      <c r="I1424" s="46">
        <f t="shared" si="342"/>
        <v>0</v>
      </c>
      <c r="J1424" s="47">
        <v>0</v>
      </c>
      <c r="K1424" s="46">
        <f t="shared" si="343"/>
        <v>0</v>
      </c>
      <c r="L1424" s="47">
        <v>0</v>
      </c>
      <c r="AX1424" s="46">
        <v>0</v>
      </c>
      <c r="AY1424" s="47">
        <v>0</v>
      </c>
      <c r="AZ1424" s="70">
        <f t="shared" si="338"/>
        <v>0</v>
      </c>
      <c r="BC1424" s="50"/>
    </row>
    <row r="1425" spans="1:55" s="48" customFormat="1" ht="15.45" customHeight="1" outlineLevel="1" x14ac:dyDescent="0.25">
      <c r="A1425" s="42">
        <v>26</v>
      </c>
      <c r="B1425" s="43" t="s">
        <v>372</v>
      </c>
      <c r="C1425" s="44" t="s">
        <v>93</v>
      </c>
      <c r="D1425" s="45">
        <v>7</v>
      </c>
      <c r="E1425" s="45">
        <v>4.3921999999999999</v>
      </c>
      <c r="F1425" s="45">
        <f t="shared" si="339"/>
        <v>30.7454</v>
      </c>
      <c r="G1425" s="46">
        <f t="shared" si="340"/>
        <v>0</v>
      </c>
      <c r="H1425" s="47">
        <f t="shared" si="341"/>
        <v>0</v>
      </c>
      <c r="I1425" s="46">
        <f t="shared" si="342"/>
        <v>0</v>
      </c>
      <c r="J1425" s="47">
        <v>0</v>
      </c>
      <c r="K1425" s="46">
        <f t="shared" si="343"/>
        <v>0</v>
      </c>
      <c r="L1425" s="47">
        <v>0</v>
      </c>
      <c r="AX1425" s="46">
        <v>0</v>
      </c>
      <c r="AY1425" s="47">
        <v>0</v>
      </c>
      <c r="AZ1425" s="70">
        <f t="shared" si="338"/>
        <v>0</v>
      </c>
      <c r="BC1425" s="50"/>
    </row>
    <row r="1426" spans="1:55" s="48" customFormat="1" ht="15.45" customHeight="1" outlineLevel="1" x14ac:dyDescent="0.25">
      <c r="A1426" s="42">
        <v>27</v>
      </c>
      <c r="B1426" s="43" t="s">
        <v>378</v>
      </c>
      <c r="C1426" s="44" t="s">
        <v>93</v>
      </c>
      <c r="D1426" s="45">
        <v>3</v>
      </c>
      <c r="E1426" s="45">
        <v>4.3921999999999999</v>
      </c>
      <c r="F1426" s="45">
        <f t="shared" si="339"/>
        <v>13.176600000000001</v>
      </c>
      <c r="G1426" s="46">
        <f t="shared" si="340"/>
        <v>0</v>
      </c>
      <c r="H1426" s="47">
        <f t="shared" si="341"/>
        <v>0</v>
      </c>
      <c r="I1426" s="46">
        <f t="shared" si="342"/>
        <v>0</v>
      </c>
      <c r="J1426" s="47">
        <v>0</v>
      </c>
      <c r="K1426" s="46">
        <f t="shared" si="343"/>
        <v>0</v>
      </c>
      <c r="L1426" s="47">
        <v>0</v>
      </c>
      <c r="AX1426" s="46">
        <v>0</v>
      </c>
      <c r="AY1426" s="47">
        <v>0</v>
      </c>
      <c r="AZ1426" s="70">
        <f t="shared" si="338"/>
        <v>0</v>
      </c>
      <c r="BC1426" s="50"/>
    </row>
    <row r="1427" spans="1:55" s="48" customFormat="1" ht="15.45" customHeight="1" outlineLevel="1" x14ac:dyDescent="0.25">
      <c r="A1427" s="42">
        <v>28</v>
      </c>
      <c r="B1427" s="43" t="s">
        <v>362</v>
      </c>
      <c r="C1427" s="44" t="s">
        <v>93</v>
      </c>
      <c r="D1427" s="45">
        <v>17</v>
      </c>
      <c r="E1427" s="45">
        <v>14.879799999999999</v>
      </c>
      <c r="F1427" s="45">
        <f t="shared" si="339"/>
        <v>252.95659999999998</v>
      </c>
      <c r="G1427" s="46">
        <f t="shared" si="340"/>
        <v>0</v>
      </c>
      <c r="H1427" s="47">
        <f t="shared" si="341"/>
        <v>0</v>
      </c>
      <c r="I1427" s="46">
        <f t="shared" si="342"/>
        <v>0</v>
      </c>
      <c r="J1427" s="47">
        <v>0</v>
      </c>
      <c r="K1427" s="46">
        <f t="shared" si="343"/>
        <v>0</v>
      </c>
      <c r="L1427" s="47">
        <v>0</v>
      </c>
      <c r="AX1427" s="46">
        <v>0</v>
      </c>
      <c r="AY1427" s="47">
        <v>0</v>
      </c>
      <c r="AZ1427" s="70">
        <f t="shared" si="338"/>
        <v>0</v>
      </c>
      <c r="BC1427" s="50"/>
    </row>
    <row r="1428" spans="1:55" s="48" customFormat="1" ht="15.45" customHeight="1" outlineLevel="1" x14ac:dyDescent="0.25">
      <c r="A1428" s="42">
        <v>29</v>
      </c>
      <c r="B1428" s="43" t="s">
        <v>935</v>
      </c>
      <c r="C1428" s="44" t="s">
        <v>93</v>
      </c>
      <c r="D1428" s="45">
        <v>1</v>
      </c>
      <c r="E1428" s="45">
        <v>10.930400000000001</v>
      </c>
      <c r="F1428" s="45">
        <f t="shared" si="339"/>
        <v>10.930400000000001</v>
      </c>
      <c r="G1428" s="46">
        <f t="shared" si="340"/>
        <v>0</v>
      </c>
      <c r="H1428" s="47">
        <f t="shared" si="341"/>
        <v>0</v>
      </c>
      <c r="I1428" s="46">
        <f t="shared" si="342"/>
        <v>0</v>
      </c>
      <c r="J1428" s="47">
        <v>0</v>
      </c>
      <c r="K1428" s="46">
        <f t="shared" si="343"/>
        <v>0</v>
      </c>
      <c r="L1428" s="47">
        <v>0</v>
      </c>
      <c r="AX1428" s="46">
        <v>0</v>
      </c>
      <c r="AY1428" s="47">
        <v>0</v>
      </c>
      <c r="AZ1428" s="70">
        <f t="shared" si="338"/>
        <v>0</v>
      </c>
      <c r="BC1428" s="50"/>
    </row>
    <row r="1429" spans="1:55" s="48" customFormat="1" ht="15.45" customHeight="1" outlineLevel="1" x14ac:dyDescent="0.25">
      <c r="A1429" s="42">
        <v>30</v>
      </c>
      <c r="B1429" s="43" t="s">
        <v>362</v>
      </c>
      <c r="C1429" s="44" t="s">
        <v>93</v>
      </c>
      <c r="D1429" s="45">
        <v>1</v>
      </c>
      <c r="E1429" s="45">
        <v>14.879799999999999</v>
      </c>
      <c r="F1429" s="45">
        <f t="shared" si="339"/>
        <v>14.879799999999999</v>
      </c>
      <c r="G1429" s="46">
        <f t="shared" si="340"/>
        <v>0</v>
      </c>
      <c r="H1429" s="47">
        <f t="shared" si="341"/>
        <v>0</v>
      </c>
      <c r="I1429" s="46">
        <f t="shared" si="342"/>
        <v>0</v>
      </c>
      <c r="J1429" s="47">
        <v>0</v>
      </c>
      <c r="K1429" s="46">
        <f t="shared" si="343"/>
        <v>0</v>
      </c>
      <c r="L1429" s="47">
        <v>0</v>
      </c>
      <c r="AX1429" s="46">
        <v>0</v>
      </c>
      <c r="AY1429" s="47">
        <v>0</v>
      </c>
      <c r="AZ1429" s="70">
        <f t="shared" si="338"/>
        <v>0</v>
      </c>
      <c r="BC1429" s="50"/>
    </row>
    <row r="1430" spans="1:55" s="48" customFormat="1" ht="15.45" customHeight="1" outlineLevel="1" x14ac:dyDescent="0.25">
      <c r="A1430" s="42">
        <v>31</v>
      </c>
      <c r="B1430" s="43" t="s">
        <v>468</v>
      </c>
      <c r="C1430" s="44" t="s">
        <v>61</v>
      </c>
      <c r="D1430" s="45">
        <v>3</v>
      </c>
      <c r="E1430" s="45">
        <v>4.4499999999999993</v>
      </c>
      <c r="F1430" s="45">
        <f t="shared" si="339"/>
        <v>13.349999999999998</v>
      </c>
      <c r="G1430" s="46">
        <f t="shared" si="340"/>
        <v>0</v>
      </c>
      <c r="H1430" s="47">
        <f t="shared" si="341"/>
        <v>0</v>
      </c>
      <c r="I1430" s="46">
        <f t="shared" si="342"/>
        <v>0</v>
      </c>
      <c r="J1430" s="47">
        <v>0</v>
      </c>
      <c r="K1430" s="46">
        <f t="shared" si="343"/>
        <v>0</v>
      </c>
      <c r="L1430" s="47">
        <v>0</v>
      </c>
      <c r="AX1430" s="46">
        <v>0</v>
      </c>
      <c r="AY1430" s="47">
        <v>0</v>
      </c>
      <c r="AZ1430" s="70">
        <f t="shared" si="338"/>
        <v>0</v>
      </c>
      <c r="BC1430" s="50"/>
    </row>
    <row r="1431" spans="1:55" s="48" customFormat="1" ht="15.45" customHeight="1" outlineLevel="1" x14ac:dyDescent="0.25">
      <c r="A1431" s="42">
        <v>32</v>
      </c>
      <c r="B1431" s="43" t="s">
        <v>419</v>
      </c>
      <c r="C1431" s="44" t="s">
        <v>61</v>
      </c>
      <c r="D1431" s="45">
        <v>2</v>
      </c>
      <c r="E1431" s="45">
        <v>6.2209999999999992</v>
      </c>
      <c r="F1431" s="45">
        <f t="shared" si="339"/>
        <v>12.441999999999998</v>
      </c>
      <c r="G1431" s="46">
        <f t="shared" si="340"/>
        <v>0</v>
      </c>
      <c r="H1431" s="47">
        <f t="shared" si="341"/>
        <v>0</v>
      </c>
      <c r="I1431" s="46">
        <f t="shared" si="342"/>
        <v>0</v>
      </c>
      <c r="J1431" s="47">
        <v>0</v>
      </c>
      <c r="K1431" s="46">
        <f t="shared" si="343"/>
        <v>0</v>
      </c>
      <c r="L1431" s="47">
        <v>0</v>
      </c>
      <c r="AX1431" s="46">
        <v>0</v>
      </c>
      <c r="AY1431" s="47">
        <v>0</v>
      </c>
      <c r="AZ1431" s="70">
        <f t="shared" si="338"/>
        <v>0</v>
      </c>
      <c r="BC1431" s="50"/>
    </row>
    <row r="1432" spans="1:55" s="48" customFormat="1" ht="15.45" customHeight="1" outlineLevel="1" x14ac:dyDescent="0.25">
      <c r="A1432" s="42">
        <v>33</v>
      </c>
      <c r="B1432" s="43" t="s">
        <v>936</v>
      </c>
      <c r="C1432" s="44" t="s">
        <v>93</v>
      </c>
      <c r="D1432" s="45">
        <v>4</v>
      </c>
      <c r="E1432" s="45">
        <v>15.887600000000001</v>
      </c>
      <c r="F1432" s="45">
        <f t="shared" ref="F1432:F1463" si="344">+E1432*D1432</f>
        <v>63.550400000000003</v>
      </c>
      <c r="G1432" s="46">
        <f t="shared" ref="G1432:G1449" si="345">I1432+K1432</f>
        <v>0</v>
      </c>
      <c r="H1432" s="47">
        <f t="shared" ref="H1432:H1449" si="346">J1432+L1432</f>
        <v>0</v>
      </c>
      <c r="I1432" s="46">
        <f t="shared" ref="I1432:I1463" si="347">J1432/F1432</f>
        <v>0</v>
      </c>
      <c r="J1432" s="47">
        <v>0</v>
      </c>
      <c r="K1432" s="46">
        <f t="shared" ref="K1432:K1463" si="348">L1432/F1432</f>
        <v>0</v>
      </c>
      <c r="L1432" s="47">
        <v>0</v>
      </c>
      <c r="AX1432" s="46">
        <v>0</v>
      </c>
      <c r="AY1432" s="47">
        <v>0</v>
      </c>
      <c r="AZ1432" s="70">
        <f t="shared" si="338"/>
        <v>0</v>
      </c>
      <c r="BC1432" s="50"/>
    </row>
    <row r="1433" spans="1:55" s="48" customFormat="1" ht="15.45" customHeight="1" outlineLevel="1" x14ac:dyDescent="0.25">
      <c r="A1433" s="42">
        <v>34</v>
      </c>
      <c r="B1433" s="43" t="s">
        <v>937</v>
      </c>
      <c r="C1433" s="44" t="s">
        <v>93</v>
      </c>
      <c r="D1433" s="45">
        <v>2</v>
      </c>
      <c r="E1433" s="45">
        <v>20.844799999999999</v>
      </c>
      <c r="F1433" s="45">
        <f t="shared" si="344"/>
        <v>41.689599999999999</v>
      </c>
      <c r="G1433" s="46">
        <f t="shared" si="345"/>
        <v>0</v>
      </c>
      <c r="H1433" s="47">
        <f t="shared" si="346"/>
        <v>0</v>
      </c>
      <c r="I1433" s="46">
        <f t="shared" si="347"/>
        <v>0</v>
      </c>
      <c r="J1433" s="47">
        <v>0</v>
      </c>
      <c r="K1433" s="46">
        <f t="shared" si="348"/>
        <v>0</v>
      </c>
      <c r="L1433" s="47">
        <v>0</v>
      </c>
      <c r="AX1433" s="46">
        <v>0</v>
      </c>
      <c r="AY1433" s="47">
        <v>0</v>
      </c>
      <c r="AZ1433" s="70">
        <f t="shared" si="338"/>
        <v>0</v>
      </c>
      <c r="BC1433" s="50"/>
    </row>
    <row r="1434" spans="1:55" s="48" customFormat="1" ht="27.75" customHeight="1" outlineLevel="1" x14ac:dyDescent="0.25">
      <c r="A1434" s="42">
        <v>35</v>
      </c>
      <c r="B1434" s="43" t="s">
        <v>386</v>
      </c>
      <c r="C1434" s="44" t="s">
        <v>93</v>
      </c>
      <c r="D1434" s="45">
        <v>6</v>
      </c>
      <c r="E1434" s="45">
        <v>29.598400000000002</v>
      </c>
      <c r="F1434" s="45">
        <f t="shared" si="344"/>
        <v>177.59040000000002</v>
      </c>
      <c r="G1434" s="46">
        <f t="shared" si="345"/>
        <v>0</v>
      </c>
      <c r="H1434" s="47">
        <f t="shared" si="346"/>
        <v>0</v>
      </c>
      <c r="I1434" s="46">
        <f t="shared" si="347"/>
        <v>0</v>
      </c>
      <c r="J1434" s="47">
        <v>0</v>
      </c>
      <c r="K1434" s="46">
        <f t="shared" si="348"/>
        <v>0</v>
      </c>
      <c r="L1434" s="47">
        <v>0</v>
      </c>
      <c r="AX1434" s="46">
        <v>0</v>
      </c>
      <c r="AY1434" s="47">
        <v>0</v>
      </c>
      <c r="AZ1434" s="70">
        <f t="shared" ref="AZ1434:AZ1457" si="349">H1434-J1434</f>
        <v>0</v>
      </c>
      <c r="BC1434" s="50"/>
    </row>
    <row r="1435" spans="1:55" s="48" customFormat="1" ht="15.45" customHeight="1" outlineLevel="1" x14ac:dyDescent="0.25">
      <c r="A1435" s="42">
        <v>36</v>
      </c>
      <c r="B1435" s="43" t="s">
        <v>938</v>
      </c>
      <c r="C1435" s="44" t="s">
        <v>93</v>
      </c>
      <c r="D1435" s="45">
        <v>6</v>
      </c>
      <c r="E1435" s="45">
        <v>13.990399999999999</v>
      </c>
      <c r="F1435" s="45">
        <f t="shared" si="344"/>
        <v>83.942399999999992</v>
      </c>
      <c r="G1435" s="46">
        <f t="shared" si="345"/>
        <v>0</v>
      </c>
      <c r="H1435" s="47">
        <f t="shared" si="346"/>
        <v>0</v>
      </c>
      <c r="I1435" s="46">
        <f t="shared" si="347"/>
        <v>0</v>
      </c>
      <c r="J1435" s="47">
        <v>0</v>
      </c>
      <c r="K1435" s="46">
        <f t="shared" si="348"/>
        <v>0</v>
      </c>
      <c r="L1435" s="47">
        <v>0</v>
      </c>
      <c r="AX1435" s="46">
        <v>0</v>
      </c>
      <c r="AY1435" s="47">
        <v>0</v>
      </c>
      <c r="AZ1435" s="70">
        <f t="shared" si="349"/>
        <v>0</v>
      </c>
      <c r="BC1435" s="50"/>
    </row>
    <row r="1436" spans="1:55" s="48" customFormat="1" ht="27.75" customHeight="1" outlineLevel="1" x14ac:dyDescent="0.25">
      <c r="A1436" s="42">
        <v>37</v>
      </c>
      <c r="B1436" s="43" t="s">
        <v>388</v>
      </c>
      <c r="C1436" s="44" t="s">
        <v>93</v>
      </c>
      <c r="D1436" s="45">
        <v>6</v>
      </c>
      <c r="E1436" s="45">
        <v>21.183399999999999</v>
      </c>
      <c r="F1436" s="45">
        <f t="shared" si="344"/>
        <v>127.10039999999999</v>
      </c>
      <c r="G1436" s="46">
        <f t="shared" si="345"/>
        <v>0</v>
      </c>
      <c r="H1436" s="47">
        <f t="shared" si="346"/>
        <v>0</v>
      </c>
      <c r="I1436" s="46">
        <f t="shared" si="347"/>
        <v>0</v>
      </c>
      <c r="J1436" s="47">
        <v>0</v>
      </c>
      <c r="K1436" s="46">
        <f t="shared" si="348"/>
        <v>0</v>
      </c>
      <c r="L1436" s="47">
        <v>0</v>
      </c>
      <c r="AX1436" s="46">
        <v>0</v>
      </c>
      <c r="AY1436" s="47">
        <v>0</v>
      </c>
      <c r="AZ1436" s="70">
        <f t="shared" si="349"/>
        <v>0</v>
      </c>
      <c r="BC1436" s="50"/>
    </row>
    <row r="1437" spans="1:55" s="48" customFormat="1" ht="15.45" customHeight="1" outlineLevel="1" x14ac:dyDescent="0.25">
      <c r="A1437" s="42">
        <v>38</v>
      </c>
      <c r="B1437" s="43" t="s">
        <v>939</v>
      </c>
      <c r="C1437" s="44" t="s">
        <v>61</v>
      </c>
      <c r="D1437" s="45">
        <v>139</v>
      </c>
      <c r="E1437" s="45">
        <v>0.9</v>
      </c>
      <c r="F1437" s="45">
        <f t="shared" si="344"/>
        <v>125.10000000000001</v>
      </c>
      <c r="G1437" s="46">
        <f t="shared" si="345"/>
        <v>0</v>
      </c>
      <c r="H1437" s="47">
        <f t="shared" si="346"/>
        <v>0</v>
      </c>
      <c r="I1437" s="46">
        <f t="shared" si="347"/>
        <v>0</v>
      </c>
      <c r="J1437" s="47">
        <v>0</v>
      </c>
      <c r="K1437" s="46">
        <f t="shared" si="348"/>
        <v>0</v>
      </c>
      <c r="L1437" s="47">
        <v>0</v>
      </c>
      <c r="AX1437" s="46">
        <v>0</v>
      </c>
      <c r="AY1437" s="47">
        <v>0</v>
      </c>
      <c r="AZ1437" s="70">
        <f t="shared" si="349"/>
        <v>0</v>
      </c>
      <c r="BC1437" s="50"/>
    </row>
    <row r="1438" spans="1:55" s="48" customFormat="1" ht="27.75" customHeight="1" outlineLevel="1" x14ac:dyDescent="0.25">
      <c r="A1438" s="42">
        <v>39</v>
      </c>
      <c r="B1438" s="43" t="s">
        <v>407</v>
      </c>
      <c r="C1438" s="44" t="s">
        <v>61</v>
      </c>
      <c r="D1438" s="45">
        <v>139</v>
      </c>
      <c r="E1438" s="45">
        <v>2.242</v>
      </c>
      <c r="F1438" s="45">
        <f t="shared" si="344"/>
        <v>311.63799999999998</v>
      </c>
      <c r="G1438" s="46">
        <f t="shared" si="345"/>
        <v>0</v>
      </c>
      <c r="H1438" s="47">
        <f t="shared" si="346"/>
        <v>0</v>
      </c>
      <c r="I1438" s="46">
        <f t="shared" si="347"/>
        <v>0</v>
      </c>
      <c r="J1438" s="47">
        <v>0</v>
      </c>
      <c r="K1438" s="46">
        <f t="shared" si="348"/>
        <v>0</v>
      </c>
      <c r="L1438" s="47">
        <v>0</v>
      </c>
      <c r="AX1438" s="46">
        <v>0</v>
      </c>
      <c r="AY1438" s="47">
        <v>0</v>
      </c>
      <c r="AZ1438" s="70">
        <f t="shared" si="349"/>
        <v>0</v>
      </c>
      <c r="BC1438" s="50"/>
    </row>
    <row r="1439" spans="1:55" s="48" customFormat="1" ht="15.45" customHeight="1" outlineLevel="1" x14ac:dyDescent="0.25">
      <c r="A1439" s="42">
        <v>40</v>
      </c>
      <c r="B1439" s="43" t="s">
        <v>411</v>
      </c>
      <c r="C1439" s="44" t="s">
        <v>61</v>
      </c>
      <c r="D1439" s="45">
        <v>18</v>
      </c>
      <c r="E1439" s="45">
        <v>2.7704</v>
      </c>
      <c r="F1439" s="45">
        <f t="shared" si="344"/>
        <v>49.867199999999997</v>
      </c>
      <c r="G1439" s="46">
        <f t="shared" si="345"/>
        <v>0</v>
      </c>
      <c r="H1439" s="47">
        <f t="shared" si="346"/>
        <v>0</v>
      </c>
      <c r="I1439" s="46">
        <f t="shared" si="347"/>
        <v>0</v>
      </c>
      <c r="J1439" s="47">
        <v>0</v>
      </c>
      <c r="K1439" s="46">
        <f t="shared" si="348"/>
        <v>0</v>
      </c>
      <c r="L1439" s="47">
        <v>0</v>
      </c>
      <c r="AX1439" s="46">
        <v>0</v>
      </c>
      <c r="AY1439" s="47">
        <v>0</v>
      </c>
      <c r="AZ1439" s="70">
        <f t="shared" si="349"/>
        <v>0</v>
      </c>
      <c r="BC1439" s="50"/>
    </row>
    <row r="1440" spans="1:55" s="48" customFormat="1" ht="27.75" customHeight="1" outlineLevel="1" x14ac:dyDescent="0.25">
      <c r="A1440" s="42">
        <v>41</v>
      </c>
      <c r="B1440" s="43" t="s">
        <v>412</v>
      </c>
      <c r="C1440" s="44" t="s">
        <v>61</v>
      </c>
      <c r="D1440" s="45">
        <v>18</v>
      </c>
      <c r="E1440" s="45">
        <v>2.548</v>
      </c>
      <c r="F1440" s="45">
        <f t="shared" si="344"/>
        <v>45.864000000000004</v>
      </c>
      <c r="G1440" s="46">
        <f t="shared" si="345"/>
        <v>0</v>
      </c>
      <c r="H1440" s="47">
        <f t="shared" si="346"/>
        <v>0</v>
      </c>
      <c r="I1440" s="46">
        <f t="shared" si="347"/>
        <v>0</v>
      </c>
      <c r="J1440" s="47">
        <v>0</v>
      </c>
      <c r="K1440" s="46">
        <f t="shared" si="348"/>
        <v>0</v>
      </c>
      <c r="L1440" s="47">
        <v>0</v>
      </c>
      <c r="AX1440" s="46">
        <v>0</v>
      </c>
      <c r="AY1440" s="47">
        <v>0</v>
      </c>
      <c r="AZ1440" s="70">
        <f t="shared" si="349"/>
        <v>0</v>
      </c>
      <c r="BC1440" s="50"/>
    </row>
    <row r="1441" spans="1:55" s="48" customFormat="1" ht="15.45" customHeight="1" outlineLevel="1" x14ac:dyDescent="0.25">
      <c r="A1441" s="42">
        <v>42</v>
      </c>
      <c r="B1441" s="43" t="s">
        <v>417</v>
      </c>
      <c r="C1441" s="44" t="s">
        <v>61</v>
      </c>
      <c r="D1441" s="45">
        <v>97</v>
      </c>
      <c r="E1441" s="45">
        <v>2.2999999999999998</v>
      </c>
      <c r="F1441" s="45">
        <f t="shared" si="344"/>
        <v>223.1</v>
      </c>
      <c r="G1441" s="46">
        <f t="shared" si="345"/>
        <v>0</v>
      </c>
      <c r="H1441" s="47">
        <f t="shared" si="346"/>
        <v>0</v>
      </c>
      <c r="I1441" s="46">
        <f t="shared" si="347"/>
        <v>0</v>
      </c>
      <c r="J1441" s="47">
        <v>0</v>
      </c>
      <c r="K1441" s="46">
        <f t="shared" si="348"/>
        <v>0</v>
      </c>
      <c r="L1441" s="47">
        <v>0</v>
      </c>
      <c r="AX1441" s="46">
        <v>0</v>
      </c>
      <c r="AY1441" s="47">
        <v>0</v>
      </c>
      <c r="AZ1441" s="70">
        <f t="shared" si="349"/>
        <v>0</v>
      </c>
      <c r="BC1441" s="50"/>
    </row>
    <row r="1442" spans="1:55" s="48" customFormat="1" ht="15.45" customHeight="1" outlineLevel="1" x14ac:dyDescent="0.25">
      <c r="A1442" s="42">
        <v>43</v>
      </c>
      <c r="B1442" s="43" t="s">
        <v>940</v>
      </c>
      <c r="C1442" s="44" t="s">
        <v>61</v>
      </c>
      <c r="D1442" s="45">
        <v>60</v>
      </c>
      <c r="E1442" s="45">
        <v>3.52</v>
      </c>
      <c r="F1442" s="45">
        <f t="shared" si="344"/>
        <v>211.2</v>
      </c>
      <c r="G1442" s="46">
        <f t="shared" si="345"/>
        <v>0</v>
      </c>
      <c r="H1442" s="47">
        <f t="shared" si="346"/>
        <v>0</v>
      </c>
      <c r="I1442" s="46">
        <f t="shared" si="347"/>
        <v>0</v>
      </c>
      <c r="J1442" s="47">
        <v>0</v>
      </c>
      <c r="K1442" s="46">
        <f t="shared" si="348"/>
        <v>0</v>
      </c>
      <c r="L1442" s="47">
        <v>0</v>
      </c>
      <c r="AX1442" s="46">
        <v>0</v>
      </c>
      <c r="AY1442" s="47">
        <v>0</v>
      </c>
      <c r="AZ1442" s="70">
        <f t="shared" si="349"/>
        <v>0</v>
      </c>
      <c r="BC1442" s="50"/>
    </row>
    <row r="1443" spans="1:55" s="48" customFormat="1" ht="27.75" customHeight="1" outlineLevel="1" x14ac:dyDescent="0.25">
      <c r="A1443" s="42">
        <v>44</v>
      </c>
      <c r="B1443" s="43" t="s">
        <v>469</v>
      </c>
      <c r="C1443" s="44" t="s">
        <v>61</v>
      </c>
      <c r="D1443" s="45">
        <v>157</v>
      </c>
      <c r="E1443" s="45">
        <v>2.0379999999999998</v>
      </c>
      <c r="F1443" s="45">
        <f t="shared" si="344"/>
        <v>319.96599999999995</v>
      </c>
      <c r="G1443" s="46">
        <f t="shared" si="345"/>
        <v>0</v>
      </c>
      <c r="H1443" s="47">
        <f t="shared" si="346"/>
        <v>0</v>
      </c>
      <c r="I1443" s="46">
        <f t="shared" si="347"/>
        <v>0</v>
      </c>
      <c r="J1443" s="47">
        <v>0</v>
      </c>
      <c r="K1443" s="46">
        <f t="shared" si="348"/>
        <v>0</v>
      </c>
      <c r="L1443" s="47">
        <v>0</v>
      </c>
      <c r="AX1443" s="46">
        <v>0</v>
      </c>
      <c r="AY1443" s="47">
        <v>0</v>
      </c>
      <c r="AZ1443" s="70">
        <f t="shared" si="349"/>
        <v>0</v>
      </c>
      <c r="BC1443" s="50"/>
    </row>
    <row r="1444" spans="1:55" s="48" customFormat="1" ht="15.45" customHeight="1" outlineLevel="1" x14ac:dyDescent="0.25">
      <c r="A1444" s="42">
        <v>45</v>
      </c>
      <c r="B1444" s="43" t="s">
        <v>941</v>
      </c>
      <c r="C1444" s="44" t="s">
        <v>130</v>
      </c>
      <c r="D1444" s="45">
        <v>23.4</v>
      </c>
      <c r="E1444" s="45">
        <v>1.4239999999999999</v>
      </c>
      <c r="F1444" s="45">
        <f t="shared" si="344"/>
        <v>33.321599999999997</v>
      </c>
      <c r="G1444" s="46">
        <f t="shared" si="345"/>
        <v>0</v>
      </c>
      <c r="H1444" s="47">
        <f t="shared" si="346"/>
        <v>0</v>
      </c>
      <c r="I1444" s="46">
        <f t="shared" si="347"/>
        <v>0</v>
      </c>
      <c r="J1444" s="47">
        <v>0</v>
      </c>
      <c r="K1444" s="46">
        <f t="shared" si="348"/>
        <v>0</v>
      </c>
      <c r="L1444" s="47">
        <v>0</v>
      </c>
      <c r="AX1444" s="46">
        <v>0</v>
      </c>
      <c r="AY1444" s="47">
        <v>0</v>
      </c>
      <c r="AZ1444" s="70">
        <f t="shared" si="349"/>
        <v>0</v>
      </c>
      <c r="BC1444" s="50"/>
    </row>
    <row r="1445" spans="1:55" s="48" customFormat="1" ht="15.45" customHeight="1" outlineLevel="1" x14ac:dyDescent="0.25">
      <c r="A1445" s="42">
        <v>46</v>
      </c>
      <c r="B1445" s="43" t="s">
        <v>427</v>
      </c>
      <c r="C1445" s="44" t="s">
        <v>93</v>
      </c>
      <c r="D1445" s="45">
        <v>3</v>
      </c>
      <c r="E1445" s="45">
        <v>11.116</v>
      </c>
      <c r="F1445" s="45">
        <f t="shared" si="344"/>
        <v>33.347999999999999</v>
      </c>
      <c r="G1445" s="46">
        <f t="shared" si="345"/>
        <v>0</v>
      </c>
      <c r="H1445" s="47">
        <f t="shared" si="346"/>
        <v>0</v>
      </c>
      <c r="I1445" s="46">
        <f t="shared" si="347"/>
        <v>0</v>
      </c>
      <c r="J1445" s="47">
        <v>0</v>
      </c>
      <c r="K1445" s="46">
        <f t="shared" si="348"/>
        <v>0</v>
      </c>
      <c r="L1445" s="47">
        <v>0</v>
      </c>
      <c r="AX1445" s="46">
        <v>0</v>
      </c>
      <c r="AY1445" s="47">
        <v>0</v>
      </c>
      <c r="AZ1445" s="70">
        <f t="shared" si="349"/>
        <v>0</v>
      </c>
      <c r="BC1445" s="50"/>
    </row>
    <row r="1446" spans="1:55" s="48" customFormat="1" ht="15.45" customHeight="1" outlineLevel="1" x14ac:dyDescent="0.25">
      <c r="A1446" s="42">
        <v>47</v>
      </c>
      <c r="B1446" s="43" t="s">
        <v>428</v>
      </c>
      <c r="C1446" s="44" t="s">
        <v>61</v>
      </c>
      <c r="D1446" s="45">
        <v>20</v>
      </c>
      <c r="E1446" s="45">
        <v>4.9429999999999996</v>
      </c>
      <c r="F1446" s="45">
        <f t="shared" si="344"/>
        <v>98.859999999999985</v>
      </c>
      <c r="G1446" s="46">
        <f t="shared" si="345"/>
        <v>0</v>
      </c>
      <c r="H1446" s="47">
        <f t="shared" si="346"/>
        <v>0</v>
      </c>
      <c r="I1446" s="46">
        <f t="shared" si="347"/>
        <v>0</v>
      </c>
      <c r="J1446" s="47">
        <v>0</v>
      </c>
      <c r="K1446" s="46">
        <f t="shared" si="348"/>
        <v>0</v>
      </c>
      <c r="L1446" s="47">
        <v>0</v>
      </c>
      <c r="AX1446" s="46">
        <v>0</v>
      </c>
      <c r="AY1446" s="47">
        <v>0</v>
      </c>
      <c r="AZ1446" s="70">
        <f t="shared" si="349"/>
        <v>0</v>
      </c>
      <c r="BC1446" s="50"/>
    </row>
    <row r="1447" spans="1:55" s="48" customFormat="1" ht="27.75" customHeight="1" outlineLevel="1" x14ac:dyDescent="0.25">
      <c r="A1447" s="42">
        <v>48</v>
      </c>
      <c r="B1447" s="43" t="s">
        <v>429</v>
      </c>
      <c r="C1447" s="44" t="s">
        <v>61</v>
      </c>
      <c r="D1447" s="45">
        <v>20</v>
      </c>
      <c r="E1447" s="45">
        <v>2.2624</v>
      </c>
      <c r="F1447" s="45">
        <f t="shared" si="344"/>
        <v>45.247999999999998</v>
      </c>
      <c r="G1447" s="46">
        <f t="shared" si="345"/>
        <v>0</v>
      </c>
      <c r="H1447" s="47">
        <f t="shared" si="346"/>
        <v>0</v>
      </c>
      <c r="I1447" s="46">
        <f t="shared" si="347"/>
        <v>0</v>
      </c>
      <c r="J1447" s="47">
        <v>0</v>
      </c>
      <c r="K1447" s="46">
        <f t="shared" si="348"/>
        <v>0</v>
      </c>
      <c r="L1447" s="47">
        <v>0</v>
      </c>
      <c r="AX1447" s="46">
        <v>0</v>
      </c>
      <c r="AY1447" s="47">
        <v>0</v>
      </c>
      <c r="AZ1447" s="70">
        <f t="shared" si="349"/>
        <v>0</v>
      </c>
      <c r="BC1447" s="50"/>
    </row>
    <row r="1448" spans="1:55" s="59" customFormat="1" ht="17.7" customHeight="1" outlineLevel="1" x14ac:dyDescent="0.35">
      <c r="A1448" s="42">
        <v>49</v>
      </c>
      <c r="B1448" s="43" t="s">
        <v>430</v>
      </c>
      <c r="C1448" s="44" t="s">
        <v>61</v>
      </c>
      <c r="D1448" s="45">
        <v>15</v>
      </c>
      <c r="E1448" s="45">
        <v>7.3807999999999998</v>
      </c>
      <c r="F1448" s="45">
        <f t="shared" si="344"/>
        <v>110.712</v>
      </c>
      <c r="G1448" s="46">
        <f t="shared" si="345"/>
        <v>0</v>
      </c>
      <c r="H1448" s="47">
        <f t="shared" si="346"/>
        <v>0</v>
      </c>
      <c r="I1448" s="46">
        <f t="shared" si="347"/>
        <v>0</v>
      </c>
      <c r="J1448" s="47">
        <v>0</v>
      </c>
      <c r="K1448" s="46">
        <f t="shared" si="348"/>
        <v>0</v>
      </c>
      <c r="L1448" s="47">
        <v>0</v>
      </c>
      <c r="AX1448" s="73">
        <v>0</v>
      </c>
      <c r="AY1448" s="74">
        <v>0</v>
      </c>
      <c r="AZ1448" s="75">
        <f t="shared" si="349"/>
        <v>0</v>
      </c>
      <c r="BC1448" s="61"/>
    </row>
    <row r="1449" spans="1:55" s="48" customFormat="1" ht="15.45" customHeight="1" outlineLevel="1" x14ac:dyDescent="0.25">
      <c r="A1449" s="42">
        <v>50</v>
      </c>
      <c r="B1449" s="43" t="s">
        <v>431</v>
      </c>
      <c r="C1449" s="44" t="s">
        <v>61</v>
      </c>
      <c r="D1449" s="45">
        <v>15</v>
      </c>
      <c r="E1449" s="45">
        <v>2.2317999999999998</v>
      </c>
      <c r="F1449" s="45">
        <f t="shared" si="344"/>
        <v>33.476999999999997</v>
      </c>
      <c r="G1449" s="46">
        <f t="shared" si="345"/>
        <v>0</v>
      </c>
      <c r="H1449" s="47">
        <f t="shared" si="346"/>
        <v>0</v>
      </c>
      <c r="I1449" s="46">
        <f t="shared" si="347"/>
        <v>0</v>
      </c>
      <c r="J1449" s="47">
        <v>0</v>
      </c>
      <c r="K1449" s="46">
        <f t="shared" si="348"/>
        <v>0</v>
      </c>
      <c r="L1449" s="47">
        <v>0</v>
      </c>
      <c r="AX1449" s="46">
        <v>0</v>
      </c>
      <c r="AY1449" s="47">
        <v>0</v>
      </c>
      <c r="AZ1449" s="70">
        <f t="shared" si="349"/>
        <v>0</v>
      </c>
      <c r="BC1449" s="50"/>
    </row>
    <row r="1450" spans="1:55" s="56" customFormat="1" ht="17.25" customHeight="1" x14ac:dyDescent="0.3">
      <c r="A1450" s="62">
        <v>9.15</v>
      </c>
      <c r="B1450" s="51" t="s">
        <v>942</v>
      </c>
      <c r="C1450" s="52">
        <v>0</v>
      </c>
      <c r="D1450" s="53"/>
      <c r="E1450" s="53"/>
      <c r="F1450" s="53"/>
      <c r="G1450" s="54"/>
      <c r="H1450" s="55"/>
      <c r="I1450" s="54"/>
      <c r="J1450" s="55"/>
      <c r="K1450" s="54"/>
      <c r="L1450" s="55">
        <v>0</v>
      </c>
      <c r="AX1450" s="69">
        <v>0</v>
      </c>
      <c r="AY1450" s="71">
        <v>0</v>
      </c>
      <c r="AZ1450" s="72">
        <f t="shared" si="349"/>
        <v>0</v>
      </c>
      <c r="BC1450" s="58"/>
    </row>
    <row r="1451" spans="1:55" s="48" customFormat="1" ht="15.45" customHeight="1" outlineLevel="1" x14ac:dyDescent="0.25">
      <c r="A1451" s="42">
        <v>1</v>
      </c>
      <c r="B1451" s="43" t="s">
        <v>943</v>
      </c>
      <c r="C1451" s="44" t="s">
        <v>93</v>
      </c>
      <c r="D1451" s="45">
        <v>1</v>
      </c>
      <c r="E1451" s="45">
        <v>437.87180000000001</v>
      </c>
      <c r="F1451" s="45">
        <f t="shared" ref="F1451:F1468" si="350">+E1451*D1451</f>
        <v>437.87180000000001</v>
      </c>
      <c r="G1451" s="46">
        <f t="shared" ref="G1451:G1468" si="351">I1451+K1451</f>
        <v>0</v>
      </c>
      <c r="H1451" s="47">
        <f t="shared" ref="H1451:H1468" si="352">J1451+L1451</f>
        <v>0</v>
      </c>
      <c r="I1451" s="46">
        <f t="shared" ref="I1451:I1468" si="353">J1451/F1451</f>
        <v>0</v>
      </c>
      <c r="J1451" s="47">
        <v>0</v>
      </c>
      <c r="K1451" s="46">
        <f t="shared" ref="K1451:K1468" si="354">L1451/F1451</f>
        <v>0</v>
      </c>
      <c r="L1451" s="47">
        <v>0</v>
      </c>
      <c r="AX1451" s="46">
        <v>0</v>
      </c>
      <c r="AY1451" s="47">
        <v>0</v>
      </c>
      <c r="AZ1451" s="70">
        <f t="shared" si="349"/>
        <v>0</v>
      </c>
      <c r="BC1451" s="50"/>
    </row>
    <row r="1452" spans="1:55" s="48" customFormat="1" ht="15.45" customHeight="1" outlineLevel="1" x14ac:dyDescent="0.25">
      <c r="A1452" s="42">
        <v>2</v>
      </c>
      <c r="B1452" s="43" t="s">
        <v>944</v>
      </c>
      <c r="C1452" s="44" t="s">
        <v>93</v>
      </c>
      <c r="D1452" s="45">
        <v>1</v>
      </c>
      <c r="E1452" s="45">
        <v>48.519399999999997</v>
      </c>
      <c r="F1452" s="45">
        <f t="shared" si="350"/>
        <v>48.519399999999997</v>
      </c>
      <c r="G1452" s="46">
        <f t="shared" si="351"/>
        <v>0</v>
      </c>
      <c r="H1452" s="47">
        <f t="shared" si="352"/>
        <v>0</v>
      </c>
      <c r="I1452" s="46">
        <f t="shared" si="353"/>
        <v>0</v>
      </c>
      <c r="J1452" s="47">
        <v>0</v>
      </c>
      <c r="K1452" s="46">
        <f t="shared" si="354"/>
        <v>0</v>
      </c>
      <c r="L1452" s="47">
        <v>0</v>
      </c>
      <c r="AX1452" s="46">
        <v>0</v>
      </c>
      <c r="AY1452" s="47">
        <v>0</v>
      </c>
      <c r="AZ1452" s="70">
        <f t="shared" si="349"/>
        <v>0</v>
      </c>
      <c r="BC1452" s="50"/>
    </row>
    <row r="1453" spans="1:55" s="48" customFormat="1" ht="15.45" customHeight="1" outlineLevel="1" x14ac:dyDescent="0.25">
      <c r="A1453" s="42">
        <v>3</v>
      </c>
      <c r="B1453" s="43" t="s">
        <v>475</v>
      </c>
      <c r="C1453" s="44" t="s">
        <v>93</v>
      </c>
      <c r="D1453" s="45">
        <v>2</v>
      </c>
      <c r="E1453" s="45">
        <v>18.784400000000002</v>
      </c>
      <c r="F1453" s="45">
        <f t="shared" si="350"/>
        <v>37.568800000000003</v>
      </c>
      <c r="G1453" s="46">
        <f t="shared" si="351"/>
        <v>0</v>
      </c>
      <c r="H1453" s="47">
        <f t="shared" si="352"/>
        <v>0</v>
      </c>
      <c r="I1453" s="46">
        <f t="shared" si="353"/>
        <v>0</v>
      </c>
      <c r="J1453" s="47">
        <v>0</v>
      </c>
      <c r="K1453" s="46">
        <f t="shared" si="354"/>
        <v>0</v>
      </c>
      <c r="L1453" s="47">
        <v>0</v>
      </c>
      <c r="AX1453" s="46">
        <v>0</v>
      </c>
      <c r="AY1453" s="47">
        <v>0</v>
      </c>
      <c r="AZ1453" s="70">
        <f t="shared" si="349"/>
        <v>0</v>
      </c>
      <c r="BC1453" s="50"/>
    </row>
    <row r="1454" spans="1:55" s="48" customFormat="1" ht="27.75" customHeight="1" outlineLevel="1" x14ac:dyDescent="0.25">
      <c r="A1454" s="42">
        <v>4</v>
      </c>
      <c r="B1454" s="43" t="s">
        <v>945</v>
      </c>
      <c r="C1454" s="44" t="s">
        <v>93</v>
      </c>
      <c r="D1454" s="45">
        <v>1</v>
      </c>
      <c r="E1454" s="45">
        <v>22.905200000000001</v>
      </c>
      <c r="F1454" s="45">
        <f t="shared" si="350"/>
        <v>22.905200000000001</v>
      </c>
      <c r="G1454" s="46">
        <f t="shared" si="351"/>
        <v>0</v>
      </c>
      <c r="H1454" s="47">
        <f t="shared" si="352"/>
        <v>0</v>
      </c>
      <c r="I1454" s="46">
        <f t="shared" si="353"/>
        <v>0</v>
      </c>
      <c r="J1454" s="47">
        <v>0</v>
      </c>
      <c r="K1454" s="46">
        <f t="shared" si="354"/>
        <v>0</v>
      </c>
      <c r="L1454" s="47">
        <v>0</v>
      </c>
      <c r="AX1454" s="46">
        <v>0</v>
      </c>
      <c r="AY1454" s="47">
        <v>0</v>
      </c>
      <c r="AZ1454" s="70">
        <f t="shared" si="349"/>
        <v>0</v>
      </c>
      <c r="BC1454" s="50"/>
    </row>
    <row r="1455" spans="1:55" s="48" customFormat="1" ht="48.75" customHeight="1" outlineLevel="1" x14ac:dyDescent="0.25">
      <c r="A1455" s="42">
        <v>5</v>
      </c>
      <c r="B1455" s="43" t="s">
        <v>946</v>
      </c>
      <c r="C1455" s="44" t="s">
        <v>93</v>
      </c>
      <c r="D1455" s="45">
        <v>3</v>
      </c>
      <c r="E1455" s="45">
        <v>27.2014</v>
      </c>
      <c r="F1455" s="45">
        <f t="shared" si="350"/>
        <v>81.604199999999992</v>
      </c>
      <c r="G1455" s="46">
        <f t="shared" si="351"/>
        <v>0</v>
      </c>
      <c r="H1455" s="47">
        <f t="shared" si="352"/>
        <v>0</v>
      </c>
      <c r="I1455" s="46">
        <f t="shared" si="353"/>
        <v>0</v>
      </c>
      <c r="J1455" s="47">
        <v>0</v>
      </c>
      <c r="K1455" s="46">
        <f t="shared" si="354"/>
        <v>0</v>
      </c>
      <c r="L1455" s="47">
        <v>0</v>
      </c>
      <c r="AX1455" s="46">
        <v>0.75757585000000005</v>
      </c>
      <c r="AY1455" s="47">
        <v>50000.006099999999</v>
      </c>
      <c r="AZ1455" s="70">
        <f t="shared" si="349"/>
        <v>0</v>
      </c>
      <c r="BC1455" s="50"/>
    </row>
    <row r="1456" spans="1:55" s="48" customFormat="1" ht="15.45" customHeight="1" outlineLevel="1" x14ac:dyDescent="0.25">
      <c r="A1456" s="42">
        <v>6</v>
      </c>
      <c r="B1456" s="43" t="s">
        <v>478</v>
      </c>
      <c r="C1456" s="44" t="s">
        <v>93</v>
      </c>
      <c r="D1456" s="45">
        <v>2</v>
      </c>
      <c r="E1456" s="45">
        <v>22.905200000000001</v>
      </c>
      <c r="F1456" s="45">
        <f t="shared" si="350"/>
        <v>45.810400000000001</v>
      </c>
      <c r="G1456" s="46">
        <f t="shared" si="351"/>
        <v>0</v>
      </c>
      <c r="H1456" s="47">
        <f t="shared" si="352"/>
        <v>0</v>
      </c>
      <c r="I1456" s="46">
        <f t="shared" si="353"/>
        <v>0</v>
      </c>
      <c r="J1456" s="47">
        <v>0</v>
      </c>
      <c r="K1456" s="46">
        <f t="shared" si="354"/>
        <v>0</v>
      </c>
      <c r="L1456" s="47">
        <v>0</v>
      </c>
      <c r="AX1456" s="46">
        <v>0</v>
      </c>
      <c r="AY1456" s="47">
        <v>0</v>
      </c>
      <c r="AZ1456" s="70">
        <f t="shared" si="349"/>
        <v>0</v>
      </c>
      <c r="BC1456" s="50"/>
    </row>
    <row r="1457" spans="1:55" s="48" customFormat="1" ht="27.75" customHeight="1" outlineLevel="1" x14ac:dyDescent="0.25">
      <c r="A1457" s="42">
        <v>7</v>
      </c>
      <c r="B1457" s="43" t="s">
        <v>947</v>
      </c>
      <c r="C1457" s="44" t="s">
        <v>93</v>
      </c>
      <c r="D1457" s="45">
        <v>2</v>
      </c>
      <c r="E1457" s="45">
        <v>11.779</v>
      </c>
      <c r="F1457" s="45">
        <f t="shared" si="350"/>
        <v>23.558</v>
      </c>
      <c r="G1457" s="46">
        <f t="shared" si="351"/>
        <v>0</v>
      </c>
      <c r="H1457" s="47">
        <f t="shared" si="352"/>
        <v>0</v>
      </c>
      <c r="I1457" s="46">
        <f t="shared" si="353"/>
        <v>0</v>
      </c>
      <c r="J1457" s="47">
        <v>0</v>
      </c>
      <c r="K1457" s="46">
        <f t="shared" si="354"/>
        <v>0</v>
      </c>
      <c r="L1457" s="47">
        <v>0</v>
      </c>
      <c r="AX1457" s="46">
        <v>0</v>
      </c>
      <c r="AY1457" s="47">
        <v>0</v>
      </c>
      <c r="AZ1457" s="70">
        <f t="shared" si="349"/>
        <v>0</v>
      </c>
      <c r="BC1457" s="50"/>
    </row>
    <row r="1458" spans="1:55" s="48" customFormat="1" ht="15.45" customHeight="1" outlineLevel="1" x14ac:dyDescent="0.25">
      <c r="A1458" s="42">
        <v>8</v>
      </c>
      <c r="B1458" s="43" t="s">
        <v>480</v>
      </c>
      <c r="C1458" s="44" t="s">
        <v>61</v>
      </c>
      <c r="D1458" s="45">
        <v>20</v>
      </c>
      <c r="E1458" s="45">
        <v>0.9</v>
      </c>
      <c r="F1458" s="45">
        <f t="shared" si="350"/>
        <v>18</v>
      </c>
      <c r="G1458" s="46">
        <f t="shared" si="351"/>
        <v>0</v>
      </c>
      <c r="H1458" s="47">
        <f t="shared" si="352"/>
        <v>0</v>
      </c>
      <c r="I1458" s="46">
        <f t="shared" si="353"/>
        <v>0</v>
      </c>
      <c r="J1458" s="47">
        <v>0</v>
      </c>
      <c r="K1458" s="46">
        <f t="shared" si="354"/>
        <v>0</v>
      </c>
      <c r="L1458" s="47">
        <v>0</v>
      </c>
      <c r="AX1458" s="46"/>
      <c r="AY1458" s="47"/>
      <c r="AZ1458" s="70"/>
      <c r="BC1458" s="50"/>
    </row>
    <row r="1459" spans="1:55" s="48" customFormat="1" ht="27.75" customHeight="1" outlineLevel="1" x14ac:dyDescent="0.25">
      <c r="A1459" s="42">
        <v>9</v>
      </c>
      <c r="B1459" s="43" t="s">
        <v>469</v>
      </c>
      <c r="C1459" s="44" t="s">
        <v>61</v>
      </c>
      <c r="D1459" s="45">
        <v>20</v>
      </c>
      <c r="E1459" s="45">
        <v>2.0175999999999998</v>
      </c>
      <c r="F1459" s="45">
        <f t="shared" si="350"/>
        <v>40.351999999999997</v>
      </c>
      <c r="G1459" s="46">
        <f t="shared" si="351"/>
        <v>0</v>
      </c>
      <c r="H1459" s="47">
        <f t="shared" si="352"/>
        <v>0</v>
      </c>
      <c r="I1459" s="46">
        <f t="shared" si="353"/>
        <v>0</v>
      </c>
      <c r="J1459" s="47">
        <v>0</v>
      </c>
      <c r="K1459" s="46">
        <f t="shared" si="354"/>
        <v>0</v>
      </c>
      <c r="L1459" s="47">
        <v>0</v>
      </c>
      <c r="AX1459" s="46"/>
      <c r="AY1459" s="47"/>
      <c r="AZ1459" s="70"/>
      <c r="BC1459" s="50"/>
    </row>
    <row r="1460" spans="1:55" s="48" customFormat="1" ht="27.75" customHeight="1" outlineLevel="1" x14ac:dyDescent="0.25">
      <c r="A1460" s="42">
        <v>10</v>
      </c>
      <c r="B1460" s="43" t="s">
        <v>948</v>
      </c>
      <c r="C1460" s="44" t="s">
        <v>93</v>
      </c>
      <c r="D1460" s="45">
        <v>1</v>
      </c>
      <c r="E1460" s="45">
        <v>39.429200000000002</v>
      </c>
      <c r="F1460" s="45">
        <f t="shared" si="350"/>
        <v>39.429200000000002</v>
      </c>
      <c r="G1460" s="46">
        <f t="shared" si="351"/>
        <v>0</v>
      </c>
      <c r="H1460" s="47">
        <f t="shared" si="352"/>
        <v>0</v>
      </c>
      <c r="I1460" s="46">
        <f t="shared" si="353"/>
        <v>0</v>
      </c>
      <c r="J1460" s="47">
        <v>0</v>
      </c>
      <c r="K1460" s="46">
        <f t="shared" si="354"/>
        <v>0</v>
      </c>
      <c r="L1460" s="47">
        <v>0</v>
      </c>
      <c r="AX1460" s="46"/>
      <c r="AY1460" s="47"/>
      <c r="AZ1460" s="70"/>
      <c r="BC1460" s="50"/>
    </row>
    <row r="1461" spans="1:55" s="48" customFormat="1" ht="15.45" customHeight="1" outlineLevel="1" x14ac:dyDescent="0.25">
      <c r="A1461" s="42">
        <v>11</v>
      </c>
      <c r="B1461" s="43" t="s">
        <v>482</v>
      </c>
      <c r="C1461" s="44" t="s">
        <v>93</v>
      </c>
      <c r="D1461" s="45">
        <v>1</v>
      </c>
      <c r="E1461" s="45">
        <v>51.946599999999997</v>
      </c>
      <c r="F1461" s="45">
        <f t="shared" si="350"/>
        <v>51.946599999999997</v>
      </c>
      <c r="G1461" s="46">
        <f t="shared" si="351"/>
        <v>0</v>
      </c>
      <c r="H1461" s="47">
        <f t="shared" si="352"/>
        <v>0</v>
      </c>
      <c r="I1461" s="46">
        <f t="shared" si="353"/>
        <v>0</v>
      </c>
      <c r="J1461" s="47">
        <v>0</v>
      </c>
      <c r="K1461" s="46">
        <f t="shared" si="354"/>
        <v>0</v>
      </c>
      <c r="L1461" s="47">
        <v>0</v>
      </c>
      <c r="AX1461" s="46"/>
      <c r="AY1461" s="47"/>
      <c r="AZ1461" s="70"/>
      <c r="BC1461" s="50"/>
    </row>
    <row r="1462" spans="1:55" s="48" customFormat="1" ht="15.45" customHeight="1" outlineLevel="1" x14ac:dyDescent="0.25">
      <c r="A1462" s="42">
        <v>12</v>
      </c>
      <c r="B1462" s="43" t="s">
        <v>949</v>
      </c>
      <c r="C1462" s="44" t="s">
        <v>93</v>
      </c>
      <c r="D1462" s="45">
        <v>2</v>
      </c>
      <c r="E1462" s="45">
        <v>2.6785999999999999</v>
      </c>
      <c r="F1462" s="45">
        <f t="shared" si="350"/>
        <v>5.3571999999999997</v>
      </c>
      <c r="G1462" s="46">
        <f t="shared" si="351"/>
        <v>0</v>
      </c>
      <c r="H1462" s="47">
        <f t="shared" si="352"/>
        <v>0</v>
      </c>
      <c r="I1462" s="46">
        <f t="shared" si="353"/>
        <v>0</v>
      </c>
      <c r="J1462" s="47">
        <v>0</v>
      </c>
      <c r="K1462" s="46">
        <f t="shared" si="354"/>
        <v>0</v>
      </c>
      <c r="L1462" s="47">
        <v>0</v>
      </c>
      <c r="AX1462" s="46"/>
      <c r="AY1462" s="47"/>
      <c r="AZ1462" s="70"/>
      <c r="BC1462" s="50"/>
    </row>
    <row r="1463" spans="1:55" s="48" customFormat="1" ht="15.45" customHeight="1" outlineLevel="1" x14ac:dyDescent="0.25">
      <c r="A1463" s="42">
        <v>13</v>
      </c>
      <c r="B1463" s="43" t="s">
        <v>950</v>
      </c>
      <c r="C1463" s="44" t="s">
        <v>61</v>
      </c>
      <c r="D1463" s="45">
        <v>10</v>
      </c>
      <c r="E1463" s="45">
        <v>0.9</v>
      </c>
      <c r="F1463" s="45">
        <f t="shared" si="350"/>
        <v>9</v>
      </c>
      <c r="G1463" s="46">
        <f t="shared" si="351"/>
        <v>0</v>
      </c>
      <c r="H1463" s="47">
        <f t="shared" si="352"/>
        <v>0</v>
      </c>
      <c r="I1463" s="46">
        <f t="shared" si="353"/>
        <v>0</v>
      </c>
      <c r="J1463" s="47">
        <v>0</v>
      </c>
      <c r="K1463" s="46">
        <f t="shared" si="354"/>
        <v>0</v>
      </c>
      <c r="L1463" s="47">
        <v>0</v>
      </c>
      <c r="AX1463" s="46"/>
      <c r="AY1463" s="47"/>
      <c r="AZ1463" s="70"/>
      <c r="BC1463" s="50"/>
    </row>
    <row r="1464" spans="1:55" s="48" customFormat="1" ht="27.75" customHeight="1" outlineLevel="1" x14ac:dyDescent="0.25">
      <c r="A1464" s="42">
        <v>14</v>
      </c>
      <c r="B1464" s="43" t="s">
        <v>469</v>
      </c>
      <c r="C1464" s="44" t="s">
        <v>61</v>
      </c>
      <c r="D1464" s="45">
        <v>10</v>
      </c>
      <c r="E1464" s="45">
        <v>2.0175999999999998</v>
      </c>
      <c r="F1464" s="45">
        <f t="shared" si="350"/>
        <v>20.175999999999998</v>
      </c>
      <c r="G1464" s="46">
        <f t="shared" si="351"/>
        <v>0</v>
      </c>
      <c r="H1464" s="47">
        <f t="shared" si="352"/>
        <v>0</v>
      </c>
      <c r="I1464" s="46">
        <f t="shared" si="353"/>
        <v>0</v>
      </c>
      <c r="J1464" s="47">
        <v>0</v>
      </c>
      <c r="K1464" s="46">
        <f t="shared" si="354"/>
        <v>0</v>
      </c>
      <c r="L1464" s="47">
        <v>0</v>
      </c>
      <c r="AX1464" s="46"/>
      <c r="AY1464" s="47"/>
      <c r="AZ1464" s="70"/>
      <c r="BC1464" s="50"/>
    </row>
    <row r="1465" spans="1:55" s="48" customFormat="1" ht="41.7" customHeight="1" outlineLevel="1" x14ac:dyDescent="0.25">
      <c r="A1465" s="42">
        <v>15</v>
      </c>
      <c r="B1465" s="43" t="s">
        <v>951</v>
      </c>
      <c r="C1465" s="44" t="s">
        <v>61</v>
      </c>
      <c r="D1465" s="45">
        <v>5</v>
      </c>
      <c r="E1465" s="45">
        <v>1.8728</v>
      </c>
      <c r="F1465" s="45">
        <f t="shared" si="350"/>
        <v>9.3640000000000008</v>
      </c>
      <c r="G1465" s="46">
        <f t="shared" si="351"/>
        <v>0</v>
      </c>
      <c r="H1465" s="47">
        <f t="shared" si="352"/>
        <v>0</v>
      </c>
      <c r="I1465" s="46">
        <f t="shared" si="353"/>
        <v>0</v>
      </c>
      <c r="J1465" s="47">
        <v>0</v>
      </c>
      <c r="K1465" s="46">
        <f t="shared" si="354"/>
        <v>0</v>
      </c>
      <c r="L1465" s="47">
        <v>0</v>
      </c>
      <c r="AX1465" s="46"/>
      <c r="AY1465" s="47"/>
      <c r="AZ1465" s="70"/>
      <c r="BC1465" s="50"/>
    </row>
    <row r="1466" spans="1:55" s="48" customFormat="1" ht="27.75" customHeight="1" outlineLevel="1" x14ac:dyDescent="0.25">
      <c r="A1466" s="42">
        <v>16</v>
      </c>
      <c r="B1466" s="43" t="s">
        <v>410</v>
      </c>
      <c r="C1466" s="44" t="s">
        <v>61</v>
      </c>
      <c r="D1466" s="45">
        <v>5</v>
      </c>
      <c r="E1466" s="45">
        <v>2.4664000000000001</v>
      </c>
      <c r="F1466" s="45">
        <f t="shared" si="350"/>
        <v>12.332000000000001</v>
      </c>
      <c r="G1466" s="46">
        <f t="shared" si="351"/>
        <v>0</v>
      </c>
      <c r="H1466" s="47">
        <f t="shared" si="352"/>
        <v>0</v>
      </c>
      <c r="I1466" s="46">
        <f t="shared" si="353"/>
        <v>0</v>
      </c>
      <c r="J1466" s="47">
        <v>0</v>
      </c>
      <c r="K1466" s="46">
        <f t="shared" si="354"/>
        <v>0</v>
      </c>
      <c r="L1466" s="47">
        <v>0</v>
      </c>
      <c r="AX1466" s="46"/>
      <c r="AY1466" s="47"/>
      <c r="AZ1466" s="70"/>
      <c r="BC1466" s="50"/>
    </row>
    <row r="1467" spans="1:55" s="48" customFormat="1" ht="27.75" customHeight="1" outlineLevel="1" x14ac:dyDescent="0.25">
      <c r="A1467" s="42">
        <v>17</v>
      </c>
      <c r="B1467" s="43" t="s">
        <v>952</v>
      </c>
      <c r="C1467" s="44" t="s">
        <v>61</v>
      </c>
      <c r="D1467" s="45">
        <v>15</v>
      </c>
      <c r="E1467" s="45">
        <v>0.9</v>
      </c>
      <c r="F1467" s="45">
        <f t="shared" si="350"/>
        <v>13.5</v>
      </c>
      <c r="G1467" s="46">
        <f t="shared" si="351"/>
        <v>0</v>
      </c>
      <c r="H1467" s="47">
        <f t="shared" si="352"/>
        <v>0</v>
      </c>
      <c r="I1467" s="46">
        <f t="shared" si="353"/>
        <v>0</v>
      </c>
      <c r="J1467" s="47">
        <v>0</v>
      </c>
      <c r="K1467" s="46">
        <f t="shared" si="354"/>
        <v>0</v>
      </c>
      <c r="L1467" s="47">
        <v>0</v>
      </c>
      <c r="AX1467" s="46"/>
      <c r="AY1467" s="47"/>
      <c r="AZ1467" s="70"/>
      <c r="BC1467" s="50"/>
    </row>
    <row r="1468" spans="1:55" s="48" customFormat="1" ht="27.75" customHeight="1" outlineLevel="1" x14ac:dyDescent="0.25">
      <c r="A1468" s="42">
        <v>18</v>
      </c>
      <c r="B1468" s="43" t="s">
        <v>407</v>
      </c>
      <c r="C1468" s="44" t="s">
        <v>61</v>
      </c>
      <c r="D1468" s="45">
        <v>15</v>
      </c>
      <c r="E1468" s="45">
        <v>2.1604000000000001</v>
      </c>
      <c r="F1468" s="45">
        <f t="shared" si="350"/>
        <v>32.405999999999999</v>
      </c>
      <c r="G1468" s="46">
        <f t="shared" si="351"/>
        <v>0</v>
      </c>
      <c r="H1468" s="47">
        <f t="shared" si="352"/>
        <v>0</v>
      </c>
      <c r="I1468" s="46">
        <f t="shared" si="353"/>
        <v>0</v>
      </c>
      <c r="J1468" s="47">
        <v>0</v>
      </c>
      <c r="K1468" s="46">
        <f t="shared" si="354"/>
        <v>0</v>
      </c>
      <c r="L1468" s="47">
        <v>0</v>
      </c>
      <c r="AX1468" s="46"/>
      <c r="AY1468" s="47"/>
      <c r="AZ1468" s="70"/>
      <c r="BC1468" s="50"/>
    </row>
    <row r="1469" spans="1:55" s="56" customFormat="1" ht="17.25" customHeight="1" x14ac:dyDescent="0.3">
      <c r="A1469" s="62">
        <v>9.16</v>
      </c>
      <c r="B1469" s="51" t="s">
        <v>953</v>
      </c>
      <c r="C1469" s="52">
        <v>0</v>
      </c>
      <c r="D1469" s="53"/>
      <c r="E1469" s="53"/>
      <c r="F1469" s="53"/>
      <c r="G1469" s="54"/>
      <c r="H1469" s="55"/>
      <c r="I1469" s="54"/>
      <c r="J1469" s="55"/>
      <c r="K1469" s="54"/>
      <c r="L1469" s="55">
        <v>0</v>
      </c>
      <c r="AX1469" s="69"/>
      <c r="AY1469" s="71"/>
      <c r="AZ1469" s="72"/>
      <c r="BC1469" s="58"/>
    </row>
    <row r="1470" spans="1:55" s="48" customFormat="1" ht="41.7" customHeight="1" outlineLevel="1" x14ac:dyDescent="0.25">
      <c r="A1470" s="42">
        <v>1</v>
      </c>
      <c r="B1470" s="43" t="s">
        <v>954</v>
      </c>
      <c r="C1470" s="44" t="s">
        <v>93</v>
      </c>
      <c r="D1470" s="45">
        <v>2</v>
      </c>
      <c r="E1470" s="45">
        <v>59.6068</v>
      </c>
      <c r="F1470" s="45">
        <f t="shared" ref="F1470:F1494" si="355">+E1470*D1470</f>
        <v>119.2136</v>
      </c>
      <c r="G1470" s="46">
        <f t="shared" ref="G1470:G1494" si="356">I1470+K1470</f>
        <v>0</v>
      </c>
      <c r="H1470" s="47">
        <f t="shared" ref="H1470:H1494" si="357">J1470+L1470</f>
        <v>0</v>
      </c>
      <c r="I1470" s="46">
        <f t="shared" ref="I1470:I1494" si="358">J1470/F1470</f>
        <v>0</v>
      </c>
      <c r="J1470" s="47">
        <v>0</v>
      </c>
      <c r="K1470" s="46">
        <f t="shared" ref="K1470:K1494" si="359">L1470/F1470</f>
        <v>0</v>
      </c>
      <c r="L1470" s="47">
        <v>0</v>
      </c>
      <c r="AX1470" s="46">
        <v>1</v>
      </c>
      <c r="AY1470" s="47">
        <v>5766733.6402624408</v>
      </c>
      <c r="AZ1470" s="70">
        <f>H1470-J1470</f>
        <v>0</v>
      </c>
      <c r="BC1470" s="50"/>
    </row>
    <row r="1471" spans="1:55" s="48" customFormat="1" ht="15.45" customHeight="1" outlineLevel="1" x14ac:dyDescent="0.25">
      <c r="A1471" s="42">
        <v>2</v>
      </c>
      <c r="B1471" s="43" t="s">
        <v>955</v>
      </c>
      <c r="C1471" s="44" t="s">
        <v>93</v>
      </c>
      <c r="D1471" s="45">
        <v>2</v>
      </c>
      <c r="E1471" s="45">
        <v>90.398600000000002</v>
      </c>
      <c r="F1471" s="45">
        <f t="shared" si="355"/>
        <v>180.7972</v>
      </c>
      <c r="G1471" s="46">
        <f t="shared" si="356"/>
        <v>0</v>
      </c>
      <c r="H1471" s="47">
        <f t="shared" si="357"/>
        <v>0</v>
      </c>
      <c r="I1471" s="46">
        <f t="shared" si="358"/>
        <v>0</v>
      </c>
      <c r="J1471" s="47">
        <v>0</v>
      </c>
      <c r="K1471" s="46">
        <f t="shared" si="359"/>
        <v>0</v>
      </c>
      <c r="L1471" s="47">
        <v>0</v>
      </c>
      <c r="AX1471" s="46">
        <v>1</v>
      </c>
      <c r="AY1471" s="47">
        <v>5766733.6402624408</v>
      </c>
      <c r="AZ1471" s="70">
        <f>H1471-J1471</f>
        <v>0</v>
      </c>
      <c r="BC1471" s="50"/>
    </row>
    <row r="1472" spans="1:55" s="48" customFormat="1" ht="15.45" customHeight="1" outlineLevel="1" x14ac:dyDescent="0.25">
      <c r="A1472" s="42">
        <v>3</v>
      </c>
      <c r="B1472" s="43" t="s">
        <v>887</v>
      </c>
      <c r="C1472" s="44" t="s">
        <v>93</v>
      </c>
      <c r="D1472" s="45">
        <v>4</v>
      </c>
      <c r="E1472" s="45">
        <v>32.913400000000003</v>
      </c>
      <c r="F1472" s="45">
        <f t="shared" si="355"/>
        <v>131.65360000000001</v>
      </c>
      <c r="G1472" s="46">
        <f t="shared" si="356"/>
        <v>0</v>
      </c>
      <c r="H1472" s="47">
        <f t="shared" si="357"/>
        <v>0</v>
      </c>
      <c r="I1472" s="46">
        <f t="shared" si="358"/>
        <v>0</v>
      </c>
      <c r="J1472" s="47">
        <v>0</v>
      </c>
      <c r="K1472" s="46">
        <f t="shared" si="359"/>
        <v>0</v>
      </c>
      <c r="L1472" s="47">
        <v>0</v>
      </c>
      <c r="AX1472" s="46">
        <v>1</v>
      </c>
      <c r="AY1472" s="47">
        <v>5766733.6402624408</v>
      </c>
      <c r="AZ1472" s="70">
        <f>H1472-J1472</f>
        <v>0</v>
      </c>
      <c r="BC1472" s="50"/>
    </row>
    <row r="1473" spans="1:55" s="48" customFormat="1" ht="15.45" customHeight="1" outlineLevel="1" x14ac:dyDescent="0.25">
      <c r="A1473" s="42">
        <v>4</v>
      </c>
      <c r="B1473" s="43" t="s">
        <v>956</v>
      </c>
      <c r="C1473" s="44" t="s">
        <v>93</v>
      </c>
      <c r="D1473" s="45">
        <v>4</v>
      </c>
      <c r="E1473" s="45">
        <v>117.76519999999999</v>
      </c>
      <c r="F1473" s="45">
        <f t="shared" si="355"/>
        <v>471.06079999999997</v>
      </c>
      <c r="G1473" s="46">
        <f t="shared" si="356"/>
        <v>0</v>
      </c>
      <c r="H1473" s="47">
        <f t="shared" si="357"/>
        <v>0</v>
      </c>
      <c r="I1473" s="46">
        <f t="shared" si="358"/>
        <v>0</v>
      </c>
      <c r="J1473" s="47">
        <v>0</v>
      </c>
      <c r="K1473" s="46">
        <f t="shared" si="359"/>
        <v>0</v>
      </c>
      <c r="L1473" s="47">
        <v>0</v>
      </c>
      <c r="AX1473" s="46">
        <v>0</v>
      </c>
      <c r="AY1473" s="47">
        <v>0</v>
      </c>
      <c r="AZ1473" s="70">
        <f>H1473-J1473</f>
        <v>0</v>
      </c>
      <c r="BC1473" s="50"/>
    </row>
    <row r="1474" spans="1:55" s="48" customFormat="1" ht="41.7" customHeight="1" outlineLevel="1" x14ac:dyDescent="0.25">
      <c r="A1474" s="42">
        <v>5</v>
      </c>
      <c r="B1474" s="43" t="s">
        <v>957</v>
      </c>
      <c r="C1474" s="44" t="s">
        <v>93</v>
      </c>
      <c r="D1474" s="45">
        <v>12</v>
      </c>
      <c r="E1474" s="45">
        <v>35.024799999999999</v>
      </c>
      <c r="F1474" s="45">
        <f t="shared" si="355"/>
        <v>420.29759999999999</v>
      </c>
      <c r="G1474" s="46">
        <f t="shared" si="356"/>
        <v>0</v>
      </c>
      <c r="H1474" s="47">
        <f t="shared" si="357"/>
        <v>0</v>
      </c>
      <c r="I1474" s="46">
        <f t="shared" si="358"/>
        <v>0</v>
      </c>
      <c r="J1474" s="47">
        <v>0</v>
      </c>
      <c r="K1474" s="46">
        <f t="shared" si="359"/>
        <v>0</v>
      </c>
      <c r="L1474" s="47">
        <v>0</v>
      </c>
      <c r="AX1474" s="46">
        <v>0</v>
      </c>
      <c r="AY1474" s="47">
        <v>1038012.055247239</v>
      </c>
      <c r="AZ1474" s="70">
        <f>H1474-J1474</f>
        <v>0</v>
      </c>
      <c r="BC1474" s="50"/>
    </row>
    <row r="1475" spans="1:55" s="48" customFormat="1" ht="15.45" customHeight="1" outlineLevel="1" x14ac:dyDescent="0.25">
      <c r="A1475" s="42">
        <v>6</v>
      </c>
      <c r="B1475" s="43" t="s">
        <v>958</v>
      </c>
      <c r="C1475" s="44" t="s">
        <v>93</v>
      </c>
      <c r="D1475" s="45">
        <v>4</v>
      </c>
      <c r="E1475" s="45">
        <v>3.3212000000000002</v>
      </c>
      <c r="F1475" s="45">
        <f t="shared" si="355"/>
        <v>13.284800000000001</v>
      </c>
      <c r="G1475" s="46">
        <f t="shared" si="356"/>
        <v>0</v>
      </c>
      <c r="H1475" s="47">
        <f t="shared" si="357"/>
        <v>0</v>
      </c>
      <c r="I1475" s="46">
        <f t="shared" si="358"/>
        <v>0</v>
      </c>
      <c r="J1475" s="47">
        <v>0</v>
      </c>
      <c r="K1475" s="46">
        <f t="shared" si="359"/>
        <v>0</v>
      </c>
      <c r="L1475" s="47">
        <v>0</v>
      </c>
      <c r="AX1475" s="46"/>
      <c r="AY1475" s="47"/>
      <c r="AZ1475" s="70"/>
      <c r="BC1475" s="50"/>
    </row>
    <row r="1476" spans="1:55" s="48" customFormat="1" ht="15.45" customHeight="1" outlineLevel="1" x14ac:dyDescent="0.25">
      <c r="A1476" s="42">
        <v>7</v>
      </c>
      <c r="B1476" s="43" t="s">
        <v>959</v>
      </c>
      <c r="C1476" s="44" t="s">
        <v>93</v>
      </c>
      <c r="D1476" s="45">
        <v>8</v>
      </c>
      <c r="E1476" s="45">
        <v>6.0242000000000004</v>
      </c>
      <c r="F1476" s="45">
        <f t="shared" si="355"/>
        <v>48.193600000000004</v>
      </c>
      <c r="G1476" s="46">
        <f t="shared" si="356"/>
        <v>0</v>
      </c>
      <c r="H1476" s="47">
        <f t="shared" si="357"/>
        <v>0</v>
      </c>
      <c r="I1476" s="46">
        <f t="shared" si="358"/>
        <v>0</v>
      </c>
      <c r="J1476" s="47">
        <v>0</v>
      </c>
      <c r="K1476" s="46">
        <f t="shared" si="359"/>
        <v>0</v>
      </c>
      <c r="L1476" s="47">
        <v>0</v>
      </c>
      <c r="AX1476" s="46"/>
      <c r="AY1476" s="47"/>
      <c r="AZ1476" s="70"/>
      <c r="BC1476" s="50"/>
    </row>
    <row r="1477" spans="1:55" s="48" customFormat="1" ht="15.45" customHeight="1" outlineLevel="1" x14ac:dyDescent="0.25">
      <c r="A1477" s="42">
        <v>8</v>
      </c>
      <c r="B1477" s="43" t="s">
        <v>960</v>
      </c>
      <c r="C1477" s="44" t="s">
        <v>93</v>
      </c>
      <c r="D1477" s="45">
        <v>5</v>
      </c>
      <c r="E1477" s="45">
        <v>3.3212000000000002</v>
      </c>
      <c r="F1477" s="45">
        <f t="shared" si="355"/>
        <v>16.606000000000002</v>
      </c>
      <c r="G1477" s="46">
        <f t="shared" si="356"/>
        <v>0</v>
      </c>
      <c r="H1477" s="47">
        <f t="shared" si="357"/>
        <v>0</v>
      </c>
      <c r="I1477" s="46">
        <f t="shared" si="358"/>
        <v>0</v>
      </c>
      <c r="J1477" s="47">
        <v>0</v>
      </c>
      <c r="K1477" s="46">
        <f t="shared" si="359"/>
        <v>0</v>
      </c>
      <c r="L1477" s="47">
        <v>0</v>
      </c>
      <c r="AX1477" s="46"/>
      <c r="AY1477" s="47"/>
      <c r="AZ1477" s="70"/>
      <c r="BC1477" s="50"/>
    </row>
    <row r="1478" spans="1:55" s="48" customFormat="1" ht="15.45" customHeight="1" outlineLevel="1" x14ac:dyDescent="0.25">
      <c r="A1478" s="42">
        <v>9</v>
      </c>
      <c r="B1478" s="43" t="s">
        <v>321</v>
      </c>
      <c r="C1478" s="44" t="s">
        <v>234</v>
      </c>
      <c r="D1478" s="45">
        <v>5</v>
      </c>
      <c r="E1478" s="45">
        <v>3.3435999999999999</v>
      </c>
      <c r="F1478" s="45">
        <f t="shared" si="355"/>
        <v>16.718</v>
      </c>
      <c r="G1478" s="46">
        <f t="shared" si="356"/>
        <v>0</v>
      </c>
      <c r="H1478" s="47">
        <f t="shared" si="357"/>
        <v>0</v>
      </c>
      <c r="I1478" s="46">
        <f t="shared" si="358"/>
        <v>0</v>
      </c>
      <c r="J1478" s="47">
        <v>0</v>
      </c>
      <c r="K1478" s="46">
        <f t="shared" si="359"/>
        <v>0</v>
      </c>
      <c r="L1478" s="47">
        <v>0</v>
      </c>
      <c r="AX1478" s="46"/>
      <c r="AY1478" s="47"/>
      <c r="AZ1478" s="70"/>
      <c r="BC1478" s="50"/>
    </row>
    <row r="1479" spans="1:55" s="48" customFormat="1" ht="15.45" customHeight="1" outlineLevel="1" x14ac:dyDescent="0.25">
      <c r="A1479" s="42">
        <v>10</v>
      </c>
      <c r="B1479" s="43" t="s">
        <v>322</v>
      </c>
      <c r="C1479" s="44" t="s">
        <v>93</v>
      </c>
      <c r="D1479" s="45">
        <v>5</v>
      </c>
      <c r="E1479" s="45">
        <v>13.205</v>
      </c>
      <c r="F1479" s="45">
        <f t="shared" si="355"/>
        <v>66.025000000000006</v>
      </c>
      <c r="G1479" s="46">
        <f t="shared" si="356"/>
        <v>0</v>
      </c>
      <c r="H1479" s="47">
        <f t="shared" si="357"/>
        <v>0</v>
      </c>
      <c r="I1479" s="46">
        <f t="shared" si="358"/>
        <v>0</v>
      </c>
      <c r="J1479" s="47">
        <v>0</v>
      </c>
      <c r="K1479" s="46">
        <f t="shared" si="359"/>
        <v>0</v>
      </c>
      <c r="L1479" s="47">
        <v>0</v>
      </c>
      <c r="AX1479" s="46"/>
      <c r="AY1479" s="47"/>
      <c r="AZ1479" s="70"/>
      <c r="BC1479" s="50"/>
    </row>
    <row r="1480" spans="1:55" s="48" customFormat="1" ht="27.75" customHeight="1" outlineLevel="1" x14ac:dyDescent="0.25">
      <c r="A1480" s="42">
        <v>11</v>
      </c>
      <c r="B1480" s="43" t="s">
        <v>961</v>
      </c>
      <c r="C1480" s="44" t="s">
        <v>93</v>
      </c>
      <c r="D1480" s="45">
        <v>4</v>
      </c>
      <c r="E1480" s="45">
        <v>132.94479999999999</v>
      </c>
      <c r="F1480" s="45">
        <f t="shared" si="355"/>
        <v>531.77919999999995</v>
      </c>
      <c r="G1480" s="46">
        <f t="shared" si="356"/>
        <v>0</v>
      </c>
      <c r="H1480" s="47">
        <f t="shared" si="357"/>
        <v>0</v>
      </c>
      <c r="I1480" s="46">
        <f t="shared" si="358"/>
        <v>0</v>
      </c>
      <c r="J1480" s="47">
        <v>0</v>
      </c>
      <c r="K1480" s="46">
        <f t="shared" si="359"/>
        <v>0</v>
      </c>
      <c r="L1480" s="47">
        <v>0</v>
      </c>
      <c r="AX1480" s="46"/>
      <c r="AY1480" s="47"/>
      <c r="AZ1480" s="70"/>
      <c r="BC1480" s="50"/>
    </row>
    <row r="1481" spans="1:55" s="48" customFormat="1" ht="27.75" customHeight="1" outlineLevel="1" x14ac:dyDescent="0.25">
      <c r="A1481" s="42">
        <v>12</v>
      </c>
      <c r="B1481" s="43" t="s">
        <v>962</v>
      </c>
      <c r="C1481" s="44" t="s">
        <v>93</v>
      </c>
      <c r="D1481" s="45">
        <v>4</v>
      </c>
      <c r="E1481" s="45">
        <v>61.697800000000001</v>
      </c>
      <c r="F1481" s="45">
        <f t="shared" si="355"/>
        <v>246.7912</v>
      </c>
      <c r="G1481" s="46">
        <f t="shared" si="356"/>
        <v>0</v>
      </c>
      <c r="H1481" s="47">
        <f t="shared" si="357"/>
        <v>0</v>
      </c>
      <c r="I1481" s="46">
        <f t="shared" si="358"/>
        <v>0</v>
      </c>
      <c r="J1481" s="47">
        <v>0</v>
      </c>
      <c r="K1481" s="46">
        <f t="shared" si="359"/>
        <v>0</v>
      </c>
      <c r="L1481" s="47">
        <v>0</v>
      </c>
      <c r="AX1481" s="46"/>
      <c r="AY1481" s="47"/>
      <c r="AZ1481" s="70"/>
      <c r="BC1481" s="50"/>
    </row>
    <row r="1482" spans="1:55" s="48" customFormat="1" ht="15.45" customHeight="1" outlineLevel="1" x14ac:dyDescent="0.25">
      <c r="A1482" s="42">
        <v>13</v>
      </c>
      <c r="B1482" s="43" t="s">
        <v>963</v>
      </c>
      <c r="C1482" s="44" t="s">
        <v>93</v>
      </c>
      <c r="D1482" s="45">
        <v>4</v>
      </c>
      <c r="E1482" s="45">
        <v>104.24</v>
      </c>
      <c r="F1482" s="45">
        <f t="shared" si="355"/>
        <v>416.96</v>
      </c>
      <c r="G1482" s="46">
        <f t="shared" si="356"/>
        <v>0</v>
      </c>
      <c r="H1482" s="47">
        <f t="shared" si="357"/>
        <v>0</v>
      </c>
      <c r="I1482" s="46">
        <f t="shared" si="358"/>
        <v>0</v>
      </c>
      <c r="J1482" s="47">
        <v>0</v>
      </c>
      <c r="K1482" s="46">
        <f t="shared" si="359"/>
        <v>0</v>
      </c>
      <c r="L1482" s="47">
        <v>0</v>
      </c>
      <c r="AX1482" s="46"/>
      <c r="AY1482" s="47"/>
      <c r="AZ1482" s="70"/>
      <c r="BC1482" s="50"/>
    </row>
    <row r="1483" spans="1:55" s="48" customFormat="1" ht="27.75" customHeight="1" outlineLevel="1" x14ac:dyDescent="0.25">
      <c r="A1483" s="42">
        <v>14</v>
      </c>
      <c r="B1483" s="43" t="s">
        <v>964</v>
      </c>
      <c r="C1483" s="44" t="s">
        <v>61</v>
      </c>
      <c r="D1483" s="45">
        <v>0.5</v>
      </c>
      <c r="E1483" s="45">
        <v>15.389799999999999</v>
      </c>
      <c r="F1483" s="45">
        <f t="shared" si="355"/>
        <v>7.6948999999999996</v>
      </c>
      <c r="G1483" s="46">
        <f t="shared" si="356"/>
        <v>0</v>
      </c>
      <c r="H1483" s="47">
        <f t="shared" si="357"/>
        <v>0</v>
      </c>
      <c r="I1483" s="46">
        <f t="shared" si="358"/>
        <v>0</v>
      </c>
      <c r="J1483" s="47">
        <v>0</v>
      </c>
      <c r="K1483" s="46">
        <f t="shared" si="359"/>
        <v>0</v>
      </c>
      <c r="L1483" s="47">
        <v>0</v>
      </c>
      <c r="AX1483" s="46">
        <v>1</v>
      </c>
      <c r="AY1483" s="47">
        <v>5766733.6402624408</v>
      </c>
      <c r="AZ1483" s="70">
        <f>H1483-J1483</f>
        <v>0</v>
      </c>
      <c r="BC1483" s="50"/>
    </row>
    <row r="1484" spans="1:55" s="48" customFormat="1" ht="15.45" customHeight="1" outlineLevel="1" x14ac:dyDescent="0.25">
      <c r="A1484" s="42">
        <v>15</v>
      </c>
      <c r="B1484" s="43" t="s">
        <v>965</v>
      </c>
      <c r="C1484" s="44" t="s">
        <v>61</v>
      </c>
      <c r="D1484" s="45">
        <v>0.5</v>
      </c>
      <c r="E1484" s="45">
        <v>18.478400000000001</v>
      </c>
      <c r="F1484" s="45">
        <f t="shared" si="355"/>
        <v>9.2392000000000003</v>
      </c>
      <c r="G1484" s="46">
        <f t="shared" si="356"/>
        <v>0</v>
      </c>
      <c r="H1484" s="47">
        <f t="shared" si="357"/>
        <v>0</v>
      </c>
      <c r="I1484" s="46">
        <f t="shared" si="358"/>
        <v>0</v>
      </c>
      <c r="J1484" s="47">
        <v>0</v>
      </c>
      <c r="K1484" s="46">
        <f t="shared" si="359"/>
        <v>0</v>
      </c>
      <c r="L1484" s="47">
        <v>0</v>
      </c>
      <c r="AX1484" s="46">
        <v>1</v>
      </c>
      <c r="AY1484" s="47">
        <v>5766733.6402624408</v>
      </c>
      <c r="AZ1484" s="70">
        <f>H1484-J1484</f>
        <v>0</v>
      </c>
      <c r="BC1484" s="50"/>
    </row>
    <row r="1485" spans="1:55" s="48" customFormat="1" ht="27.75" customHeight="1" outlineLevel="1" x14ac:dyDescent="0.25">
      <c r="A1485" s="42">
        <v>16</v>
      </c>
      <c r="B1485" s="43" t="s">
        <v>966</v>
      </c>
      <c r="C1485" s="44" t="s">
        <v>61</v>
      </c>
      <c r="D1485" s="45">
        <v>0.5</v>
      </c>
      <c r="E1485" s="45">
        <v>8.1988000000000003</v>
      </c>
      <c r="F1485" s="45">
        <f t="shared" si="355"/>
        <v>4.0994000000000002</v>
      </c>
      <c r="G1485" s="46">
        <f t="shared" si="356"/>
        <v>0</v>
      </c>
      <c r="H1485" s="47">
        <f t="shared" si="357"/>
        <v>0</v>
      </c>
      <c r="I1485" s="46">
        <f t="shared" si="358"/>
        <v>0</v>
      </c>
      <c r="J1485" s="47">
        <v>0</v>
      </c>
      <c r="K1485" s="46">
        <f t="shared" si="359"/>
        <v>0</v>
      </c>
      <c r="L1485" s="47">
        <v>0</v>
      </c>
      <c r="AX1485" s="46">
        <v>1</v>
      </c>
      <c r="AY1485" s="47">
        <v>5766733.6402624408</v>
      </c>
      <c r="AZ1485" s="70">
        <f>H1485-J1485</f>
        <v>0</v>
      </c>
      <c r="BC1485" s="50"/>
    </row>
    <row r="1486" spans="1:55" s="48" customFormat="1" ht="15.45" customHeight="1" outlineLevel="1" x14ac:dyDescent="0.25">
      <c r="A1486" s="42">
        <v>17</v>
      </c>
      <c r="B1486" s="43" t="s">
        <v>967</v>
      </c>
      <c r="C1486" s="44" t="s">
        <v>61</v>
      </c>
      <c r="D1486" s="45">
        <v>0.5</v>
      </c>
      <c r="E1486" s="45">
        <v>6.1976000000000004</v>
      </c>
      <c r="F1486" s="45">
        <f t="shared" si="355"/>
        <v>3.0988000000000002</v>
      </c>
      <c r="G1486" s="46">
        <f t="shared" si="356"/>
        <v>0</v>
      </c>
      <c r="H1486" s="47">
        <f t="shared" si="357"/>
        <v>0</v>
      </c>
      <c r="I1486" s="46">
        <f t="shared" si="358"/>
        <v>0</v>
      </c>
      <c r="J1486" s="47">
        <v>0</v>
      </c>
      <c r="K1486" s="46">
        <f t="shared" si="359"/>
        <v>0</v>
      </c>
      <c r="L1486" s="47">
        <v>0</v>
      </c>
      <c r="AX1486" s="46">
        <v>0</v>
      </c>
      <c r="AY1486" s="47">
        <v>0</v>
      </c>
      <c r="AZ1486" s="70">
        <f>H1486-J1486</f>
        <v>0</v>
      </c>
      <c r="BC1486" s="50"/>
    </row>
    <row r="1487" spans="1:55" s="48" customFormat="1" ht="27.75" customHeight="1" outlineLevel="1" x14ac:dyDescent="0.25">
      <c r="A1487" s="42">
        <v>18</v>
      </c>
      <c r="B1487" s="43" t="s">
        <v>909</v>
      </c>
      <c r="C1487" s="44" t="s">
        <v>61</v>
      </c>
      <c r="D1487" s="45">
        <v>7.5</v>
      </c>
      <c r="E1487" s="45">
        <v>10.932399999999999</v>
      </c>
      <c r="F1487" s="45">
        <f t="shared" si="355"/>
        <v>81.992999999999995</v>
      </c>
      <c r="G1487" s="46">
        <f t="shared" si="356"/>
        <v>0</v>
      </c>
      <c r="H1487" s="47">
        <f t="shared" si="357"/>
        <v>0</v>
      </c>
      <c r="I1487" s="46">
        <f t="shared" si="358"/>
        <v>0</v>
      </c>
      <c r="J1487" s="47">
        <v>0</v>
      </c>
      <c r="K1487" s="46">
        <f t="shared" si="359"/>
        <v>0</v>
      </c>
      <c r="L1487" s="47">
        <v>0</v>
      </c>
      <c r="AX1487" s="46">
        <v>0</v>
      </c>
      <c r="AY1487" s="47">
        <v>1038012.055247239</v>
      </c>
      <c r="AZ1487" s="70">
        <f>H1487-J1487</f>
        <v>0</v>
      </c>
      <c r="BC1487" s="50"/>
    </row>
    <row r="1488" spans="1:55" s="48" customFormat="1" ht="15.45" customHeight="1" outlineLevel="1" x14ac:dyDescent="0.25">
      <c r="A1488" s="42">
        <v>19</v>
      </c>
      <c r="B1488" s="43" t="s">
        <v>910</v>
      </c>
      <c r="C1488" s="44" t="s">
        <v>61</v>
      </c>
      <c r="D1488" s="45">
        <v>7.5</v>
      </c>
      <c r="E1488" s="45">
        <v>14.979799999999999</v>
      </c>
      <c r="F1488" s="45">
        <f t="shared" si="355"/>
        <v>112.34849999999999</v>
      </c>
      <c r="G1488" s="46">
        <f t="shared" si="356"/>
        <v>0</v>
      </c>
      <c r="H1488" s="47">
        <f t="shared" si="357"/>
        <v>0</v>
      </c>
      <c r="I1488" s="46">
        <f t="shared" si="358"/>
        <v>0</v>
      </c>
      <c r="J1488" s="47">
        <v>0</v>
      </c>
      <c r="K1488" s="46">
        <f t="shared" si="359"/>
        <v>0</v>
      </c>
      <c r="L1488" s="47">
        <v>0</v>
      </c>
      <c r="AX1488" s="46"/>
      <c r="AY1488" s="47"/>
      <c r="AZ1488" s="70"/>
      <c r="BC1488" s="50"/>
    </row>
    <row r="1489" spans="1:55" s="48" customFormat="1" ht="27.75" customHeight="1" outlineLevel="1" x14ac:dyDescent="0.25">
      <c r="A1489" s="42">
        <v>20</v>
      </c>
      <c r="B1489" s="43" t="s">
        <v>968</v>
      </c>
      <c r="C1489" s="44" t="s">
        <v>61</v>
      </c>
      <c r="D1489" s="45">
        <v>19.5</v>
      </c>
      <c r="E1489" s="45">
        <v>8.1783999999999999</v>
      </c>
      <c r="F1489" s="45">
        <f t="shared" si="355"/>
        <v>159.47880000000001</v>
      </c>
      <c r="G1489" s="46">
        <f t="shared" si="356"/>
        <v>0</v>
      </c>
      <c r="H1489" s="47">
        <f t="shared" si="357"/>
        <v>0</v>
      </c>
      <c r="I1489" s="46">
        <f t="shared" si="358"/>
        <v>0</v>
      </c>
      <c r="J1489" s="47">
        <v>0</v>
      </c>
      <c r="K1489" s="46">
        <f t="shared" si="359"/>
        <v>0</v>
      </c>
      <c r="L1489" s="47">
        <v>0</v>
      </c>
      <c r="AX1489" s="46"/>
      <c r="AY1489" s="47"/>
      <c r="AZ1489" s="70"/>
      <c r="BC1489" s="50"/>
    </row>
    <row r="1490" spans="1:55" s="48" customFormat="1" ht="15.45" customHeight="1" outlineLevel="1" x14ac:dyDescent="0.25">
      <c r="A1490" s="42">
        <v>21</v>
      </c>
      <c r="B1490" s="43" t="s">
        <v>969</v>
      </c>
      <c r="C1490" s="44" t="s">
        <v>61</v>
      </c>
      <c r="D1490" s="45">
        <v>1.5</v>
      </c>
      <c r="E1490" s="45">
        <v>3.3517999999999999</v>
      </c>
      <c r="F1490" s="45">
        <f t="shared" si="355"/>
        <v>5.0276999999999994</v>
      </c>
      <c r="G1490" s="46">
        <f t="shared" si="356"/>
        <v>0</v>
      </c>
      <c r="H1490" s="47">
        <f t="shared" si="357"/>
        <v>0</v>
      </c>
      <c r="I1490" s="46">
        <f t="shared" si="358"/>
        <v>0</v>
      </c>
      <c r="J1490" s="47">
        <v>0</v>
      </c>
      <c r="K1490" s="46">
        <f t="shared" si="359"/>
        <v>0</v>
      </c>
      <c r="L1490" s="47">
        <v>0</v>
      </c>
      <c r="AX1490" s="46"/>
      <c r="AY1490" s="47"/>
      <c r="AZ1490" s="70"/>
      <c r="BC1490" s="50"/>
    </row>
    <row r="1491" spans="1:55" s="48" customFormat="1" ht="27.75" customHeight="1" outlineLevel="1" x14ac:dyDescent="0.25">
      <c r="A1491" s="42">
        <v>22</v>
      </c>
      <c r="B1491" s="43" t="s">
        <v>970</v>
      </c>
      <c r="C1491" s="44" t="s">
        <v>61</v>
      </c>
      <c r="D1491" s="45">
        <v>18</v>
      </c>
      <c r="E1491" s="45">
        <v>2.6581999999999999</v>
      </c>
      <c r="F1491" s="45">
        <f t="shared" si="355"/>
        <v>47.8476</v>
      </c>
      <c r="G1491" s="46">
        <f t="shared" si="356"/>
        <v>0</v>
      </c>
      <c r="H1491" s="47">
        <f t="shared" si="357"/>
        <v>0</v>
      </c>
      <c r="I1491" s="46">
        <f t="shared" si="358"/>
        <v>0</v>
      </c>
      <c r="J1491" s="47">
        <v>0</v>
      </c>
      <c r="K1491" s="46">
        <f t="shared" si="359"/>
        <v>0</v>
      </c>
      <c r="L1491" s="47">
        <v>0</v>
      </c>
      <c r="AX1491" s="46"/>
      <c r="AY1491" s="47"/>
      <c r="AZ1491" s="70"/>
      <c r="BC1491" s="50"/>
    </row>
    <row r="1492" spans="1:55" s="48" customFormat="1" ht="27.75" customHeight="1" outlineLevel="1" x14ac:dyDescent="0.25">
      <c r="A1492" s="42">
        <v>23</v>
      </c>
      <c r="B1492" s="43" t="s">
        <v>971</v>
      </c>
      <c r="C1492" s="44" t="s">
        <v>130</v>
      </c>
      <c r="D1492" s="45">
        <v>6.7</v>
      </c>
      <c r="E1492" s="45">
        <v>2.2909999999999999</v>
      </c>
      <c r="F1492" s="45">
        <f t="shared" si="355"/>
        <v>15.3497</v>
      </c>
      <c r="G1492" s="46">
        <f t="shared" si="356"/>
        <v>0</v>
      </c>
      <c r="H1492" s="47">
        <f t="shared" si="357"/>
        <v>0</v>
      </c>
      <c r="I1492" s="46">
        <f t="shared" si="358"/>
        <v>0</v>
      </c>
      <c r="J1492" s="47">
        <v>0</v>
      </c>
      <c r="K1492" s="46">
        <f t="shared" si="359"/>
        <v>0</v>
      </c>
      <c r="L1492" s="47">
        <v>0</v>
      </c>
      <c r="AX1492" s="46"/>
      <c r="AY1492" s="47"/>
      <c r="AZ1492" s="70"/>
      <c r="BC1492" s="50"/>
    </row>
    <row r="1493" spans="1:55" s="59" customFormat="1" ht="17.7" customHeight="1" outlineLevel="1" x14ac:dyDescent="0.35">
      <c r="A1493" s="42">
        <v>24</v>
      </c>
      <c r="B1493" s="43" t="s">
        <v>972</v>
      </c>
      <c r="C1493" s="44" t="s">
        <v>98</v>
      </c>
      <c r="D1493" s="45">
        <v>3.5</v>
      </c>
      <c r="E1493" s="45">
        <v>1.5688</v>
      </c>
      <c r="F1493" s="45">
        <f t="shared" si="355"/>
        <v>5.4908000000000001</v>
      </c>
      <c r="G1493" s="46">
        <f t="shared" si="356"/>
        <v>0</v>
      </c>
      <c r="H1493" s="47">
        <f t="shared" si="357"/>
        <v>0</v>
      </c>
      <c r="I1493" s="46">
        <f t="shared" si="358"/>
        <v>0</v>
      </c>
      <c r="J1493" s="47">
        <v>0</v>
      </c>
      <c r="K1493" s="46">
        <f t="shared" si="359"/>
        <v>0</v>
      </c>
      <c r="L1493" s="47">
        <v>0</v>
      </c>
      <c r="AX1493" s="73">
        <v>1</v>
      </c>
      <c r="AY1493" s="74">
        <v>5766733.6402624408</v>
      </c>
      <c r="AZ1493" s="75">
        <f>H1493-J1493</f>
        <v>0</v>
      </c>
      <c r="BC1493" s="61"/>
    </row>
    <row r="1494" spans="1:55" s="48" customFormat="1" ht="15.45" customHeight="1" outlineLevel="1" x14ac:dyDescent="0.25">
      <c r="A1494" s="42">
        <v>25</v>
      </c>
      <c r="B1494" s="43" t="s">
        <v>973</v>
      </c>
      <c r="C1494" s="44" t="s">
        <v>98</v>
      </c>
      <c r="D1494" s="45">
        <v>3.5</v>
      </c>
      <c r="E1494" s="45">
        <v>1.2525999999999999</v>
      </c>
      <c r="F1494" s="45">
        <f t="shared" si="355"/>
        <v>4.3841000000000001</v>
      </c>
      <c r="G1494" s="46">
        <f t="shared" si="356"/>
        <v>0</v>
      </c>
      <c r="H1494" s="47">
        <f t="shared" si="357"/>
        <v>0</v>
      </c>
      <c r="I1494" s="46">
        <f t="shared" si="358"/>
        <v>0</v>
      </c>
      <c r="J1494" s="47">
        <v>0</v>
      </c>
      <c r="K1494" s="46">
        <f t="shared" si="359"/>
        <v>0</v>
      </c>
      <c r="L1494" s="47">
        <v>0</v>
      </c>
      <c r="AX1494" s="46">
        <v>0</v>
      </c>
      <c r="AY1494" s="47">
        <v>0</v>
      </c>
      <c r="AZ1494" s="70">
        <f>H1494-J1494</f>
        <v>0</v>
      </c>
      <c r="BC1494" s="50"/>
    </row>
    <row r="1495" spans="1:55" s="56" customFormat="1" ht="17.25" customHeight="1" x14ac:dyDescent="0.3">
      <c r="A1495" s="62">
        <v>9.17</v>
      </c>
      <c r="B1495" s="51" t="s">
        <v>974</v>
      </c>
      <c r="C1495" s="52">
        <v>0</v>
      </c>
      <c r="D1495" s="53"/>
      <c r="E1495" s="53"/>
      <c r="F1495" s="53"/>
      <c r="G1495" s="54"/>
      <c r="H1495" s="55"/>
      <c r="I1495" s="54"/>
      <c r="J1495" s="55"/>
      <c r="K1495" s="54"/>
      <c r="L1495" s="55">
        <v>0</v>
      </c>
      <c r="AX1495" s="69">
        <v>0</v>
      </c>
      <c r="AY1495" s="71">
        <v>1038012.055247239</v>
      </c>
      <c r="AZ1495" s="72">
        <f>H1495-J1495</f>
        <v>0</v>
      </c>
      <c r="BC1495" s="58"/>
    </row>
    <row r="1496" spans="1:55" s="48" customFormat="1" ht="27.75" customHeight="1" outlineLevel="1" x14ac:dyDescent="0.25">
      <c r="A1496" s="42">
        <v>1</v>
      </c>
      <c r="B1496" s="43" t="s">
        <v>975</v>
      </c>
      <c r="C1496" s="44" t="s">
        <v>93</v>
      </c>
      <c r="D1496" s="45">
        <v>1</v>
      </c>
      <c r="E1496" s="45">
        <v>92.103999999999985</v>
      </c>
      <c r="F1496" s="45">
        <f t="shared" ref="F1496:F1504" si="360">+E1496*D1496</f>
        <v>92.103999999999985</v>
      </c>
      <c r="G1496" s="46">
        <f t="shared" ref="G1496:G1504" si="361">I1496+K1496</f>
        <v>0</v>
      </c>
      <c r="H1496" s="47">
        <f t="shared" ref="H1496:H1504" si="362">J1496+L1496</f>
        <v>0</v>
      </c>
      <c r="I1496" s="46">
        <f t="shared" ref="I1496:I1504" si="363">J1496/F1496</f>
        <v>0</v>
      </c>
      <c r="J1496" s="47">
        <v>0</v>
      </c>
      <c r="K1496" s="46">
        <f t="shared" ref="K1496:K1504" si="364">L1496/F1496</f>
        <v>0</v>
      </c>
      <c r="L1496" s="47">
        <v>0</v>
      </c>
      <c r="AX1496" s="46"/>
      <c r="AY1496" s="47"/>
      <c r="AZ1496" s="70"/>
      <c r="BC1496" s="50"/>
    </row>
    <row r="1497" spans="1:55" s="48" customFormat="1" ht="15.45" customHeight="1" outlineLevel="1" x14ac:dyDescent="0.25">
      <c r="A1497" s="42">
        <v>2</v>
      </c>
      <c r="B1497" s="43" t="s">
        <v>976</v>
      </c>
      <c r="C1497" s="44" t="s">
        <v>93</v>
      </c>
      <c r="D1497" s="45">
        <v>1</v>
      </c>
      <c r="E1497" s="45">
        <v>844.57640000000015</v>
      </c>
      <c r="F1497" s="45">
        <f t="shared" si="360"/>
        <v>844.57640000000015</v>
      </c>
      <c r="G1497" s="46">
        <f t="shared" si="361"/>
        <v>0</v>
      </c>
      <c r="H1497" s="47">
        <f t="shared" si="362"/>
        <v>0</v>
      </c>
      <c r="I1497" s="46">
        <f t="shared" si="363"/>
        <v>0</v>
      </c>
      <c r="J1497" s="47">
        <v>0</v>
      </c>
      <c r="K1497" s="46">
        <f t="shared" si="364"/>
        <v>0</v>
      </c>
      <c r="L1497" s="47">
        <v>0</v>
      </c>
      <c r="AX1497" s="46"/>
      <c r="AY1497" s="47"/>
      <c r="AZ1497" s="70"/>
      <c r="BC1497" s="50"/>
    </row>
    <row r="1498" spans="1:55" s="48" customFormat="1" ht="27.75" customHeight="1" outlineLevel="1" x14ac:dyDescent="0.25">
      <c r="A1498" s="42">
        <v>3</v>
      </c>
      <c r="B1498" s="43" t="s">
        <v>977</v>
      </c>
      <c r="C1498" s="44" t="s">
        <v>234</v>
      </c>
      <c r="D1498" s="45">
        <v>3</v>
      </c>
      <c r="E1498" s="45">
        <v>1173.7295999999999</v>
      </c>
      <c r="F1498" s="45">
        <f t="shared" si="360"/>
        <v>3521.1887999999999</v>
      </c>
      <c r="G1498" s="46">
        <f t="shared" si="361"/>
        <v>0</v>
      </c>
      <c r="H1498" s="47">
        <f t="shared" si="362"/>
        <v>0</v>
      </c>
      <c r="I1498" s="46">
        <f t="shared" si="363"/>
        <v>0</v>
      </c>
      <c r="J1498" s="47">
        <v>0</v>
      </c>
      <c r="K1498" s="46">
        <f t="shared" si="364"/>
        <v>0</v>
      </c>
      <c r="L1498" s="47">
        <v>0</v>
      </c>
      <c r="AX1498" s="46"/>
      <c r="AY1498" s="47"/>
      <c r="AZ1498" s="70"/>
      <c r="BC1498" s="50"/>
    </row>
    <row r="1499" spans="1:55" s="48" customFormat="1" ht="15.45" customHeight="1" outlineLevel="1" x14ac:dyDescent="0.25">
      <c r="A1499" s="42">
        <v>4</v>
      </c>
      <c r="B1499" s="43" t="s">
        <v>978</v>
      </c>
      <c r="C1499" s="44" t="s">
        <v>93</v>
      </c>
      <c r="D1499" s="45">
        <v>3</v>
      </c>
      <c r="E1499" s="45">
        <v>101.2504</v>
      </c>
      <c r="F1499" s="45">
        <f t="shared" si="360"/>
        <v>303.75119999999998</v>
      </c>
      <c r="G1499" s="46">
        <f t="shared" si="361"/>
        <v>0</v>
      </c>
      <c r="H1499" s="47">
        <f t="shared" si="362"/>
        <v>0</v>
      </c>
      <c r="I1499" s="46">
        <f t="shared" si="363"/>
        <v>0</v>
      </c>
      <c r="J1499" s="47">
        <v>0</v>
      </c>
      <c r="K1499" s="46">
        <f t="shared" si="364"/>
        <v>0</v>
      </c>
      <c r="L1499" s="47">
        <v>0</v>
      </c>
      <c r="AX1499" s="46"/>
      <c r="AY1499" s="47"/>
      <c r="AZ1499" s="70"/>
      <c r="BC1499" s="50"/>
    </row>
    <row r="1500" spans="1:55" s="48" customFormat="1" ht="15.45" customHeight="1" outlineLevel="1" x14ac:dyDescent="0.25">
      <c r="A1500" s="42">
        <v>5</v>
      </c>
      <c r="B1500" s="43" t="s">
        <v>979</v>
      </c>
      <c r="C1500" s="44" t="s">
        <v>61</v>
      </c>
      <c r="D1500" s="45">
        <v>70</v>
      </c>
      <c r="E1500" s="45">
        <v>2.1787999999999998</v>
      </c>
      <c r="F1500" s="45">
        <f t="shared" si="360"/>
        <v>152.51599999999999</v>
      </c>
      <c r="G1500" s="46">
        <f t="shared" si="361"/>
        <v>0</v>
      </c>
      <c r="H1500" s="47">
        <f t="shared" si="362"/>
        <v>0</v>
      </c>
      <c r="I1500" s="46">
        <f t="shared" si="363"/>
        <v>0</v>
      </c>
      <c r="J1500" s="47">
        <v>0</v>
      </c>
      <c r="K1500" s="46">
        <f t="shared" si="364"/>
        <v>0</v>
      </c>
      <c r="L1500" s="47">
        <v>0</v>
      </c>
      <c r="AX1500" s="46"/>
      <c r="AY1500" s="47"/>
      <c r="AZ1500" s="70"/>
      <c r="BC1500" s="50"/>
    </row>
    <row r="1501" spans="1:55" s="48" customFormat="1" ht="27.75" customHeight="1" outlineLevel="1" x14ac:dyDescent="0.25">
      <c r="A1501" s="42">
        <v>6</v>
      </c>
      <c r="B1501" s="43" t="s">
        <v>469</v>
      </c>
      <c r="C1501" s="44" t="s">
        <v>61</v>
      </c>
      <c r="D1501" s="45">
        <v>35</v>
      </c>
      <c r="E1501" s="45">
        <v>2.0379999999999998</v>
      </c>
      <c r="F1501" s="45">
        <f t="shared" si="360"/>
        <v>71.33</v>
      </c>
      <c r="G1501" s="46">
        <f t="shared" si="361"/>
        <v>0</v>
      </c>
      <c r="H1501" s="47">
        <f t="shared" si="362"/>
        <v>0</v>
      </c>
      <c r="I1501" s="46">
        <f t="shared" si="363"/>
        <v>0</v>
      </c>
      <c r="J1501" s="47">
        <v>0</v>
      </c>
      <c r="K1501" s="46">
        <f t="shared" si="364"/>
        <v>0</v>
      </c>
      <c r="L1501" s="47">
        <v>0</v>
      </c>
      <c r="AX1501" s="46"/>
      <c r="AY1501" s="47"/>
      <c r="AZ1501" s="70"/>
      <c r="BC1501" s="50"/>
    </row>
    <row r="1502" spans="1:55" s="48" customFormat="1" ht="27.75" customHeight="1" outlineLevel="1" x14ac:dyDescent="0.25">
      <c r="A1502" s="42">
        <v>7</v>
      </c>
      <c r="B1502" s="43" t="s">
        <v>980</v>
      </c>
      <c r="C1502" s="44" t="s">
        <v>61</v>
      </c>
      <c r="D1502" s="45">
        <v>35</v>
      </c>
      <c r="E1502" s="45">
        <v>1.8952</v>
      </c>
      <c r="F1502" s="45">
        <f t="shared" si="360"/>
        <v>66.331999999999994</v>
      </c>
      <c r="G1502" s="46">
        <f t="shared" si="361"/>
        <v>0</v>
      </c>
      <c r="H1502" s="47">
        <f t="shared" si="362"/>
        <v>0</v>
      </c>
      <c r="I1502" s="46">
        <f t="shared" si="363"/>
        <v>0</v>
      </c>
      <c r="J1502" s="47">
        <v>0</v>
      </c>
      <c r="K1502" s="46">
        <f t="shared" si="364"/>
        <v>0</v>
      </c>
      <c r="L1502" s="47">
        <v>0</v>
      </c>
      <c r="AX1502" s="46"/>
      <c r="AY1502" s="47"/>
      <c r="AZ1502" s="70"/>
      <c r="BC1502" s="50"/>
    </row>
    <row r="1503" spans="1:55" s="48" customFormat="1" ht="15.45" customHeight="1" outlineLevel="1" x14ac:dyDescent="0.25">
      <c r="A1503" s="42">
        <v>8</v>
      </c>
      <c r="B1503" s="43" t="s">
        <v>981</v>
      </c>
      <c r="C1503" s="44" t="s">
        <v>61</v>
      </c>
      <c r="D1503" s="45">
        <v>35</v>
      </c>
      <c r="E1503" s="45">
        <v>3.3517999999999999</v>
      </c>
      <c r="F1503" s="45">
        <f t="shared" si="360"/>
        <v>117.313</v>
      </c>
      <c r="G1503" s="46">
        <f t="shared" si="361"/>
        <v>0</v>
      </c>
      <c r="H1503" s="47">
        <f t="shared" si="362"/>
        <v>0</v>
      </c>
      <c r="I1503" s="46">
        <f t="shared" si="363"/>
        <v>0</v>
      </c>
      <c r="J1503" s="47">
        <v>0</v>
      </c>
      <c r="K1503" s="46">
        <f t="shared" si="364"/>
        <v>0</v>
      </c>
      <c r="L1503" s="47">
        <v>0</v>
      </c>
      <c r="AX1503" s="46"/>
      <c r="AY1503" s="47"/>
      <c r="AZ1503" s="70"/>
      <c r="BC1503" s="50"/>
    </row>
    <row r="1504" spans="1:55" s="48" customFormat="1" ht="27.75" customHeight="1" outlineLevel="1" x14ac:dyDescent="0.25">
      <c r="A1504" s="42">
        <v>9</v>
      </c>
      <c r="B1504" s="43" t="s">
        <v>412</v>
      </c>
      <c r="C1504" s="44" t="s">
        <v>61</v>
      </c>
      <c r="D1504" s="45">
        <v>35</v>
      </c>
      <c r="E1504" s="45">
        <v>2.4765999999999999</v>
      </c>
      <c r="F1504" s="45">
        <f t="shared" si="360"/>
        <v>86.680999999999997</v>
      </c>
      <c r="G1504" s="46">
        <f t="shared" si="361"/>
        <v>0</v>
      </c>
      <c r="H1504" s="47">
        <f t="shared" si="362"/>
        <v>0</v>
      </c>
      <c r="I1504" s="46">
        <f t="shared" si="363"/>
        <v>0</v>
      </c>
      <c r="J1504" s="47">
        <v>0</v>
      </c>
      <c r="K1504" s="46">
        <f t="shared" si="364"/>
        <v>0</v>
      </c>
      <c r="L1504" s="47">
        <v>0</v>
      </c>
      <c r="AX1504" s="46"/>
      <c r="AY1504" s="47"/>
      <c r="AZ1504" s="70"/>
      <c r="BC1504" s="50"/>
    </row>
    <row r="1505" spans="1:55" s="56" customFormat="1" ht="17.25" customHeight="1" x14ac:dyDescent="0.3">
      <c r="A1505" s="62">
        <v>9.18</v>
      </c>
      <c r="B1505" s="51" t="s">
        <v>982</v>
      </c>
      <c r="C1505" s="52">
        <v>0</v>
      </c>
      <c r="D1505" s="53"/>
      <c r="E1505" s="53"/>
      <c r="F1505" s="53"/>
      <c r="G1505" s="54"/>
      <c r="H1505" s="55"/>
      <c r="I1505" s="54"/>
      <c r="J1505" s="55"/>
      <c r="K1505" s="54"/>
      <c r="L1505" s="55">
        <v>0</v>
      </c>
      <c r="AX1505" s="69"/>
      <c r="AY1505" s="71"/>
      <c r="AZ1505" s="72"/>
      <c r="BC1505" s="58"/>
    </row>
    <row r="1506" spans="1:55" s="48" customFormat="1" ht="15.45" customHeight="1" outlineLevel="1" x14ac:dyDescent="0.25">
      <c r="A1506" s="42">
        <v>1</v>
      </c>
      <c r="B1506" s="43" t="s">
        <v>983</v>
      </c>
      <c r="C1506" s="44" t="s">
        <v>93</v>
      </c>
      <c r="D1506" s="45">
        <v>1</v>
      </c>
      <c r="E1506" s="45">
        <v>26.006</v>
      </c>
      <c r="F1506" s="45">
        <f t="shared" ref="F1506:F1513" si="365">+E1506*D1506</f>
        <v>26.006</v>
      </c>
      <c r="G1506" s="46">
        <f t="shared" ref="G1506:H1513" si="366">I1506+K1506</f>
        <v>0</v>
      </c>
      <c r="H1506" s="47">
        <f t="shared" si="366"/>
        <v>0</v>
      </c>
      <c r="I1506" s="46">
        <f t="shared" ref="I1506:I1513" si="367">J1506/F1506</f>
        <v>0</v>
      </c>
      <c r="J1506" s="47">
        <v>0</v>
      </c>
      <c r="K1506" s="46">
        <f t="shared" ref="K1506:K1513" si="368">L1506/F1506</f>
        <v>0</v>
      </c>
      <c r="L1506" s="47">
        <v>0</v>
      </c>
      <c r="AX1506" s="46">
        <v>1</v>
      </c>
      <c r="AY1506" s="47">
        <v>5766733.6402624408</v>
      </c>
      <c r="AZ1506" s="70">
        <f t="shared" ref="AZ1506:AZ1529" si="369">H1506-J1506</f>
        <v>0</v>
      </c>
      <c r="BC1506" s="50"/>
    </row>
    <row r="1507" spans="1:55" s="48" customFormat="1" ht="15.45" customHeight="1" outlineLevel="1" x14ac:dyDescent="0.25">
      <c r="A1507" s="42">
        <v>2</v>
      </c>
      <c r="B1507" s="43" t="s">
        <v>487</v>
      </c>
      <c r="C1507" s="44" t="s">
        <v>93</v>
      </c>
      <c r="D1507" s="45">
        <v>1</v>
      </c>
      <c r="E1507" s="45">
        <v>24.641200000000001</v>
      </c>
      <c r="F1507" s="45">
        <f t="shared" si="365"/>
        <v>24.641200000000001</v>
      </c>
      <c r="G1507" s="46">
        <f t="shared" si="366"/>
        <v>0</v>
      </c>
      <c r="H1507" s="47">
        <f t="shared" si="366"/>
        <v>0</v>
      </c>
      <c r="I1507" s="46">
        <f t="shared" si="367"/>
        <v>0</v>
      </c>
      <c r="J1507" s="47">
        <v>0</v>
      </c>
      <c r="K1507" s="46">
        <f t="shared" si="368"/>
        <v>0</v>
      </c>
      <c r="L1507" s="47">
        <v>0</v>
      </c>
      <c r="AX1507" s="46">
        <v>1</v>
      </c>
      <c r="AY1507" s="47">
        <v>5766733.6402624408</v>
      </c>
      <c r="AZ1507" s="70">
        <f t="shared" si="369"/>
        <v>0</v>
      </c>
      <c r="BC1507" s="50"/>
    </row>
    <row r="1508" spans="1:55" s="48" customFormat="1" ht="27.75" customHeight="1" outlineLevel="1" x14ac:dyDescent="0.25">
      <c r="A1508" s="42">
        <v>3</v>
      </c>
      <c r="B1508" s="43" t="s">
        <v>984</v>
      </c>
      <c r="C1508" s="44" t="s">
        <v>93</v>
      </c>
      <c r="D1508" s="45">
        <v>1</v>
      </c>
      <c r="E1508" s="45">
        <v>285.26960000000008</v>
      </c>
      <c r="F1508" s="45">
        <f t="shared" si="365"/>
        <v>285.26960000000008</v>
      </c>
      <c r="G1508" s="46">
        <f t="shared" si="366"/>
        <v>0</v>
      </c>
      <c r="H1508" s="47">
        <f t="shared" si="366"/>
        <v>0</v>
      </c>
      <c r="I1508" s="46">
        <f t="shared" si="367"/>
        <v>0</v>
      </c>
      <c r="J1508" s="47">
        <v>0</v>
      </c>
      <c r="K1508" s="46">
        <f t="shared" si="368"/>
        <v>0</v>
      </c>
      <c r="L1508" s="47">
        <v>0</v>
      </c>
      <c r="AX1508" s="46">
        <v>1</v>
      </c>
      <c r="AY1508" s="47">
        <v>5766733.6402624408</v>
      </c>
      <c r="AZ1508" s="70">
        <f t="shared" si="369"/>
        <v>0</v>
      </c>
      <c r="BC1508" s="50"/>
    </row>
    <row r="1509" spans="1:55" s="48" customFormat="1" ht="15.45" customHeight="1" outlineLevel="1" x14ac:dyDescent="0.25">
      <c r="A1509" s="42">
        <v>4</v>
      </c>
      <c r="B1509" s="43" t="s">
        <v>985</v>
      </c>
      <c r="C1509" s="44" t="s">
        <v>61</v>
      </c>
      <c r="D1509" s="45">
        <v>65</v>
      </c>
      <c r="E1509" s="45">
        <v>2.3216000000000001</v>
      </c>
      <c r="F1509" s="45">
        <f t="shared" si="365"/>
        <v>150.904</v>
      </c>
      <c r="G1509" s="46">
        <f t="shared" si="366"/>
        <v>0</v>
      </c>
      <c r="H1509" s="47">
        <f t="shared" si="366"/>
        <v>0</v>
      </c>
      <c r="I1509" s="46">
        <f t="shared" si="367"/>
        <v>0</v>
      </c>
      <c r="J1509" s="47">
        <v>0</v>
      </c>
      <c r="K1509" s="46">
        <f t="shared" si="368"/>
        <v>0</v>
      </c>
      <c r="L1509" s="47">
        <v>0</v>
      </c>
      <c r="AX1509" s="46">
        <v>0</v>
      </c>
      <c r="AY1509" s="47">
        <v>0</v>
      </c>
      <c r="AZ1509" s="70">
        <f t="shared" si="369"/>
        <v>0</v>
      </c>
      <c r="BC1509" s="50"/>
    </row>
    <row r="1510" spans="1:55" s="48" customFormat="1" ht="27.75" customHeight="1" outlineLevel="1" x14ac:dyDescent="0.25">
      <c r="A1510" s="42">
        <v>5</v>
      </c>
      <c r="B1510" s="43" t="s">
        <v>986</v>
      </c>
      <c r="C1510" s="44" t="s">
        <v>61</v>
      </c>
      <c r="D1510" s="45">
        <v>65</v>
      </c>
      <c r="E1510" s="45">
        <v>1.885</v>
      </c>
      <c r="F1510" s="45">
        <f t="shared" si="365"/>
        <v>122.52500000000001</v>
      </c>
      <c r="G1510" s="46">
        <f t="shared" si="366"/>
        <v>0</v>
      </c>
      <c r="H1510" s="47">
        <f t="shared" si="366"/>
        <v>0</v>
      </c>
      <c r="I1510" s="46">
        <f t="shared" si="367"/>
        <v>0</v>
      </c>
      <c r="J1510" s="47">
        <v>0</v>
      </c>
      <c r="K1510" s="46">
        <f t="shared" si="368"/>
        <v>0</v>
      </c>
      <c r="L1510" s="47">
        <v>0</v>
      </c>
      <c r="AX1510" s="46">
        <v>0</v>
      </c>
      <c r="AY1510" s="47">
        <v>1038012.055247239</v>
      </c>
      <c r="AZ1510" s="70">
        <f t="shared" si="369"/>
        <v>0</v>
      </c>
      <c r="BC1510" s="50"/>
    </row>
    <row r="1511" spans="1:55" s="48" customFormat="1" ht="15.45" customHeight="1" outlineLevel="1" x14ac:dyDescent="0.25">
      <c r="A1511" s="42">
        <v>6</v>
      </c>
      <c r="B1511" s="43" t="s">
        <v>987</v>
      </c>
      <c r="C1511" s="44" t="s">
        <v>93</v>
      </c>
      <c r="D1511" s="45">
        <v>1</v>
      </c>
      <c r="E1511" s="45">
        <v>109.61539999999999</v>
      </c>
      <c r="F1511" s="45">
        <f t="shared" si="365"/>
        <v>109.61539999999999</v>
      </c>
      <c r="G1511" s="46">
        <f t="shared" si="366"/>
        <v>0</v>
      </c>
      <c r="H1511" s="47">
        <f t="shared" si="366"/>
        <v>0</v>
      </c>
      <c r="I1511" s="46">
        <f t="shared" si="367"/>
        <v>0</v>
      </c>
      <c r="J1511" s="47">
        <v>0</v>
      </c>
      <c r="K1511" s="46">
        <f t="shared" si="368"/>
        <v>0</v>
      </c>
      <c r="L1511" s="47">
        <v>0</v>
      </c>
      <c r="AX1511" s="46">
        <v>0</v>
      </c>
      <c r="AY1511" s="47">
        <v>0</v>
      </c>
      <c r="AZ1511" s="70">
        <f t="shared" si="369"/>
        <v>0</v>
      </c>
      <c r="BC1511" s="50"/>
    </row>
    <row r="1512" spans="1:55" s="48" customFormat="1" ht="15.45" customHeight="1" outlineLevel="1" x14ac:dyDescent="0.25">
      <c r="A1512" s="42">
        <v>7</v>
      </c>
      <c r="B1512" s="43" t="s">
        <v>988</v>
      </c>
      <c r="C1512" s="44" t="s">
        <v>93</v>
      </c>
      <c r="D1512" s="45">
        <v>1</v>
      </c>
      <c r="E1512" s="45">
        <v>6.4852000000000007</v>
      </c>
      <c r="F1512" s="45">
        <f t="shared" si="365"/>
        <v>6.4852000000000007</v>
      </c>
      <c r="G1512" s="46">
        <f t="shared" si="366"/>
        <v>0</v>
      </c>
      <c r="H1512" s="47">
        <f t="shared" si="366"/>
        <v>0</v>
      </c>
      <c r="I1512" s="46">
        <f t="shared" si="367"/>
        <v>0</v>
      </c>
      <c r="J1512" s="47">
        <v>0</v>
      </c>
      <c r="K1512" s="46">
        <f t="shared" si="368"/>
        <v>0</v>
      </c>
      <c r="L1512" s="47">
        <v>0</v>
      </c>
      <c r="AX1512" s="46">
        <v>0</v>
      </c>
      <c r="AY1512" s="47">
        <v>0</v>
      </c>
      <c r="AZ1512" s="70">
        <f t="shared" si="369"/>
        <v>0</v>
      </c>
      <c r="BC1512" s="50"/>
    </row>
    <row r="1513" spans="1:55" s="48" customFormat="1" ht="15.45" customHeight="1" outlineLevel="1" x14ac:dyDescent="0.25">
      <c r="A1513" s="42">
        <v>8</v>
      </c>
      <c r="B1513" s="43" t="s">
        <v>989</v>
      </c>
      <c r="C1513" s="44" t="s">
        <v>28</v>
      </c>
      <c r="D1513" s="45">
        <v>5.0000000000000001E-3</v>
      </c>
      <c r="E1513" s="45">
        <v>3488.2959999999989</v>
      </c>
      <c r="F1513" s="45">
        <f t="shared" si="365"/>
        <v>17.441479999999995</v>
      </c>
      <c r="G1513" s="46">
        <f t="shared" si="366"/>
        <v>0</v>
      </c>
      <c r="H1513" s="47">
        <f t="shared" si="366"/>
        <v>0</v>
      </c>
      <c r="I1513" s="46">
        <f t="shared" si="367"/>
        <v>0</v>
      </c>
      <c r="J1513" s="47">
        <v>0</v>
      </c>
      <c r="K1513" s="46">
        <f t="shared" si="368"/>
        <v>0</v>
      </c>
      <c r="L1513" s="47">
        <v>0</v>
      </c>
      <c r="AX1513" s="46">
        <v>0</v>
      </c>
      <c r="AY1513" s="47">
        <v>0</v>
      </c>
      <c r="AZ1513" s="70">
        <f t="shared" si="369"/>
        <v>0</v>
      </c>
      <c r="BC1513" s="50"/>
    </row>
    <row r="1514" spans="1:55" s="56" customFormat="1" ht="17.25" customHeight="1" x14ac:dyDescent="0.3">
      <c r="A1514" s="62">
        <v>9.19</v>
      </c>
      <c r="B1514" s="51" t="s">
        <v>990</v>
      </c>
      <c r="C1514" s="52">
        <v>0</v>
      </c>
      <c r="D1514" s="53"/>
      <c r="E1514" s="53"/>
      <c r="F1514" s="53"/>
      <c r="G1514" s="54"/>
      <c r="H1514" s="55"/>
      <c r="I1514" s="54"/>
      <c r="J1514" s="55"/>
      <c r="K1514" s="54"/>
      <c r="L1514" s="55">
        <v>0</v>
      </c>
      <c r="AX1514" s="69">
        <v>0</v>
      </c>
      <c r="AY1514" s="71">
        <v>0</v>
      </c>
      <c r="AZ1514" s="72">
        <f t="shared" si="369"/>
        <v>0</v>
      </c>
      <c r="BC1514" s="58"/>
    </row>
    <row r="1515" spans="1:55" s="48" customFormat="1" ht="27.75" customHeight="1" outlineLevel="1" x14ac:dyDescent="0.25">
      <c r="A1515" s="42">
        <v>1</v>
      </c>
      <c r="B1515" s="43" t="s">
        <v>991</v>
      </c>
      <c r="C1515" s="44" t="s">
        <v>992</v>
      </c>
      <c r="D1515" s="45">
        <v>8.0000000000000002E-3</v>
      </c>
      <c r="E1515" s="45">
        <v>8181.7954000000009</v>
      </c>
      <c r="F1515" s="45">
        <f t="shared" ref="F1515:F1533" si="370">+E1515*D1515</f>
        <v>65.454363200000003</v>
      </c>
      <c r="G1515" s="46">
        <f t="shared" ref="G1515:G1533" si="371">I1515+K1515</f>
        <v>0</v>
      </c>
      <c r="H1515" s="47">
        <f t="shared" ref="H1515:H1533" si="372">J1515+L1515</f>
        <v>0</v>
      </c>
      <c r="I1515" s="46">
        <f t="shared" ref="I1515:I1533" si="373">J1515/F1515</f>
        <v>0</v>
      </c>
      <c r="J1515" s="47">
        <v>0</v>
      </c>
      <c r="K1515" s="46">
        <f t="shared" ref="K1515:K1533" si="374">L1515/F1515</f>
        <v>0</v>
      </c>
      <c r="L1515" s="47">
        <v>0</v>
      </c>
      <c r="AX1515" s="46">
        <v>0</v>
      </c>
      <c r="AY1515" s="47">
        <v>0</v>
      </c>
      <c r="AZ1515" s="70">
        <f t="shared" si="369"/>
        <v>0</v>
      </c>
      <c r="BC1515" s="50"/>
    </row>
    <row r="1516" spans="1:55" s="48" customFormat="1" ht="27.75" customHeight="1" outlineLevel="1" x14ac:dyDescent="0.25">
      <c r="A1516" s="42">
        <v>2</v>
      </c>
      <c r="B1516" s="43" t="s">
        <v>189</v>
      </c>
      <c r="C1516" s="44" t="s">
        <v>61</v>
      </c>
      <c r="D1516" s="45">
        <v>8</v>
      </c>
      <c r="E1516" s="45">
        <v>4.1167999999999996</v>
      </c>
      <c r="F1516" s="45">
        <f t="shared" si="370"/>
        <v>32.934399999999997</v>
      </c>
      <c r="G1516" s="46">
        <f t="shared" si="371"/>
        <v>0</v>
      </c>
      <c r="H1516" s="47">
        <f t="shared" si="372"/>
        <v>0</v>
      </c>
      <c r="I1516" s="46">
        <f t="shared" si="373"/>
        <v>0</v>
      </c>
      <c r="J1516" s="47">
        <v>0</v>
      </c>
      <c r="K1516" s="46">
        <f t="shared" si="374"/>
        <v>0</v>
      </c>
      <c r="L1516" s="47">
        <v>0</v>
      </c>
      <c r="AX1516" s="46">
        <v>0</v>
      </c>
      <c r="AY1516" s="47">
        <v>0</v>
      </c>
      <c r="AZ1516" s="70">
        <f t="shared" si="369"/>
        <v>0</v>
      </c>
      <c r="BC1516" s="50"/>
    </row>
    <row r="1517" spans="1:55" s="48" customFormat="1" ht="41.7" customHeight="1" outlineLevel="1" x14ac:dyDescent="0.25">
      <c r="A1517" s="42">
        <v>3</v>
      </c>
      <c r="B1517" s="43" t="s">
        <v>993</v>
      </c>
      <c r="C1517" s="44" t="s">
        <v>992</v>
      </c>
      <c r="D1517" s="45">
        <v>0.01</v>
      </c>
      <c r="E1517" s="45">
        <v>13262.7112</v>
      </c>
      <c r="F1517" s="45">
        <f t="shared" si="370"/>
        <v>132.62711200000001</v>
      </c>
      <c r="G1517" s="46">
        <f t="shared" si="371"/>
        <v>0</v>
      </c>
      <c r="H1517" s="47">
        <f t="shared" si="372"/>
        <v>0</v>
      </c>
      <c r="I1517" s="46">
        <f t="shared" si="373"/>
        <v>0</v>
      </c>
      <c r="J1517" s="47">
        <v>0</v>
      </c>
      <c r="K1517" s="46">
        <f t="shared" si="374"/>
        <v>0</v>
      </c>
      <c r="L1517" s="47">
        <v>0</v>
      </c>
      <c r="AX1517" s="46">
        <v>0</v>
      </c>
      <c r="AY1517" s="47">
        <v>0</v>
      </c>
      <c r="AZ1517" s="70">
        <f t="shared" si="369"/>
        <v>0</v>
      </c>
      <c r="BC1517" s="50"/>
    </row>
    <row r="1518" spans="1:55" s="48" customFormat="1" ht="27.75" customHeight="1" outlineLevel="1" x14ac:dyDescent="0.25">
      <c r="A1518" s="42">
        <v>4</v>
      </c>
      <c r="B1518" s="43" t="s">
        <v>994</v>
      </c>
      <c r="C1518" s="44" t="s">
        <v>61</v>
      </c>
      <c r="D1518" s="45">
        <v>10</v>
      </c>
      <c r="E1518" s="45">
        <v>13.3172</v>
      </c>
      <c r="F1518" s="45">
        <f t="shared" si="370"/>
        <v>133.172</v>
      </c>
      <c r="G1518" s="46">
        <f t="shared" si="371"/>
        <v>0</v>
      </c>
      <c r="H1518" s="47">
        <f t="shared" si="372"/>
        <v>0</v>
      </c>
      <c r="I1518" s="46">
        <f t="shared" si="373"/>
        <v>0</v>
      </c>
      <c r="J1518" s="47">
        <v>0</v>
      </c>
      <c r="K1518" s="46">
        <f t="shared" si="374"/>
        <v>0</v>
      </c>
      <c r="L1518" s="47">
        <v>0</v>
      </c>
      <c r="AX1518" s="46">
        <v>0</v>
      </c>
      <c r="AY1518" s="47">
        <v>0</v>
      </c>
      <c r="AZ1518" s="70">
        <f t="shared" si="369"/>
        <v>0</v>
      </c>
      <c r="BC1518" s="50"/>
    </row>
    <row r="1519" spans="1:55" s="48" customFormat="1" ht="41.7" customHeight="1" outlineLevel="1" x14ac:dyDescent="0.25">
      <c r="A1519" s="42">
        <v>5</v>
      </c>
      <c r="B1519" s="43" t="s">
        <v>995</v>
      </c>
      <c r="C1519" s="44" t="s">
        <v>992</v>
      </c>
      <c r="D1519" s="45">
        <v>0.03</v>
      </c>
      <c r="E1519" s="45">
        <v>14257.496800000001</v>
      </c>
      <c r="F1519" s="45">
        <f t="shared" si="370"/>
        <v>427.72490399999998</v>
      </c>
      <c r="G1519" s="46">
        <f t="shared" si="371"/>
        <v>0</v>
      </c>
      <c r="H1519" s="47">
        <f t="shared" si="372"/>
        <v>0</v>
      </c>
      <c r="I1519" s="46">
        <f t="shared" si="373"/>
        <v>0</v>
      </c>
      <c r="J1519" s="47">
        <v>0</v>
      </c>
      <c r="K1519" s="46">
        <f t="shared" si="374"/>
        <v>0</v>
      </c>
      <c r="L1519" s="47">
        <v>0</v>
      </c>
      <c r="AX1519" s="46">
        <v>0</v>
      </c>
      <c r="AY1519" s="47">
        <v>0</v>
      </c>
      <c r="AZ1519" s="70">
        <f t="shared" si="369"/>
        <v>0</v>
      </c>
      <c r="BC1519" s="50"/>
    </row>
    <row r="1520" spans="1:55" s="48" customFormat="1" ht="27.75" customHeight="1" outlineLevel="1" x14ac:dyDescent="0.25">
      <c r="A1520" s="42">
        <v>6</v>
      </c>
      <c r="B1520" s="43" t="s">
        <v>996</v>
      </c>
      <c r="C1520" s="44" t="s">
        <v>61</v>
      </c>
      <c r="D1520" s="45">
        <v>30</v>
      </c>
      <c r="E1520" s="45">
        <v>27.872599999999998</v>
      </c>
      <c r="F1520" s="45">
        <f t="shared" si="370"/>
        <v>836.178</v>
      </c>
      <c r="G1520" s="46">
        <f t="shared" si="371"/>
        <v>0</v>
      </c>
      <c r="H1520" s="47">
        <f t="shared" si="372"/>
        <v>0</v>
      </c>
      <c r="I1520" s="46">
        <f t="shared" si="373"/>
        <v>0</v>
      </c>
      <c r="J1520" s="47">
        <v>0</v>
      </c>
      <c r="K1520" s="46">
        <f t="shared" si="374"/>
        <v>0</v>
      </c>
      <c r="L1520" s="47">
        <v>0</v>
      </c>
      <c r="AX1520" s="46">
        <v>0</v>
      </c>
      <c r="AY1520" s="47">
        <v>0</v>
      </c>
      <c r="AZ1520" s="70">
        <f t="shared" si="369"/>
        <v>0</v>
      </c>
      <c r="BC1520" s="50"/>
    </row>
    <row r="1521" spans="1:55" s="48" customFormat="1" ht="27.75" customHeight="1" outlineLevel="1" x14ac:dyDescent="0.25">
      <c r="A1521" s="42">
        <v>7</v>
      </c>
      <c r="B1521" s="43" t="s">
        <v>997</v>
      </c>
      <c r="C1521" s="44" t="s">
        <v>61</v>
      </c>
      <c r="D1521" s="45">
        <v>3.5</v>
      </c>
      <c r="E1521" s="45">
        <v>13.3172</v>
      </c>
      <c r="F1521" s="45">
        <f t="shared" si="370"/>
        <v>46.610199999999999</v>
      </c>
      <c r="G1521" s="46">
        <f t="shared" si="371"/>
        <v>0</v>
      </c>
      <c r="H1521" s="47">
        <f t="shared" si="372"/>
        <v>0</v>
      </c>
      <c r="I1521" s="46">
        <f t="shared" si="373"/>
        <v>0</v>
      </c>
      <c r="J1521" s="47">
        <v>0</v>
      </c>
      <c r="K1521" s="46">
        <f t="shared" si="374"/>
        <v>0</v>
      </c>
      <c r="L1521" s="47">
        <v>0</v>
      </c>
      <c r="AX1521" s="46">
        <v>0</v>
      </c>
      <c r="AY1521" s="47">
        <v>0</v>
      </c>
      <c r="AZ1521" s="70">
        <f t="shared" si="369"/>
        <v>0</v>
      </c>
      <c r="BC1521" s="50"/>
    </row>
    <row r="1522" spans="1:55" s="48" customFormat="1" ht="27.75" customHeight="1" outlineLevel="1" x14ac:dyDescent="0.25">
      <c r="A1522" s="42">
        <v>8</v>
      </c>
      <c r="B1522" s="43" t="s">
        <v>998</v>
      </c>
      <c r="C1522" s="44" t="s">
        <v>61</v>
      </c>
      <c r="D1522" s="45">
        <v>3.5</v>
      </c>
      <c r="E1522" s="45">
        <v>27.872599999999998</v>
      </c>
      <c r="F1522" s="45">
        <f t="shared" si="370"/>
        <v>97.554099999999991</v>
      </c>
      <c r="G1522" s="46">
        <f t="shared" si="371"/>
        <v>0</v>
      </c>
      <c r="H1522" s="47">
        <f t="shared" si="372"/>
        <v>0</v>
      </c>
      <c r="I1522" s="46">
        <f t="shared" si="373"/>
        <v>0</v>
      </c>
      <c r="J1522" s="47">
        <v>0</v>
      </c>
      <c r="K1522" s="46">
        <f t="shared" si="374"/>
        <v>0</v>
      </c>
      <c r="L1522" s="47">
        <v>0</v>
      </c>
      <c r="AX1522" s="46">
        <v>0</v>
      </c>
      <c r="AY1522" s="47">
        <v>0</v>
      </c>
      <c r="AZ1522" s="70">
        <f t="shared" si="369"/>
        <v>0</v>
      </c>
      <c r="BC1522" s="50"/>
    </row>
    <row r="1523" spans="1:55" s="48" customFormat="1" ht="27.75" customHeight="1" outlineLevel="1" x14ac:dyDescent="0.25">
      <c r="A1523" s="42">
        <v>9</v>
      </c>
      <c r="B1523" s="43" t="s">
        <v>999</v>
      </c>
      <c r="C1523" s="44" t="s">
        <v>234</v>
      </c>
      <c r="D1523" s="45">
        <v>4</v>
      </c>
      <c r="E1523" s="45">
        <v>33.148000000000003</v>
      </c>
      <c r="F1523" s="45">
        <f t="shared" si="370"/>
        <v>132.59200000000001</v>
      </c>
      <c r="G1523" s="46">
        <f t="shared" si="371"/>
        <v>0</v>
      </c>
      <c r="H1523" s="47">
        <f t="shared" si="372"/>
        <v>0</v>
      </c>
      <c r="I1523" s="46">
        <f t="shared" si="373"/>
        <v>0</v>
      </c>
      <c r="J1523" s="47">
        <v>0</v>
      </c>
      <c r="K1523" s="46">
        <f t="shared" si="374"/>
        <v>0</v>
      </c>
      <c r="L1523" s="47">
        <v>0</v>
      </c>
      <c r="AX1523" s="46">
        <v>0</v>
      </c>
      <c r="AY1523" s="47">
        <v>0</v>
      </c>
      <c r="AZ1523" s="70">
        <f t="shared" si="369"/>
        <v>0</v>
      </c>
      <c r="BC1523" s="50"/>
    </row>
    <row r="1524" spans="1:55" s="48" customFormat="1" ht="15.45" customHeight="1" outlineLevel="1" x14ac:dyDescent="0.25">
      <c r="A1524" s="42">
        <v>10</v>
      </c>
      <c r="B1524" s="43" t="s">
        <v>1000</v>
      </c>
      <c r="C1524" s="44" t="s">
        <v>93</v>
      </c>
      <c r="D1524" s="45">
        <v>4</v>
      </c>
      <c r="E1524" s="45">
        <v>6.6463999999999999</v>
      </c>
      <c r="F1524" s="45">
        <f t="shared" si="370"/>
        <v>26.585599999999999</v>
      </c>
      <c r="G1524" s="46">
        <f t="shared" si="371"/>
        <v>0</v>
      </c>
      <c r="H1524" s="47">
        <f t="shared" si="372"/>
        <v>0</v>
      </c>
      <c r="I1524" s="46">
        <f t="shared" si="373"/>
        <v>0</v>
      </c>
      <c r="J1524" s="47">
        <v>0</v>
      </c>
      <c r="K1524" s="46">
        <f t="shared" si="374"/>
        <v>0</v>
      </c>
      <c r="L1524" s="47">
        <v>0</v>
      </c>
      <c r="AX1524" s="46">
        <v>0</v>
      </c>
      <c r="AY1524" s="47">
        <v>0</v>
      </c>
      <c r="AZ1524" s="70">
        <f t="shared" si="369"/>
        <v>0</v>
      </c>
      <c r="BC1524" s="50"/>
    </row>
    <row r="1525" spans="1:55" s="48" customFormat="1" ht="15.45" customHeight="1" outlineLevel="1" x14ac:dyDescent="0.25">
      <c r="A1525" s="42">
        <v>11</v>
      </c>
      <c r="B1525" s="43" t="s">
        <v>1001</v>
      </c>
      <c r="C1525" s="44" t="s">
        <v>93</v>
      </c>
      <c r="D1525" s="45">
        <v>8</v>
      </c>
      <c r="E1525" s="45">
        <v>21.958600000000001</v>
      </c>
      <c r="F1525" s="45">
        <f t="shared" si="370"/>
        <v>175.6688</v>
      </c>
      <c r="G1525" s="46">
        <f t="shared" si="371"/>
        <v>0</v>
      </c>
      <c r="H1525" s="47">
        <f t="shared" si="372"/>
        <v>0</v>
      </c>
      <c r="I1525" s="46">
        <f t="shared" si="373"/>
        <v>0</v>
      </c>
      <c r="J1525" s="47">
        <v>0</v>
      </c>
      <c r="K1525" s="46">
        <f t="shared" si="374"/>
        <v>0</v>
      </c>
      <c r="L1525" s="47">
        <v>0</v>
      </c>
      <c r="AX1525" s="46">
        <v>0</v>
      </c>
      <c r="AY1525" s="47">
        <v>0</v>
      </c>
      <c r="AZ1525" s="70">
        <f t="shared" si="369"/>
        <v>0</v>
      </c>
      <c r="BC1525" s="50"/>
    </row>
    <row r="1526" spans="1:55" s="48" customFormat="1" ht="27.75" customHeight="1" outlineLevel="1" x14ac:dyDescent="0.25">
      <c r="A1526" s="42">
        <v>12</v>
      </c>
      <c r="B1526" s="43" t="s">
        <v>1002</v>
      </c>
      <c r="C1526" s="44" t="s">
        <v>93</v>
      </c>
      <c r="D1526" s="45">
        <v>8</v>
      </c>
      <c r="E1526" s="45">
        <v>4.3615999999999993</v>
      </c>
      <c r="F1526" s="45">
        <f t="shared" si="370"/>
        <v>34.892799999999994</v>
      </c>
      <c r="G1526" s="46">
        <f t="shared" si="371"/>
        <v>0</v>
      </c>
      <c r="H1526" s="47">
        <f t="shared" si="372"/>
        <v>0</v>
      </c>
      <c r="I1526" s="46">
        <f t="shared" si="373"/>
        <v>0</v>
      </c>
      <c r="J1526" s="47">
        <v>0</v>
      </c>
      <c r="K1526" s="46">
        <f t="shared" si="374"/>
        <v>0</v>
      </c>
      <c r="L1526" s="47">
        <v>0</v>
      </c>
      <c r="AX1526" s="46">
        <v>0</v>
      </c>
      <c r="AY1526" s="47">
        <v>0</v>
      </c>
      <c r="AZ1526" s="70">
        <f t="shared" si="369"/>
        <v>0</v>
      </c>
      <c r="BC1526" s="50"/>
    </row>
    <row r="1527" spans="1:55" s="48" customFormat="1" ht="48.75" customHeight="1" outlineLevel="1" x14ac:dyDescent="0.25">
      <c r="A1527" s="42">
        <v>13</v>
      </c>
      <c r="B1527" s="43" t="s">
        <v>921</v>
      </c>
      <c r="C1527" s="44" t="s">
        <v>98</v>
      </c>
      <c r="D1527" s="45">
        <v>0.8</v>
      </c>
      <c r="E1527" s="45">
        <v>6.1689999999999996</v>
      </c>
      <c r="F1527" s="45">
        <f t="shared" si="370"/>
        <v>4.9352</v>
      </c>
      <c r="G1527" s="46">
        <f t="shared" si="371"/>
        <v>0</v>
      </c>
      <c r="H1527" s="47">
        <f t="shared" si="372"/>
        <v>0</v>
      </c>
      <c r="I1527" s="46">
        <f t="shared" si="373"/>
        <v>0</v>
      </c>
      <c r="J1527" s="47">
        <v>0</v>
      </c>
      <c r="K1527" s="46">
        <f t="shared" si="374"/>
        <v>0</v>
      </c>
      <c r="L1527" s="47">
        <v>0</v>
      </c>
      <c r="AX1527" s="46">
        <v>0.75757585000000005</v>
      </c>
      <c r="AY1527" s="47">
        <v>50000.006099999999</v>
      </c>
      <c r="AZ1527" s="70">
        <f t="shared" si="369"/>
        <v>0</v>
      </c>
      <c r="BC1527" s="50"/>
    </row>
    <row r="1528" spans="1:55" s="48" customFormat="1" ht="27.75" customHeight="1" outlineLevel="1" x14ac:dyDescent="0.25">
      <c r="A1528" s="42">
        <v>14</v>
      </c>
      <c r="B1528" s="43" t="s">
        <v>803</v>
      </c>
      <c r="C1528" s="44" t="s">
        <v>110</v>
      </c>
      <c r="D1528" s="45">
        <v>11</v>
      </c>
      <c r="E1528" s="45">
        <v>0.86120000000000008</v>
      </c>
      <c r="F1528" s="45">
        <f t="shared" si="370"/>
        <v>9.4732000000000003</v>
      </c>
      <c r="G1528" s="46">
        <f t="shared" si="371"/>
        <v>0</v>
      </c>
      <c r="H1528" s="47">
        <f t="shared" si="372"/>
        <v>0</v>
      </c>
      <c r="I1528" s="46">
        <f t="shared" si="373"/>
        <v>0</v>
      </c>
      <c r="J1528" s="47">
        <v>0</v>
      </c>
      <c r="K1528" s="46">
        <f t="shared" si="374"/>
        <v>0</v>
      </c>
      <c r="L1528" s="47">
        <v>0</v>
      </c>
      <c r="AX1528" s="46">
        <v>0</v>
      </c>
      <c r="AY1528" s="47">
        <v>0</v>
      </c>
      <c r="AZ1528" s="70">
        <f t="shared" si="369"/>
        <v>0</v>
      </c>
      <c r="BC1528" s="50"/>
    </row>
    <row r="1529" spans="1:55" s="48" customFormat="1" ht="27.75" customHeight="1" outlineLevel="1" x14ac:dyDescent="0.25">
      <c r="A1529" s="42">
        <v>15</v>
      </c>
      <c r="B1529" s="43" t="s">
        <v>648</v>
      </c>
      <c r="C1529" s="44" t="s">
        <v>110</v>
      </c>
      <c r="D1529" s="45">
        <v>1.2</v>
      </c>
      <c r="E1529" s="45">
        <v>8.9600000000000009</v>
      </c>
      <c r="F1529" s="45">
        <f t="shared" si="370"/>
        <v>10.752000000000001</v>
      </c>
      <c r="G1529" s="46">
        <f t="shared" si="371"/>
        <v>0</v>
      </c>
      <c r="H1529" s="47">
        <f t="shared" si="372"/>
        <v>0</v>
      </c>
      <c r="I1529" s="46">
        <f t="shared" si="373"/>
        <v>0</v>
      </c>
      <c r="J1529" s="47">
        <v>0</v>
      </c>
      <c r="K1529" s="46">
        <f t="shared" si="374"/>
        <v>0</v>
      </c>
      <c r="L1529" s="47">
        <v>0</v>
      </c>
      <c r="AX1529" s="46">
        <v>0</v>
      </c>
      <c r="AY1529" s="47">
        <v>0</v>
      </c>
      <c r="AZ1529" s="70">
        <f t="shared" si="369"/>
        <v>0</v>
      </c>
      <c r="BC1529" s="50"/>
    </row>
    <row r="1530" spans="1:55" s="48" customFormat="1" ht="15.45" customHeight="1" outlineLevel="1" x14ac:dyDescent="0.25">
      <c r="A1530" s="42">
        <v>16</v>
      </c>
      <c r="B1530" s="43" t="s">
        <v>1003</v>
      </c>
      <c r="C1530" s="44" t="s">
        <v>110</v>
      </c>
      <c r="D1530" s="45">
        <v>2.4</v>
      </c>
      <c r="E1530" s="45">
        <v>24.9574</v>
      </c>
      <c r="F1530" s="45">
        <f t="shared" si="370"/>
        <v>59.897759999999998</v>
      </c>
      <c r="G1530" s="46">
        <f t="shared" si="371"/>
        <v>0</v>
      </c>
      <c r="H1530" s="47">
        <f t="shared" si="372"/>
        <v>0</v>
      </c>
      <c r="I1530" s="46">
        <f t="shared" si="373"/>
        <v>0</v>
      </c>
      <c r="J1530" s="47">
        <v>0</v>
      </c>
      <c r="K1530" s="46">
        <f t="shared" si="374"/>
        <v>0</v>
      </c>
      <c r="L1530" s="47">
        <v>0</v>
      </c>
      <c r="AX1530" s="46"/>
      <c r="AY1530" s="47"/>
      <c r="AZ1530" s="70"/>
      <c r="BC1530" s="50"/>
    </row>
    <row r="1531" spans="1:55" s="48" customFormat="1" ht="27.75" customHeight="1" outlineLevel="1" x14ac:dyDescent="0.25">
      <c r="A1531" s="42">
        <v>17</v>
      </c>
      <c r="B1531" s="43" t="s">
        <v>649</v>
      </c>
      <c r="C1531" s="44" t="s">
        <v>110</v>
      </c>
      <c r="D1531" s="45">
        <v>8.1</v>
      </c>
      <c r="E1531" s="45">
        <v>0.9</v>
      </c>
      <c r="F1531" s="45">
        <f t="shared" si="370"/>
        <v>7.29</v>
      </c>
      <c r="G1531" s="46">
        <f t="shared" si="371"/>
        <v>0</v>
      </c>
      <c r="H1531" s="47">
        <f t="shared" si="372"/>
        <v>0</v>
      </c>
      <c r="I1531" s="46">
        <f t="shared" si="373"/>
        <v>0</v>
      </c>
      <c r="J1531" s="47">
        <v>0</v>
      </c>
      <c r="K1531" s="46">
        <f t="shared" si="374"/>
        <v>0</v>
      </c>
      <c r="L1531" s="47">
        <v>0</v>
      </c>
      <c r="AX1531" s="46"/>
      <c r="AY1531" s="47"/>
      <c r="AZ1531" s="70"/>
      <c r="BC1531" s="50"/>
    </row>
    <row r="1532" spans="1:55" s="48" customFormat="1" ht="15.45" customHeight="1" outlineLevel="1" x14ac:dyDescent="0.25">
      <c r="A1532" s="42">
        <v>18</v>
      </c>
      <c r="B1532" s="43" t="s">
        <v>166</v>
      </c>
      <c r="C1532" s="44" t="s">
        <v>110</v>
      </c>
      <c r="D1532" s="45">
        <v>0.9</v>
      </c>
      <c r="E1532" s="45">
        <v>8.16</v>
      </c>
      <c r="F1532" s="45">
        <f t="shared" si="370"/>
        <v>7.3440000000000003</v>
      </c>
      <c r="G1532" s="46">
        <f t="shared" si="371"/>
        <v>0</v>
      </c>
      <c r="H1532" s="47">
        <f t="shared" si="372"/>
        <v>0</v>
      </c>
      <c r="I1532" s="46">
        <f t="shared" si="373"/>
        <v>0</v>
      </c>
      <c r="J1532" s="47">
        <v>0</v>
      </c>
      <c r="K1532" s="46">
        <f t="shared" si="374"/>
        <v>0</v>
      </c>
      <c r="L1532" s="47">
        <v>0</v>
      </c>
      <c r="AX1532" s="46"/>
      <c r="AY1532" s="47"/>
      <c r="AZ1532" s="70"/>
      <c r="BC1532" s="50"/>
    </row>
    <row r="1533" spans="1:55" s="48" customFormat="1" ht="15.45" customHeight="1" outlineLevel="1" x14ac:dyDescent="0.25">
      <c r="A1533" s="42">
        <v>19</v>
      </c>
      <c r="B1533" s="43" t="s">
        <v>37</v>
      </c>
      <c r="C1533" s="44" t="s">
        <v>110</v>
      </c>
      <c r="D1533" s="45">
        <v>8.1</v>
      </c>
      <c r="E1533" s="45">
        <v>2</v>
      </c>
      <c r="F1533" s="45">
        <f t="shared" si="370"/>
        <v>16.2</v>
      </c>
      <c r="G1533" s="46">
        <f t="shared" si="371"/>
        <v>0</v>
      </c>
      <c r="H1533" s="47">
        <f t="shared" si="372"/>
        <v>0</v>
      </c>
      <c r="I1533" s="46">
        <f t="shared" si="373"/>
        <v>0</v>
      </c>
      <c r="J1533" s="47">
        <v>0</v>
      </c>
      <c r="K1533" s="46">
        <f t="shared" si="374"/>
        <v>0</v>
      </c>
      <c r="L1533" s="47">
        <v>0</v>
      </c>
      <c r="AX1533" s="46"/>
      <c r="AY1533" s="47"/>
      <c r="AZ1533" s="70"/>
      <c r="BC1533" s="50"/>
    </row>
    <row r="1534" spans="1:55" s="56" customFormat="1" ht="17.25" customHeight="1" x14ac:dyDescent="0.3">
      <c r="A1534" s="31">
        <v>10.1</v>
      </c>
      <c r="B1534" s="51" t="s">
        <v>1004</v>
      </c>
      <c r="C1534" s="52">
        <v>0</v>
      </c>
      <c r="D1534" s="53"/>
      <c r="E1534" s="53"/>
      <c r="F1534" s="53"/>
      <c r="G1534" s="54"/>
      <c r="H1534" s="55"/>
      <c r="I1534" s="54"/>
      <c r="J1534" s="55"/>
      <c r="K1534" s="54"/>
      <c r="L1534" s="55">
        <v>0</v>
      </c>
      <c r="AX1534" s="69"/>
      <c r="AY1534" s="71"/>
      <c r="AZ1534" s="72"/>
      <c r="BC1534" s="58"/>
    </row>
    <row r="1535" spans="1:55" s="48" customFormat="1" ht="27.75" customHeight="1" outlineLevel="1" x14ac:dyDescent="0.25">
      <c r="A1535" s="42">
        <v>1</v>
      </c>
      <c r="B1535" s="43" t="s">
        <v>707</v>
      </c>
      <c r="C1535" s="44" t="s">
        <v>110</v>
      </c>
      <c r="D1535" s="45">
        <v>430</v>
      </c>
      <c r="E1535" s="45">
        <v>0.9</v>
      </c>
      <c r="F1535" s="45">
        <f t="shared" ref="F1535:F1571" si="375">+E1535*D1535</f>
        <v>387</v>
      </c>
      <c r="G1535" s="46">
        <f t="shared" ref="G1535:G1571" si="376">I1535+K1535</f>
        <v>0</v>
      </c>
      <c r="H1535" s="47">
        <f t="shared" ref="H1535:H1571" si="377">J1535+L1535</f>
        <v>0</v>
      </c>
      <c r="I1535" s="46">
        <f t="shared" ref="I1535:I1571" si="378">J1535/F1535</f>
        <v>0</v>
      </c>
      <c r="J1535" s="47">
        <v>0</v>
      </c>
      <c r="K1535" s="46">
        <f t="shared" ref="K1535:K1571" si="379">L1535/F1535</f>
        <v>0</v>
      </c>
      <c r="L1535" s="47">
        <v>0</v>
      </c>
      <c r="AX1535" s="46"/>
      <c r="AY1535" s="47"/>
      <c r="AZ1535" s="70"/>
      <c r="BC1535" s="50"/>
    </row>
    <row r="1536" spans="1:55" s="48" customFormat="1" ht="27.75" customHeight="1" outlineLevel="1" x14ac:dyDescent="0.25">
      <c r="A1536" s="42">
        <v>2</v>
      </c>
      <c r="B1536" s="43" t="s">
        <v>648</v>
      </c>
      <c r="C1536" s="44" t="s">
        <v>110</v>
      </c>
      <c r="D1536" s="45">
        <v>13</v>
      </c>
      <c r="E1536" s="45">
        <v>8.9600000000000009</v>
      </c>
      <c r="F1536" s="45">
        <f t="shared" si="375"/>
        <v>116.48000000000002</v>
      </c>
      <c r="G1536" s="46">
        <f t="shared" si="376"/>
        <v>0</v>
      </c>
      <c r="H1536" s="47">
        <f t="shared" si="377"/>
        <v>0</v>
      </c>
      <c r="I1536" s="46">
        <f t="shared" si="378"/>
        <v>0</v>
      </c>
      <c r="J1536" s="47">
        <v>0</v>
      </c>
      <c r="K1536" s="46">
        <f t="shared" si="379"/>
        <v>0</v>
      </c>
      <c r="L1536" s="47">
        <v>0</v>
      </c>
      <c r="AX1536" s="46"/>
      <c r="AY1536" s="47"/>
      <c r="AZ1536" s="70"/>
      <c r="BC1536" s="50"/>
    </row>
    <row r="1537" spans="1:55" s="59" customFormat="1" ht="27.75" customHeight="1" outlineLevel="1" x14ac:dyDescent="0.35">
      <c r="A1537" s="42">
        <v>3</v>
      </c>
      <c r="B1537" s="43" t="s">
        <v>649</v>
      </c>
      <c r="C1537" s="44" t="s">
        <v>110</v>
      </c>
      <c r="D1537" s="45">
        <v>225</v>
      </c>
      <c r="E1537" s="45">
        <v>0.9</v>
      </c>
      <c r="F1537" s="45">
        <f t="shared" si="375"/>
        <v>202.5</v>
      </c>
      <c r="G1537" s="46">
        <f t="shared" si="376"/>
        <v>0</v>
      </c>
      <c r="H1537" s="47">
        <f t="shared" si="377"/>
        <v>0</v>
      </c>
      <c r="I1537" s="46">
        <f t="shared" si="378"/>
        <v>0</v>
      </c>
      <c r="J1537" s="47">
        <v>0</v>
      </c>
      <c r="K1537" s="46">
        <f t="shared" si="379"/>
        <v>0</v>
      </c>
      <c r="L1537" s="47">
        <v>0</v>
      </c>
      <c r="AX1537" s="73"/>
      <c r="AY1537" s="74"/>
      <c r="AZ1537" s="75"/>
      <c r="BC1537" s="61"/>
    </row>
    <row r="1538" spans="1:55" s="48" customFormat="1" ht="15.45" customHeight="1" outlineLevel="1" x14ac:dyDescent="0.25">
      <c r="A1538" s="42">
        <v>4</v>
      </c>
      <c r="B1538" s="43" t="s">
        <v>37</v>
      </c>
      <c r="C1538" s="44" t="s">
        <v>110</v>
      </c>
      <c r="D1538" s="45">
        <v>225</v>
      </c>
      <c r="E1538" s="45">
        <v>2</v>
      </c>
      <c r="F1538" s="45">
        <f t="shared" si="375"/>
        <v>450</v>
      </c>
      <c r="G1538" s="46">
        <f t="shared" si="376"/>
        <v>0</v>
      </c>
      <c r="H1538" s="47">
        <f t="shared" si="377"/>
        <v>0</v>
      </c>
      <c r="I1538" s="46">
        <f t="shared" si="378"/>
        <v>0</v>
      </c>
      <c r="J1538" s="47">
        <v>0</v>
      </c>
      <c r="K1538" s="46">
        <f t="shared" si="379"/>
        <v>0</v>
      </c>
      <c r="L1538" s="47">
        <v>0</v>
      </c>
      <c r="AX1538" s="46"/>
      <c r="AY1538" s="47"/>
      <c r="AZ1538" s="70"/>
      <c r="BC1538" s="50"/>
    </row>
    <row r="1539" spans="1:55" s="48" customFormat="1" ht="15.45" customHeight="1" outlineLevel="1" x14ac:dyDescent="0.25">
      <c r="A1539" s="42">
        <v>5</v>
      </c>
      <c r="B1539" s="43" t="s">
        <v>166</v>
      </c>
      <c r="C1539" s="44" t="s">
        <v>110</v>
      </c>
      <c r="D1539" s="45">
        <v>56</v>
      </c>
      <c r="E1539" s="45">
        <v>8.16</v>
      </c>
      <c r="F1539" s="45">
        <f t="shared" si="375"/>
        <v>456.96000000000004</v>
      </c>
      <c r="G1539" s="46">
        <f t="shared" si="376"/>
        <v>0</v>
      </c>
      <c r="H1539" s="47">
        <f t="shared" si="377"/>
        <v>0</v>
      </c>
      <c r="I1539" s="46">
        <f t="shared" si="378"/>
        <v>0</v>
      </c>
      <c r="J1539" s="47">
        <v>0</v>
      </c>
      <c r="K1539" s="46">
        <f t="shared" si="379"/>
        <v>0</v>
      </c>
      <c r="L1539" s="47">
        <v>0</v>
      </c>
      <c r="AX1539" s="46"/>
      <c r="AY1539" s="47"/>
      <c r="AZ1539" s="70"/>
      <c r="BC1539" s="50"/>
    </row>
    <row r="1540" spans="1:55" s="48" customFormat="1" ht="41.7" customHeight="1" outlineLevel="1" x14ac:dyDescent="0.25">
      <c r="A1540" s="42">
        <v>6</v>
      </c>
      <c r="B1540" s="43" t="s">
        <v>1005</v>
      </c>
      <c r="C1540" s="44" t="s">
        <v>110</v>
      </c>
      <c r="D1540" s="45">
        <v>62</v>
      </c>
      <c r="E1540" s="45">
        <v>0.9</v>
      </c>
      <c r="F1540" s="45">
        <f t="shared" si="375"/>
        <v>55.800000000000004</v>
      </c>
      <c r="G1540" s="46">
        <f t="shared" si="376"/>
        <v>0</v>
      </c>
      <c r="H1540" s="47">
        <f t="shared" si="377"/>
        <v>0</v>
      </c>
      <c r="I1540" s="46">
        <f t="shared" si="378"/>
        <v>0</v>
      </c>
      <c r="J1540" s="47">
        <v>0</v>
      </c>
      <c r="K1540" s="46">
        <f t="shared" si="379"/>
        <v>0</v>
      </c>
      <c r="L1540" s="47">
        <v>0</v>
      </c>
      <c r="AX1540" s="46"/>
      <c r="AY1540" s="47"/>
      <c r="AZ1540" s="70"/>
      <c r="BC1540" s="50"/>
    </row>
    <row r="1541" spans="1:55" s="48" customFormat="1" ht="27.75" customHeight="1" outlineLevel="1" x14ac:dyDescent="0.25">
      <c r="A1541" s="42">
        <v>7</v>
      </c>
      <c r="B1541" s="43" t="s">
        <v>803</v>
      </c>
      <c r="C1541" s="44" t="s">
        <v>110</v>
      </c>
      <c r="D1541" s="45">
        <v>87</v>
      </c>
      <c r="E1541" s="45">
        <v>0.9</v>
      </c>
      <c r="F1541" s="45">
        <f t="shared" si="375"/>
        <v>78.3</v>
      </c>
      <c r="G1541" s="46">
        <f t="shared" si="376"/>
        <v>0</v>
      </c>
      <c r="H1541" s="47">
        <f t="shared" si="377"/>
        <v>0</v>
      </c>
      <c r="I1541" s="46">
        <f t="shared" si="378"/>
        <v>0</v>
      </c>
      <c r="J1541" s="47">
        <v>0</v>
      </c>
      <c r="K1541" s="46">
        <f t="shared" si="379"/>
        <v>0</v>
      </c>
      <c r="L1541" s="47">
        <v>0</v>
      </c>
      <c r="AX1541" s="46">
        <v>1</v>
      </c>
      <c r="AY1541" s="47">
        <v>5766733.6402624408</v>
      </c>
      <c r="AZ1541" s="70">
        <f>H1541-J1541</f>
        <v>0</v>
      </c>
      <c r="BC1541" s="50"/>
    </row>
    <row r="1542" spans="1:55" s="48" customFormat="1" ht="15.45" customHeight="1" outlineLevel="1" x14ac:dyDescent="0.25">
      <c r="A1542" s="42">
        <v>8</v>
      </c>
      <c r="B1542" s="43" t="s">
        <v>29</v>
      </c>
      <c r="C1542" s="44" t="s">
        <v>28</v>
      </c>
      <c r="D1542" s="45">
        <v>156.6</v>
      </c>
      <c r="E1542" s="45">
        <v>1.63</v>
      </c>
      <c r="F1542" s="45">
        <f t="shared" si="375"/>
        <v>255.25799999999998</v>
      </c>
      <c r="G1542" s="46">
        <f t="shared" si="376"/>
        <v>0</v>
      </c>
      <c r="H1542" s="47">
        <f t="shared" si="377"/>
        <v>0</v>
      </c>
      <c r="I1542" s="46">
        <f t="shared" si="378"/>
        <v>0</v>
      </c>
      <c r="J1542" s="47">
        <v>0</v>
      </c>
      <c r="K1542" s="46">
        <f t="shared" si="379"/>
        <v>0</v>
      </c>
      <c r="L1542" s="47">
        <v>0</v>
      </c>
      <c r="AX1542" s="46">
        <v>1</v>
      </c>
      <c r="AY1542" s="47">
        <v>5766733.6402624408</v>
      </c>
      <c r="AZ1542" s="70">
        <f>H1542-J1542</f>
        <v>0</v>
      </c>
      <c r="BC1542" s="50"/>
    </row>
    <row r="1543" spans="1:55" s="48" customFormat="1" ht="15.45" customHeight="1" outlineLevel="1" x14ac:dyDescent="0.25">
      <c r="A1543" s="42">
        <v>9</v>
      </c>
      <c r="B1543" s="43" t="s">
        <v>30</v>
      </c>
      <c r="C1543" s="44" t="s">
        <v>110</v>
      </c>
      <c r="D1543" s="45">
        <v>87</v>
      </c>
      <c r="E1543" s="45">
        <v>0.90200000000000002</v>
      </c>
      <c r="F1543" s="45">
        <f t="shared" si="375"/>
        <v>78.474000000000004</v>
      </c>
      <c r="G1543" s="46">
        <f t="shared" si="376"/>
        <v>0</v>
      </c>
      <c r="H1543" s="47">
        <f t="shared" si="377"/>
        <v>0</v>
      </c>
      <c r="I1543" s="46">
        <f t="shared" si="378"/>
        <v>0</v>
      </c>
      <c r="J1543" s="47">
        <v>0</v>
      </c>
      <c r="K1543" s="46">
        <f t="shared" si="379"/>
        <v>0</v>
      </c>
      <c r="L1543" s="47">
        <v>0</v>
      </c>
      <c r="AX1543" s="46">
        <v>1</v>
      </c>
      <c r="AY1543" s="47">
        <v>5766733.6402624408</v>
      </c>
      <c r="AZ1543" s="70">
        <f>H1543-J1543</f>
        <v>0</v>
      </c>
      <c r="BC1543" s="50"/>
    </row>
    <row r="1544" spans="1:55" s="48" customFormat="1" ht="15.45" customHeight="1" outlineLevel="1" x14ac:dyDescent="0.25">
      <c r="A1544" s="42">
        <v>10</v>
      </c>
      <c r="B1544" s="43" t="s">
        <v>167</v>
      </c>
      <c r="C1544" s="44" t="s">
        <v>110</v>
      </c>
      <c r="D1544" s="45">
        <v>7.2</v>
      </c>
      <c r="E1544" s="45">
        <v>34.412799999999997</v>
      </c>
      <c r="F1544" s="45">
        <f t="shared" si="375"/>
        <v>247.77215999999999</v>
      </c>
      <c r="G1544" s="46">
        <f t="shared" si="376"/>
        <v>0</v>
      </c>
      <c r="H1544" s="47">
        <f t="shared" si="377"/>
        <v>0</v>
      </c>
      <c r="I1544" s="46">
        <f t="shared" si="378"/>
        <v>0</v>
      </c>
      <c r="J1544" s="47">
        <v>0</v>
      </c>
      <c r="K1544" s="46">
        <f t="shared" si="379"/>
        <v>0</v>
      </c>
      <c r="L1544" s="47">
        <v>0</v>
      </c>
      <c r="AX1544" s="46">
        <v>0</v>
      </c>
      <c r="AY1544" s="47">
        <v>0</v>
      </c>
      <c r="AZ1544" s="70">
        <f>H1544-J1544</f>
        <v>0</v>
      </c>
      <c r="BC1544" s="50"/>
    </row>
    <row r="1545" spans="1:55" s="48" customFormat="1" ht="15.45" customHeight="1" outlineLevel="1" x14ac:dyDescent="0.25">
      <c r="A1545" s="42">
        <v>11</v>
      </c>
      <c r="B1545" s="43" t="s">
        <v>709</v>
      </c>
      <c r="C1545" s="44" t="s">
        <v>110</v>
      </c>
      <c r="D1545" s="45">
        <v>3.4</v>
      </c>
      <c r="E1545" s="45">
        <v>97.984999999999999</v>
      </c>
      <c r="F1545" s="45">
        <f t="shared" si="375"/>
        <v>333.149</v>
      </c>
      <c r="G1545" s="46">
        <f t="shared" si="376"/>
        <v>0</v>
      </c>
      <c r="H1545" s="47">
        <f t="shared" si="377"/>
        <v>0</v>
      </c>
      <c r="I1545" s="46">
        <f t="shared" si="378"/>
        <v>0</v>
      </c>
      <c r="J1545" s="47">
        <v>0</v>
      </c>
      <c r="K1545" s="46">
        <f t="shared" si="379"/>
        <v>0</v>
      </c>
      <c r="L1545" s="47">
        <v>0</v>
      </c>
      <c r="AX1545" s="46">
        <v>0</v>
      </c>
      <c r="AY1545" s="47">
        <v>1038012.055247239</v>
      </c>
      <c r="AZ1545" s="70">
        <f>H1545-J1545</f>
        <v>0</v>
      </c>
      <c r="BC1545" s="50"/>
    </row>
    <row r="1546" spans="1:55" s="48" customFormat="1" ht="15.45" customHeight="1" outlineLevel="1" x14ac:dyDescent="0.25">
      <c r="A1546" s="42">
        <v>12</v>
      </c>
      <c r="B1546" s="43" t="s">
        <v>1006</v>
      </c>
      <c r="C1546" s="44" t="s">
        <v>98</v>
      </c>
      <c r="D1546" s="45">
        <v>34</v>
      </c>
      <c r="E1546" s="45">
        <v>9.8818000000000001</v>
      </c>
      <c r="F1546" s="45">
        <f t="shared" si="375"/>
        <v>335.9812</v>
      </c>
      <c r="G1546" s="46">
        <f t="shared" si="376"/>
        <v>0</v>
      </c>
      <c r="H1546" s="47">
        <f t="shared" si="377"/>
        <v>0</v>
      </c>
      <c r="I1546" s="46">
        <f t="shared" si="378"/>
        <v>0</v>
      </c>
      <c r="J1546" s="47">
        <v>0</v>
      </c>
      <c r="K1546" s="46">
        <f t="shared" si="379"/>
        <v>0</v>
      </c>
      <c r="L1546" s="47">
        <v>0</v>
      </c>
      <c r="AX1546" s="46"/>
      <c r="AY1546" s="47"/>
      <c r="AZ1546" s="70"/>
      <c r="BC1546" s="50"/>
    </row>
    <row r="1547" spans="1:55" s="48" customFormat="1" ht="15.45" customHeight="1" outlineLevel="1" x14ac:dyDescent="0.25">
      <c r="A1547" s="42">
        <v>13</v>
      </c>
      <c r="B1547" s="43" t="s">
        <v>117</v>
      </c>
      <c r="C1547" s="44" t="s">
        <v>98</v>
      </c>
      <c r="D1547" s="45">
        <v>34</v>
      </c>
      <c r="E1547" s="45">
        <v>5.4732580000000004</v>
      </c>
      <c r="F1547" s="45">
        <f t="shared" si="375"/>
        <v>186.09077200000002</v>
      </c>
      <c r="G1547" s="46">
        <f t="shared" si="376"/>
        <v>0</v>
      </c>
      <c r="H1547" s="47">
        <f t="shared" si="377"/>
        <v>0</v>
      </c>
      <c r="I1547" s="46">
        <f t="shared" si="378"/>
        <v>0</v>
      </c>
      <c r="J1547" s="47">
        <v>0</v>
      </c>
      <c r="K1547" s="46">
        <f t="shared" si="379"/>
        <v>0</v>
      </c>
      <c r="L1547" s="47">
        <v>0</v>
      </c>
      <c r="AX1547" s="46"/>
      <c r="AY1547" s="47"/>
      <c r="AZ1547" s="70"/>
      <c r="BC1547" s="50"/>
    </row>
    <row r="1548" spans="1:55" s="48" customFormat="1" ht="15.45" customHeight="1" outlineLevel="1" x14ac:dyDescent="0.25">
      <c r="A1548" s="42">
        <v>14</v>
      </c>
      <c r="B1548" s="43" t="s">
        <v>840</v>
      </c>
      <c r="C1548" s="44" t="s">
        <v>98</v>
      </c>
      <c r="D1548" s="45">
        <v>34</v>
      </c>
      <c r="E1548" s="45">
        <v>1.4770000000000001</v>
      </c>
      <c r="F1548" s="45">
        <f t="shared" si="375"/>
        <v>50.218000000000004</v>
      </c>
      <c r="G1548" s="46">
        <f t="shared" si="376"/>
        <v>0</v>
      </c>
      <c r="H1548" s="47">
        <f t="shared" si="377"/>
        <v>0</v>
      </c>
      <c r="I1548" s="46">
        <f t="shared" si="378"/>
        <v>0</v>
      </c>
      <c r="J1548" s="47">
        <v>0</v>
      </c>
      <c r="K1548" s="46">
        <f t="shared" si="379"/>
        <v>0</v>
      </c>
      <c r="L1548" s="47">
        <v>0</v>
      </c>
      <c r="AX1548" s="46"/>
      <c r="AY1548" s="47"/>
      <c r="AZ1548" s="70"/>
      <c r="BC1548" s="50"/>
    </row>
    <row r="1549" spans="1:55" s="59" customFormat="1" ht="27.75" customHeight="1" outlineLevel="1" x14ac:dyDescent="0.35">
      <c r="A1549" s="42">
        <v>15</v>
      </c>
      <c r="B1549" s="43" t="s">
        <v>1007</v>
      </c>
      <c r="C1549" s="44" t="s">
        <v>110</v>
      </c>
      <c r="D1549" s="45">
        <v>27.73</v>
      </c>
      <c r="E1549" s="45">
        <v>212.52520000000001</v>
      </c>
      <c r="F1549" s="45">
        <f t="shared" si="375"/>
        <v>5893.3237960000006</v>
      </c>
      <c r="G1549" s="46">
        <f t="shared" si="376"/>
        <v>0</v>
      </c>
      <c r="H1549" s="47">
        <f t="shared" si="377"/>
        <v>0</v>
      </c>
      <c r="I1549" s="46">
        <f t="shared" si="378"/>
        <v>0</v>
      </c>
      <c r="J1549" s="47">
        <v>0</v>
      </c>
      <c r="K1549" s="46">
        <f t="shared" si="379"/>
        <v>0</v>
      </c>
      <c r="L1549" s="47">
        <v>0</v>
      </c>
      <c r="AX1549" s="73"/>
      <c r="AY1549" s="74"/>
      <c r="AZ1549" s="75"/>
      <c r="BC1549" s="61"/>
    </row>
    <row r="1550" spans="1:55" s="48" customFormat="1" ht="15.45" customHeight="1" outlineLevel="1" x14ac:dyDescent="0.25">
      <c r="A1550" s="42">
        <v>16</v>
      </c>
      <c r="B1550" s="43" t="s">
        <v>42</v>
      </c>
      <c r="C1550" s="44" t="s">
        <v>28</v>
      </c>
      <c r="D1550" s="45">
        <v>6.7000000000000004E-2</v>
      </c>
      <c r="E1550" s="45">
        <v>1325.1</v>
      </c>
      <c r="F1550" s="45">
        <f t="shared" si="375"/>
        <v>88.781700000000001</v>
      </c>
      <c r="G1550" s="46">
        <f t="shared" si="376"/>
        <v>0</v>
      </c>
      <c r="H1550" s="47">
        <f t="shared" si="377"/>
        <v>0</v>
      </c>
      <c r="I1550" s="46">
        <f t="shared" si="378"/>
        <v>0</v>
      </c>
      <c r="J1550" s="47">
        <v>0</v>
      </c>
      <c r="K1550" s="46">
        <f t="shared" si="379"/>
        <v>0</v>
      </c>
      <c r="L1550" s="47">
        <v>0</v>
      </c>
      <c r="AX1550" s="46"/>
      <c r="AY1550" s="47"/>
      <c r="AZ1550" s="70"/>
      <c r="BC1550" s="50"/>
    </row>
    <row r="1551" spans="1:55" s="48" customFormat="1" ht="15.45" customHeight="1" outlineLevel="1" x14ac:dyDescent="0.25">
      <c r="A1551" s="42">
        <v>17</v>
      </c>
      <c r="B1551" s="43" t="s">
        <v>43</v>
      </c>
      <c r="C1551" s="44" t="s">
        <v>28</v>
      </c>
      <c r="D1551" s="45">
        <v>3.1589999999999998</v>
      </c>
      <c r="E1551" s="45">
        <v>1200.0999999999999</v>
      </c>
      <c r="F1551" s="45">
        <f t="shared" si="375"/>
        <v>3791.1158999999993</v>
      </c>
      <c r="G1551" s="46">
        <f t="shared" si="376"/>
        <v>0</v>
      </c>
      <c r="H1551" s="47">
        <f t="shared" si="377"/>
        <v>0</v>
      </c>
      <c r="I1551" s="46">
        <f t="shared" si="378"/>
        <v>0</v>
      </c>
      <c r="J1551" s="47">
        <v>0</v>
      </c>
      <c r="K1551" s="46">
        <f t="shared" si="379"/>
        <v>0</v>
      </c>
      <c r="L1551" s="47">
        <v>0</v>
      </c>
      <c r="AX1551" s="46"/>
      <c r="AY1551" s="47"/>
      <c r="AZ1551" s="70"/>
      <c r="BC1551" s="50"/>
    </row>
    <row r="1552" spans="1:55" s="48" customFormat="1" ht="15.45" customHeight="1" outlineLevel="1" x14ac:dyDescent="0.25">
      <c r="A1552" s="42">
        <v>18</v>
      </c>
      <c r="B1552" s="43" t="s">
        <v>1008</v>
      </c>
      <c r="C1552" s="44" t="s">
        <v>98</v>
      </c>
      <c r="D1552" s="45">
        <v>31.4</v>
      </c>
      <c r="E1552" s="45">
        <v>5.4732580000000004</v>
      </c>
      <c r="F1552" s="45">
        <f t="shared" si="375"/>
        <v>171.86030120000001</v>
      </c>
      <c r="G1552" s="46">
        <f t="shared" si="376"/>
        <v>0</v>
      </c>
      <c r="H1552" s="47">
        <f t="shared" si="377"/>
        <v>0</v>
      </c>
      <c r="I1552" s="46">
        <f t="shared" si="378"/>
        <v>0</v>
      </c>
      <c r="J1552" s="47">
        <v>0</v>
      </c>
      <c r="K1552" s="46">
        <f t="shared" si="379"/>
        <v>0</v>
      </c>
      <c r="L1552" s="47">
        <v>0</v>
      </c>
      <c r="AX1552" s="46"/>
      <c r="AY1552" s="47"/>
      <c r="AZ1552" s="70"/>
      <c r="BC1552" s="50"/>
    </row>
    <row r="1553" spans="1:55" s="59" customFormat="1" ht="17.7" customHeight="1" outlineLevel="1" x14ac:dyDescent="0.35">
      <c r="A1553" s="42">
        <v>19</v>
      </c>
      <c r="B1553" s="43" t="s">
        <v>1009</v>
      </c>
      <c r="C1553" s="44" t="s">
        <v>98</v>
      </c>
      <c r="D1553" s="45">
        <v>31.4</v>
      </c>
      <c r="E1553" s="45">
        <v>1.514</v>
      </c>
      <c r="F1553" s="45">
        <f t="shared" si="375"/>
        <v>47.5396</v>
      </c>
      <c r="G1553" s="46">
        <f t="shared" si="376"/>
        <v>0</v>
      </c>
      <c r="H1553" s="47">
        <f t="shared" si="377"/>
        <v>0</v>
      </c>
      <c r="I1553" s="46">
        <f t="shared" si="378"/>
        <v>0</v>
      </c>
      <c r="J1553" s="47">
        <v>0</v>
      </c>
      <c r="K1553" s="46">
        <f t="shared" si="379"/>
        <v>0</v>
      </c>
      <c r="L1553" s="47">
        <v>0</v>
      </c>
      <c r="AX1553" s="73">
        <v>1</v>
      </c>
      <c r="AY1553" s="74">
        <v>5766733.6402624408</v>
      </c>
      <c r="AZ1553" s="75">
        <f>H1553-J1553</f>
        <v>0</v>
      </c>
      <c r="BC1553" s="61"/>
    </row>
    <row r="1554" spans="1:55" s="48" customFormat="1" ht="27.75" customHeight="1" outlineLevel="1" x14ac:dyDescent="0.25">
      <c r="A1554" s="42">
        <v>20</v>
      </c>
      <c r="B1554" s="43" t="s">
        <v>158</v>
      </c>
      <c r="C1554" s="44" t="s">
        <v>98</v>
      </c>
      <c r="D1554" s="45">
        <v>104.2</v>
      </c>
      <c r="E1554" s="45">
        <v>10.504</v>
      </c>
      <c r="F1554" s="45">
        <f t="shared" si="375"/>
        <v>1094.5167999999999</v>
      </c>
      <c r="G1554" s="46">
        <f t="shared" si="376"/>
        <v>0</v>
      </c>
      <c r="H1554" s="47">
        <f t="shared" si="377"/>
        <v>0</v>
      </c>
      <c r="I1554" s="46">
        <f t="shared" si="378"/>
        <v>0</v>
      </c>
      <c r="J1554" s="47">
        <v>0</v>
      </c>
      <c r="K1554" s="46">
        <f t="shared" si="379"/>
        <v>0</v>
      </c>
      <c r="L1554" s="47">
        <v>0</v>
      </c>
      <c r="AX1554" s="46">
        <v>1</v>
      </c>
      <c r="AY1554" s="47">
        <v>5766733.6402624408</v>
      </c>
      <c r="AZ1554" s="70">
        <f>H1554-J1554</f>
        <v>0</v>
      </c>
      <c r="BC1554" s="50"/>
    </row>
    <row r="1555" spans="1:55" s="48" customFormat="1" ht="27.75" customHeight="1" outlineLevel="1" x14ac:dyDescent="0.25">
      <c r="A1555" s="42">
        <v>21</v>
      </c>
      <c r="B1555" s="43" t="s">
        <v>827</v>
      </c>
      <c r="C1555" s="44" t="s">
        <v>98</v>
      </c>
      <c r="D1555" s="45">
        <v>104.2</v>
      </c>
      <c r="E1555" s="45">
        <v>11.8912</v>
      </c>
      <c r="F1555" s="45">
        <f t="shared" si="375"/>
        <v>1239.06304</v>
      </c>
      <c r="G1555" s="46">
        <f t="shared" si="376"/>
        <v>0</v>
      </c>
      <c r="H1555" s="47">
        <f t="shared" si="377"/>
        <v>0</v>
      </c>
      <c r="I1555" s="46">
        <f t="shared" si="378"/>
        <v>0</v>
      </c>
      <c r="J1555" s="47">
        <v>0</v>
      </c>
      <c r="K1555" s="46">
        <f t="shared" si="379"/>
        <v>0</v>
      </c>
      <c r="L1555" s="47">
        <v>0</v>
      </c>
      <c r="AX1555" s="46">
        <v>1</v>
      </c>
      <c r="AY1555" s="47">
        <v>5766733.6402624408</v>
      </c>
      <c r="AZ1555" s="70">
        <f>H1555-J1555</f>
        <v>0</v>
      </c>
      <c r="BC1555" s="50"/>
    </row>
    <row r="1556" spans="1:55" s="48" customFormat="1" ht="27.75" customHeight="1" outlineLevel="1" x14ac:dyDescent="0.25">
      <c r="A1556" s="42">
        <v>22</v>
      </c>
      <c r="B1556" s="43" t="s">
        <v>1010</v>
      </c>
      <c r="C1556" s="44" t="s">
        <v>110</v>
      </c>
      <c r="D1556" s="45">
        <v>2.1</v>
      </c>
      <c r="E1556" s="45">
        <v>69.327399999999997</v>
      </c>
      <c r="F1556" s="45">
        <f t="shared" si="375"/>
        <v>145.58753999999999</v>
      </c>
      <c r="G1556" s="46">
        <f t="shared" si="376"/>
        <v>0</v>
      </c>
      <c r="H1556" s="47">
        <f t="shared" si="377"/>
        <v>0</v>
      </c>
      <c r="I1556" s="46">
        <f t="shared" si="378"/>
        <v>0</v>
      </c>
      <c r="J1556" s="47">
        <v>0</v>
      </c>
      <c r="K1556" s="46">
        <f t="shared" si="379"/>
        <v>0</v>
      </c>
      <c r="L1556" s="47">
        <v>0</v>
      </c>
      <c r="AX1556" s="46">
        <v>0</v>
      </c>
      <c r="AY1556" s="47">
        <v>0</v>
      </c>
      <c r="AZ1556" s="70">
        <f>H1556-J1556</f>
        <v>0</v>
      </c>
      <c r="BC1556" s="50"/>
    </row>
    <row r="1557" spans="1:55" s="48" customFormat="1" ht="15.45" customHeight="1" outlineLevel="1" x14ac:dyDescent="0.25">
      <c r="A1557" s="42">
        <v>23</v>
      </c>
      <c r="B1557" s="43" t="s">
        <v>78</v>
      </c>
      <c r="C1557" s="44" t="s">
        <v>110</v>
      </c>
      <c r="D1557" s="45">
        <v>2.1</v>
      </c>
      <c r="E1557" s="45">
        <v>66.499999999999986</v>
      </c>
      <c r="F1557" s="45">
        <f t="shared" si="375"/>
        <v>139.64999999999998</v>
      </c>
      <c r="G1557" s="46">
        <f t="shared" si="376"/>
        <v>0</v>
      </c>
      <c r="H1557" s="47">
        <f t="shared" si="377"/>
        <v>0</v>
      </c>
      <c r="I1557" s="46">
        <f t="shared" si="378"/>
        <v>0</v>
      </c>
      <c r="J1557" s="47">
        <v>0</v>
      </c>
      <c r="K1557" s="46">
        <f t="shared" si="379"/>
        <v>0</v>
      </c>
      <c r="L1557" s="47">
        <v>0</v>
      </c>
      <c r="AX1557" s="46">
        <v>0</v>
      </c>
      <c r="AY1557" s="47">
        <v>1038012.055247239</v>
      </c>
      <c r="AZ1557" s="70">
        <f>H1557-J1557</f>
        <v>0</v>
      </c>
      <c r="BC1557" s="50"/>
    </row>
    <row r="1558" spans="1:55" s="48" customFormat="1" ht="27.75" customHeight="1" outlineLevel="1" x14ac:dyDescent="0.25">
      <c r="A1558" s="42">
        <v>24</v>
      </c>
      <c r="B1558" s="43" t="s">
        <v>718</v>
      </c>
      <c r="C1558" s="44" t="s">
        <v>110</v>
      </c>
      <c r="D1558" s="45">
        <v>4.13</v>
      </c>
      <c r="E1558" s="45">
        <v>280</v>
      </c>
      <c r="F1558" s="45">
        <f t="shared" si="375"/>
        <v>1156.3999999999999</v>
      </c>
      <c r="G1558" s="46">
        <f t="shared" si="376"/>
        <v>0</v>
      </c>
      <c r="H1558" s="47">
        <f t="shared" si="377"/>
        <v>0</v>
      </c>
      <c r="I1558" s="46">
        <f t="shared" si="378"/>
        <v>0</v>
      </c>
      <c r="J1558" s="47">
        <v>0</v>
      </c>
      <c r="K1558" s="46">
        <f t="shared" si="379"/>
        <v>0</v>
      </c>
      <c r="L1558" s="47">
        <v>0</v>
      </c>
      <c r="AX1558" s="46"/>
      <c r="AY1558" s="47"/>
      <c r="AZ1558" s="70"/>
      <c r="BC1558" s="50"/>
    </row>
    <row r="1559" spans="1:55" s="48" customFormat="1" ht="15.45" customHeight="1" outlineLevel="1" x14ac:dyDescent="0.25">
      <c r="A1559" s="42">
        <v>25</v>
      </c>
      <c r="B1559" s="43" t="s">
        <v>42</v>
      </c>
      <c r="C1559" s="44" t="s">
        <v>28</v>
      </c>
      <c r="D1559" s="45">
        <v>2.8000000000000001E-2</v>
      </c>
      <c r="E1559" s="45">
        <v>1325.1</v>
      </c>
      <c r="F1559" s="45">
        <f t="shared" si="375"/>
        <v>37.102799999999995</v>
      </c>
      <c r="G1559" s="46">
        <f t="shared" si="376"/>
        <v>0</v>
      </c>
      <c r="H1559" s="47">
        <f t="shared" si="377"/>
        <v>0</v>
      </c>
      <c r="I1559" s="46">
        <f t="shared" si="378"/>
        <v>0</v>
      </c>
      <c r="J1559" s="47">
        <v>0</v>
      </c>
      <c r="K1559" s="46">
        <f t="shared" si="379"/>
        <v>0</v>
      </c>
      <c r="L1559" s="47">
        <v>0</v>
      </c>
      <c r="AX1559" s="46"/>
      <c r="AY1559" s="47"/>
      <c r="AZ1559" s="70"/>
      <c r="BC1559" s="50"/>
    </row>
    <row r="1560" spans="1:55" s="48" customFormat="1" ht="15.45" customHeight="1" outlineLevel="1" x14ac:dyDescent="0.25">
      <c r="A1560" s="42">
        <v>26</v>
      </c>
      <c r="B1560" s="43" t="s">
        <v>43</v>
      </c>
      <c r="C1560" s="44" t="s">
        <v>28</v>
      </c>
      <c r="D1560" s="45">
        <v>0.5</v>
      </c>
      <c r="E1560" s="45">
        <v>1200.0999999999999</v>
      </c>
      <c r="F1560" s="45">
        <f t="shared" si="375"/>
        <v>600.04999999999995</v>
      </c>
      <c r="G1560" s="46">
        <f t="shared" si="376"/>
        <v>0</v>
      </c>
      <c r="H1560" s="47">
        <f t="shared" si="377"/>
        <v>0</v>
      </c>
      <c r="I1560" s="46">
        <f t="shared" si="378"/>
        <v>0</v>
      </c>
      <c r="J1560" s="47">
        <v>0</v>
      </c>
      <c r="K1560" s="46">
        <f t="shared" si="379"/>
        <v>0</v>
      </c>
      <c r="L1560" s="47">
        <v>0</v>
      </c>
      <c r="AX1560" s="46"/>
      <c r="AY1560" s="47"/>
      <c r="AZ1560" s="70"/>
      <c r="BC1560" s="50"/>
    </row>
    <row r="1561" spans="1:55" s="48" customFormat="1" ht="27.75" customHeight="1" outlineLevel="1" x14ac:dyDescent="0.25">
      <c r="A1561" s="42">
        <v>27</v>
      </c>
      <c r="B1561" s="43" t="s">
        <v>1011</v>
      </c>
      <c r="C1561" s="44" t="s">
        <v>93</v>
      </c>
      <c r="D1561" s="45">
        <v>1</v>
      </c>
      <c r="E1561" s="45">
        <v>29.4862</v>
      </c>
      <c r="F1561" s="45">
        <f t="shared" si="375"/>
        <v>29.4862</v>
      </c>
      <c r="G1561" s="46">
        <f t="shared" si="376"/>
        <v>0</v>
      </c>
      <c r="H1561" s="47">
        <f t="shared" si="377"/>
        <v>0</v>
      </c>
      <c r="I1561" s="46">
        <f t="shared" si="378"/>
        <v>0</v>
      </c>
      <c r="J1561" s="47">
        <v>0</v>
      </c>
      <c r="K1561" s="46">
        <f t="shared" si="379"/>
        <v>0</v>
      </c>
      <c r="L1561" s="47">
        <v>0</v>
      </c>
      <c r="AX1561" s="46"/>
      <c r="AY1561" s="47"/>
      <c r="AZ1561" s="70"/>
      <c r="BC1561" s="50"/>
    </row>
    <row r="1562" spans="1:55" s="48" customFormat="1" ht="15.45" customHeight="1" outlineLevel="1" x14ac:dyDescent="0.25">
      <c r="A1562" s="42">
        <v>28</v>
      </c>
      <c r="B1562" s="43" t="s">
        <v>1012</v>
      </c>
      <c r="C1562" s="44" t="s">
        <v>93</v>
      </c>
      <c r="D1562" s="45">
        <v>1</v>
      </c>
      <c r="E1562" s="45">
        <v>136.59639999999999</v>
      </c>
      <c r="F1562" s="45">
        <f t="shared" si="375"/>
        <v>136.59639999999999</v>
      </c>
      <c r="G1562" s="46">
        <f t="shared" si="376"/>
        <v>0</v>
      </c>
      <c r="H1562" s="47">
        <f t="shared" si="377"/>
        <v>0</v>
      </c>
      <c r="I1562" s="46">
        <f t="shared" si="378"/>
        <v>0</v>
      </c>
      <c r="J1562" s="47">
        <v>0</v>
      </c>
      <c r="K1562" s="46">
        <f t="shared" si="379"/>
        <v>0</v>
      </c>
      <c r="L1562" s="47">
        <v>0</v>
      </c>
      <c r="AX1562" s="46"/>
      <c r="AY1562" s="47"/>
      <c r="AZ1562" s="70"/>
      <c r="BC1562" s="50"/>
    </row>
    <row r="1563" spans="1:55" s="48" customFormat="1" ht="15.45" customHeight="1" outlineLevel="1" x14ac:dyDescent="0.25">
      <c r="A1563" s="42">
        <v>29</v>
      </c>
      <c r="B1563" s="43" t="s">
        <v>90</v>
      </c>
      <c r="C1563" s="44" t="s">
        <v>28</v>
      </c>
      <c r="D1563" s="45">
        <v>5.3999999999999999E-2</v>
      </c>
      <c r="E1563" s="45">
        <v>3264.1</v>
      </c>
      <c r="F1563" s="45">
        <f t="shared" si="375"/>
        <v>176.26139999999998</v>
      </c>
      <c r="G1563" s="46">
        <f t="shared" si="376"/>
        <v>0</v>
      </c>
      <c r="H1563" s="47">
        <f t="shared" si="377"/>
        <v>0</v>
      </c>
      <c r="I1563" s="46">
        <f t="shared" si="378"/>
        <v>0</v>
      </c>
      <c r="J1563" s="47">
        <v>0</v>
      </c>
      <c r="K1563" s="46">
        <f t="shared" si="379"/>
        <v>0</v>
      </c>
      <c r="L1563" s="47">
        <v>0</v>
      </c>
      <c r="AX1563" s="46">
        <v>1</v>
      </c>
      <c r="AY1563" s="47">
        <v>5766733.6402624408</v>
      </c>
      <c r="AZ1563" s="70">
        <f>H1563-J1563</f>
        <v>0</v>
      </c>
      <c r="BC1563" s="50"/>
    </row>
    <row r="1564" spans="1:55" s="48" customFormat="1" ht="27.75" customHeight="1" outlineLevel="1" x14ac:dyDescent="0.25">
      <c r="A1564" s="42">
        <v>30</v>
      </c>
      <c r="B1564" s="43" t="s">
        <v>736</v>
      </c>
      <c r="C1564" s="44" t="s">
        <v>98</v>
      </c>
      <c r="D1564" s="45">
        <v>1.51</v>
      </c>
      <c r="E1564" s="45">
        <v>2.9254000000000011</v>
      </c>
      <c r="F1564" s="45">
        <f t="shared" si="375"/>
        <v>4.4173540000000013</v>
      </c>
      <c r="G1564" s="46">
        <f t="shared" si="376"/>
        <v>0</v>
      </c>
      <c r="H1564" s="47">
        <f t="shared" si="377"/>
        <v>0</v>
      </c>
      <c r="I1564" s="46">
        <f t="shared" si="378"/>
        <v>0</v>
      </c>
      <c r="J1564" s="47">
        <v>0</v>
      </c>
      <c r="K1564" s="46">
        <f t="shared" si="379"/>
        <v>0</v>
      </c>
      <c r="L1564" s="47">
        <v>0</v>
      </c>
      <c r="AX1564" s="46">
        <v>1</v>
      </c>
      <c r="AY1564" s="47">
        <v>5766733.6402624408</v>
      </c>
      <c r="AZ1564" s="70">
        <f>H1564-J1564</f>
        <v>0</v>
      </c>
      <c r="BC1564" s="50"/>
    </row>
    <row r="1565" spans="1:55" s="48" customFormat="1" ht="27.75" customHeight="1" outlineLevel="1" x14ac:dyDescent="0.25">
      <c r="A1565" s="42">
        <v>31</v>
      </c>
      <c r="B1565" s="43" t="s">
        <v>909</v>
      </c>
      <c r="C1565" s="44" t="s">
        <v>61</v>
      </c>
      <c r="D1565" s="45">
        <v>2.2000000000000002</v>
      </c>
      <c r="E1565" s="45">
        <v>12.0646</v>
      </c>
      <c r="F1565" s="45">
        <f t="shared" si="375"/>
        <v>26.542120000000004</v>
      </c>
      <c r="G1565" s="46">
        <f t="shared" si="376"/>
        <v>0</v>
      </c>
      <c r="H1565" s="47">
        <f t="shared" si="377"/>
        <v>0</v>
      </c>
      <c r="I1565" s="46">
        <f t="shared" si="378"/>
        <v>0</v>
      </c>
      <c r="J1565" s="47">
        <v>0</v>
      </c>
      <c r="K1565" s="46">
        <f t="shared" si="379"/>
        <v>0</v>
      </c>
      <c r="L1565" s="47">
        <v>0</v>
      </c>
      <c r="AX1565" s="46">
        <v>1</v>
      </c>
      <c r="AY1565" s="47">
        <v>5766733.6402624408</v>
      </c>
      <c r="AZ1565" s="70">
        <f>H1565-J1565</f>
        <v>0</v>
      </c>
      <c r="BC1565" s="50"/>
    </row>
    <row r="1566" spans="1:55" s="48" customFormat="1" ht="15.45" customHeight="1" outlineLevel="1" x14ac:dyDescent="0.25">
      <c r="A1566" s="42">
        <v>32</v>
      </c>
      <c r="B1566" s="43" t="s">
        <v>75</v>
      </c>
      <c r="C1566" s="44" t="s">
        <v>98</v>
      </c>
      <c r="D1566" s="45">
        <v>38.5</v>
      </c>
      <c r="E1566" s="45">
        <v>3.7719999999999998</v>
      </c>
      <c r="F1566" s="45">
        <f t="shared" si="375"/>
        <v>145.22199999999998</v>
      </c>
      <c r="G1566" s="46">
        <f t="shared" si="376"/>
        <v>0</v>
      </c>
      <c r="H1566" s="47">
        <f t="shared" si="377"/>
        <v>0</v>
      </c>
      <c r="I1566" s="46">
        <f t="shared" si="378"/>
        <v>0</v>
      </c>
      <c r="J1566" s="47">
        <v>0</v>
      </c>
      <c r="K1566" s="46">
        <f t="shared" si="379"/>
        <v>0</v>
      </c>
      <c r="L1566" s="47">
        <v>0</v>
      </c>
      <c r="AX1566" s="46">
        <v>0</v>
      </c>
      <c r="AY1566" s="47">
        <v>0</v>
      </c>
      <c r="AZ1566" s="70">
        <f>H1566-J1566</f>
        <v>0</v>
      </c>
      <c r="BC1566" s="50"/>
    </row>
    <row r="1567" spans="1:55" s="48" customFormat="1" ht="15.45" customHeight="1" outlineLevel="1" x14ac:dyDescent="0.25">
      <c r="A1567" s="42">
        <v>33</v>
      </c>
      <c r="B1567" s="43" t="s">
        <v>1013</v>
      </c>
      <c r="C1567" s="44" t="s">
        <v>98</v>
      </c>
      <c r="D1567" s="45">
        <v>38.5</v>
      </c>
      <c r="E1567" s="45">
        <v>0.95300000000000007</v>
      </c>
      <c r="F1567" s="45">
        <f t="shared" si="375"/>
        <v>36.6905</v>
      </c>
      <c r="G1567" s="46">
        <f t="shared" si="376"/>
        <v>0</v>
      </c>
      <c r="H1567" s="47">
        <f t="shared" si="377"/>
        <v>0</v>
      </c>
      <c r="I1567" s="46">
        <f t="shared" si="378"/>
        <v>0</v>
      </c>
      <c r="J1567" s="47">
        <v>0</v>
      </c>
      <c r="K1567" s="46">
        <f t="shared" si="379"/>
        <v>0</v>
      </c>
      <c r="L1567" s="47">
        <v>0</v>
      </c>
      <c r="AX1567" s="46">
        <v>0</v>
      </c>
      <c r="AY1567" s="47">
        <v>1038012.055247239</v>
      </c>
      <c r="AZ1567" s="70">
        <f>H1567-J1567</f>
        <v>0</v>
      </c>
      <c r="BC1567" s="50"/>
    </row>
    <row r="1568" spans="1:55" s="48" customFormat="1" ht="15.45" customHeight="1" outlineLevel="1" x14ac:dyDescent="0.25">
      <c r="A1568" s="42">
        <v>34</v>
      </c>
      <c r="B1568" s="43" t="s">
        <v>1014</v>
      </c>
      <c r="C1568" s="44" t="s">
        <v>98</v>
      </c>
      <c r="D1568" s="45">
        <v>38.5</v>
      </c>
      <c r="E1568" s="45">
        <v>6.5463999999999993</v>
      </c>
      <c r="F1568" s="45">
        <f t="shared" si="375"/>
        <v>252.03639999999999</v>
      </c>
      <c r="G1568" s="46">
        <f t="shared" si="376"/>
        <v>0</v>
      </c>
      <c r="H1568" s="47">
        <f t="shared" si="377"/>
        <v>0</v>
      </c>
      <c r="I1568" s="46">
        <f t="shared" si="378"/>
        <v>0</v>
      </c>
      <c r="J1568" s="47">
        <v>0</v>
      </c>
      <c r="K1568" s="46">
        <f t="shared" si="379"/>
        <v>0</v>
      </c>
      <c r="L1568" s="47">
        <v>0</v>
      </c>
      <c r="AX1568" s="46"/>
      <c r="AY1568" s="47"/>
      <c r="AZ1568" s="70"/>
      <c r="BC1568" s="50"/>
    </row>
    <row r="1569" spans="1:55" s="48" customFormat="1" ht="15.45" customHeight="1" outlineLevel="1" x14ac:dyDescent="0.25">
      <c r="A1569" s="42">
        <v>35</v>
      </c>
      <c r="B1569" s="43" t="s">
        <v>75</v>
      </c>
      <c r="C1569" s="44" t="s">
        <v>98</v>
      </c>
      <c r="D1569" s="45">
        <v>38.5</v>
      </c>
      <c r="E1569" s="45">
        <v>3.7719999999999998</v>
      </c>
      <c r="F1569" s="45">
        <f t="shared" si="375"/>
        <v>145.22199999999998</v>
      </c>
      <c r="G1569" s="46">
        <f t="shared" si="376"/>
        <v>0</v>
      </c>
      <c r="H1569" s="47">
        <f t="shared" si="377"/>
        <v>0</v>
      </c>
      <c r="I1569" s="46">
        <f t="shared" si="378"/>
        <v>0</v>
      </c>
      <c r="J1569" s="47">
        <v>0</v>
      </c>
      <c r="K1569" s="46">
        <f t="shared" si="379"/>
        <v>0</v>
      </c>
      <c r="L1569" s="47">
        <v>0</v>
      </c>
      <c r="AX1569" s="46"/>
      <c r="AY1569" s="47"/>
      <c r="AZ1569" s="70"/>
      <c r="BC1569" s="50"/>
    </row>
    <row r="1570" spans="1:55" s="48" customFormat="1" ht="15.45" customHeight="1" outlineLevel="1" x14ac:dyDescent="0.25">
      <c r="A1570" s="42">
        <v>36</v>
      </c>
      <c r="B1570" s="43" t="s">
        <v>1015</v>
      </c>
      <c r="C1570" s="44" t="s">
        <v>98</v>
      </c>
      <c r="D1570" s="45">
        <v>38.5</v>
      </c>
      <c r="E1570" s="45">
        <v>0.95300000000000007</v>
      </c>
      <c r="F1570" s="45">
        <f t="shared" si="375"/>
        <v>36.6905</v>
      </c>
      <c r="G1570" s="46">
        <f t="shared" si="376"/>
        <v>0</v>
      </c>
      <c r="H1570" s="47">
        <f t="shared" si="377"/>
        <v>0</v>
      </c>
      <c r="I1570" s="46">
        <f t="shared" si="378"/>
        <v>0</v>
      </c>
      <c r="J1570" s="47">
        <v>0</v>
      </c>
      <c r="K1570" s="46">
        <f t="shared" si="379"/>
        <v>0</v>
      </c>
      <c r="L1570" s="47">
        <v>0</v>
      </c>
      <c r="AX1570" s="46"/>
      <c r="AY1570" s="47"/>
      <c r="AZ1570" s="70"/>
      <c r="BC1570" s="50"/>
    </row>
    <row r="1571" spans="1:55" s="48" customFormat="1" ht="15.45" customHeight="1" outlineLevel="1" x14ac:dyDescent="0.25">
      <c r="A1571" s="42">
        <v>37</v>
      </c>
      <c r="B1571" s="43" t="s">
        <v>1016</v>
      </c>
      <c r="C1571" s="44" t="s">
        <v>110</v>
      </c>
      <c r="D1571" s="45">
        <v>81</v>
      </c>
      <c r="E1571" s="45">
        <v>1.9461999999999999</v>
      </c>
      <c r="F1571" s="45">
        <f t="shared" si="375"/>
        <v>157.6422</v>
      </c>
      <c r="G1571" s="46">
        <f t="shared" si="376"/>
        <v>0</v>
      </c>
      <c r="H1571" s="47">
        <f t="shared" si="377"/>
        <v>0</v>
      </c>
      <c r="I1571" s="46">
        <f t="shared" si="378"/>
        <v>0</v>
      </c>
      <c r="J1571" s="47">
        <v>0</v>
      </c>
      <c r="K1571" s="46">
        <f t="shared" si="379"/>
        <v>0</v>
      </c>
      <c r="L1571" s="47">
        <v>0</v>
      </c>
      <c r="AX1571" s="46"/>
      <c r="AY1571" s="47"/>
      <c r="AZ1571" s="70"/>
      <c r="BC1571" s="50"/>
    </row>
    <row r="1572" spans="1:55" s="56" customFormat="1" ht="17.25" customHeight="1" x14ac:dyDescent="0.3">
      <c r="A1572" s="31">
        <v>10.199999999999999</v>
      </c>
      <c r="B1572" s="51" t="s">
        <v>1017</v>
      </c>
      <c r="C1572" s="52">
        <v>0</v>
      </c>
      <c r="D1572" s="53"/>
      <c r="E1572" s="53"/>
      <c r="F1572" s="53"/>
      <c r="G1572" s="54"/>
      <c r="H1572" s="55"/>
      <c r="I1572" s="54"/>
      <c r="J1572" s="55"/>
      <c r="K1572" s="54"/>
      <c r="L1572" s="55">
        <v>0</v>
      </c>
      <c r="AX1572" s="69"/>
      <c r="AY1572" s="71"/>
      <c r="AZ1572" s="72"/>
      <c r="BC1572" s="58"/>
    </row>
    <row r="1573" spans="1:55" s="48" customFormat="1" ht="41.7" customHeight="1" outlineLevel="1" x14ac:dyDescent="0.25">
      <c r="A1573" s="42">
        <v>1</v>
      </c>
      <c r="B1573" s="43" t="s">
        <v>1018</v>
      </c>
      <c r="C1573" s="44" t="s">
        <v>61</v>
      </c>
      <c r="D1573" s="45">
        <v>5</v>
      </c>
      <c r="E1573" s="45">
        <v>14.757400000000001</v>
      </c>
      <c r="F1573" s="45">
        <f t="shared" ref="F1573:F1578" si="380">+E1573*D1573</f>
        <v>73.787000000000006</v>
      </c>
      <c r="G1573" s="46">
        <f t="shared" ref="G1573:H1578" si="381">I1573+K1573</f>
        <v>0</v>
      </c>
      <c r="H1573" s="47">
        <f t="shared" si="381"/>
        <v>0</v>
      </c>
      <c r="I1573" s="46">
        <f t="shared" ref="I1573:I1578" si="382">J1573/F1573</f>
        <v>0</v>
      </c>
      <c r="J1573" s="47">
        <v>0</v>
      </c>
      <c r="K1573" s="46">
        <f t="shared" ref="K1573:K1578" si="383">L1573/F1573</f>
        <v>0</v>
      </c>
      <c r="L1573" s="47">
        <v>0</v>
      </c>
      <c r="AX1573" s="46"/>
      <c r="AY1573" s="47"/>
      <c r="AZ1573" s="70"/>
      <c r="BC1573" s="50"/>
    </row>
    <row r="1574" spans="1:55" s="48" customFormat="1" ht="15.45" customHeight="1" outlineLevel="1" x14ac:dyDescent="0.25">
      <c r="A1574" s="42">
        <v>2</v>
      </c>
      <c r="B1574" s="43" t="s">
        <v>1019</v>
      </c>
      <c r="C1574" s="44" t="s">
        <v>61</v>
      </c>
      <c r="D1574" s="45">
        <v>5</v>
      </c>
      <c r="E1574" s="45">
        <v>27.811399999999999</v>
      </c>
      <c r="F1574" s="45">
        <f t="shared" si="380"/>
        <v>139.05699999999999</v>
      </c>
      <c r="G1574" s="46">
        <f t="shared" si="381"/>
        <v>0</v>
      </c>
      <c r="H1574" s="47">
        <f t="shared" si="381"/>
        <v>0</v>
      </c>
      <c r="I1574" s="46">
        <f t="shared" si="382"/>
        <v>0</v>
      </c>
      <c r="J1574" s="47">
        <v>0</v>
      </c>
      <c r="K1574" s="46">
        <f t="shared" si="383"/>
        <v>0</v>
      </c>
      <c r="L1574" s="47">
        <v>0</v>
      </c>
      <c r="AX1574" s="46"/>
      <c r="AY1574" s="47"/>
      <c r="AZ1574" s="70"/>
      <c r="BC1574" s="50"/>
    </row>
    <row r="1575" spans="1:55" s="48" customFormat="1" ht="27.75" customHeight="1" outlineLevel="1" x14ac:dyDescent="0.25">
      <c r="A1575" s="42">
        <v>3</v>
      </c>
      <c r="B1575" s="43" t="s">
        <v>186</v>
      </c>
      <c r="C1575" s="44" t="s">
        <v>61</v>
      </c>
      <c r="D1575" s="45">
        <v>5</v>
      </c>
      <c r="E1575" s="45">
        <v>85.882000000000005</v>
      </c>
      <c r="F1575" s="45">
        <f t="shared" si="380"/>
        <v>429.41</v>
      </c>
      <c r="G1575" s="46">
        <f t="shared" si="381"/>
        <v>0</v>
      </c>
      <c r="H1575" s="47">
        <f t="shared" si="381"/>
        <v>0</v>
      </c>
      <c r="I1575" s="46">
        <f t="shared" si="382"/>
        <v>0</v>
      </c>
      <c r="J1575" s="47">
        <v>0</v>
      </c>
      <c r="K1575" s="46">
        <f t="shared" si="383"/>
        <v>0</v>
      </c>
      <c r="L1575" s="47">
        <v>0</v>
      </c>
      <c r="AX1575" s="46"/>
      <c r="AY1575" s="47"/>
      <c r="AZ1575" s="70"/>
      <c r="BC1575" s="50"/>
    </row>
    <row r="1576" spans="1:55" s="48" customFormat="1" ht="15.45" customHeight="1" outlineLevel="1" x14ac:dyDescent="0.25">
      <c r="A1576" s="42">
        <v>4</v>
      </c>
      <c r="B1576" s="43" t="s">
        <v>1020</v>
      </c>
      <c r="C1576" s="44" t="s">
        <v>93</v>
      </c>
      <c r="D1576" s="45">
        <v>2</v>
      </c>
      <c r="E1576" s="45">
        <v>12.1646</v>
      </c>
      <c r="F1576" s="45">
        <f t="shared" si="380"/>
        <v>24.3292</v>
      </c>
      <c r="G1576" s="46">
        <f t="shared" si="381"/>
        <v>0</v>
      </c>
      <c r="H1576" s="47">
        <f t="shared" si="381"/>
        <v>0</v>
      </c>
      <c r="I1576" s="46">
        <f t="shared" si="382"/>
        <v>0</v>
      </c>
      <c r="J1576" s="47">
        <v>0</v>
      </c>
      <c r="K1576" s="46">
        <f t="shared" si="383"/>
        <v>0</v>
      </c>
      <c r="L1576" s="47">
        <v>0</v>
      </c>
      <c r="AX1576" s="46"/>
      <c r="AY1576" s="47"/>
      <c r="AZ1576" s="70"/>
      <c r="BC1576" s="50"/>
    </row>
    <row r="1577" spans="1:55" s="48" customFormat="1" ht="15.45" customHeight="1" outlineLevel="1" x14ac:dyDescent="0.25">
      <c r="A1577" s="42">
        <v>5</v>
      </c>
      <c r="B1577" s="43" t="s">
        <v>922</v>
      </c>
      <c r="C1577" s="44" t="s">
        <v>98</v>
      </c>
      <c r="D1577" s="45">
        <v>0.6</v>
      </c>
      <c r="E1577" s="45">
        <v>113.4118</v>
      </c>
      <c r="F1577" s="45">
        <f t="shared" si="380"/>
        <v>68.047079999999994</v>
      </c>
      <c r="G1577" s="46">
        <f t="shared" si="381"/>
        <v>0</v>
      </c>
      <c r="H1577" s="47">
        <f t="shared" si="381"/>
        <v>0</v>
      </c>
      <c r="I1577" s="46">
        <f t="shared" si="382"/>
        <v>0</v>
      </c>
      <c r="J1577" s="47">
        <v>0</v>
      </c>
      <c r="K1577" s="46">
        <f t="shared" si="383"/>
        <v>0</v>
      </c>
      <c r="L1577" s="47">
        <v>0</v>
      </c>
      <c r="AX1577" s="46">
        <v>1</v>
      </c>
      <c r="AY1577" s="47">
        <v>5766733.6402624408</v>
      </c>
      <c r="AZ1577" s="70">
        <f t="shared" ref="AZ1577:AZ1618" si="384">H1577-J1577</f>
        <v>0</v>
      </c>
      <c r="BC1577" s="50"/>
    </row>
    <row r="1578" spans="1:55" s="48" customFormat="1" ht="27.75" customHeight="1" outlineLevel="1" x14ac:dyDescent="0.25">
      <c r="A1578" s="42">
        <v>6</v>
      </c>
      <c r="B1578" s="43" t="s">
        <v>921</v>
      </c>
      <c r="C1578" s="44" t="s">
        <v>98</v>
      </c>
      <c r="D1578" s="45">
        <v>0.6</v>
      </c>
      <c r="E1578" s="45">
        <v>591.72040000000004</v>
      </c>
      <c r="F1578" s="45">
        <f t="shared" si="380"/>
        <v>355.03224</v>
      </c>
      <c r="G1578" s="46">
        <f t="shared" si="381"/>
        <v>0</v>
      </c>
      <c r="H1578" s="47">
        <f t="shared" si="381"/>
        <v>0</v>
      </c>
      <c r="I1578" s="46">
        <f t="shared" si="382"/>
        <v>0</v>
      </c>
      <c r="J1578" s="47">
        <v>0</v>
      </c>
      <c r="K1578" s="46">
        <f t="shared" si="383"/>
        <v>0</v>
      </c>
      <c r="L1578" s="47">
        <v>0</v>
      </c>
      <c r="AX1578" s="46">
        <v>1</v>
      </c>
      <c r="AY1578" s="47">
        <v>5766733.6402624408</v>
      </c>
      <c r="AZ1578" s="70">
        <f t="shared" si="384"/>
        <v>0</v>
      </c>
      <c r="BC1578" s="50"/>
    </row>
    <row r="1579" spans="1:55" s="56" customFormat="1" ht="17.25" customHeight="1" x14ac:dyDescent="0.3">
      <c r="A1579" s="31">
        <v>11.1</v>
      </c>
      <c r="B1579" s="51" t="s">
        <v>1021</v>
      </c>
      <c r="C1579" s="52">
        <v>0</v>
      </c>
      <c r="D1579" s="53"/>
      <c r="E1579" s="53"/>
      <c r="F1579" s="53"/>
      <c r="G1579" s="54"/>
      <c r="H1579" s="55"/>
      <c r="I1579" s="54"/>
      <c r="J1579" s="55"/>
      <c r="K1579" s="54"/>
      <c r="L1579" s="55">
        <v>0</v>
      </c>
      <c r="AX1579" s="69">
        <v>1</v>
      </c>
      <c r="AY1579" s="71">
        <v>5766733.6402624408</v>
      </c>
      <c r="AZ1579" s="72">
        <f t="shared" si="384"/>
        <v>0</v>
      </c>
      <c r="BC1579" s="58"/>
    </row>
    <row r="1580" spans="1:55" s="48" customFormat="1" ht="27.75" customHeight="1" outlineLevel="1" x14ac:dyDescent="0.25">
      <c r="A1580" s="42">
        <v>1</v>
      </c>
      <c r="B1580" s="43" t="s">
        <v>707</v>
      </c>
      <c r="C1580" s="44" t="s">
        <v>110</v>
      </c>
      <c r="D1580" s="45">
        <v>430</v>
      </c>
      <c r="E1580" s="45">
        <v>0.9</v>
      </c>
      <c r="F1580" s="45">
        <f t="shared" ref="F1580:F1616" si="385">+E1580*D1580</f>
        <v>387</v>
      </c>
      <c r="G1580" s="46">
        <f t="shared" ref="G1580:G1616" si="386">I1580+K1580</f>
        <v>0</v>
      </c>
      <c r="H1580" s="47">
        <f t="shared" ref="H1580:H1616" si="387">J1580+L1580</f>
        <v>0</v>
      </c>
      <c r="I1580" s="46">
        <f t="shared" ref="I1580:I1616" si="388">J1580/F1580</f>
        <v>0</v>
      </c>
      <c r="J1580" s="47">
        <v>0</v>
      </c>
      <c r="K1580" s="46">
        <f t="shared" ref="K1580:K1616" si="389">L1580/F1580</f>
        <v>0</v>
      </c>
      <c r="L1580" s="47">
        <v>0</v>
      </c>
      <c r="AX1580" s="46">
        <v>0</v>
      </c>
      <c r="AY1580" s="47">
        <v>0</v>
      </c>
      <c r="AZ1580" s="70">
        <f t="shared" si="384"/>
        <v>0</v>
      </c>
      <c r="BC1580" s="50"/>
    </row>
    <row r="1581" spans="1:55" s="48" customFormat="1" ht="27.75" customHeight="1" outlineLevel="1" x14ac:dyDescent="0.25">
      <c r="A1581" s="42">
        <v>2</v>
      </c>
      <c r="B1581" s="43" t="s">
        <v>648</v>
      </c>
      <c r="C1581" s="44" t="s">
        <v>110</v>
      </c>
      <c r="D1581" s="45">
        <v>13</v>
      </c>
      <c r="E1581" s="45">
        <v>8.9600000000000009</v>
      </c>
      <c r="F1581" s="45">
        <f t="shared" si="385"/>
        <v>116.48000000000002</v>
      </c>
      <c r="G1581" s="46">
        <f t="shared" si="386"/>
        <v>0</v>
      </c>
      <c r="H1581" s="47">
        <f t="shared" si="387"/>
        <v>0</v>
      </c>
      <c r="I1581" s="46">
        <f t="shared" si="388"/>
        <v>0</v>
      </c>
      <c r="J1581" s="47">
        <v>0</v>
      </c>
      <c r="K1581" s="46">
        <f t="shared" si="389"/>
        <v>0</v>
      </c>
      <c r="L1581" s="47">
        <v>0</v>
      </c>
      <c r="AX1581" s="46">
        <v>0</v>
      </c>
      <c r="AY1581" s="47">
        <v>1038012.055247239</v>
      </c>
      <c r="AZ1581" s="70">
        <f t="shared" si="384"/>
        <v>0</v>
      </c>
      <c r="BC1581" s="50"/>
    </row>
    <row r="1582" spans="1:55" s="59" customFormat="1" ht="27.75" customHeight="1" outlineLevel="1" x14ac:dyDescent="0.35">
      <c r="A1582" s="42">
        <v>3</v>
      </c>
      <c r="B1582" s="43" t="s">
        <v>649</v>
      </c>
      <c r="C1582" s="44" t="s">
        <v>110</v>
      </c>
      <c r="D1582" s="45">
        <v>225</v>
      </c>
      <c r="E1582" s="45">
        <v>0.9</v>
      </c>
      <c r="F1582" s="45">
        <f t="shared" si="385"/>
        <v>202.5</v>
      </c>
      <c r="G1582" s="46">
        <f t="shared" si="386"/>
        <v>0</v>
      </c>
      <c r="H1582" s="47">
        <f t="shared" si="387"/>
        <v>0</v>
      </c>
      <c r="I1582" s="46">
        <f t="shared" si="388"/>
        <v>0</v>
      </c>
      <c r="J1582" s="47">
        <v>0</v>
      </c>
      <c r="K1582" s="46">
        <f t="shared" si="389"/>
        <v>0</v>
      </c>
      <c r="L1582" s="47">
        <v>0</v>
      </c>
      <c r="AX1582" s="73">
        <v>1</v>
      </c>
      <c r="AY1582" s="74">
        <v>1308.3047999999999</v>
      </c>
      <c r="AZ1582" s="75">
        <f t="shared" si="384"/>
        <v>0</v>
      </c>
      <c r="BC1582" s="61"/>
    </row>
    <row r="1583" spans="1:55" s="48" customFormat="1" ht="15.45" customHeight="1" outlineLevel="1" x14ac:dyDescent="0.25">
      <c r="A1583" s="42">
        <v>4</v>
      </c>
      <c r="B1583" s="43" t="s">
        <v>37</v>
      </c>
      <c r="C1583" s="44" t="s">
        <v>110</v>
      </c>
      <c r="D1583" s="45">
        <v>225</v>
      </c>
      <c r="E1583" s="45">
        <v>2</v>
      </c>
      <c r="F1583" s="45">
        <f t="shared" si="385"/>
        <v>450</v>
      </c>
      <c r="G1583" s="46">
        <f t="shared" si="386"/>
        <v>0</v>
      </c>
      <c r="H1583" s="47">
        <f t="shared" si="387"/>
        <v>0</v>
      </c>
      <c r="I1583" s="46">
        <f t="shared" si="388"/>
        <v>0</v>
      </c>
      <c r="J1583" s="47">
        <v>0</v>
      </c>
      <c r="K1583" s="46">
        <f t="shared" si="389"/>
        <v>0</v>
      </c>
      <c r="L1583" s="47">
        <v>0</v>
      </c>
      <c r="AX1583" s="46">
        <v>1.000034090134315</v>
      </c>
      <c r="AY1583" s="47">
        <v>1100.6492000000001</v>
      </c>
      <c r="AZ1583" s="70">
        <f t="shared" si="384"/>
        <v>0</v>
      </c>
      <c r="BC1583" s="50"/>
    </row>
    <row r="1584" spans="1:55" s="48" customFormat="1" ht="15.45" customHeight="1" outlineLevel="1" x14ac:dyDescent="0.25">
      <c r="A1584" s="42">
        <v>5</v>
      </c>
      <c r="B1584" s="43" t="s">
        <v>166</v>
      </c>
      <c r="C1584" s="44" t="s">
        <v>110</v>
      </c>
      <c r="D1584" s="45">
        <v>56</v>
      </c>
      <c r="E1584" s="45">
        <v>8.16</v>
      </c>
      <c r="F1584" s="45">
        <f t="shared" si="385"/>
        <v>456.96000000000004</v>
      </c>
      <c r="G1584" s="46">
        <f t="shared" si="386"/>
        <v>0</v>
      </c>
      <c r="H1584" s="47">
        <f t="shared" si="387"/>
        <v>0</v>
      </c>
      <c r="I1584" s="46">
        <f t="shared" si="388"/>
        <v>0</v>
      </c>
      <c r="J1584" s="47">
        <v>0</v>
      </c>
      <c r="K1584" s="46">
        <f t="shared" si="389"/>
        <v>0</v>
      </c>
      <c r="L1584" s="47">
        <v>0</v>
      </c>
      <c r="AX1584" s="46">
        <v>0</v>
      </c>
      <c r="AY1584" s="47">
        <v>0</v>
      </c>
      <c r="AZ1584" s="70">
        <f t="shared" si="384"/>
        <v>0</v>
      </c>
      <c r="BC1584" s="50"/>
    </row>
    <row r="1585" spans="1:55" s="48" customFormat="1" ht="41.7" customHeight="1" outlineLevel="1" x14ac:dyDescent="0.25">
      <c r="A1585" s="42">
        <v>6</v>
      </c>
      <c r="B1585" s="43" t="s">
        <v>1005</v>
      </c>
      <c r="C1585" s="44" t="s">
        <v>110</v>
      </c>
      <c r="D1585" s="45">
        <v>62</v>
      </c>
      <c r="E1585" s="45">
        <v>0.9</v>
      </c>
      <c r="F1585" s="45">
        <f t="shared" si="385"/>
        <v>55.800000000000004</v>
      </c>
      <c r="G1585" s="46">
        <f t="shared" si="386"/>
        <v>0</v>
      </c>
      <c r="H1585" s="47">
        <f t="shared" si="387"/>
        <v>0</v>
      </c>
      <c r="I1585" s="46">
        <f t="shared" si="388"/>
        <v>0</v>
      </c>
      <c r="J1585" s="47">
        <v>0</v>
      </c>
      <c r="K1585" s="46">
        <f t="shared" si="389"/>
        <v>0</v>
      </c>
      <c r="L1585" s="47">
        <v>0</v>
      </c>
      <c r="AX1585" s="46">
        <v>0</v>
      </c>
      <c r="AY1585" s="47">
        <v>0</v>
      </c>
      <c r="AZ1585" s="70">
        <f t="shared" si="384"/>
        <v>0</v>
      </c>
      <c r="BC1585" s="50"/>
    </row>
    <row r="1586" spans="1:55" s="48" customFormat="1" ht="27.75" customHeight="1" outlineLevel="1" x14ac:dyDescent="0.25">
      <c r="A1586" s="42">
        <v>7</v>
      </c>
      <c r="B1586" s="43" t="s">
        <v>803</v>
      </c>
      <c r="C1586" s="44" t="s">
        <v>110</v>
      </c>
      <c r="D1586" s="45">
        <v>87</v>
      </c>
      <c r="E1586" s="45">
        <v>0.9</v>
      </c>
      <c r="F1586" s="45">
        <f t="shared" si="385"/>
        <v>78.3</v>
      </c>
      <c r="G1586" s="46">
        <f t="shared" si="386"/>
        <v>0</v>
      </c>
      <c r="H1586" s="47">
        <f t="shared" si="387"/>
        <v>0</v>
      </c>
      <c r="I1586" s="46">
        <f t="shared" si="388"/>
        <v>0</v>
      </c>
      <c r="J1586" s="47">
        <v>0</v>
      </c>
      <c r="K1586" s="46">
        <f t="shared" si="389"/>
        <v>0</v>
      </c>
      <c r="L1586" s="47">
        <v>0</v>
      </c>
      <c r="AX1586" s="46">
        <v>0.42205242687875311</v>
      </c>
      <c r="AY1586" s="47">
        <v>1049.7370794998681</v>
      </c>
      <c r="AZ1586" s="70">
        <f t="shared" si="384"/>
        <v>0</v>
      </c>
      <c r="BC1586" s="50"/>
    </row>
    <row r="1587" spans="1:55" s="48" customFormat="1" ht="15.45" customHeight="1" outlineLevel="1" x14ac:dyDescent="0.25">
      <c r="A1587" s="42">
        <v>8</v>
      </c>
      <c r="B1587" s="43" t="s">
        <v>29</v>
      </c>
      <c r="C1587" s="44" t="s">
        <v>28</v>
      </c>
      <c r="D1587" s="45">
        <v>156.6</v>
      </c>
      <c r="E1587" s="45">
        <v>1.63</v>
      </c>
      <c r="F1587" s="45">
        <f t="shared" si="385"/>
        <v>255.25799999999998</v>
      </c>
      <c r="G1587" s="46">
        <f t="shared" si="386"/>
        <v>0</v>
      </c>
      <c r="H1587" s="47">
        <f t="shared" si="387"/>
        <v>0</v>
      </c>
      <c r="I1587" s="46">
        <f t="shared" si="388"/>
        <v>0</v>
      </c>
      <c r="J1587" s="47">
        <v>0</v>
      </c>
      <c r="K1587" s="46">
        <f t="shared" si="389"/>
        <v>0</v>
      </c>
      <c r="L1587" s="47">
        <v>0</v>
      </c>
      <c r="AX1587" s="46">
        <v>0</v>
      </c>
      <c r="AY1587" s="47">
        <v>0</v>
      </c>
      <c r="AZ1587" s="70">
        <f t="shared" si="384"/>
        <v>0</v>
      </c>
      <c r="BC1587" s="50"/>
    </row>
    <row r="1588" spans="1:55" s="48" customFormat="1" ht="15.45" customHeight="1" outlineLevel="1" x14ac:dyDescent="0.25">
      <c r="A1588" s="42">
        <v>9</v>
      </c>
      <c r="B1588" s="43" t="s">
        <v>30</v>
      </c>
      <c r="C1588" s="44" t="s">
        <v>110</v>
      </c>
      <c r="D1588" s="45">
        <v>87</v>
      </c>
      <c r="E1588" s="45">
        <v>0.90200000000000002</v>
      </c>
      <c r="F1588" s="45">
        <f t="shared" si="385"/>
        <v>78.474000000000004</v>
      </c>
      <c r="G1588" s="46">
        <f t="shared" si="386"/>
        <v>0</v>
      </c>
      <c r="H1588" s="47">
        <f t="shared" si="387"/>
        <v>0</v>
      </c>
      <c r="I1588" s="46">
        <f t="shared" si="388"/>
        <v>0</v>
      </c>
      <c r="J1588" s="47">
        <v>0</v>
      </c>
      <c r="K1588" s="46">
        <f t="shared" si="389"/>
        <v>0</v>
      </c>
      <c r="L1588" s="47">
        <v>0</v>
      </c>
      <c r="AX1588" s="46">
        <v>0</v>
      </c>
      <c r="AY1588" s="47">
        <v>0</v>
      </c>
      <c r="AZ1588" s="70">
        <f t="shared" si="384"/>
        <v>0</v>
      </c>
      <c r="BC1588" s="50"/>
    </row>
    <row r="1589" spans="1:55" s="48" customFormat="1" ht="15.45" customHeight="1" outlineLevel="1" x14ac:dyDescent="0.25">
      <c r="A1589" s="42">
        <v>10</v>
      </c>
      <c r="B1589" s="43" t="s">
        <v>167</v>
      </c>
      <c r="C1589" s="44" t="s">
        <v>110</v>
      </c>
      <c r="D1589" s="45">
        <v>7.2</v>
      </c>
      <c r="E1589" s="45">
        <v>34.412799999999997</v>
      </c>
      <c r="F1589" s="45">
        <f t="shared" si="385"/>
        <v>247.77215999999999</v>
      </c>
      <c r="G1589" s="46">
        <f t="shared" si="386"/>
        <v>0</v>
      </c>
      <c r="H1589" s="47">
        <f t="shared" si="387"/>
        <v>0</v>
      </c>
      <c r="I1589" s="46">
        <f t="shared" si="388"/>
        <v>0</v>
      </c>
      <c r="J1589" s="47">
        <v>0</v>
      </c>
      <c r="K1589" s="46">
        <f t="shared" si="389"/>
        <v>0</v>
      </c>
      <c r="L1589" s="47">
        <v>0</v>
      </c>
      <c r="AX1589" s="46">
        <v>0</v>
      </c>
      <c r="AY1589" s="47">
        <v>0</v>
      </c>
      <c r="AZ1589" s="70">
        <f t="shared" si="384"/>
        <v>0</v>
      </c>
      <c r="BC1589" s="50"/>
    </row>
    <row r="1590" spans="1:55" s="48" customFormat="1" ht="15.45" customHeight="1" outlineLevel="1" x14ac:dyDescent="0.25">
      <c r="A1590" s="42">
        <v>11</v>
      </c>
      <c r="B1590" s="43" t="s">
        <v>709</v>
      </c>
      <c r="C1590" s="44" t="s">
        <v>110</v>
      </c>
      <c r="D1590" s="45">
        <v>3.4</v>
      </c>
      <c r="E1590" s="45">
        <v>97.984999999999999</v>
      </c>
      <c r="F1590" s="45">
        <f t="shared" si="385"/>
        <v>333.149</v>
      </c>
      <c r="G1590" s="46">
        <f t="shared" si="386"/>
        <v>0</v>
      </c>
      <c r="H1590" s="47">
        <f t="shared" si="387"/>
        <v>0</v>
      </c>
      <c r="I1590" s="46">
        <f t="shared" si="388"/>
        <v>0</v>
      </c>
      <c r="J1590" s="47">
        <v>0</v>
      </c>
      <c r="K1590" s="46">
        <f t="shared" si="389"/>
        <v>0</v>
      </c>
      <c r="L1590" s="47">
        <v>0</v>
      </c>
      <c r="AX1590" s="46">
        <v>8.55363520794237E-2</v>
      </c>
      <c r="AY1590" s="47">
        <v>345.048495</v>
      </c>
      <c r="AZ1590" s="70">
        <f t="shared" si="384"/>
        <v>0</v>
      </c>
      <c r="BC1590" s="50"/>
    </row>
    <row r="1591" spans="1:55" s="48" customFormat="1" ht="15.45" customHeight="1" outlineLevel="1" x14ac:dyDescent="0.25">
      <c r="A1591" s="42">
        <v>12</v>
      </c>
      <c r="B1591" s="43" t="s">
        <v>1006</v>
      </c>
      <c r="C1591" s="44" t="s">
        <v>98</v>
      </c>
      <c r="D1591" s="45">
        <v>34</v>
      </c>
      <c r="E1591" s="45">
        <v>9.8818000000000001</v>
      </c>
      <c r="F1591" s="45">
        <f t="shared" si="385"/>
        <v>335.9812</v>
      </c>
      <c r="G1591" s="46">
        <f t="shared" si="386"/>
        <v>0</v>
      </c>
      <c r="H1591" s="47">
        <f t="shared" si="387"/>
        <v>0</v>
      </c>
      <c r="I1591" s="46">
        <f t="shared" si="388"/>
        <v>0</v>
      </c>
      <c r="J1591" s="47">
        <v>0</v>
      </c>
      <c r="K1591" s="46">
        <f t="shared" si="389"/>
        <v>0</v>
      </c>
      <c r="L1591" s="47">
        <v>0</v>
      </c>
      <c r="AX1591" s="46">
        <v>8.4536352079423699E-2</v>
      </c>
      <c r="AY1591" s="47">
        <v>55.299657600000003</v>
      </c>
      <c r="AZ1591" s="70">
        <f t="shared" si="384"/>
        <v>0</v>
      </c>
      <c r="BC1591" s="50"/>
    </row>
    <row r="1592" spans="1:55" s="48" customFormat="1" ht="15.45" customHeight="1" outlineLevel="1" x14ac:dyDescent="0.25">
      <c r="A1592" s="42">
        <v>13</v>
      </c>
      <c r="B1592" s="43" t="s">
        <v>117</v>
      </c>
      <c r="C1592" s="44" t="s">
        <v>98</v>
      </c>
      <c r="D1592" s="45">
        <v>34</v>
      </c>
      <c r="E1592" s="45">
        <v>5.4732580000000004</v>
      </c>
      <c r="F1592" s="45">
        <f t="shared" si="385"/>
        <v>186.09077200000002</v>
      </c>
      <c r="G1592" s="46">
        <f t="shared" si="386"/>
        <v>0</v>
      </c>
      <c r="H1592" s="47">
        <f t="shared" si="387"/>
        <v>0</v>
      </c>
      <c r="I1592" s="46">
        <f t="shared" si="388"/>
        <v>0</v>
      </c>
      <c r="J1592" s="47">
        <v>0</v>
      </c>
      <c r="K1592" s="46">
        <f t="shared" si="389"/>
        <v>0</v>
      </c>
      <c r="L1592" s="47">
        <v>0</v>
      </c>
      <c r="AX1592" s="46">
        <v>0</v>
      </c>
      <c r="AY1592" s="47">
        <v>0</v>
      </c>
      <c r="AZ1592" s="70">
        <f t="shared" si="384"/>
        <v>0</v>
      </c>
      <c r="BC1592" s="50"/>
    </row>
    <row r="1593" spans="1:55" s="48" customFormat="1" ht="15.45" customHeight="1" outlineLevel="1" x14ac:dyDescent="0.25">
      <c r="A1593" s="42">
        <v>14</v>
      </c>
      <c r="B1593" s="43" t="s">
        <v>840</v>
      </c>
      <c r="C1593" s="44" t="s">
        <v>98</v>
      </c>
      <c r="D1593" s="45">
        <v>34</v>
      </c>
      <c r="E1593" s="45">
        <v>1.4770000000000001</v>
      </c>
      <c r="F1593" s="45">
        <f t="shared" si="385"/>
        <v>50.218000000000004</v>
      </c>
      <c r="G1593" s="46">
        <f t="shared" si="386"/>
        <v>0</v>
      </c>
      <c r="H1593" s="47">
        <f t="shared" si="387"/>
        <v>0</v>
      </c>
      <c r="I1593" s="46">
        <f t="shared" si="388"/>
        <v>0</v>
      </c>
      <c r="J1593" s="47">
        <v>0</v>
      </c>
      <c r="K1593" s="46">
        <f t="shared" si="389"/>
        <v>0</v>
      </c>
      <c r="L1593" s="47">
        <v>0</v>
      </c>
      <c r="AX1593" s="46">
        <v>0</v>
      </c>
      <c r="AY1593" s="47">
        <v>0</v>
      </c>
      <c r="AZ1593" s="70">
        <f t="shared" si="384"/>
        <v>0</v>
      </c>
      <c r="BC1593" s="50"/>
    </row>
    <row r="1594" spans="1:55" s="48" customFormat="1" ht="27.75" customHeight="1" outlineLevel="1" x14ac:dyDescent="0.25">
      <c r="A1594" s="42">
        <v>15</v>
      </c>
      <c r="B1594" s="43" t="s">
        <v>1007</v>
      </c>
      <c r="C1594" s="44" t="s">
        <v>110</v>
      </c>
      <c r="D1594" s="45">
        <v>27.73</v>
      </c>
      <c r="E1594" s="45">
        <v>212.52520000000001</v>
      </c>
      <c r="F1594" s="45">
        <f t="shared" si="385"/>
        <v>5893.3237960000006</v>
      </c>
      <c r="G1594" s="46">
        <f t="shared" si="386"/>
        <v>0</v>
      </c>
      <c r="H1594" s="47">
        <f t="shared" si="387"/>
        <v>0</v>
      </c>
      <c r="I1594" s="46">
        <f t="shared" si="388"/>
        <v>0</v>
      </c>
      <c r="J1594" s="47">
        <v>0</v>
      </c>
      <c r="K1594" s="46">
        <f t="shared" si="389"/>
        <v>0</v>
      </c>
      <c r="L1594" s="47">
        <v>0</v>
      </c>
      <c r="AX1594" s="46">
        <v>0</v>
      </c>
      <c r="AY1594" s="47">
        <v>0</v>
      </c>
      <c r="AZ1594" s="70">
        <f t="shared" si="384"/>
        <v>0</v>
      </c>
      <c r="BC1594" s="50"/>
    </row>
    <row r="1595" spans="1:55" s="48" customFormat="1" ht="15.45" customHeight="1" outlineLevel="1" x14ac:dyDescent="0.25">
      <c r="A1595" s="42">
        <v>16</v>
      </c>
      <c r="B1595" s="43" t="s">
        <v>42</v>
      </c>
      <c r="C1595" s="44" t="s">
        <v>28</v>
      </c>
      <c r="D1595" s="45">
        <v>6.7000000000000004E-2</v>
      </c>
      <c r="E1595" s="45">
        <v>1325.1</v>
      </c>
      <c r="F1595" s="45">
        <f t="shared" si="385"/>
        <v>88.781700000000001</v>
      </c>
      <c r="G1595" s="46">
        <f t="shared" si="386"/>
        <v>0</v>
      </c>
      <c r="H1595" s="47">
        <f t="shared" si="387"/>
        <v>0</v>
      </c>
      <c r="I1595" s="46">
        <f t="shared" si="388"/>
        <v>0</v>
      </c>
      <c r="J1595" s="47">
        <v>0</v>
      </c>
      <c r="K1595" s="46">
        <f t="shared" si="389"/>
        <v>0</v>
      </c>
      <c r="L1595" s="47">
        <v>0</v>
      </c>
      <c r="AX1595" s="46">
        <v>0</v>
      </c>
      <c r="AY1595" s="47">
        <v>0</v>
      </c>
      <c r="AZ1595" s="70">
        <f t="shared" si="384"/>
        <v>0</v>
      </c>
      <c r="BC1595" s="50"/>
    </row>
    <row r="1596" spans="1:55" s="48" customFormat="1" ht="15.45" customHeight="1" outlineLevel="1" x14ac:dyDescent="0.25">
      <c r="A1596" s="42">
        <v>17</v>
      </c>
      <c r="B1596" s="43" t="s">
        <v>43</v>
      </c>
      <c r="C1596" s="44" t="s">
        <v>28</v>
      </c>
      <c r="D1596" s="45">
        <v>3.1589999999999998</v>
      </c>
      <c r="E1596" s="45">
        <v>1200.0999999999999</v>
      </c>
      <c r="F1596" s="45">
        <f t="shared" si="385"/>
        <v>3791.1158999999993</v>
      </c>
      <c r="G1596" s="46">
        <f t="shared" si="386"/>
        <v>0</v>
      </c>
      <c r="H1596" s="47">
        <f t="shared" si="387"/>
        <v>0</v>
      </c>
      <c r="I1596" s="46">
        <f t="shared" si="388"/>
        <v>0</v>
      </c>
      <c r="J1596" s="47">
        <v>0</v>
      </c>
      <c r="K1596" s="46">
        <f t="shared" si="389"/>
        <v>0</v>
      </c>
      <c r="L1596" s="47">
        <v>0</v>
      </c>
      <c r="AX1596" s="46">
        <v>0.30972358821269069</v>
      </c>
      <c r="AY1596" s="47">
        <v>22803.201150467241</v>
      </c>
      <c r="AZ1596" s="70">
        <f t="shared" si="384"/>
        <v>0</v>
      </c>
      <c r="BC1596" s="50"/>
    </row>
    <row r="1597" spans="1:55" s="48" customFormat="1" ht="15.45" customHeight="1" outlineLevel="1" x14ac:dyDescent="0.25">
      <c r="A1597" s="42">
        <v>18</v>
      </c>
      <c r="B1597" s="43" t="s">
        <v>1008</v>
      </c>
      <c r="C1597" s="44" t="s">
        <v>98</v>
      </c>
      <c r="D1597" s="45">
        <v>31.4</v>
      </c>
      <c r="E1597" s="45">
        <v>5.4732580000000004</v>
      </c>
      <c r="F1597" s="45">
        <f t="shared" si="385"/>
        <v>171.86030120000001</v>
      </c>
      <c r="G1597" s="46">
        <f t="shared" si="386"/>
        <v>0</v>
      </c>
      <c r="H1597" s="47">
        <f t="shared" si="387"/>
        <v>0</v>
      </c>
      <c r="I1597" s="46">
        <f t="shared" si="388"/>
        <v>0</v>
      </c>
      <c r="J1597" s="47">
        <v>0</v>
      </c>
      <c r="K1597" s="46">
        <f t="shared" si="389"/>
        <v>0</v>
      </c>
      <c r="L1597" s="47">
        <v>0</v>
      </c>
      <c r="AX1597" s="46">
        <v>0.2449552084901363</v>
      </c>
      <c r="AY1597" s="47">
        <v>6773.6078914481104</v>
      </c>
      <c r="AZ1597" s="70">
        <f t="shared" si="384"/>
        <v>0</v>
      </c>
      <c r="BC1597" s="50"/>
    </row>
    <row r="1598" spans="1:55" s="48" customFormat="1" ht="15.45" customHeight="1" outlineLevel="1" x14ac:dyDescent="0.25">
      <c r="A1598" s="42">
        <v>19</v>
      </c>
      <c r="B1598" s="43" t="s">
        <v>1009</v>
      </c>
      <c r="C1598" s="44" t="s">
        <v>98</v>
      </c>
      <c r="D1598" s="45">
        <v>31.4</v>
      </c>
      <c r="E1598" s="45">
        <v>1.514</v>
      </c>
      <c r="F1598" s="45">
        <f t="shared" si="385"/>
        <v>47.5396</v>
      </c>
      <c r="G1598" s="46">
        <f t="shared" si="386"/>
        <v>0</v>
      </c>
      <c r="H1598" s="47">
        <f t="shared" si="387"/>
        <v>0</v>
      </c>
      <c r="I1598" s="46">
        <f t="shared" si="388"/>
        <v>0</v>
      </c>
      <c r="J1598" s="47">
        <v>0</v>
      </c>
      <c r="K1598" s="46">
        <f t="shared" si="389"/>
        <v>0</v>
      </c>
      <c r="L1598" s="47">
        <v>0</v>
      </c>
      <c r="AX1598" s="46">
        <v>0.44645611890858689</v>
      </c>
      <c r="AY1598" s="47">
        <v>6859.5267351305883</v>
      </c>
      <c r="AZ1598" s="70">
        <f t="shared" si="384"/>
        <v>0</v>
      </c>
      <c r="BC1598" s="50"/>
    </row>
    <row r="1599" spans="1:55" s="48" customFormat="1" ht="27.75" customHeight="1" outlineLevel="1" x14ac:dyDescent="0.25">
      <c r="A1599" s="42">
        <v>20</v>
      </c>
      <c r="B1599" s="43" t="s">
        <v>158</v>
      </c>
      <c r="C1599" s="44" t="s">
        <v>98</v>
      </c>
      <c r="D1599" s="45">
        <v>104.2</v>
      </c>
      <c r="E1599" s="45">
        <v>10.504</v>
      </c>
      <c r="F1599" s="45">
        <f t="shared" si="385"/>
        <v>1094.5167999999999</v>
      </c>
      <c r="G1599" s="46">
        <f t="shared" si="386"/>
        <v>0</v>
      </c>
      <c r="H1599" s="47">
        <f t="shared" si="387"/>
        <v>0</v>
      </c>
      <c r="I1599" s="46">
        <f t="shared" si="388"/>
        <v>0</v>
      </c>
      <c r="J1599" s="47">
        <v>0</v>
      </c>
      <c r="K1599" s="46">
        <f t="shared" si="389"/>
        <v>0</v>
      </c>
      <c r="L1599" s="47">
        <v>0</v>
      </c>
      <c r="AX1599" s="46">
        <v>0</v>
      </c>
      <c r="AY1599" s="47">
        <v>0</v>
      </c>
      <c r="AZ1599" s="70">
        <f t="shared" si="384"/>
        <v>0</v>
      </c>
      <c r="BC1599" s="50"/>
    </row>
    <row r="1600" spans="1:55" s="48" customFormat="1" ht="27.75" customHeight="1" outlineLevel="1" x14ac:dyDescent="0.25">
      <c r="A1600" s="42">
        <v>21</v>
      </c>
      <c r="B1600" s="43" t="s">
        <v>827</v>
      </c>
      <c r="C1600" s="44" t="s">
        <v>98</v>
      </c>
      <c r="D1600" s="45">
        <v>104.2</v>
      </c>
      <c r="E1600" s="45">
        <v>11.8912</v>
      </c>
      <c r="F1600" s="45">
        <f t="shared" si="385"/>
        <v>1239.06304</v>
      </c>
      <c r="G1600" s="46">
        <f t="shared" si="386"/>
        <v>0</v>
      </c>
      <c r="H1600" s="47">
        <f t="shared" si="387"/>
        <v>0</v>
      </c>
      <c r="I1600" s="46">
        <f t="shared" si="388"/>
        <v>0</v>
      </c>
      <c r="J1600" s="47">
        <v>0</v>
      </c>
      <c r="K1600" s="46">
        <f t="shared" si="389"/>
        <v>0</v>
      </c>
      <c r="L1600" s="47">
        <v>0</v>
      </c>
      <c r="AX1600" s="46">
        <v>0</v>
      </c>
      <c r="AY1600" s="47">
        <v>0</v>
      </c>
      <c r="AZ1600" s="70">
        <f t="shared" si="384"/>
        <v>0</v>
      </c>
      <c r="BC1600" s="50"/>
    </row>
    <row r="1601" spans="1:55" s="48" customFormat="1" ht="27.75" customHeight="1" outlineLevel="1" x14ac:dyDescent="0.25">
      <c r="A1601" s="42">
        <v>22</v>
      </c>
      <c r="B1601" s="43" t="s">
        <v>1010</v>
      </c>
      <c r="C1601" s="44" t="s">
        <v>110</v>
      </c>
      <c r="D1601" s="45">
        <v>2.1</v>
      </c>
      <c r="E1601" s="45">
        <v>69.327399999999997</v>
      </c>
      <c r="F1601" s="45">
        <f t="shared" si="385"/>
        <v>145.58753999999999</v>
      </c>
      <c r="G1601" s="46">
        <f t="shared" si="386"/>
        <v>0</v>
      </c>
      <c r="H1601" s="47">
        <f t="shared" si="387"/>
        <v>0</v>
      </c>
      <c r="I1601" s="46">
        <f t="shared" si="388"/>
        <v>0</v>
      </c>
      <c r="J1601" s="47">
        <v>0</v>
      </c>
      <c r="K1601" s="46">
        <f t="shared" si="389"/>
        <v>0</v>
      </c>
      <c r="L1601" s="47">
        <v>0</v>
      </c>
      <c r="AX1601" s="46">
        <v>0</v>
      </c>
      <c r="AY1601" s="47">
        <v>0</v>
      </c>
      <c r="AZ1601" s="70">
        <f t="shared" si="384"/>
        <v>0</v>
      </c>
      <c r="BC1601" s="50"/>
    </row>
    <row r="1602" spans="1:55" s="48" customFormat="1" ht="15.45" customHeight="1" outlineLevel="1" x14ac:dyDescent="0.25">
      <c r="A1602" s="42">
        <v>23</v>
      </c>
      <c r="B1602" s="43" t="s">
        <v>78</v>
      </c>
      <c r="C1602" s="44" t="s">
        <v>110</v>
      </c>
      <c r="D1602" s="45">
        <v>2.1</v>
      </c>
      <c r="E1602" s="45">
        <v>66.499999999999986</v>
      </c>
      <c r="F1602" s="45">
        <f t="shared" si="385"/>
        <v>139.64999999999998</v>
      </c>
      <c r="G1602" s="46">
        <f t="shared" si="386"/>
        <v>0</v>
      </c>
      <c r="H1602" s="47">
        <f t="shared" si="387"/>
        <v>0</v>
      </c>
      <c r="I1602" s="46">
        <f t="shared" si="388"/>
        <v>0</v>
      </c>
      <c r="J1602" s="47">
        <v>0</v>
      </c>
      <c r="K1602" s="46">
        <f t="shared" si="389"/>
        <v>0</v>
      </c>
      <c r="L1602" s="47">
        <v>0</v>
      </c>
      <c r="AX1602" s="46">
        <v>0.30074574771976259</v>
      </c>
      <c r="AY1602" s="47">
        <v>1168.3312254350551</v>
      </c>
      <c r="AZ1602" s="70">
        <f t="shared" si="384"/>
        <v>0</v>
      </c>
      <c r="BC1602" s="50"/>
    </row>
    <row r="1603" spans="1:55" s="48" customFormat="1" ht="27.75" customHeight="1" outlineLevel="1" x14ac:dyDescent="0.25">
      <c r="A1603" s="42">
        <v>24</v>
      </c>
      <c r="B1603" s="43" t="s">
        <v>718</v>
      </c>
      <c r="C1603" s="44" t="s">
        <v>110</v>
      </c>
      <c r="D1603" s="45">
        <v>4.13</v>
      </c>
      <c r="E1603" s="45">
        <v>280</v>
      </c>
      <c r="F1603" s="45">
        <f t="shared" si="385"/>
        <v>1156.3999999999999</v>
      </c>
      <c r="G1603" s="46">
        <f t="shared" si="386"/>
        <v>0</v>
      </c>
      <c r="H1603" s="47">
        <f t="shared" si="387"/>
        <v>0</v>
      </c>
      <c r="I1603" s="46">
        <f t="shared" si="388"/>
        <v>0</v>
      </c>
      <c r="J1603" s="47">
        <v>0</v>
      </c>
      <c r="K1603" s="46">
        <f t="shared" si="389"/>
        <v>0</v>
      </c>
      <c r="L1603" s="47">
        <v>0</v>
      </c>
      <c r="AX1603" s="46">
        <v>0.2449552084901363</v>
      </c>
      <c r="AY1603" s="47">
        <v>12700.51479646521</v>
      </c>
      <c r="AZ1603" s="70">
        <f t="shared" si="384"/>
        <v>0</v>
      </c>
      <c r="BC1603" s="50"/>
    </row>
    <row r="1604" spans="1:55" s="48" customFormat="1" ht="15.45" customHeight="1" outlineLevel="1" x14ac:dyDescent="0.25">
      <c r="A1604" s="42">
        <v>25</v>
      </c>
      <c r="B1604" s="43" t="s">
        <v>42</v>
      </c>
      <c r="C1604" s="44" t="s">
        <v>28</v>
      </c>
      <c r="D1604" s="45">
        <v>2.8000000000000001E-2</v>
      </c>
      <c r="E1604" s="45">
        <v>1325.1</v>
      </c>
      <c r="F1604" s="45">
        <f t="shared" si="385"/>
        <v>37.102799999999995</v>
      </c>
      <c r="G1604" s="46">
        <f t="shared" si="386"/>
        <v>0</v>
      </c>
      <c r="H1604" s="47">
        <f t="shared" si="387"/>
        <v>0</v>
      </c>
      <c r="I1604" s="46">
        <f t="shared" si="388"/>
        <v>0</v>
      </c>
      <c r="J1604" s="47">
        <v>0</v>
      </c>
      <c r="K1604" s="46">
        <f t="shared" si="389"/>
        <v>0</v>
      </c>
      <c r="L1604" s="47">
        <v>0</v>
      </c>
      <c r="AX1604" s="46">
        <v>0.44643366439139198</v>
      </c>
      <c r="AY1604" s="47">
        <v>4260.3613261680666</v>
      </c>
      <c r="AZ1604" s="70">
        <f t="shared" si="384"/>
        <v>0</v>
      </c>
      <c r="BC1604" s="50"/>
    </row>
    <row r="1605" spans="1:55" s="48" customFormat="1" ht="15.45" customHeight="1" outlineLevel="1" x14ac:dyDescent="0.25">
      <c r="A1605" s="42">
        <v>26</v>
      </c>
      <c r="B1605" s="43" t="s">
        <v>43</v>
      </c>
      <c r="C1605" s="44" t="s">
        <v>28</v>
      </c>
      <c r="D1605" s="45">
        <v>0.5</v>
      </c>
      <c r="E1605" s="45">
        <v>1200.0999999999999</v>
      </c>
      <c r="F1605" s="45">
        <f t="shared" si="385"/>
        <v>600.04999999999995</v>
      </c>
      <c r="G1605" s="46">
        <f t="shared" si="386"/>
        <v>0</v>
      </c>
      <c r="H1605" s="47">
        <f t="shared" si="387"/>
        <v>0</v>
      </c>
      <c r="I1605" s="46">
        <f t="shared" si="388"/>
        <v>0</v>
      </c>
      <c r="J1605" s="47">
        <v>0</v>
      </c>
      <c r="K1605" s="46">
        <f t="shared" si="389"/>
        <v>0</v>
      </c>
      <c r="L1605" s="47">
        <v>0</v>
      </c>
      <c r="AX1605" s="46">
        <v>0</v>
      </c>
      <c r="AY1605" s="47">
        <v>0</v>
      </c>
      <c r="AZ1605" s="70">
        <f t="shared" si="384"/>
        <v>0</v>
      </c>
      <c r="BC1605" s="50"/>
    </row>
    <row r="1606" spans="1:55" s="48" customFormat="1" ht="27.75" customHeight="1" outlineLevel="1" x14ac:dyDescent="0.25">
      <c r="A1606" s="42">
        <v>27</v>
      </c>
      <c r="B1606" s="43" t="s">
        <v>1011</v>
      </c>
      <c r="C1606" s="44" t="s">
        <v>93</v>
      </c>
      <c r="D1606" s="45">
        <v>1</v>
      </c>
      <c r="E1606" s="45">
        <v>29.4862</v>
      </c>
      <c r="F1606" s="45">
        <f t="shared" si="385"/>
        <v>29.4862</v>
      </c>
      <c r="G1606" s="46">
        <f t="shared" si="386"/>
        <v>0</v>
      </c>
      <c r="H1606" s="47">
        <f t="shared" si="387"/>
        <v>0</v>
      </c>
      <c r="I1606" s="46">
        <f t="shared" si="388"/>
        <v>0</v>
      </c>
      <c r="J1606" s="47">
        <v>0</v>
      </c>
      <c r="K1606" s="46">
        <f t="shared" si="389"/>
        <v>0</v>
      </c>
      <c r="L1606" s="47">
        <v>0</v>
      </c>
      <c r="AX1606" s="46">
        <v>0</v>
      </c>
      <c r="AY1606" s="47">
        <v>0</v>
      </c>
      <c r="AZ1606" s="70">
        <f t="shared" si="384"/>
        <v>0</v>
      </c>
      <c r="BC1606" s="50"/>
    </row>
    <row r="1607" spans="1:55" s="48" customFormat="1" ht="15.45" customHeight="1" outlineLevel="1" x14ac:dyDescent="0.25">
      <c r="A1607" s="42">
        <v>28</v>
      </c>
      <c r="B1607" s="43" t="s">
        <v>1012</v>
      </c>
      <c r="C1607" s="44" t="s">
        <v>93</v>
      </c>
      <c r="D1607" s="45">
        <v>1</v>
      </c>
      <c r="E1607" s="45">
        <v>136.59639999999999</v>
      </c>
      <c r="F1607" s="45">
        <f t="shared" si="385"/>
        <v>136.59639999999999</v>
      </c>
      <c r="G1607" s="46">
        <f t="shared" si="386"/>
        <v>0</v>
      </c>
      <c r="H1607" s="47">
        <f t="shared" si="387"/>
        <v>0</v>
      </c>
      <c r="I1607" s="46">
        <f t="shared" si="388"/>
        <v>0</v>
      </c>
      <c r="J1607" s="47">
        <v>0</v>
      </c>
      <c r="K1607" s="46">
        <f t="shared" si="389"/>
        <v>0</v>
      </c>
      <c r="L1607" s="47">
        <v>0</v>
      </c>
      <c r="AX1607" s="46">
        <v>0</v>
      </c>
      <c r="AY1607" s="47">
        <v>0</v>
      </c>
      <c r="AZ1607" s="70">
        <f t="shared" si="384"/>
        <v>0</v>
      </c>
      <c r="BC1607" s="50"/>
    </row>
    <row r="1608" spans="1:55" s="48" customFormat="1" ht="15.45" customHeight="1" outlineLevel="1" x14ac:dyDescent="0.25">
      <c r="A1608" s="42">
        <v>29</v>
      </c>
      <c r="B1608" s="43" t="s">
        <v>90</v>
      </c>
      <c r="C1608" s="44" t="s">
        <v>28</v>
      </c>
      <c r="D1608" s="45">
        <v>5.3999999999999999E-2</v>
      </c>
      <c r="E1608" s="45">
        <v>3264.1</v>
      </c>
      <c r="F1608" s="45">
        <f t="shared" si="385"/>
        <v>176.26139999999998</v>
      </c>
      <c r="G1608" s="46">
        <f t="shared" si="386"/>
        <v>0</v>
      </c>
      <c r="H1608" s="47">
        <f t="shared" si="387"/>
        <v>0</v>
      </c>
      <c r="I1608" s="46">
        <f t="shared" si="388"/>
        <v>0</v>
      </c>
      <c r="J1608" s="47">
        <v>0</v>
      </c>
      <c r="K1608" s="46">
        <f t="shared" si="389"/>
        <v>0</v>
      </c>
      <c r="L1608" s="47">
        <v>0</v>
      </c>
      <c r="AX1608" s="46">
        <v>0</v>
      </c>
      <c r="AY1608" s="47">
        <v>0</v>
      </c>
      <c r="AZ1608" s="70">
        <f t="shared" si="384"/>
        <v>0</v>
      </c>
      <c r="BC1608" s="50"/>
    </row>
    <row r="1609" spans="1:55" s="48" customFormat="1" ht="27.75" customHeight="1" outlineLevel="1" x14ac:dyDescent="0.25">
      <c r="A1609" s="42">
        <v>30</v>
      </c>
      <c r="B1609" s="43" t="s">
        <v>736</v>
      </c>
      <c r="C1609" s="44" t="s">
        <v>98</v>
      </c>
      <c r="D1609" s="45">
        <v>1.51</v>
      </c>
      <c r="E1609" s="45">
        <v>2.9254000000000011</v>
      </c>
      <c r="F1609" s="45">
        <f t="shared" si="385"/>
        <v>4.4173540000000013</v>
      </c>
      <c r="G1609" s="46">
        <f t="shared" si="386"/>
        <v>0</v>
      </c>
      <c r="H1609" s="47">
        <f t="shared" si="387"/>
        <v>0</v>
      </c>
      <c r="I1609" s="46">
        <f t="shared" si="388"/>
        <v>0</v>
      </c>
      <c r="J1609" s="47">
        <v>0</v>
      </c>
      <c r="K1609" s="46">
        <f t="shared" si="389"/>
        <v>0</v>
      </c>
      <c r="L1609" s="47">
        <v>0</v>
      </c>
      <c r="AX1609" s="46">
        <v>0</v>
      </c>
      <c r="AY1609" s="47">
        <v>0</v>
      </c>
      <c r="AZ1609" s="70">
        <f t="shared" si="384"/>
        <v>0</v>
      </c>
      <c r="BC1609" s="50"/>
    </row>
    <row r="1610" spans="1:55" s="48" customFormat="1" ht="27.75" customHeight="1" outlineLevel="1" x14ac:dyDescent="0.25">
      <c r="A1610" s="42">
        <v>31</v>
      </c>
      <c r="B1610" s="43" t="s">
        <v>909</v>
      </c>
      <c r="C1610" s="44" t="s">
        <v>61</v>
      </c>
      <c r="D1610" s="45">
        <v>2.2000000000000002</v>
      </c>
      <c r="E1610" s="45">
        <v>12.0646</v>
      </c>
      <c r="F1610" s="45">
        <f t="shared" si="385"/>
        <v>26.542120000000004</v>
      </c>
      <c r="G1610" s="46">
        <f t="shared" si="386"/>
        <v>0</v>
      </c>
      <c r="H1610" s="47">
        <f t="shared" si="387"/>
        <v>0</v>
      </c>
      <c r="I1610" s="46">
        <f t="shared" si="388"/>
        <v>0</v>
      </c>
      <c r="J1610" s="47">
        <v>0</v>
      </c>
      <c r="K1610" s="46">
        <f t="shared" si="389"/>
        <v>0</v>
      </c>
      <c r="L1610" s="47">
        <v>0</v>
      </c>
      <c r="AX1610" s="46">
        <v>0</v>
      </c>
      <c r="AY1610" s="47">
        <v>0</v>
      </c>
      <c r="AZ1610" s="70">
        <f t="shared" si="384"/>
        <v>0</v>
      </c>
      <c r="BC1610" s="50"/>
    </row>
    <row r="1611" spans="1:55" s="48" customFormat="1" ht="15.45" customHeight="1" outlineLevel="1" x14ac:dyDescent="0.25">
      <c r="A1611" s="42">
        <v>32</v>
      </c>
      <c r="B1611" s="43" t="s">
        <v>75</v>
      </c>
      <c r="C1611" s="44" t="s">
        <v>98</v>
      </c>
      <c r="D1611" s="45">
        <v>38.5</v>
      </c>
      <c r="E1611" s="45">
        <v>3.7719999999999998</v>
      </c>
      <c r="F1611" s="45">
        <f t="shared" si="385"/>
        <v>145.22199999999998</v>
      </c>
      <c r="G1611" s="46">
        <f t="shared" si="386"/>
        <v>0</v>
      </c>
      <c r="H1611" s="47">
        <f t="shared" si="387"/>
        <v>0</v>
      </c>
      <c r="I1611" s="46">
        <f t="shared" si="388"/>
        <v>0</v>
      </c>
      <c r="J1611" s="47">
        <v>0</v>
      </c>
      <c r="K1611" s="46">
        <f t="shared" si="389"/>
        <v>0</v>
      </c>
      <c r="L1611" s="47">
        <v>0</v>
      </c>
      <c r="AX1611" s="46">
        <v>0.62017288711832197</v>
      </c>
      <c r="AY1611" s="47">
        <v>2404.8000000000002</v>
      </c>
      <c r="AZ1611" s="70">
        <f t="shared" si="384"/>
        <v>0</v>
      </c>
      <c r="BC1611" s="50"/>
    </row>
    <row r="1612" spans="1:55" s="48" customFormat="1" ht="15.45" customHeight="1" outlineLevel="1" x14ac:dyDescent="0.25">
      <c r="A1612" s="42">
        <v>33</v>
      </c>
      <c r="B1612" s="43" t="s">
        <v>1013</v>
      </c>
      <c r="C1612" s="44" t="s">
        <v>98</v>
      </c>
      <c r="D1612" s="45">
        <v>38.5</v>
      </c>
      <c r="E1612" s="45">
        <v>0.95300000000000007</v>
      </c>
      <c r="F1612" s="45">
        <f t="shared" si="385"/>
        <v>36.6905</v>
      </c>
      <c r="G1612" s="46">
        <f t="shared" si="386"/>
        <v>0</v>
      </c>
      <c r="H1612" s="47">
        <f t="shared" si="387"/>
        <v>0</v>
      </c>
      <c r="I1612" s="46">
        <f t="shared" si="388"/>
        <v>0</v>
      </c>
      <c r="J1612" s="47">
        <v>0</v>
      </c>
      <c r="K1612" s="46">
        <f t="shared" si="389"/>
        <v>0</v>
      </c>
      <c r="L1612" s="47">
        <v>0</v>
      </c>
      <c r="AX1612" s="46">
        <v>0.50198481879540013</v>
      </c>
      <c r="AY1612" s="47">
        <v>1349.6524312639999</v>
      </c>
      <c r="AZ1612" s="70">
        <f t="shared" si="384"/>
        <v>0</v>
      </c>
      <c r="BC1612" s="50"/>
    </row>
    <row r="1613" spans="1:55" s="48" customFormat="1" ht="43.2" customHeight="1" outlineLevel="1" x14ac:dyDescent="0.25">
      <c r="A1613" s="42">
        <v>34</v>
      </c>
      <c r="B1613" s="43" t="s">
        <v>1014</v>
      </c>
      <c r="C1613" s="44" t="s">
        <v>98</v>
      </c>
      <c r="D1613" s="45">
        <v>38.5</v>
      </c>
      <c r="E1613" s="45">
        <v>6.5463999999999993</v>
      </c>
      <c r="F1613" s="45">
        <f t="shared" si="385"/>
        <v>252.03639999999999</v>
      </c>
      <c r="G1613" s="46">
        <f t="shared" si="386"/>
        <v>0</v>
      </c>
      <c r="H1613" s="47">
        <f t="shared" si="387"/>
        <v>0</v>
      </c>
      <c r="I1613" s="46">
        <f t="shared" si="388"/>
        <v>0</v>
      </c>
      <c r="J1613" s="47">
        <v>0</v>
      </c>
      <c r="K1613" s="46">
        <f t="shared" si="389"/>
        <v>0</v>
      </c>
      <c r="L1613" s="47">
        <v>0</v>
      </c>
      <c r="AX1613" s="46">
        <v>0</v>
      </c>
      <c r="AY1613" s="47">
        <v>0</v>
      </c>
      <c r="AZ1613" s="70">
        <f t="shared" si="384"/>
        <v>0</v>
      </c>
      <c r="BC1613" s="50"/>
    </row>
    <row r="1614" spans="1:55" s="48" customFormat="1" ht="15.45" customHeight="1" outlineLevel="1" x14ac:dyDescent="0.25">
      <c r="A1614" s="42">
        <v>35</v>
      </c>
      <c r="B1614" s="43" t="s">
        <v>75</v>
      </c>
      <c r="C1614" s="44" t="s">
        <v>98</v>
      </c>
      <c r="D1614" s="45">
        <v>38.5</v>
      </c>
      <c r="E1614" s="45">
        <v>3.7719999999999998</v>
      </c>
      <c r="F1614" s="45">
        <f t="shared" si="385"/>
        <v>145.22199999999998</v>
      </c>
      <c r="G1614" s="46">
        <f t="shared" si="386"/>
        <v>0</v>
      </c>
      <c r="H1614" s="47">
        <f t="shared" si="387"/>
        <v>0</v>
      </c>
      <c r="I1614" s="46">
        <f t="shared" si="388"/>
        <v>0</v>
      </c>
      <c r="J1614" s="47">
        <v>0</v>
      </c>
      <c r="K1614" s="46">
        <f t="shared" si="389"/>
        <v>0</v>
      </c>
      <c r="L1614" s="47">
        <v>0</v>
      </c>
      <c r="AX1614" s="46">
        <v>0</v>
      </c>
      <c r="AY1614" s="47">
        <v>0</v>
      </c>
      <c r="AZ1614" s="70">
        <f t="shared" si="384"/>
        <v>0</v>
      </c>
      <c r="BC1614" s="50"/>
    </row>
    <row r="1615" spans="1:55" s="48" customFormat="1" ht="15.45" customHeight="1" outlineLevel="1" x14ac:dyDescent="0.25">
      <c r="A1615" s="42">
        <v>36</v>
      </c>
      <c r="B1615" s="43" t="s">
        <v>1015</v>
      </c>
      <c r="C1615" s="44" t="s">
        <v>98</v>
      </c>
      <c r="D1615" s="45">
        <v>38.5</v>
      </c>
      <c r="E1615" s="45">
        <v>0.95300000000000007</v>
      </c>
      <c r="F1615" s="45">
        <f t="shared" si="385"/>
        <v>36.6905</v>
      </c>
      <c r="G1615" s="46">
        <f t="shared" si="386"/>
        <v>0</v>
      </c>
      <c r="H1615" s="47">
        <f t="shared" si="387"/>
        <v>0</v>
      </c>
      <c r="I1615" s="46">
        <f t="shared" si="388"/>
        <v>0</v>
      </c>
      <c r="J1615" s="47">
        <v>0</v>
      </c>
      <c r="K1615" s="46">
        <f t="shared" si="389"/>
        <v>0</v>
      </c>
      <c r="L1615" s="47">
        <v>0</v>
      </c>
      <c r="AX1615" s="46">
        <v>0.49528185486995763</v>
      </c>
      <c r="AY1615" s="47">
        <v>830.85016999999993</v>
      </c>
      <c r="AZ1615" s="70">
        <f t="shared" si="384"/>
        <v>0</v>
      </c>
      <c r="BC1615" s="50"/>
    </row>
    <row r="1616" spans="1:55" s="48" customFormat="1" ht="15.45" customHeight="1" outlineLevel="1" x14ac:dyDescent="0.25">
      <c r="A1616" s="42">
        <v>37</v>
      </c>
      <c r="B1616" s="43" t="s">
        <v>1016</v>
      </c>
      <c r="C1616" s="44" t="s">
        <v>110</v>
      </c>
      <c r="D1616" s="45">
        <v>81</v>
      </c>
      <c r="E1616" s="45">
        <v>1.9461999999999999</v>
      </c>
      <c r="F1616" s="45">
        <f t="shared" si="385"/>
        <v>157.6422</v>
      </c>
      <c r="G1616" s="46">
        <f t="shared" si="386"/>
        <v>0</v>
      </c>
      <c r="H1616" s="47">
        <f t="shared" si="387"/>
        <v>0</v>
      </c>
      <c r="I1616" s="46">
        <f t="shared" si="388"/>
        <v>0</v>
      </c>
      <c r="J1616" s="47">
        <v>0</v>
      </c>
      <c r="K1616" s="46">
        <f t="shared" si="389"/>
        <v>0</v>
      </c>
      <c r="L1616" s="47">
        <v>0</v>
      </c>
      <c r="AX1616" s="46">
        <v>0.6202058969858999</v>
      </c>
      <c r="AY1616" s="47">
        <v>283.60000000000002</v>
      </c>
      <c r="AZ1616" s="70">
        <f t="shared" si="384"/>
        <v>0</v>
      </c>
      <c r="BC1616" s="50"/>
    </row>
    <row r="1617" spans="1:55" s="56" customFormat="1" ht="17.25" customHeight="1" x14ac:dyDescent="0.3">
      <c r="A1617" s="31">
        <v>11.2</v>
      </c>
      <c r="B1617" s="51" t="s">
        <v>1022</v>
      </c>
      <c r="C1617" s="52">
        <v>0</v>
      </c>
      <c r="D1617" s="53"/>
      <c r="E1617" s="53"/>
      <c r="F1617" s="53"/>
      <c r="G1617" s="54"/>
      <c r="H1617" s="55"/>
      <c r="I1617" s="54"/>
      <c r="J1617" s="55"/>
      <c r="K1617" s="54"/>
      <c r="L1617" s="55">
        <v>0</v>
      </c>
      <c r="AX1617" s="69">
        <v>0.49997244819191239</v>
      </c>
      <c r="AY1617" s="71">
        <v>315.24614783999988</v>
      </c>
      <c r="AZ1617" s="72">
        <f t="shared" si="384"/>
        <v>0</v>
      </c>
      <c r="BC1617" s="58"/>
    </row>
    <row r="1618" spans="1:55" s="59" customFormat="1" ht="41.7" customHeight="1" outlineLevel="1" x14ac:dyDescent="0.35">
      <c r="A1618" s="42">
        <v>1</v>
      </c>
      <c r="B1618" s="43" t="s">
        <v>1018</v>
      </c>
      <c r="C1618" s="44" t="s">
        <v>61</v>
      </c>
      <c r="D1618" s="45">
        <v>5</v>
      </c>
      <c r="E1618" s="45">
        <v>14.757400000000001</v>
      </c>
      <c r="F1618" s="45">
        <f t="shared" ref="F1618:F1623" si="390">+E1618*D1618</f>
        <v>73.787000000000006</v>
      </c>
      <c r="G1618" s="46">
        <f t="shared" ref="G1618:H1623" si="391">I1618+K1618</f>
        <v>0</v>
      </c>
      <c r="H1618" s="47">
        <f t="shared" si="391"/>
        <v>0</v>
      </c>
      <c r="I1618" s="46">
        <f t="shared" ref="I1618:I1623" si="392">J1618/F1618</f>
        <v>0</v>
      </c>
      <c r="J1618" s="47">
        <v>0</v>
      </c>
      <c r="K1618" s="46">
        <f t="shared" ref="K1618:K1623" si="393">L1618/F1618</f>
        <v>0</v>
      </c>
      <c r="L1618" s="47">
        <v>0</v>
      </c>
      <c r="AX1618" s="73">
        <v>0</v>
      </c>
      <c r="AY1618" s="74">
        <v>0</v>
      </c>
      <c r="AZ1618" s="75">
        <f t="shared" si="384"/>
        <v>0</v>
      </c>
      <c r="BC1618" s="61"/>
    </row>
    <row r="1619" spans="1:55" s="59" customFormat="1" ht="17.7" customHeight="1" outlineLevel="1" x14ac:dyDescent="0.35">
      <c r="A1619" s="42">
        <v>2</v>
      </c>
      <c r="B1619" s="43" t="s">
        <v>1019</v>
      </c>
      <c r="C1619" s="44" t="s">
        <v>61</v>
      </c>
      <c r="D1619" s="45">
        <v>5</v>
      </c>
      <c r="E1619" s="45">
        <v>27.811399999999999</v>
      </c>
      <c r="F1619" s="45">
        <f t="shared" si="390"/>
        <v>139.05699999999999</v>
      </c>
      <c r="G1619" s="46">
        <f t="shared" si="391"/>
        <v>0</v>
      </c>
      <c r="H1619" s="47">
        <f t="shared" si="391"/>
        <v>0</v>
      </c>
      <c r="I1619" s="46">
        <f t="shared" si="392"/>
        <v>0</v>
      </c>
      <c r="J1619" s="47">
        <v>0</v>
      </c>
      <c r="K1619" s="46">
        <f t="shared" si="393"/>
        <v>0</v>
      </c>
      <c r="L1619" s="47">
        <v>0</v>
      </c>
      <c r="AX1619" s="73"/>
      <c r="AY1619" s="74"/>
      <c r="AZ1619" s="75"/>
      <c r="BC1619" s="61"/>
    </row>
    <row r="1620" spans="1:55" s="48" customFormat="1" ht="27.75" customHeight="1" outlineLevel="1" x14ac:dyDescent="0.25">
      <c r="A1620" s="42">
        <v>3</v>
      </c>
      <c r="B1620" s="43" t="s">
        <v>186</v>
      </c>
      <c r="C1620" s="44" t="s">
        <v>61</v>
      </c>
      <c r="D1620" s="45">
        <v>5</v>
      </c>
      <c r="E1620" s="45">
        <v>85.882000000000005</v>
      </c>
      <c r="F1620" s="45">
        <f t="shared" si="390"/>
        <v>429.41</v>
      </c>
      <c r="G1620" s="46">
        <f t="shared" si="391"/>
        <v>0</v>
      </c>
      <c r="H1620" s="47">
        <f t="shared" si="391"/>
        <v>0</v>
      </c>
      <c r="I1620" s="46">
        <f t="shared" si="392"/>
        <v>0</v>
      </c>
      <c r="J1620" s="47">
        <v>0</v>
      </c>
      <c r="K1620" s="46">
        <f t="shared" si="393"/>
        <v>0</v>
      </c>
      <c r="L1620" s="47">
        <v>0</v>
      </c>
      <c r="AX1620" s="46"/>
      <c r="AY1620" s="47"/>
      <c r="AZ1620" s="70"/>
      <c r="BC1620" s="50"/>
    </row>
    <row r="1621" spans="1:55" s="48" customFormat="1" ht="15.45" customHeight="1" outlineLevel="1" x14ac:dyDescent="0.25">
      <c r="A1621" s="42">
        <v>4</v>
      </c>
      <c r="B1621" s="43" t="s">
        <v>1020</v>
      </c>
      <c r="C1621" s="44" t="s">
        <v>93</v>
      </c>
      <c r="D1621" s="45">
        <v>2</v>
      </c>
      <c r="E1621" s="45">
        <v>12.1646</v>
      </c>
      <c r="F1621" s="45">
        <f t="shared" si="390"/>
        <v>24.3292</v>
      </c>
      <c r="G1621" s="46">
        <f t="shared" si="391"/>
        <v>0</v>
      </c>
      <c r="H1621" s="47">
        <f t="shared" si="391"/>
        <v>0</v>
      </c>
      <c r="I1621" s="46">
        <f t="shared" si="392"/>
        <v>0</v>
      </c>
      <c r="J1621" s="47">
        <v>0</v>
      </c>
      <c r="K1621" s="46">
        <f t="shared" si="393"/>
        <v>0</v>
      </c>
      <c r="L1621" s="47">
        <v>0</v>
      </c>
      <c r="AX1621" s="46"/>
      <c r="AY1621" s="47"/>
      <c r="AZ1621" s="70"/>
      <c r="BC1621" s="50"/>
    </row>
    <row r="1622" spans="1:55" s="48" customFormat="1" ht="15.45" customHeight="1" outlineLevel="1" x14ac:dyDescent="0.25">
      <c r="A1622" s="42">
        <v>5</v>
      </c>
      <c r="B1622" s="43" t="s">
        <v>1023</v>
      </c>
      <c r="C1622" s="44" t="s">
        <v>98</v>
      </c>
      <c r="D1622" s="45">
        <v>0.6</v>
      </c>
      <c r="E1622" s="45">
        <v>113.4118</v>
      </c>
      <c r="F1622" s="45">
        <f t="shared" si="390"/>
        <v>68.047079999999994</v>
      </c>
      <c r="G1622" s="46">
        <f t="shared" si="391"/>
        <v>0</v>
      </c>
      <c r="H1622" s="47">
        <f t="shared" si="391"/>
        <v>0</v>
      </c>
      <c r="I1622" s="46">
        <f t="shared" si="392"/>
        <v>0</v>
      </c>
      <c r="J1622" s="47">
        <v>0</v>
      </c>
      <c r="K1622" s="46">
        <f t="shared" si="393"/>
        <v>0</v>
      </c>
      <c r="L1622" s="47">
        <v>0</v>
      </c>
      <c r="AX1622" s="46"/>
      <c r="AY1622" s="47"/>
      <c r="AZ1622" s="70"/>
      <c r="BC1622" s="50"/>
    </row>
    <row r="1623" spans="1:55" s="48" customFormat="1" ht="27.75" customHeight="1" outlineLevel="1" x14ac:dyDescent="0.25">
      <c r="A1623" s="42">
        <v>6</v>
      </c>
      <c r="B1623" s="43" t="s">
        <v>921</v>
      </c>
      <c r="C1623" s="44" t="s">
        <v>98</v>
      </c>
      <c r="D1623" s="45">
        <v>0.6</v>
      </c>
      <c r="E1623" s="45">
        <v>591.72040000000004</v>
      </c>
      <c r="F1623" s="45">
        <f t="shared" si="390"/>
        <v>355.03224</v>
      </c>
      <c r="G1623" s="46">
        <f t="shared" si="391"/>
        <v>0</v>
      </c>
      <c r="H1623" s="47">
        <f t="shared" si="391"/>
        <v>0</v>
      </c>
      <c r="I1623" s="46">
        <f t="shared" si="392"/>
        <v>0</v>
      </c>
      <c r="J1623" s="47">
        <v>0</v>
      </c>
      <c r="K1623" s="46">
        <f t="shared" si="393"/>
        <v>0</v>
      </c>
      <c r="L1623" s="47">
        <v>0</v>
      </c>
      <c r="AX1623" s="46">
        <v>1</v>
      </c>
      <c r="AY1623" s="47">
        <v>5766733.6402624408</v>
      </c>
      <c r="AZ1623" s="70">
        <f>H1623-J1623</f>
        <v>0</v>
      </c>
      <c r="BC1623" s="50"/>
    </row>
    <row r="1624" spans="1:55" s="56" customFormat="1" ht="17.25" customHeight="1" x14ac:dyDescent="0.3">
      <c r="A1624" s="31">
        <v>12.1</v>
      </c>
      <c r="B1624" s="51" t="s">
        <v>1024</v>
      </c>
      <c r="C1624" s="52">
        <v>0</v>
      </c>
      <c r="D1624" s="53"/>
      <c r="E1624" s="53"/>
      <c r="F1624" s="53"/>
      <c r="G1624" s="54"/>
      <c r="H1624" s="55"/>
      <c r="I1624" s="54"/>
      <c r="J1624" s="55"/>
      <c r="K1624" s="54"/>
      <c r="L1624" s="55">
        <v>0</v>
      </c>
      <c r="AX1624" s="69">
        <v>1</v>
      </c>
      <c r="AY1624" s="71">
        <v>5766733.6402624408</v>
      </c>
      <c r="AZ1624" s="72">
        <f>H1624-J1624</f>
        <v>0</v>
      </c>
      <c r="BC1624" s="58"/>
    </row>
    <row r="1625" spans="1:55" s="48" customFormat="1" ht="27.75" customHeight="1" outlineLevel="1" x14ac:dyDescent="0.25">
      <c r="A1625" s="42">
        <v>1</v>
      </c>
      <c r="B1625" s="43" t="s">
        <v>707</v>
      </c>
      <c r="C1625" s="44" t="s">
        <v>110</v>
      </c>
      <c r="D1625" s="45">
        <v>143</v>
      </c>
      <c r="E1625" s="45">
        <v>0.9</v>
      </c>
      <c r="F1625" s="45">
        <f t="shared" ref="F1625:F1660" si="394">+E1625*D1625</f>
        <v>128.70000000000002</v>
      </c>
      <c r="G1625" s="46">
        <f t="shared" ref="G1625:G1660" si="395">I1625+K1625</f>
        <v>0</v>
      </c>
      <c r="H1625" s="47">
        <f t="shared" ref="H1625:H1660" si="396">J1625+L1625</f>
        <v>0</v>
      </c>
      <c r="I1625" s="46">
        <f t="shared" ref="I1625:I1660" si="397">J1625/F1625</f>
        <v>0</v>
      </c>
      <c r="J1625" s="47">
        <v>0</v>
      </c>
      <c r="K1625" s="46">
        <f t="shared" ref="K1625:K1660" si="398">L1625/F1625</f>
        <v>0</v>
      </c>
      <c r="L1625" s="47">
        <v>0</v>
      </c>
      <c r="AX1625" s="46">
        <v>1</v>
      </c>
      <c r="AY1625" s="47">
        <v>5766733.6402624408</v>
      </c>
      <c r="AZ1625" s="70">
        <f>H1625-J1625</f>
        <v>0</v>
      </c>
      <c r="BC1625" s="50"/>
    </row>
    <row r="1626" spans="1:55" s="48" customFormat="1" ht="27.75" customHeight="1" outlineLevel="1" x14ac:dyDescent="0.25">
      <c r="A1626" s="42">
        <v>2</v>
      </c>
      <c r="B1626" s="43" t="s">
        <v>648</v>
      </c>
      <c r="C1626" s="44" t="s">
        <v>110</v>
      </c>
      <c r="D1626" s="45">
        <v>4</v>
      </c>
      <c r="E1626" s="45">
        <v>8.9600000000000009</v>
      </c>
      <c r="F1626" s="45">
        <f t="shared" si="394"/>
        <v>35.840000000000003</v>
      </c>
      <c r="G1626" s="46">
        <f t="shared" si="395"/>
        <v>0</v>
      </c>
      <c r="H1626" s="47">
        <f t="shared" si="396"/>
        <v>0</v>
      </c>
      <c r="I1626" s="46">
        <f t="shared" si="397"/>
        <v>0</v>
      </c>
      <c r="J1626" s="47">
        <v>0</v>
      </c>
      <c r="K1626" s="46">
        <f t="shared" si="398"/>
        <v>0</v>
      </c>
      <c r="L1626" s="47">
        <v>0</v>
      </c>
      <c r="AX1626" s="46">
        <v>0</v>
      </c>
      <c r="AY1626" s="47">
        <v>0</v>
      </c>
      <c r="AZ1626" s="70">
        <f>H1626-J1626</f>
        <v>0</v>
      </c>
      <c r="BC1626" s="50"/>
    </row>
    <row r="1627" spans="1:55" s="48" customFormat="1" ht="15.45" customHeight="1" outlineLevel="1" x14ac:dyDescent="0.25">
      <c r="A1627" s="42">
        <v>3</v>
      </c>
      <c r="B1627" s="43" t="s">
        <v>30</v>
      </c>
      <c r="C1627" s="44" t="s">
        <v>110</v>
      </c>
      <c r="D1627" s="45">
        <v>147</v>
      </c>
      <c r="E1627" s="45">
        <v>0.90200000000000002</v>
      </c>
      <c r="F1627" s="45">
        <f t="shared" si="394"/>
        <v>132.59399999999999</v>
      </c>
      <c r="G1627" s="46">
        <f t="shared" si="395"/>
        <v>0</v>
      </c>
      <c r="H1627" s="47">
        <f t="shared" si="396"/>
        <v>0</v>
      </c>
      <c r="I1627" s="46">
        <f t="shared" si="397"/>
        <v>0</v>
      </c>
      <c r="J1627" s="47">
        <v>0</v>
      </c>
      <c r="K1627" s="46">
        <f t="shared" si="398"/>
        <v>0</v>
      </c>
      <c r="L1627" s="47">
        <v>0</v>
      </c>
      <c r="AX1627" s="46">
        <v>0</v>
      </c>
      <c r="AY1627" s="47">
        <v>1038012.055247239</v>
      </c>
      <c r="AZ1627" s="70">
        <f>H1627-J1627</f>
        <v>0</v>
      </c>
      <c r="BC1627" s="50"/>
    </row>
    <row r="1628" spans="1:55" s="48" customFormat="1" ht="27.75" customHeight="1" outlineLevel="1" x14ac:dyDescent="0.25">
      <c r="A1628" s="42">
        <v>4</v>
      </c>
      <c r="B1628" s="43" t="s">
        <v>649</v>
      </c>
      <c r="C1628" s="44" t="s">
        <v>110</v>
      </c>
      <c r="D1628" s="45">
        <v>86</v>
      </c>
      <c r="E1628" s="45">
        <v>0.9</v>
      </c>
      <c r="F1628" s="45">
        <f t="shared" si="394"/>
        <v>77.400000000000006</v>
      </c>
      <c r="G1628" s="46">
        <f t="shared" si="395"/>
        <v>0</v>
      </c>
      <c r="H1628" s="47">
        <f t="shared" si="396"/>
        <v>0</v>
      </c>
      <c r="I1628" s="46">
        <f t="shared" si="397"/>
        <v>0</v>
      </c>
      <c r="J1628" s="47">
        <v>0</v>
      </c>
      <c r="K1628" s="46">
        <f t="shared" si="398"/>
        <v>0</v>
      </c>
      <c r="L1628" s="47">
        <v>0</v>
      </c>
      <c r="AX1628" s="46"/>
      <c r="AY1628" s="47"/>
      <c r="AZ1628" s="70"/>
      <c r="BC1628" s="50"/>
    </row>
    <row r="1629" spans="1:55" s="48" customFormat="1" ht="15.45" customHeight="1" outlineLevel="1" x14ac:dyDescent="0.25">
      <c r="A1629" s="42">
        <v>5</v>
      </c>
      <c r="B1629" s="43" t="s">
        <v>166</v>
      </c>
      <c r="C1629" s="44" t="s">
        <v>110</v>
      </c>
      <c r="D1629" s="45">
        <v>21</v>
      </c>
      <c r="E1629" s="45">
        <v>8.16</v>
      </c>
      <c r="F1629" s="45">
        <f t="shared" si="394"/>
        <v>171.36</v>
      </c>
      <c r="G1629" s="46">
        <f t="shared" si="395"/>
        <v>0</v>
      </c>
      <c r="H1629" s="47">
        <f t="shared" si="396"/>
        <v>0</v>
      </c>
      <c r="I1629" s="46">
        <f t="shared" si="397"/>
        <v>0</v>
      </c>
      <c r="J1629" s="47">
        <v>0</v>
      </c>
      <c r="K1629" s="46">
        <f t="shared" si="398"/>
        <v>0</v>
      </c>
      <c r="L1629" s="47">
        <v>0</v>
      </c>
      <c r="AX1629" s="46"/>
      <c r="AY1629" s="47"/>
      <c r="AZ1629" s="70"/>
      <c r="BC1629" s="50"/>
    </row>
    <row r="1630" spans="1:55" s="48" customFormat="1" ht="15.45" customHeight="1" outlineLevel="1" x14ac:dyDescent="0.25">
      <c r="A1630" s="42">
        <v>6</v>
      </c>
      <c r="B1630" s="43" t="s">
        <v>37</v>
      </c>
      <c r="C1630" s="44" t="s">
        <v>110</v>
      </c>
      <c r="D1630" s="45">
        <v>86</v>
      </c>
      <c r="E1630" s="45">
        <v>2</v>
      </c>
      <c r="F1630" s="45">
        <f t="shared" si="394"/>
        <v>172</v>
      </c>
      <c r="G1630" s="46">
        <f t="shared" si="395"/>
        <v>0</v>
      </c>
      <c r="H1630" s="47">
        <f t="shared" si="396"/>
        <v>0</v>
      </c>
      <c r="I1630" s="46">
        <f t="shared" si="397"/>
        <v>0</v>
      </c>
      <c r="J1630" s="47">
        <v>0</v>
      </c>
      <c r="K1630" s="46">
        <f t="shared" si="398"/>
        <v>0</v>
      </c>
      <c r="L1630" s="47">
        <v>0</v>
      </c>
      <c r="AX1630" s="46"/>
      <c r="AY1630" s="47"/>
      <c r="AZ1630" s="70"/>
      <c r="BC1630" s="50"/>
    </row>
    <row r="1631" spans="1:55" s="59" customFormat="1" ht="27.75" customHeight="1" outlineLevel="1" x14ac:dyDescent="0.35">
      <c r="A1631" s="42">
        <v>7</v>
      </c>
      <c r="B1631" s="43" t="s">
        <v>707</v>
      </c>
      <c r="C1631" s="44" t="s">
        <v>110</v>
      </c>
      <c r="D1631" s="45">
        <v>26</v>
      </c>
      <c r="E1631" s="45">
        <v>0.9</v>
      </c>
      <c r="F1631" s="45">
        <f t="shared" si="394"/>
        <v>23.400000000000002</v>
      </c>
      <c r="G1631" s="46">
        <f t="shared" si="395"/>
        <v>0</v>
      </c>
      <c r="H1631" s="47">
        <f t="shared" si="396"/>
        <v>0</v>
      </c>
      <c r="I1631" s="46">
        <f t="shared" si="397"/>
        <v>0</v>
      </c>
      <c r="J1631" s="47">
        <v>0</v>
      </c>
      <c r="K1631" s="46">
        <f t="shared" si="398"/>
        <v>0</v>
      </c>
      <c r="L1631" s="47">
        <v>0</v>
      </c>
      <c r="AX1631" s="73"/>
      <c r="AY1631" s="74"/>
      <c r="AZ1631" s="75"/>
      <c r="BC1631" s="61"/>
    </row>
    <row r="1632" spans="1:55" s="48" customFormat="1" ht="15.45" customHeight="1" outlineLevel="1" x14ac:dyDescent="0.25">
      <c r="A1632" s="42">
        <v>8</v>
      </c>
      <c r="B1632" s="43" t="s">
        <v>167</v>
      </c>
      <c r="C1632" s="44" t="s">
        <v>110</v>
      </c>
      <c r="D1632" s="45">
        <v>3.2</v>
      </c>
      <c r="E1632" s="45">
        <v>34.412799999999997</v>
      </c>
      <c r="F1632" s="45">
        <f t="shared" si="394"/>
        <v>110.12096</v>
      </c>
      <c r="G1632" s="46">
        <f t="shared" si="395"/>
        <v>0</v>
      </c>
      <c r="H1632" s="47">
        <f t="shared" si="396"/>
        <v>0</v>
      </c>
      <c r="I1632" s="46">
        <f t="shared" si="397"/>
        <v>0</v>
      </c>
      <c r="J1632" s="47">
        <v>0</v>
      </c>
      <c r="K1632" s="46">
        <f t="shared" si="398"/>
        <v>0</v>
      </c>
      <c r="L1632" s="47">
        <v>0</v>
      </c>
      <c r="AX1632" s="46"/>
      <c r="AY1632" s="47"/>
      <c r="AZ1632" s="70"/>
      <c r="BC1632" s="50"/>
    </row>
    <row r="1633" spans="1:55" s="48" customFormat="1" ht="15.45" customHeight="1" outlineLevel="1" x14ac:dyDescent="0.25">
      <c r="A1633" s="42">
        <v>9</v>
      </c>
      <c r="B1633" s="43" t="s">
        <v>709</v>
      </c>
      <c r="C1633" s="44" t="s">
        <v>110</v>
      </c>
      <c r="D1633" s="45">
        <v>1.44</v>
      </c>
      <c r="E1633" s="45">
        <v>10.788500000000001</v>
      </c>
      <c r="F1633" s="45">
        <f t="shared" si="394"/>
        <v>15.535440000000001</v>
      </c>
      <c r="G1633" s="46">
        <f t="shared" si="395"/>
        <v>0</v>
      </c>
      <c r="H1633" s="47">
        <f t="shared" si="396"/>
        <v>0</v>
      </c>
      <c r="I1633" s="46">
        <f t="shared" si="397"/>
        <v>0</v>
      </c>
      <c r="J1633" s="47">
        <v>0</v>
      </c>
      <c r="K1633" s="46">
        <f t="shared" si="398"/>
        <v>0</v>
      </c>
      <c r="L1633" s="47">
        <v>0</v>
      </c>
      <c r="AX1633" s="46"/>
      <c r="AY1633" s="47"/>
      <c r="AZ1633" s="70"/>
      <c r="BC1633" s="50"/>
    </row>
    <row r="1634" spans="1:55" s="48" customFormat="1" ht="15.45" customHeight="1" outlineLevel="1" x14ac:dyDescent="0.25">
      <c r="A1634" s="42">
        <v>10</v>
      </c>
      <c r="B1634" s="43" t="s">
        <v>1006</v>
      </c>
      <c r="C1634" s="44" t="s">
        <v>98</v>
      </c>
      <c r="D1634" s="45">
        <v>14.4</v>
      </c>
      <c r="E1634" s="45">
        <v>9.8818000000000001</v>
      </c>
      <c r="F1634" s="45">
        <f t="shared" si="394"/>
        <v>142.29792</v>
      </c>
      <c r="G1634" s="46">
        <f t="shared" si="395"/>
        <v>0</v>
      </c>
      <c r="H1634" s="47">
        <f t="shared" si="396"/>
        <v>0</v>
      </c>
      <c r="I1634" s="46">
        <f t="shared" si="397"/>
        <v>0</v>
      </c>
      <c r="J1634" s="47">
        <v>0</v>
      </c>
      <c r="K1634" s="46">
        <f t="shared" si="398"/>
        <v>0</v>
      </c>
      <c r="L1634" s="47">
        <v>0</v>
      </c>
      <c r="AX1634" s="46"/>
      <c r="AY1634" s="47"/>
      <c r="AZ1634" s="70"/>
      <c r="BC1634" s="50"/>
    </row>
    <row r="1635" spans="1:55" s="59" customFormat="1" ht="17.7" customHeight="1" outlineLevel="1" x14ac:dyDescent="0.35">
      <c r="A1635" s="42">
        <v>11</v>
      </c>
      <c r="B1635" s="43" t="s">
        <v>117</v>
      </c>
      <c r="C1635" s="44" t="s">
        <v>98</v>
      </c>
      <c r="D1635" s="45">
        <v>14.4</v>
      </c>
      <c r="E1635" s="45">
        <v>5.4732580000000004</v>
      </c>
      <c r="F1635" s="45">
        <f t="shared" si="394"/>
        <v>78.814915200000002</v>
      </c>
      <c r="G1635" s="46">
        <f t="shared" si="395"/>
        <v>0</v>
      </c>
      <c r="H1635" s="47">
        <f t="shared" si="396"/>
        <v>0</v>
      </c>
      <c r="I1635" s="46">
        <f t="shared" si="397"/>
        <v>0</v>
      </c>
      <c r="J1635" s="47">
        <v>0</v>
      </c>
      <c r="K1635" s="46">
        <f t="shared" si="398"/>
        <v>0</v>
      </c>
      <c r="L1635" s="47">
        <v>0</v>
      </c>
      <c r="AX1635" s="73">
        <v>1</v>
      </c>
      <c r="AY1635" s="74">
        <v>5766733.6402624408</v>
      </c>
      <c r="AZ1635" s="75">
        <f>H1635-J1635</f>
        <v>0</v>
      </c>
      <c r="BC1635" s="61"/>
    </row>
    <row r="1636" spans="1:55" s="48" customFormat="1" ht="15.45" customHeight="1" outlineLevel="1" x14ac:dyDescent="0.25">
      <c r="A1636" s="42">
        <v>12</v>
      </c>
      <c r="B1636" s="43" t="s">
        <v>840</v>
      </c>
      <c r="C1636" s="44" t="s">
        <v>98</v>
      </c>
      <c r="D1636" s="45">
        <v>14.4</v>
      </c>
      <c r="E1636" s="45">
        <v>1.5362</v>
      </c>
      <c r="F1636" s="45">
        <f t="shared" si="394"/>
        <v>22.121280000000002</v>
      </c>
      <c r="G1636" s="46">
        <f t="shared" si="395"/>
        <v>0</v>
      </c>
      <c r="H1636" s="47">
        <f t="shared" si="396"/>
        <v>0</v>
      </c>
      <c r="I1636" s="46">
        <f t="shared" si="397"/>
        <v>0</v>
      </c>
      <c r="J1636" s="47">
        <v>0</v>
      </c>
      <c r="K1636" s="46">
        <f t="shared" si="398"/>
        <v>0</v>
      </c>
      <c r="L1636" s="47">
        <v>0</v>
      </c>
      <c r="AX1636" s="46">
        <v>1</v>
      </c>
      <c r="AY1636" s="47">
        <v>5766733.6402624408</v>
      </c>
      <c r="AZ1636" s="70">
        <f>H1636-J1636</f>
        <v>0</v>
      </c>
      <c r="BC1636" s="50"/>
    </row>
    <row r="1637" spans="1:55" s="48" customFormat="1" ht="27.75" customHeight="1" outlineLevel="1" x14ac:dyDescent="0.25">
      <c r="A1637" s="42">
        <v>13</v>
      </c>
      <c r="B1637" s="43" t="s">
        <v>1007</v>
      </c>
      <c r="C1637" s="44" t="s">
        <v>110</v>
      </c>
      <c r="D1637" s="45">
        <v>14.49</v>
      </c>
      <c r="E1637" s="45">
        <v>212.52520000000001</v>
      </c>
      <c r="F1637" s="45">
        <f t="shared" si="394"/>
        <v>3079.4901480000003</v>
      </c>
      <c r="G1637" s="46">
        <f t="shared" si="395"/>
        <v>0</v>
      </c>
      <c r="H1637" s="47">
        <f t="shared" si="396"/>
        <v>0</v>
      </c>
      <c r="I1637" s="46">
        <f t="shared" si="397"/>
        <v>0</v>
      </c>
      <c r="J1637" s="47">
        <v>0</v>
      </c>
      <c r="K1637" s="46">
        <f t="shared" si="398"/>
        <v>0</v>
      </c>
      <c r="L1637" s="47">
        <v>0</v>
      </c>
      <c r="AX1637" s="46">
        <v>1</v>
      </c>
      <c r="AY1637" s="47">
        <v>5766733.6402624408</v>
      </c>
      <c r="AZ1637" s="70">
        <f>H1637-J1637</f>
        <v>0</v>
      </c>
      <c r="BC1637" s="50"/>
    </row>
    <row r="1638" spans="1:55" s="48" customFormat="1" ht="15.45" customHeight="1" outlineLevel="1" x14ac:dyDescent="0.25">
      <c r="A1638" s="42">
        <v>14</v>
      </c>
      <c r="B1638" s="43" t="s">
        <v>42</v>
      </c>
      <c r="C1638" s="44" t="s">
        <v>28</v>
      </c>
      <c r="D1638" s="45">
        <v>3.3000000000000002E-2</v>
      </c>
      <c r="E1638" s="45">
        <v>1325.1</v>
      </c>
      <c r="F1638" s="45">
        <f t="shared" si="394"/>
        <v>43.728299999999997</v>
      </c>
      <c r="G1638" s="46">
        <f t="shared" si="395"/>
        <v>0</v>
      </c>
      <c r="H1638" s="47">
        <f t="shared" si="396"/>
        <v>0</v>
      </c>
      <c r="I1638" s="46">
        <f t="shared" si="397"/>
        <v>0</v>
      </c>
      <c r="J1638" s="47">
        <v>0</v>
      </c>
      <c r="K1638" s="46">
        <f t="shared" si="398"/>
        <v>0</v>
      </c>
      <c r="L1638" s="47">
        <v>0</v>
      </c>
      <c r="AX1638" s="46">
        <v>0</v>
      </c>
      <c r="AY1638" s="47">
        <v>0</v>
      </c>
      <c r="AZ1638" s="70">
        <f>H1638-J1638</f>
        <v>0</v>
      </c>
      <c r="BC1638" s="50"/>
    </row>
    <row r="1639" spans="1:55" s="48" customFormat="1" ht="15.45" customHeight="1" outlineLevel="1" x14ac:dyDescent="0.25">
      <c r="A1639" s="42">
        <v>15</v>
      </c>
      <c r="B1639" s="43" t="s">
        <v>43</v>
      </c>
      <c r="C1639" s="44" t="s">
        <v>28</v>
      </c>
      <c r="D1639" s="45">
        <v>1.64</v>
      </c>
      <c r="E1639" s="45">
        <v>1200.0999999999999</v>
      </c>
      <c r="F1639" s="45">
        <f t="shared" si="394"/>
        <v>1968.1639999999998</v>
      </c>
      <c r="G1639" s="46">
        <f t="shared" si="395"/>
        <v>0</v>
      </c>
      <c r="H1639" s="47">
        <f t="shared" si="396"/>
        <v>0</v>
      </c>
      <c r="I1639" s="46">
        <f t="shared" si="397"/>
        <v>0</v>
      </c>
      <c r="J1639" s="47">
        <v>0</v>
      </c>
      <c r="K1639" s="46">
        <f t="shared" si="398"/>
        <v>0</v>
      </c>
      <c r="L1639" s="47">
        <v>0</v>
      </c>
      <c r="AX1639" s="46">
        <v>0</v>
      </c>
      <c r="AY1639" s="47">
        <v>1038012.055247239</v>
      </c>
      <c r="AZ1639" s="70">
        <f>H1639-J1639</f>
        <v>0</v>
      </c>
      <c r="BC1639" s="50"/>
    </row>
    <row r="1640" spans="1:55" s="48" customFormat="1" ht="15.45" customHeight="1" outlineLevel="1" x14ac:dyDescent="0.25">
      <c r="A1640" s="42">
        <v>16</v>
      </c>
      <c r="B1640" s="43" t="s">
        <v>1008</v>
      </c>
      <c r="C1640" s="44" t="s">
        <v>98</v>
      </c>
      <c r="D1640" s="45">
        <v>9</v>
      </c>
      <c r="E1640" s="45">
        <v>5.4732580000000004</v>
      </c>
      <c r="F1640" s="45">
        <f t="shared" si="394"/>
        <v>49.259322000000004</v>
      </c>
      <c r="G1640" s="46">
        <f t="shared" si="395"/>
        <v>0</v>
      </c>
      <c r="H1640" s="47">
        <f t="shared" si="396"/>
        <v>0</v>
      </c>
      <c r="I1640" s="46">
        <f t="shared" si="397"/>
        <v>0</v>
      </c>
      <c r="J1640" s="47">
        <v>0</v>
      </c>
      <c r="K1640" s="46">
        <f t="shared" si="398"/>
        <v>0</v>
      </c>
      <c r="L1640" s="47">
        <v>0</v>
      </c>
      <c r="AX1640" s="46"/>
      <c r="AY1640" s="47"/>
      <c r="AZ1640" s="70"/>
      <c r="BC1640" s="50"/>
    </row>
    <row r="1641" spans="1:55" s="48" customFormat="1" ht="15.45" customHeight="1" outlineLevel="1" x14ac:dyDescent="0.25">
      <c r="A1641" s="42">
        <v>17</v>
      </c>
      <c r="B1641" s="43" t="s">
        <v>1009</v>
      </c>
      <c r="C1641" s="44" t="s">
        <v>98</v>
      </c>
      <c r="D1641" s="45">
        <v>14.4</v>
      </c>
      <c r="E1641" s="45">
        <v>1.514</v>
      </c>
      <c r="F1641" s="45">
        <f t="shared" si="394"/>
        <v>21.801600000000001</v>
      </c>
      <c r="G1641" s="46">
        <f t="shared" si="395"/>
        <v>0</v>
      </c>
      <c r="H1641" s="47">
        <f t="shared" si="396"/>
        <v>0</v>
      </c>
      <c r="I1641" s="46">
        <f t="shared" si="397"/>
        <v>0</v>
      </c>
      <c r="J1641" s="47">
        <v>0</v>
      </c>
      <c r="K1641" s="46">
        <f t="shared" si="398"/>
        <v>0</v>
      </c>
      <c r="L1641" s="47">
        <v>0</v>
      </c>
      <c r="AX1641" s="46"/>
      <c r="AY1641" s="47"/>
      <c r="AZ1641" s="70"/>
      <c r="BC1641" s="50"/>
    </row>
    <row r="1642" spans="1:55" s="48" customFormat="1" ht="27.75" customHeight="1" outlineLevel="1" x14ac:dyDescent="0.25">
      <c r="A1642" s="42">
        <v>18</v>
      </c>
      <c r="B1642" s="43" t="s">
        <v>158</v>
      </c>
      <c r="C1642" s="44" t="s">
        <v>98</v>
      </c>
      <c r="D1642" s="45">
        <v>52.9</v>
      </c>
      <c r="E1642" s="45">
        <v>10.504</v>
      </c>
      <c r="F1642" s="45">
        <f t="shared" si="394"/>
        <v>555.66159999999991</v>
      </c>
      <c r="G1642" s="46">
        <f t="shared" si="395"/>
        <v>0</v>
      </c>
      <c r="H1642" s="47">
        <f t="shared" si="396"/>
        <v>0</v>
      </c>
      <c r="I1642" s="46">
        <f t="shared" si="397"/>
        <v>0</v>
      </c>
      <c r="J1642" s="47">
        <v>0</v>
      </c>
      <c r="K1642" s="46">
        <f t="shared" si="398"/>
        <v>0</v>
      </c>
      <c r="L1642" s="47">
        <v>0</v>
      </c>
      <c r="AX1642" s="46"/>
      <c r="AY1642" s="47"/>
      <c r="AZ1642" s="70"/>
      <c r="BC1642" s="50"/>
    </row>
    <row r="1643" spans="1:55" s="48" customFormat="1" ht="27.75" customHeight="1" outlineLevel="1" x14ac:dyDescent="0.25">
      <c r="A1643" s="42">
        <v>19</v>
      </c>
      <c r="B1643" s="43" t="s">
        <v>1010</v>
      </c>
      <c r="C1643" s="44" t="s">
        <v>110</v>
      </c>
      <c r="D1643" s="45">
        <v>1.06</v>
      </c>
      <c r="E1643" s="45">
        <v>134.13820000000001</v>
      </c>
      <c r="F1643" s="45">
        <f t="shared" si="394"/>
        <v>142.18649200000002</v>
      </c>
      <c r="G1643" s="46">
        <f t="shared" si="395"/>
        <v>0</v>
      </c>
      <c r="H1643" s="47">
        <f t="shared" si="396"/>
        <v>0</v>
      </c>
      <c r="I1643" s="46">
        <f t="shared" si="397"/>
        <v>0</v>
      </c>
      <c r="J1643" s="47">
        <v>0</v>
      </c>
      <c r="K1643" s="46">
        <f t="shared" si="398"/>
        <v>0</v>
      </c>
      <c r="L1643" s="47">
        <v>0</v>
      </c>
      <c r="AX1643" s="46"/>
      <c r="AY1643" s="47"/>
      <c r="AZ1643" s="70"/>
      <c r="BC1643" s="50"/>
    </row>
    <row r="1644" spans="1:55" s="48" customFormat="1" ht="15.45" customHeight="1" outlineLevel="1" x14ac:dyDescent="0.25">
      <c r="A1644" s="42">
        <v>20</v>
      </c>
      <c r="B1644" s="43" t="s">
        <v>78</v>
      </c>
      <c r="C1644" s="44" t="s">
        <v>110</v>
      </c>
      <c r="D1644" s="45">
        <v>1.06</v>
      </c>
      <c r="E1644" s="45">
        <v>66.499999999999986</v>
      </c>
      <c r="F1644" s="45">
        <f t="shared" si="394"/>
        <v>70.489999999999995</v>
      </c>
      <c r="G1644" s="46">
        <f t="shared" si="395"/>
        <v>0</v>
      </c>
      <c r="H1644" s="47">
        <f t="shared" si="396"/>
        <v>0</v>
      </c>
      <c r="I1644" s="46">
        <f t="shared" si="397"/>
        <v>0</v>
      </c>
      <c r="J1644" s="47">
        <v>0</v>
      </c>
      <c r="K1644" s="46">
        <f t="shared" si="398"/>
        <v>0</v>
      </c>
      <c r="L1644" s="47">
        <v>0</v>
      </c>
      <c r="AX1644" s="46"/>
      <c r="AY1644" s="47"/>
      <c r="AZ1644" s="70"/>
      <c r="BC1644" s="50"/>
    </row>
    <row r="1645" spans="1:55" s="48" customFormat="1" ht="27.75" customHeight="1" outlineLevel="1" x14ac:dyDescent="0.25">
      <c r="A1645" s="42">
        <v>21</v>
      </c>
      <c r="B1645" s="43" t="s">
        <v>827</v>
      </c>
      <c r="C1645" s="44" t="s">
        <v>98</v>
      </c>
      <c r="D1645" s="45">
        <v>52.9</v>
      </c>
      <c r="E1645" s="45">
        <v>11.8912</v>
      </c>
      <c r="F1645" s="45">
        <f t="shared" si="394"/>
        <v>629.04447999999991</v>
      </c>
      <c r="G1645" s="46">
        <f t="shared" si="395"/>
        <v>0</v>
      </c>
      <c r="H1645" s="47">
        <f t="shared" si="396"/>
        <v>0</v>
      </c>
      <c r="I1645" s="46">
        <f t="shared" si="397"/>
        <v>0</v>
      </c>
      <c r="J1645" s="47">
        <v>0</v>
      </c>
      <c r="K1645" s="46">
        <f t="shared" si="398"/>
        <v>0</v>
      </c>
      <c r="L1645" s="47">
        <v>0</v>
      </c>
      <c r="AX1645" s="46">
        <v>1</v>
      </c>
      <c r="AY1645" s="47">
        <v>5766733.6402624408</v>
      </c>
      <c r="AZ1645" s="70">
        <f>H1645-J1645</f>
        <v>0</v>
      </c>
      <c r="BC1645" s="50"/>
    </row>
    <row r="1646" spans="1:55" s="48" customFormat="1" ht="27.75" customHeight="1" outlineLevel="1" x14ac:dyDescent="0.25">
      <c r="A1646" s="42">
        <v>22</v>
      </c>
      <c r="B1646" s="43" t="s">
        <v>718</v>
      </c>
      <c r="C1646" s="44" t="s">
        <v>110</v>
      </c>
      <c r="D1646" s="45">
        <v>1.58</v>
      </c>
      <c r="E1646" s="45">
        <v>280</v>
      </c>
      <c r="F1646" s="45">
        <f t="shared" si="394"/>
        <v>442.40000000000003</v>
      </c>
      <c r="G1646" s="46">
        <f t="shared" si="395"/>
        <v>0</v>
      </c>
      <c r="H1646" s="47">
        <f t="shared" si="396"/>
        <v>0</v>
      </c>
      <c r="I1646" s="46">
        <f t="shared" si="397"/>
        <v>0</v>
      </c>
      <c r="J1646" s="47">
        <v>0</v>
      </c>
      <c r="K1646" s="46">
        <f t="shared" si="398"/>
        <v>0</v>
      </c>
      <c r="L1646" s="47">
        <v>0</v>
      </c>
      <c r="AX1646" s="46">
        <v>1</v>
      </c>
      <c r="AY1646" s="47">
        <v>5766733.6402624408</v>
      </c>
      <c r="AZ1646" s="70">
        <f>H1646-J1646</f>
        <v>0</v>
      </c>
      <c r="BC1646" s="50"/>
    </row>
    <row r="1647" spans="1:55" s="48" customFormat="1" ht="15.45" customHeight="1" outlineLevel="1" x14ac:dyDescent="0.25">
      <c r="A1647" s="42">
        <v>23</v>
      </c>
      <c r="B1647" s="43" t="s">
        <v>42</v>
      </c>
      <c r="C1647" s="44" t="s">
        <v>28</v>
      </c>
      <c r="D1647" s="45">
        <v>1.0999999999999999E-2</v>
      </c>
      <c r="E1647" s="45">
        <v>1325.1</v>
      </c>
      <c r="F1647" s="45">
        <f t="shared" si="394"/>
        <v>14.576099999999999</v>
      </c>
      <c r="G1647" s="46">
        <f t="shared" si="395"/>
        <v>0</v>
      </c>
      <c r="H1647" s="47">
        <f t="shared" si="396"/>
        <v>0</v>
      </c>
      <c r="I1647" s="46">
        <f t="shared" si="397"/>
        <v>0</v>
      </c>
      <c r="J1647" s="47">
        <v>0</v>
      </c>
      <c r="K1647" s="46">
        <f t="shared" si="398"/>
        <v>0</v>
      </c>
      <c r="L1647" s="47">
        <v>0</v>
      </c>
      <c r="AX1647" s="46">
        <v>1</v>
      </c>
      <c r="AY1647" s="47">
        <v>5766733.6402624408</v>
      </c>
      <c r="AZ1647" s="70">
        <f>H1647-J1647</f>
        <v>0</v>
      </c>
      <c r="BC1647" s="50"/>
    </row>
    <row r="1648" spans="1:55" s="48" customFormat="1" ht="15.45" customHeight="1" outlineLevel="1" x14ac:dyDescent="0.25">
      <c r="A1648" s="42">
        <v>24</v>
      </c>
      <c r="B1648" s="43" t="s">
        <v>43</v>
      </c>
      <c r="C1648" s="44" t="s">
        <v>28</v>
      </c>
      <c r="D1648" s="45">
        <v>0.19700000000000001</v>
      </c>
      <c r="E1648" s="45">
        <v>1200.0999999999999</v>
      </c>
      <c r="F1648" s="45">
        <f t="shared" si="394"/>
        <v>236.41970000000001</v>
      </c>
      <c r="G1648" s="46">
        <f t="shared" si="395"/>
        <v>0</v>
      </c>
      <c r="H1648" s="47">
        <f t="shared" si="396"/>
        <v>0</v>
      </c>
      <c r="I1648" s="46">
        <f t="shared" si="397"/>
        <v>0</v>
      </c>
      <c r="J1648" s="47">
        <v>0</v>
      </c>
      <c r="K1648" s="46">
        <f t="shared" si="398"/>
        <v>0</v>
      </c>
      <c r="L1648" s="47">
        <v>0</v>
      </c>
      <c r="AX1648" s="46">
        <v>0</v>
      </c>
      <c r="AY1648" s="47">
        <v>0</v>
      </c>
      <c r="AZ1648" s="70">
        <f>H1648-J1648</f>
        <v>0</v>
      </c>
      <c r="BC1648" s="50"/>
    </row>
    <row r="1649" spans="1:55" s="48" customFormat="1" ht="27.75" customHeight="1" outlineLevel="1" x14ac:dyDescent="0.25">
      <c r="A1649" s="42">
        <v>25</v>
      </c>
      <c r="B1649" s="43" t="s">
        <v>1025</v>
      </c>
      <c r="C1649" s="44" t="s">
        <v>93</v>
      </c>
      <c r="D1649" s="45">
        <v>3</v>
      </c>
      <c r="E1649" s="45">
        <v>29.4862</v>
      </c>
      <c r="F1649" s="45">
        <f t="shared" si="394"/>
        <v>88.458600000000004</v>
      </c>
      <c r="G1649" s="46">
        <f t="shared" si="395"/>
        <v>0</v>
      </c>
      <c r="H1649" s="47">
        <f t="shared" si="396"/>
        <v>0</v>
      </c>
      <c r="I1649" s="46">
        <f t="shared" si="397"/>
        <v>0</v>
      </c>
      <c r="J1649" s="47">
        <v>0</v>
      </c>
      <c r="K1649" s="46">
        <f t="shared" si="398"/>
        <v>0</v>
      </c>
      <c r="L1649" s="47">
        <v>0</v>
      </c>
      <c r="AX1649" s="46">
        <v>0</v>
      </c>
      <c r="AY1649" s="47">
        <v>1038012.055247239</v>
      </c>
      <c r="AZ1649" s="70">
        <f>H1649-J1649</f>
        <v>0</v>
      </c>
      <c r="BC1649" s="50"/>
    </row>
    <row r="1650" spans="1:55" s="48" customFormat="1" ht="27.75" customHeight="1" outlineLevel="1" x14ac:dyDescent="0.25">
      <c r="A1650" s="42">
        <v>26</v>
      </c>
      <c r="B1650" s="43" t="s">
        <v>1026</v>
      </c>
      <c r="C1650" s="44" t="s">
        <v>93</v>
      </c>
      <c r="D1650" s="45">
        <v>1</v>
      </c>
      <c r="E1650" s="45">
        <v>53.231800000000007</v>
      </c>
      <c r="F1650" s="45">
        <f t="shared" si="394"/>
        <v>53.231800000000007</v>
      </c>
      <c r="G1650" s="46">
        <f t="shared" si="395"/>
        <v>0</v>
      </c>
      <c r="H1650" s="47">
        <f t="shared" si="396"/>
        <v>0</v>
      </c>
      <c r="I1650" s="46">
        <f t="shared" si="397"/>
        <v>0</v>
      </c>
      <c r="J1650" s="47">
        <v>0</v>
      </c>
      <c r="K1650" s="46">
        <f t="shared" si="398"/>
        <v>0</v>
      </c>
      <c r="L1650" s="47">
        <v>0</v>
      </c>
      <c r="AX1650" s="46"/>
      <c r="AY1650" s="47"/>
      <c r="AZ1650" s="70"/>
      <c r="BC1650" s="50"/>
    </row>
    <row r="1651" spans="1:55" s="48" customFormat="1" ht="15.45" customHeight="1" outlineLevel="1" x14ac:dyDescent="0.25">
      <c r="A1651" s="42">
        <v>27</v>
      </c>
      <c r="B1651" s="43" t="s">
        <v>1012</v>
      </c>
      <c r="C1651" s="44" t="s">
        <v>93</v>
      </c>
      <c r="D1651" s="45">
        <v>1</v>
      </c>
      <c r="E1651" s="45">
        <v>136.59639999999999</v>
      </c>
      <c r="F1651" s="45">
        <f t="shared" si="394"/>
        <v>136.59639999999999</v>
      </c>
      <c r="G1651" s="46">
        <f t="shared" si="395"/>
        <v>0</v>
      </c>
      <c r="H1651" s="47">
        <f t="shared" si="396"/>
        <v>0</v>
      </c>
      <c r="I1651" s="46">
        <f t="shared" si="397"/>
        <v>0</v>
      </c>
      <c r="J1651" s="47">
        <v>0</v>
      </c>
      <c r="K1651" s="46">
        <f t="shared" si="398"/>
        <v>0</v>
      </c>
      <c r="L1651" s="47">
        <v>0</v>
      </c>
      <c r="AX1651" s="46"/>
      <c r="AY1651" s="47"/>
      <c r="AZ1651" s="70"/>
      <c r="BC1651" s="50"/>
    </row>
    <row r="1652" spans="1:55" s="48" customFormat="1" ht="15.45" customHeight="1" outlineLevel="1" x14ac:dyDescent="0.25">
      <c r="A1652" s="42">
        <v>28</v>
      </c>
      <c r="B1652" s="43" t="s">
        <v>90</v>
      </c>
      <c r="C1652" s="44" t="s">
        <v>28</v>
      </c>
      <c r="D1652" s="45">
        <v>4.1000000000000002E-2</v>
      </c>
      <c r="E1652" s="45">
        <v>3264.1</v>
      </c>
      <c r="F1652" s="45">
        <f t="shared" si="394"/>
        <v>133.82810000000001</v>
      </c>
      <c r="G1652" s="46">
        <f t="shared" si="395"/>
        <v>0</v>
      </c>
      <c r="H1652" s="47">
        <f t="shared" si="396"/>
        <v>0</v>
      </c>
      <c r="I1652" s="46">
        <f t="shared" si="397"/>
        <v>0</v>
      </c>
      <c r="J1652" s="47">
        <v>0</v>
      </c>
      <c r="K1652" s="46">
        <f t="shared" si="398"/>
        <v>0</v>
      </c>
      <c r="L1652" s="47">
        <v>0</v>
      </c>
      <c r="AX1652" s="46"/>
      <c r="AY1652" s="47"/>
      <c r="AZ1652" s="70"/>
      <c r="BC1652" s="50"/>
    </row>
    <row r="1653" spans="1:55" s="48" customFormat="1" ht="33.75" customHeight="1" outlineLevel="1" x14ac:dyDescent="0.25">
      <c r="A1653" s="42">
        <v>29</v>
      </c>
      <c r="B1653" s="43" t="s">
        <v>736</v>
      </c>
      <c r="C1653" s="44" t="s">
        <v>98</v>
      </c>
      <c r="D1653" s="45">
        <v>2.6</v>
      </c>
      <c r="E1653" s="45">
        <v>2.9254000000000011</v>
      </c>
      <c r="F1653" s="45">
        <f t="shared" si="394"/>
        <v>7.6060400000000028</v>
      </c>
      <c r="G1653" s="46">
        <f t="shared" si="395"/>
        <v>0</v>
      </c>
      <c r="H1653" s="47">
        <f t="shared" si="396"/>
        <v>0</v>
      </c>
      <c r="I1653" s="46">
        <f t="shared" si="397"/>
        <v>0</v>
      </c>
      <c r="J1653" s="47">
        <v>0</v>
      </c>
      <c r="K1653" s="46">
        <f t="shared" si="398"/>
        <v>0</v>
      </c>
      <c r="L1653" s="47">
        <v>0</v>
      </c>
      <c r="AX1653" s="46"/>
      <c r="AY1653" s="47"/>
      <c r="AZ1653" s="70"/>
      <c r="BC1653" s="50"/>
    </row>
    <row r="1654" spans="1:55" s="48" customFormat="1" ht="27.75" customHeight="1" outlineLevel="1" x14ac:dyDescent="0.25">
      <c r="A1654" s="42">
        <v>30</v>
      </c>
      <c r="B1654" s="43" t="s">
        <v>909</v>
      </c>
      <c r="C1654" s="44" t="s">
        <v>61</v>
      </c>
      <c r="D1654" s="45">
        <v>1.8</v>
      </c>
      <c r="E1654" s="45">
        <v>12.0646</v>
      </c>
      <c r="F1654" s="45">
        <f t="shared" si="394"/>
        <v>21.716280000000001</v>
      </c>
      <c r="G1654" s="46">
        <f t="shared" si="395"/>
        <v>0</v>
      </c>
      <c r="H1654" s="47">
        <f t="shared" si="396"/>
        <v>0</v>
      </c>
      <c r="I1654" s="46">
        <f t="shared" si="397"/>
        <v>0</v>
      </c>
      <c r="J1654" s="47">
        <v>0</v>
      </c>
      <c r="K1654" s="46">
        <f t="shared" si="398"/>
        <v>0</v>
      </c>
      <c r="L1654" s="47">
        <v>0</v>
      </c>
      <c r="AX1654" s="46"/>
      <c r="AY1654" s="47"/>
      <c r="AZ1654" s="70"/>
      <c r="BC1654" s="50"/>
    </row>
    <row r="1655" spans="1:55" s="48" customFormat="1" ht="15.45" customHeight="1" outlineLevel="1" x14ac:dyDescent="0.25">
      <c r="A1655" s="42">
        <v>31</v>
      </c>
      <c r="B1655" s="43" t="s">
        <v>75</v>
      </c>
      <c r="C1655" s="44" t="s">
        <v>98</v>
      </c>
      <c r="D1655" s="45">
        <v>12.8</v>
      </c>
      <c r="E1655" s="45">
        <v>3.7719999999999998</v>
      </c>
      <c r="F1655" s="45">
        <f t="shared" si="394"/>
        <v>48.281599999999997</v>
      </c>
      <c r="G1655" s="46">
        <f t="shared" si="395"/>
        <v>0</v>
      </c>
      <c r="H1655" s="47">
        <f t="shared" si="396"/>
        <v>0</v>
      </c>
      <c r="I1655" s="46">
        <f t="shared" si="397"/>
        <v>0</v>
      </c>
      <c r="J1655" s="47">
        <v>0</v>
      </c>
      <c r="K1655" s="46">
        <f t="shared" si="398"/>
        <v>0</v>
      </c>
      <c r="L1655" s="47">
        <v>0</v>
      </c>
      <c r="AX1655" s="46"/>
      <c r="AY1655" s="47"/>
      <c r="AZ1655" s="70"/>
      <c r="BC1655" s="50"/>
    </row>
    <row r="1656" spans="1:55" s="48" customFormat="1" ht="15.45" customHeight="1" outlineLevel="1" x14ac:dyDescent="0.25">
      <c r="A1656" s="42">
        <v>32</v>
      </c>
      <c r="B1656" s="43" t="s">
        <v>1013</v>
      </c>
      <c r="C1656" s="44" t="s">
        <v>98</v>
      </c>
      <c r="D1656" s="45">
        <v>12.8</v>
      </c>
      <c r="E1656" s="45">
        <v>0.95300000000000007</v>
      </c>
      <c r="F1656" s="45">
        <f t="shared" si="394"/>
        <v>12.198400000000001</v>
      </c>
      <c r="G1656" s="46">
        <f t="shared" si="395"/>
        <v>0</v>
      </c>
      <c r="H1656" s="47">
        <f t="shared" si="396"/>
        <v>0</v>
      </c>
      <c r="I1656" s="46">
        <f t="shared" si="397"/>
        <v>0</v>
      </c>
      <c r="J1656" s="47">
        <v>0</v>
      </c>
      <c r="K1656" s="46">
        <f t="shared" si="398"/>
        <v>0</v>
      </c>
      <c r="L1656" s="47">
        <v>0</v>
      </c>
      <c r="AX1656" s="46"/>
      <c r="AY1656" s="47"/>
      <c r="AZ1656" s="70"/>
      <c r="BC1656" s="50"/>
    </row>
    <row r="1657" spans="1:55" s="48" customFormat="1" ht="15.45" customHeight="1" outlineLevel="1" x14ac:dyDescent="0.25">
      <c r="A1657" s="42">
        <v>33</v>
      </c>
      <c r="B1657" s="43" t="s">
        <v>1014</v>
      </c>
      <c r="C1657" s="44" t="s">
        <v>98</v>
      </c>
      <c r="D1657" s="45">
        <v>12.8</v>
      </c>
      <c r="E1657" s="45">
        <v>6.5463999999999993</v>
      </c>
      <c r="F1657" s="45">
        <f t="shared" si="394"/>
        <v>83.79392</v>
      </c>
      <c r="G1657" s="46">
        <f t="shared" si="395"/>
        <v>0</v>
      </c>
      <c r="H1657" s="47">
        <f t="shared" si="396"/>
        <v>0</v>
      </c>
      <c r="I1657" s="46">
        <f t="shared" si="397"/>
        <v>0</v>
      </c>
      <c r="J1657" s="47">
        <v>0</v>
      </c>
      <c r="K1657" s="46">
        <f t="shared" si="398"/>
        <v>0</v>
      </c>
      <c r="L1657" s="47">
        <v>0</v>
      </c>
      <c r="AX1657" s="46">
        <v>0</v>
      </c>
      <c r="AY1657" s="47">
        <v>0</v>
      </c>
      <c r="AZ1657" s="70">
        <f>H1657-J1657</f>
        <v>0</v>
      </c>
      <c r="BC1657" s="50"/>
    </row>
    <row r="1658" spans="1:55" s="48" customFormat="1" ht="15.45" customHeight="1" outlineLevel="1" x14ac:dyDescent="0.25">
      <c r="A1658" s="42">
        <v>34</v>
      </c>
      <c r="B1658" s="43" t="s">
        <v>75</v>
      </c>
      <c r="C1658" s="44" t="s">
        <v>98</v>
      </c>
      <c r="D1658" s="45">
        <v>12.8</v>
      </c>
      <c r="E1658" s="45">
        <v>3.7719999999999998</v>
      </c>
      <c r="F1658" s="45">
        <f t="shared" si="394"/>
        <v>48.281599999999997</v>
      </c>
      <c r="G1658" s="46">
        <f t="shared" si="395"/>
        <v>0</v>
      </c>
      <c r="H1658" s="47">
        <f t="shared" si="396"/>
        <v>0</v>
      </c>
      <c r="I1658" s="46">
        <f t="shared" si="397"/>
        <v>0</v>
      </c>
      <c r="J1658" s="47">
        <v>0</v>
      </c>
      <c r="K1658" s="46">
        <f t="shared" si="398"/>
        <v>0</v>
      </c>
      <c r="L1658" s="47">
        <v>0</v>
      </c>
      <c r="AX1658" s="46">
        <v>0</v>
      </c>
      <c r="AY1658" s="47">
        <v>0</v>
      </c>
      <c r="AZ1658" s="70">
        <f>H1658-J1658</f>
        <v>0</v>
      </c>
      <c r="BC1658" s="50"/>
    </row>
    <row r="1659" spans="1:55" s="48" customFormat="1" ht="15.45" customHeight="1" outlineLevel="1" x14ac:dyDescent="0.25">
      <c r="A1659" s="42">
        <v>35</v>
      </c>
      <c r="B1659" s="43" t="s">
        <v>1015</v>
      </c>
      <c r="C1659" s="44" t="s">
        <v>98</v>
      </c>
      <c r="D1659" s="45">
        <v>12.8</v>
      </c>
      <c r="E1659" s="45">
        <v>0.95300000000000007</v>
      </c>
      <c r="F1659" s="45">
        <f t="shared" si="394"/>
        <v>12.198400000000001</v>
      </c>
      <c r="G1659" s="46">
        <f t="shared" si="395"/>
        <v>0</v>
      </c>
      <c r="H1659" s="47">
        <f t="shared" si="396"/>
        <v>0</v>
      </c>
      <c r="I1659" s="46">
        <f t="shared" si="397"/>
        <v>0</v>
      </c>
      <c r="J1659" s="47">
        <v>0</v>
      </c>
      <c r="K1659" s="46">
        <f t="shared" si="398"/>
        <v>0</v>
      </c>
      <c r="L1659" s="47">
        <v>0</v>
      </c>
      <c r="AX1659" s="46"/>
      <c r="AY1659" s="47"/>
      <c r="AZ1659" s="70"/>
      <c r="BC1659" s="50"/>
    </row>
    <row r="1660" spans="1:55" s="48" customFormat="1" ht="15.45" customHeight="1" outlineLevel="1" x14ac:dyDescent="0.25">
      <c r="A1660" s="42">
        <v>36</v>
      </c>
      <c r="B1660" s="43" t="s">
        <v>1016</v>
      </c>
      <c r="C1660" s="44" t="s">
        <v>110</v>
      </c>
      <c r="D1660" s="45">
        <v>27</v>
      </c>
      <c r="E1660" s="45">
        <v>1.9461999999999999</v>
      </c>
      <c r="F1660" s="45">
        <f t="shared" si="394"/>
        <v>52.547399999999996</v>
      </c>
      <c r="G1660" s="46">
        <f t="shared" si="395"/>
        <v>0</v>
      </c>
      <c r="H1660" s="47">
        <f t="shared" si="396"/>
        <v>0</v>
      </c>
      <c r="I1660" s="46">
        <f t="shared" si="397"/>
        <v>0</v>
      </c>
      <c r="J1660" s="47">
        <v>0</v>
      </c>
      <c r="K1660" s="46">
        <f t="shared" si="398"/>
        <v>0</v>
      </c>
      <c r="L1660" s="47">
        <v>0</v>
      </c>
      <c r="AX1660" s="46"/>
      <c r="AY1660" s="47"/>
      <c r="AZ1660" s="70"/>
      <c r="BC1660" s="50"/>
    </row>
    <row r="1661" spans="1:55" s="56" customFormat="1" ht="17.25" customHeight="1" x14ac:dyDescent="0.3">
      <c r="A1661" s="31">
        <v>12.2</v>
      </c>
      <c r="B1661" s="51" t="s">
        <v>1027</v>
      </c>
      <c r="C1661" s="52">
        <v>0</v>
      </c>
      <c r="D1661" s="53"/>
      <c r="E1661" s="53"/>
      <c r="F1661" s="53"/>
      <c r="G1661" s="54"/>
      <c r="H1661" s="55"/>
      <c r="I1661" s="54"/>
      <c r="J1661" s="55"/>
      <c r="K1661" s="54"/>
      <c r="L1661" s="55">
        <v>0</v>
      </c>
      <c r="AX1661" s="69"/>
      <c r="AY1661" s="71"/>
      <c r="AZ1661" s="72"/>
      <c r="BC1661" s="58"/>
    </row>
    <row r="1662" spans="1:55" s="48" customFormat="1" ht="41.7" customHeight="1" outlineLevel="1" x14ac:dyDescent="0.25">
      <c r="A1662" s="42">
        <v>1</v>
      </c>
      <c r="B1662" s="43" t="s">
        <v>1028</v>
      </c>
      <c r="C1662" s="44" t="s">
        <v>61</v>
      </c>
      <c r="D1662" s="45">
        <v>5</v>
      </c>
      <c r="E1662" s="45">
        <v>9.3513999999999999</v>
      </c>
      <c r="F1662" s="45">
        <f t="shared" ref="F1662:F1682" si="399">+E1662*D1662</f>
        <v>46.756999999999998</v>
      </c>
      <c r="G1662" s="46">
        <f t="shared" ref="G1662:G1682" si="400">I1662+K1662</f>
        <v>0</v>
      </c>
      <c r="H1662" s="47">
        <f t="shared" ref="H1662:H1682" si="401">J1662+L1662</f>
        <v>0</v>
      </c>
      <c r="I1662" s="46">
        <f t="shared" ref="I1662:I1682" si="402">J1662/F1662</f>
        <v>0</v>
      </c>
      <c r="J1662" s="47">
        <v>0</v>
      </c>
      <c r="K1662" s="46">
        <f t="shared" ref="K1662:K1682" si="403">L1662/F1662</f>
        <v>0</v>
      </c>
      <c r="L1662" s="47">
        <v>0</v>
      </c>
      <c r="AX1662" s="46"/>
      <c r="AY1662" s="47"/>
      <c r="AZ1662" s="70"/>
      <c r="BC1662" s="50"/>
    </row>
    <row r="1663" spans="1:55" s="48" customFormat="1" ht="27.75" customHeight="1" outlineLevel="1" x14ac:dyDescent="0.25">
      <c r="A1663" s="42">
        <v>2</v>
      </c>
      <c r="B1663" s="43" t="s">
        <v>185</v>
      </c>
      <c r="C1663" s="44" t="s">
        <v>61</v>
      </c>
      <c r="D1663" s="45">
        <v>5</v>
      </c>
      <c r="E1663" s="45">
        <v>8.686399999999999</v>
      </c>
      <c r="F1663" s="45">
        <f t="shared" si="399"/>
        <v>43.431999999999995</v>
      </c>
      <c r="G1663" s="46">
        <f t="shared" si="400"/>
        <v>0</v>
      </c>
      <c r="H1663" s="47">
        <f t="shared" si="401"/>
        <v>0</v>
      </c>
      <c r="I1663" s="46">
        <f t="shared" si="402"/>
        <v>0</v>
      </c>
      <c r="J1663" s="47">
        <v>0</v>
      </c>
      <c r="K1663" s="46">
        <f t="shared" si="403"/>
        <v>0</v>
      </c>
      <c r="L1663" s="47">
        <v>0</v>
      </c>
      <c r="AX1663" s="46"/>
      <c r="AY1663" s="47"/>
      <c r="AZ1663" s="70"/>
      <c r="BC1663" s="50"/>
    </row>
    <row r="1664" spans="1:55" s="48" customFormat="1" ht="27.75" customHeight="1" outlineLevel="1" x14ac:dyDescent="0.25">
      <c r="A1664" s="42">
        <v>3</v>
      </c>
      <c r="B1664" s="43" t="s">
        <v>186</v>
      </c>
      <c r="C1664" s="44" t="s">
        <v>61</v>
      </c>
      <c r="D1664" s="45">
        <v>5</v>
      </c>
      <c r="E1664" s="45">
        <v>1.1876</v>
      </c>
      <c r="F1664" s="45">
        <f t="shared" si="399"/>
        <v>5.9379999999999997</v>
      </c>
      <c r="G1664" s="46">
        <f t="shared" si="400"/>
        <v>0</v>
      </c>
      <c r="H1664" s="47">
        <f t="shared" si="401"/>
        <v>0</v>
      </c>
      <c r="I1664" s="46">
        <f t="shared" si="402"/>
        <v>0</v>
      </c>
      <c r="J1664" s="47">
        <v>0</v>
      </c>
      <c r="K1664" s="46">
        <f t="shared" si="403"/>
        <v>0</v>
      </c>
      <c r="L1664" s="47">
        <v>0</v>
      </c>
      <c r="AX1664" s="46"/>
      <c r="AY1664" s="47"/>
      <c r="AZ1664" s="70"/>
      <c r="BC1664" s="50"/>
    </row>
    <row r="1665" spans="1:55" s="48" customFormat="1" ht="15.45" customHeight="1" outlineLevel="1" x14ac:dyDescent="0.25">
      <c r="A1665" s="42">
        <v>4</v>
      </c>
      <c r="B1665" s="43" t="s">
        <v>1029</v>
      </c>
      <c r="C1665" s="44" t="s">
        <v>93</v>
      </c>
      <c r="D1665" s="45">
        <v>2</v>
      </c>
      <c r="E1665" s="45">
        <v>4.0658000000000003</v>
      </c>
      <c r="F1665" s="45">
        <f t="shared" si="399"/>
        <v>8.1316000000000006</v>
      </c>
      <c r="G1665" s="46">
        <f t="shared" si="400"/>
        <v>0</v>
      </c>
      <c r="H1665" s="47">
        <f t="shared" si="401"/>
        <v>0</v>
      </c>
      <c r="I1665" s="46">
        <f t="shared" si="402"/>
        <v>0</v>
      </c>
      <c r="J1665" s="47">
        <v>0</v>
      </c>
      <c r="K1665" s="46">
        <f t="shared" si="403"/>
        <v>0</v>
      </c>
      <c r="L1665" s="47">
        <v>0</v>
      </c>
      <c r="AX1665" s="46"/>
      <c r="AY1665" s="47"/>
      <c r="AZ1665" s="70"/>
      <c r="BC1665" s="50"/>
    </row>
    <row r="1666" spans="1:55" s="48" customFormat="1" ht="15.45" customHeight="1" outlineLevel="1" x14ac:dyDescent="0.25">
      <c r="A1666" s="42">
        <v>5</v>
      </c>
      <c r="B1666" s="43" t="s">
        <v>1030</v>
      </c>
      <c r="C1666" s="44" t="s">
        <v>93</v>
      </c>
      <c r="D1666" s="45">
        <v>1</v>
      </c>
      <c r="E1666" s="45">
        <v>85.0946</v>
      </c>
      <c r="F1666" s="45">
        <f t="shared" si="399"/>
        <v>85.0946</v>
      </c>
      <c r="G1666" s="46">
        <f t="shared" si="400"/>
        <v>0</v>
      </c>
      <c r="H1666" s="47">
        <f t="shared" si="401"/>
        <v>0</v>
      </c>
      <c r="I1666" s="46">
        <f t="shared" si="402"/>
        <v>0</v>
      </c>
      <c r="J1666" s="47">
        <v>0</v>
      </c>
      <c r="K1666" s="46">
        <f t="shared" si="403"/>
        <v>0</v>
      </c>
      <c r="L1666" s="47">
        <v>0</v>
      </c>
      <c r="AX1666" s="46"/>
      <c r="AY1666" s="47"/>
      <c r="AZ1666" s="70"/>
      <c r="BC1666" s="50"/>
    </row>
    <row r="1667" spans="1:55" s="48" customFormat="1" ht="41.7" customHeight="1" outlineLevel="1" x14ac:dyDescent="0.25">
      <c r="A1667" s="42">
        <v>6</v>
      </c>
      <c r="B1667" s="43" t="s">
        <v>1031</v>
      </c>
      <c r="C1667" s="44" t="s">
        <v>61</v>
      </c>
      <c r="D1667" s="45">
        <v>6</v>
      </c>
      <c r="E1667" s="45">
        <v>10.4734</v>
      </c>
      <c r="F1667" s="45">
        <f t="shared" si="399"/>
        <v>62.840400000000002</v>
      </c>
      <c r="G1667" s="46">
        <f t="shared" si="400"/>
        <v>0</v>
      </c>
      <c r="H1667" s="47">
        <f t="shared" si="401"/>
        <v>0</v>
      </c>
      <c r="I1667" s="46">
        <f t="shared" si="402"/>
        <v>0</v>
      </c>
      <c r="J1667" s="47">
        <v>0</v>
      </c>
      <c r="K1667" s="46">
        <f t="shared" si="403"/>
        <v>0</v>
      </c>
      <c r="L1667" s="47">
        <v>0</v>
      </c>
      <c r="AX1667" s="46"/>
      <c r="AY1667" s="47"/>
      <c r="AZ1667" s="70"/>
      <c r="BC1667" s="50"/>
    </row>
    <row r="1668" spans="1:55" s="48" customFormat="1" ht="27.75" customHeight="1" outlineLevel="1" x14ac:dyDescent="0.25">
      <c r="A1668" s="42">
        <v>7</v>
      </c>
      <c r="B1668" s="43" t="s">
        <v>1032</v>
      </c>
      <c r="C1668" s="44" t="s">
        <v>61</v>
      </c>
      <c r="D1668" s="45">
        <v>6</v>
      </c>
      <c r="E1668" s="45">
        <v>17.846</v>
      </c>
      <c r="F1668" s="45">
        <f t="shared" si="399"/>
        <v>107.07599999999999</v>
      </c>
      <c r="G1668" s="46">
        <f t="shared" si="400"/>
        <v>0</v>
      </c>
      <c r="H1668" s="47">
        <f t="shared" si="401"/>
        <v>0</v>
      </c>
      <c r="I1668" s="46">
        <f t="shared" si="402"/>
        <v>0</v>
      </c>
      <c r="J1668" s="47">
        <v>0</v>
      </c>
      <c r="K1668" s="46">
        <f t="shared" si="403"/>
        <v>0</v>
      </c>
      <c r="L1668" s="47">
        <v>0</v>
      </c>
      <c r="AX1668" s="46"/>
      <c r="AY1668" s="47"/>
      <c r="AZ1668" s="70"/>
      <c r="BC1668" s="50"/>
    </row>
    <row r="1669" spans="1:55" s="48" customFormat="1" ht="27.75" customHeight="1" outlineLevel="1" x14ac:dyDescent="0.25">
      <c r="A1669" s="42">
        <v>8</v>
      </c>
      <c r="B1669" s="43" t="s">
        <v>186</v>
      </c>
      <c r="C1669" s="44" t="s">
        <v>61</v>
      </c>
      <c r="D1669" s="45">
        <v>6</v>
      </c>
      <c r="E1669" s="45">
        <v>1.1876</v>
      </c>
      <c r="F1669" s="45">
        <f t="shared" si="399"/>
        <v>7.1256000000000004</v>
      </c>
      <c r="G1669" s="46">
        <f t="shared" si="400"/>
        <v>0</v>
      </c>
      <c r="H1669" s="47">
        <f t="shared" si="401"/>
        <v>0</v>
      </c>
      <c r="I1669" s="46">
        <f t="shared" si="402"/>
        <v>0</v>
      </c>
      <c r="J1669" s="47">
        <v>0</v>
      </c>
      <c r="K1669" s="46">
        <f t="shared" si="403"/>
        <v>0</v>
      </c>
      <c r="L1669" s="47">
        <v>0</v>
      </c>
      <c r="AX1669" s="46"/>
      <c r="AY1669" s="47"/>
      <c r="AZ1669" s="70"/>
      <c r="BC1669" s="50"/>
    </row>
    <row r="1670" spans="1:55" s="48" customFormat="1" ht="15.45" customHeight="1" outlineLevel="1" x14ac:dyDescent="0.25">
      <c r="A1670" s="42">
        <v>9</v>
      </c>
      <c r="B1670" s="43" t="s">
        <v>1033</v>
      </c>
      <c r="C1670" s="44" t="s">
        <v>93</v>
      </c>
      <c r="D1670" s="45">
        <v>1</v>
      </c>
      <c r="E1670" s="45">
        <v>20.510200000000001</v>
      </c>
      <c r="F1670" s="45">
        <f t="shared" si="399"/>
        <v>20.510200000000001</v>
      </c>
      <c r="G1670" s="46">
        <f t="shared" si="400"/>
        <v>0</v>
      </c>
      <c r="H1670" s="47">
        <f t="shared" si="401"/>
        <v>0</v>
      </c>
      <c r="I1670" s="46">
        <f t="shared" si="402"/>
        <v>0</v>
      </c>
      <c r="J1670" s="47">
        <v>0</v>
      </c>
      <c r="K1670" s="46">
        <f t="shared" si="403"/>
        <v>0</v>
      </c>
      <c r="L1670" s="47">
        <v>0</v>
      </c>
      <c r="AX1670" s="46"/>
      <c r="AY1670" s="47"/>
      <c r="AZ1670" s="70"/>
      <c r="BC1670" s="50"/>
    </row>
    <row r="1671" spans="1:55" s="48" customFormat="1" ht="15.45" customHeight="1" outlineLevel="1" x14ac:dyDescent="0.25">
      <c r="A1671" s="42">
        <v>10</v>
      </c>
      <c r="B1671" s="43" t="s">
        <v>1034</v>
      </c>
      <c r="C1671" s="44" t="s">
        <v>93</v>
      </c>
      <c r="D1671" s="45">
        <v>1</v>
      </c>
      <c r="E1671" s="45">
        <v>12.1646</v>
      </c>
      <c r="F1671" s="45">
        <f t="shared" si="399"/>
        <v>12.1646</v>
      </c>
      <c r="G1671" s="46">
        <f t="shared" si="400"/>
        <v>0</v>
      </c>
      <c r="H1671" s="47">
        <f t="shared" si="401"/>
        <v>0</v>
      </c>
      <c r="I1671" s="46">
        <f t="shared" si="402"/>
        <v>0</v>
      </c>
      <c r="J1671" s="47">
        <v>0</v>
      </c>
      <c r="K1671" s="46">
        <f t="shared" si="403"/>
        <v>0</v>
      </c>
      <c r="L1671" s="47">
        <v>0</v>
      </c>
      <c r="AX1671" s="46">
        <v>1</v>
      </c>
      <c r="AY1671" s="47">
        <v>5766733.6402624408</v>
      </c>
      <c r="AZ1671" s="70">
        <f>H1671-J1671</f>
        <v>0</v>
      </c>
      <c r="BC1671" s="50"/>
    </row>
    <row r="1672" spans="1:55" s="48" customFormat="1" ht="41.7" customHeight="1" outlineLevel="1" x14ac:dyDescent="0.25">
      <c r="A1672" s="42">
        <v>11</v>
      </c>
      <c r="B1672" s="43" t="s">
        <v>1035</v>
      </c>
      <c r="C1672" s="44" t="s">
        <v>61</v>
      </c>
      <c r="D1672" s="45">
        <v>5</v>
      </c>
      <c r="E1672" s="45">
        <v>33.066400000000002</v>
      </c>
      <c r="F1672" s="45">
        <f t="shared" si="399"/>
        <v>165.33199999999999</v>
      </c>
      <c r="G1672" s="46">
        <f t="shared" si="400"/>
        <v>0</v>
      </c>
      <c r="H1672" s="47">
        <f t="shared" si="401"/>
        <v>0</v>
      </c>
      <c r="I1672" s="46">
        <f t="shared" si="402"/>
        <v>0</v>
      </c>
      <c r="J1672" s="47">
        <v>0</v>
      </c>
      <c r="K1672" s="46">
        <f t="shared" si="403"/>
        <v>0</v>
      </c>
      <c r="L1672" s="47">
        <v>0</v>
      </c>
      <c r="AX1672" s="46">
        <v>1</v>
      </c>
      <c r="AY1672" s="47">
        <v>5766733.6402624408</v>
      </c>
      <c r="AZ1672" s="70">
        <f>H1672-J1672</f>
        <v>0</v>
      </c>
      <c r="BC1672" s="50"/>
    </row>
    <row r="1673" spans="1:55" s="48" customFormat="1" ht="27.75" customHeight="1" outlineLevel="1" x14ac:dyDescent="0.25">
      <c r="A1673" s="42">
        <v>12</v>
      </c>
      <c r="B1673" s="43" t="s">
        <v>1036</v>
      </c>
      <c r="C1673" s="44" t="s">
        <v>61</v>
      </c>
      <c r="D1673" s="45">
        <v>5</v>
      </c>
      <c r="E1673" s="45">
        <v>53.780600000000007</v>
      </c>
      <c r="F1673" s="45">
        <f t="shared" si="399"/>
        <v>268.90300000000002</v>
      </c>
      <c r="G1673" s="46">
        <f t="shared" si="400"/>
        <v>0</v>
      </c>
      <c r="H1673" s="47">
        <f t="shared" si="401"/>
        <v>0</v>
      </c>
      <c r="I1673" s="46">
        <f t="shared" si="402"/>
        <v>0</v>
      </c>
      <c r="J1673" s="47">
        <v>0</v>
      </c>
      <c r="K1673" s="46">
        <f t="shared" si="403"/>
        <v>0</v>
      </c>
      <c r="L1673" s="47">
        <v>0</v>
      </c>
      <c r="AX1673" s="46">
        <v>1</v>
      </c>
      <c r="AY1673" s="47">
        <v>5766733.6402624408</v>
      </c>
      <c r="AZ1673" s="70">
        <f>H1673-J1673</f>
        <v>0</v>
      </c>
      <c r="BC1673" s="50"/>
    </row>
    <row r="1674" spans="1:55" s="48" customFormat="1" ht="27.75" customHeight="1" outlineLevel="1" x14ac:dyDescent="0.25">
      <c r="A1674" s="42">
        <v>13</v>
      </c>
      <c r="B1674" s="43" t="s">
        <v>1037</v>
      </c>
      <c r="C1674" s="44" t="s">
        <v>61</v>
      </c>
      <c r="D1674" s="45">
        <v>5</v>
      </c>
      <c r="E1674" s="45">
        <v>1.1876</v>
      </c>
      <c r="F1674" s="45">
        <f t="shared" si="399"/>
        <v>5.9379999999999997</v>
      </c>
      <c r="G1674" s="46">
        <f t="shared" si="400"/>
        <v>0</v>
      </c>
      <c r="H1674" s="47">
        <f t="shared" si="401"/>
        <v>0</v>
      </c>
      <c r="I1674" s="46">
        <f t="shared" si="402"/>
        <v>0</v>
      </c>
      <c r="J1674" s="47">
        <v>0</v>
      </c>
      <c r="K1674" s="46">
        <f t="shared" si="403"/>
        <v>0</v>
      </c>
      <c r="L1674" s="47">
        <v>0</v>
      </c>
      <c r="AX1674" s="46">
        <v>0</v>
      </c>
      <c r="AY1674" s="47">
        <v>0</v>
      </c>
      <c r="AZ1674" s="70">
        <f>H1674-J1674</f>
        <v>0</v>
      </c>
      <c r="BC1674" s="50"/>
    </row>
    <row r="1675" spans="1:55" s="48" customFormat="1" ht="41.7" customHeight="1" outlineLevel="1" x14ac:dyDescent="0.25">
      <c r="A1675" s="42">
        <v>14</v>
      </c>
      <c r="B1675" s="43" t="s">
        <v>1038</v>
      </c>
      <c r="C1675" s="44" t="s">
        <v>61</v>
      </c>
      <c r="D1675" s="45">
        <v>13</v>
      </c>
      <c r="E1675" s="45">
        <v>10.4734</v>
      </c>
      <c r="F1675" s="45">
        <f t="shared" si="399"/>
        <v>136.1542</v>
      </c>
      <c r="G1675" s="46">
        <f t="shared" si="400"/>
        <v>0</v>
      </c>
      <c r="H1675" s="47">
        <f t="shared" si="401"/>
        <v>0</v>
      </c>
      <c r="I1675" s="46">
        <f t="shared" si="402"/>
        <v>0</v>
      </c>
      <c r="J1675" s="47">
        <v>0</v>
      </c>
      <c r="K1675" s="46">
        <f t="shared" si="403"/>
        <v>0</v>
      </c>
      <c r="L1675" s="47">
        <v>0</v>
      </c>
      <c r="AX1675" s="46">
        <v>0</v>
      </c>
      <c r="AY1675" s="47">
        <v>1038012.055247239</v>
      </c>
      <c r="AZ1675" s="70">
        <f>H1675-J1675</f>
        <v>0</v>
      </c>
      <c r="BC1675" s="50"/>
    </row>
    <row r="1676" spans="1:55" s="48" customFormat="1" ht="27.75" customHeight="1" outlineLevel="1" x14ac:dyDescent="0.25">
      <c r="A1676" s="42">
        <v>15</v>
      </c>
      <c r="B1676" s="43" t="s">
        <v>1032</v>
      </c>
      <c r="C1676" s="44" t="s">
        <v>61</v>
      </c>
      <c r="D1676" s="45">
        <v>13</v>
      </c>
      <c r="E1676" s="45">
        <v>17.846</v>
      </c>
      <c r="F1676" s="45">
        <f t="shared" si="399"/>
        <v>231.99799999999999</v>
      </c>
      <c r="G1676" s="46">
        <f t="shared" si="400"/>
        <v>0</v>
      </c>
      <c r="H1676" s="47">
        <f t="shared" si="401"/>
        <v>0</v>
      </c>
      <c r="I1676" s="46">
        <f t="shared" si="402"/>
        <v>0</v>
      </c>
      <c r="J1676" s="47">
        <v>0</v>
      </c>
      <c r="K1676" s="46">
        <f t="shared" si="403"/>
        <v>0</v>
      </c>
      <c r="L1676" s="47">
        <v>0</v>
      </c>
      <c r="AX1676" s="46"/>
      <c r="AY1676" s="47"/>
      <c r="AZ1676" s="70"/>
      <c r="BC1676" s="50"/>
    </row>
    <row r="1677" spans="1:55" s="48" customFormat="1" ht="27.75" customHeight="1" outlineLevel="1" x14ac:dyDescent="0.25">
      <c r="A1677" s="42">
        <v>16</v>
      </c>
      <c r="B1677" s="43" t="s">
        <v>186</v>
      </c>
      <c r="C1677" s="44" t="s">
        <v>61</v>
      </c>
      <c r="D1677" s="45">
        <v>13</v>
      </c>
      <c r="E1677" s="45">
        <v>1.1876</v>
      </c>
      <c r="F1677" s="45">
        <f t="shared" si="399"/>
        <v>15.438800000000001</v>
      </c>
      <c r="G1677" s="46">
        <f t="shared" si="400"/>
        <v>0</v>
      </c>
      <c r="H1677" s="47">
        <f t="shared" si="401"/>
        <v>0</v>
      </c>
      <c r="I1677" s="46">
        <f t="shared" si="402"/>
        <v>0</v>
      </c>
      <c r="J1677" s="47">
        <v>0</v>
      </c>
      <c r="K1677" s="46">
        <f t="shared" si="403"/>
        <v>0</v>
      </c>
      <c r="L1677" s="47">
        <v>0</v>
      </c>
      <c r="AX1677" s="46"/>
      <c r="AY1677" s="47"/>
      <c r="AZ1677" s="70"/>
      <c r="BC1677" s="50"/>
    </row>
    <row r="1678" spans="1:55" s="48" customFormat="1" ht="15.45" customHeight="1" outlineLevel="1" x14ac:dyDescent="0.25">
      <c r="A1678" s="42">
        <v>17</v>
      </c>
      <c r="B1678" s="43" t="s">
        <v>1033</v>
      </c>
      <c r="C1678" s="44" t="s">
        <v>93</v>
      </c>
      <c r="D1678" s="45">
        <v>1</v>
      </c>
      <c r="E1678" s="45">
        <v>20.510200000000001</v>
      </c>
      <c r="F1678" s="45">
        <f t="shared" si="399"/>
        <v>20.510200000000001</v>
      </c>
      <c r="G1678" s="46">
        <f t="shared" si="400"/>
        <v>0</v>
      </c>
      <c r="H1678" s="47">
        <f t="shared" si="401"/>
        <v>0</v>
      </c>
      <c r="I1678" s="46">
        <f t="shared" si="402"/>
        <v>0</v>
      </c>
      <c r="J1678" s="47">
        <v>0</v>
      </c>
      <c r="K1678" s="46">
        <f t="shared" si="403"/>
        <v>0</v>
      </c>
      <c r="L1678" s="47">
        <v>0</v>
      </c>
      <c r="AX1678" s="46"/>
      <c r="AY1678" s="47"/>
      <c r="AZ1678" s="70"/>
      <c r="BC1678" s="50"/>
    </row>
    <row r="1679" spans="1:55" s="48" customFormat="1" ht="15.45" customHeight="1" outlineLevel="1" x14ac:dyDescent="0.25">
      <c r="A1679" s="42">
        <v>18</v>
      </c>
      <c r="B1679" s="43" t="s">
        <v>1034</v>
      </c>
      <c r="C1679" s="44" t="s">
        <v>93</v>
      </c>
      <c r="D1679" s="45">
        <v>3</v>
      </c>
      <c r="E1679" s="45">
        <v>12.1646</v>
      </c>
      <c r="F1679" s="45">
        <f t="shared" si="399"/>
        <v>36.4938</v>
      </c>
      <c r="G1679" s="46">
        <f t="shared" si="400"/>
        <v>0</v>
      </c>
      <c r="H1679" s="47">
        <f t="shared" si="401"/>
        <v>0</v>
      </c>
      <c r="I1679" s="46">
        <f t="shared" si="402"/>
        <v>0</v>
      </c>
      <c r="J1679" s="47">
        <v>0</v>
      </c>
      <c r="K1679" s="46">
        <f t="shared" si="403"/>
        <v>0</v>
      </c>
      <c r="L1679" s="47">
        <v>0</v>
      </c>
      <c r="AX1679" s="46"/>
      <c r="AY1679" s="47"/>
      <c r="AZ1679" s="70"/>
      <c r="BC1679" s="50"/>
    </row>
    <row r="1680" spans="1:55" s="48" customFormat="1" ht="15.45" customHeight="1" outlineLevel="1" x14ac:dyDescent="0.25">
      <c r="A1680" s="42">
        <v>19</v>
      </c>
      <c r="B1680" s="43" t="s">
        <v>1039</v>
      </c>
      <c r="C1680" s="44" t="s">
        <v>93</v>
      </c>
      <c r="D1680" s="45">
        <v>2</v>
      </c>
      <c r="E1680" s="45">
        <v>4.2391999999999994</v>
      </c>
      <c r="F1680" s="45">
        <f t="shared" si="399"/>
        <v>8.4783999999999988</v>
      </c>
      <c r="G1680" s="46">
        <f t="shared" si="400"/>
        <v>0</v>
      </c>
      <c r="H1680" s="47">
        <f t="shared" si="401"/>
        <v>0</v>
      </c>
      <c r="I1680" s="46">
        <f t="shared" si="402"/>
        <v>0</v>
      </c>
      <c r="J1680" s="47">
        <v>0</v>
      </c>
      <c r="K1680" s="46">
        <f t="shared" si="403"/>
        <v>0</v>
      </c>
      <c r="L1680" s="47">
        <v>0</v>
      </c>
      <c r="AX1680" s="46"/>
      <c r="AY1680" s="47"/>
      <c r="AZ1680" s="70"/>
      <c r="BC1680" s="50"/>
    </row>
    <row r="1681" spans="1:55" s="48" customFormat="1" ht="15.45" customHeight="1" outlineLevel="1" x14ac:dyDescent="0.25">
      <c r="A1681" s="42">
        <v>20</v>
      </c>
      <c r="B1681" s="43" t="s">
        <v>922</v>
      </c>
      <c r="C1681" s="44" t="s">
        <v>98</v>
      </c>
      <c r="D1681" s="45">
        <v>11.47</v>
      </c>
      <c r="E1681" s="45">
        <v>1.1774</v>
      </c>
      <c r="F1681" s="45">
        <f t="shared" si="399"/>
        <v>13.504778</v>
      </c>
      <c r="G1681" s="46">
        <f t="shared" si="400"/>
        <v>0</v>
      </c>
      <c r="H1681" s="47">
        <f t="shared" si="401"/>
        <v>0</v>
      </c>
      <c r="I1681" s="46">
        <f t="shared" si="402"/>
        <v>0</v>
      </c>
      <c r="J1681" s="47">
        <v>0</v>
      </c>
      <c r="K1681" s="46">
        <f t="shared" si="403"/>
        <v>0</v>
      </c>
      <c r="L1681" s="47">
        <v>0</v>
      </c>
      <c r="AX1681" s="46"/>
      <c r="AY1681" s="47"/>
      <c r="AZ1681" s="70"/>
      <c r="BC1681" s="50"/>
    </row>
    <row r="1682" spans="1:55" s="48" customFormat="1" ht="27.75" customHeight="1" outlineLevel="1" x14ac:dyDescent="0.25">
      <c r="A1682" s="42">
        <v>21</v>
      </c>
      <c r="B1682" s="43" t="s">
        <v>921</v>
      </c>
      <c r="C1682" s="44" t="s">
        <v>98</v>
      </c>
      <c r="D1682" s="45">
        <v>11.47</v>
      </c>
      <c r="E1682" s="45">
        <v>6.0058000000000007</v>
      </c>
      <c r="F1682" s="45">
        <f t="shared" si="399"/>
        <v>68.886526000000018</v>
      </c>
      <c r="G1682" s="46">
        <f t="shared" si="400"/>
        <v>0</v>
      </c>
      <c r="H1682" s="47">
        <f t="shared" si="401"/>
        <v>0</v>
      </c>
      <c r="I1682" s="46">
        <f t="shared" si="402"/>
        <v>0</v>
      </c>
      <c r="J1682" s="47">
        <v>0</v>
      </c>
      <c r="K1682" s="46">
        <f t="shared" si="403"/>
        <v>0</v>
      </c>
      <c r="L1682" s="47">
        <v>0</v>
      </c>
      <c r="AX1682" s="46"/>
      <c r="AY1682" s="47"/>
      <c r="AZ1682" s="70"/>
      <c r="BC1682" s="50"/>
    </row>
    <row r="1683" spans="1:55" s="56" customFormat="1" ht="17.25" customHeight="1" x14ac:dyDescent="0.3">
      <c r="A1683" s="31">
        <v>13.1</v>
      </c>
      <c r="B1683" s="51" t="s">
        <v>1040</v>
      </c>
      <c r="C1683" s="52">
        <v>0</v>
      </c>
      <c r="D1683" s="53"/>
      <c r="E1683" s="53"/>
      <c r="F1683" s="53"/>
      <c r="G1683" s="54"/>
      <c r="H1683" s="55"/>
      <c r="I1683" s="54"/>
      <c r="J1683" s="55"/>
      <c r="K1683" s="54"/>
      <c r="L1683" s="55">
        <v>0</v>
      </c>
      <c r="AX1683" s="69"/>
      <c r="AY1683" s="71"/>
      <c r="AZ1683" s="72"/>
      <c r="BC1683" s="58"/>
    </row>
    <row r="1684" spans="1:55" s="48" customFormat="1" ht="27.75" customHeight="1" outlineLevel="1" x14ac:dyDescent="0.25">
      <c r="A1684" s="42">
        <v>1</v>
      </c>
      <c r="B1684" s="43" t="s">
        <v>707</v>
      </c>
      <c r="C1684" s="44" t="s">
        <v>110</v>
      </c>
      <c r="D1684" s="45">
        <v>143</v>
      </c>
      <c r="E1684" s="45">
        <v>0.88160000000000005</v>
      </c>
      <c r="F1684" s="45">
        <f t="shared" ref="F1684:F1719" si="404">+E1684*D1684</f>
        <v>126.06880000000001</v>
      </c>
      <c r="G1684" s="46">
        <f t="shared" ref="G1684:G1719" si="405">I1684+K1684</f>
        <v>0</v>
      </c>
      <c r="H1684" s="47">
        <f t="shared" ref="H1684:H1719" si="406">J1684+L1684</f>
        <v>0</v>
      </c>
      <c r="I1684" s="46">
        <f t="shared" ref="I1684:I1719" si="407">J1684/F1684</f>
        <v>0</v>
      </c>
      <c r="J1684" s="47">
        <v>0</v>
      </c>
      <c r="K1684" s="46">
        <f t="shared" ref="K1684:K1719" si="408">L1684/F1684</f>
        <v>0</v>
      </c>
      <c r="L1684" s="47">
        <v>0</v>
      </c>
      <c r="AX1684" s="46">
        <v>1</v>
      </c>
      <c r="AY1684" s="47">
        <v>5766733.6402624408</v>
      </c>
      <c r="AZ1684" s="70">
        <f>H1684-J1684</f>
        <v>0</v>
      </c>
      <c r="BC1684" s="50"/>
    </row>
    <row r="1685" spans="1:55" s="48" customFormat="1" ht="27.75" customHeight="1" outlineLevel="1" x14ac:dyDescent="0.25">
      <c r="A1685" s="42">
        <v>2</v>
      </c>
      <c r="B1685" s="43" t="s">
        <v>648</v>
      </c>
      <c r="C1685" s="44" t="s">
        <v>110</v>
      </c>
      <c r="D1685" s="45">
        <v>4</v>
      </c>
      <c r="E1685" s="45">
        <v>8.9600000000000009</v>
      </c>
      <c r="F1685" s="45">
        <f t="shared" si="404"/>
        <v>35.840000000000003</v>
      </c>
      <c r="G1685" s="46">
        <f t="shared" si="405"/>
        <v>0</v>
      </c>
      <c r="H1685" s="47">
        <f t="shared" si="406"/>
        <v>0</v>
      </c>
      <c r="I1685" s="46">
        <f t="shared" si="407"/>
        <v>0</v>
      </c>
      <c r="J1685" s="47">
        <v>0</v>
      </c>
      <c r="K1685" s="46">
        <f t="shared" si="408"/>
        <v>0</v>
      </c>
      <c r="L1685" s="47">
        <v>0</v>
      </c>
      <c r="AX1685" s="46">
        <v>1</v>
      </c>
      <c r="AY1685" s="47">
        <v>5766733.6402624408</v>
      </c>
      <c r="AZ1685" s="70">
        <f>H1685-J1685</f>
        <v>0</v>
      </c>
      <c r="BC1685" s="50"/>
    </row>
    <row r="1686" spans="1:55" s="48" customFormat="1" ht="15.45" customHeight="1" outlineLevel="1" x14ac:dyDescent="0.25">
      <c r="A1686" s="42">
        <v>3</v>
      </c>
      <c r="B1686" s="43" t="s">
        <v>30</v>
      </c>
      <c r="C1686" s="44" t="s">
        <v>110</v>
      </c>
      <c r="D1686" s="45">
        <v>147</v>
      </c>
      <c r="E1686" s="45">
        <v>0.90200000000000002</v>
      </c>
      <c r="F1686" s="45">
        <f t="shared" si="404"/>
        <v>132.59399999999999</v>
      </c>
      <c r="G1686" s="46">
        <f t="shared" si="405"/>
        <v>0</v>
      </c>
      <c r="H1686" s="47">
        <f t="shared" si="406"/>
        <v>0</v>
      </c>
      <c r="I1686" s="46">
        <f t="shared" si="407"/>
        <v>0</v>
      </c>
      <c r="J1686" s="47">
        <v>0</v>
      </c>
      <c r="K1686" s="46">
        <f t="shared" si="408"/>
        <v>0</v>
      </c>
      <c r="L1686" s="47">
        <v>0</v>
      </c>
      <c r="AX1686" s="46">
        <v>1</v>
      </c>
      <c r="AY1686" s="47">
        <v>5766733.6402624408</v>
      </c>
      <c r="AZ1686" s="70">
        <f>H1686-J1686</f>
        <v>0</v>
      </c>
      <c r="BC1686" s="50"/>
    </row>
    <row r="1687" spans="1:55" s="48" customFormat="1" ht="27.75" customHeight="1" outlineLevel="1" x14ac:dyDescent="0.25">
      <c r="A1687" s="42">
        <v>4</v>
      </c>
      <c r="B1687" s="43" t="s">
        <v>649</v>
      </c>
      <c r="C1687" s="44" t="s">
        <v>110</v>
      </c>
      <c r="D1687" s="45">
        <v>86</v>
      </c>
      <c r="E1687" s="45">
        <v>0.9</v>
      </c>
      <c r="F1687" s="45">
        <f t="shared" si="404"/>
        <v>77.400000000000006</v>
      </c>
      <c r="G1687" s="46">
        <f t="shared" si="405"/>
        <v>0</v>
      </c>
      <c r="H1687" s="47">
        <f t="shared" si="406"/>
        <v>0</v>
      </c>
      <c r="I1687" s="46">
        <f t="shared" si="407"/>
        <v>0</v>
      </c>
      <c r="J1687" s="47">
        <v>0</v>
      </c>
      <c r="K1687" s="46">
        <f t="shared" si="408"/>
        <v>0</v>
      </c>
      <c r="L1687" s="47">
        <v>0</v>
      </c>
      <c r="AX1687" s="46">
        <v>0</v>
      </c>
      <c r="AY1687" s="47">
        <v>0</v>
      </c>
      <c r="AZ1687" s="70">
        <f>H1687-J1687</f>
        <v>0</v>
      </c>
      <c r="BC1687" s="50"/>
    </row>
    <row r="1688" spans="1:55" s="48" customFormat="1" ht="15.45" customHeight="1" outlineLevel="1" x14ac:dyDescent="0.25">
      <c r="A1688" s="42">
        <v>5</v>
      </c>
      <c r="B1688" s="43" t="s">
        <v>166</v>
      </c>
      <c r="C1688" s="44" t="s">
        <v>110</v>
      </c>
      <c r="D1688" s="45">
        <v>21</v>
      </c>
      <c r="E1688" s="45">
        <v>8.16</v>
      </c>
      <c r="F1688" s="45">
        <f t="shared" si="404"/>
        <v>171.36</v>
      </c>
      <c r="G1688" s="46">
        <f t="shared" si="405"/>
        <v>0</v>
      </c>
      <c r="H1688" s="47">
        <f t="shared" si="406"/>
        <v>0</v>
      </c>
      <c r="I1688" s="46">
        <f t="shared" si="407"/>
        <v>0</v>
      </c>
      <c r="J1688" s="47">
        <v>0</v>
      </c>
      <c r="K1688" s="46">
        <f t="shared" si="408"/>
        <v>0</v>
      </c>
      <c r="L1688" s="47">
        <v>0</v>
      </c>
      <c r="AX1688" s="46">
        <v>0</v>
      </c>
      <c r="AY1688" s="47">
        <v>1038012.055247239</v>
      </c>
      <c r="AZ1688" s="70">
        <f>H1688-J1688</f>
        <v>0</v>
      </c>
      <c r="BC1688" s="50"/>
    </row>
    <row r="1689" spans="1:55" s="48" customFormat="1" ht="15.45" customHeight="1" outlineLevel="1" x14ac:dyDescent="0.25">
      <c r="A1689" s="42">
        <v>6</v>
      </c>
      <c r="B1689" s="43" t="s">
        <v>37</v>
      </c>
      <c r="C1689" s="44" t="s">
        <v>110</v>
      </c>
      <c r="D1689" s="45">
        <v>86</v>
      </c>
      <c r="E1689" s="45">
        <v>2</v>
      </c>
      <c r="F1689" s="45">
        <f t="shared" si="404"/>
        <v>172</v>
      </c>
      <c r="G1689" s="46">
        <f t="shared" si="405"/>
        <v>0</v>
      </c>
      <c r="H1689" s="47">
        <f t="shared" si="406"/>
        <v>0</v>
      </c>
      <c r="I1689" s="46">
        <f t="shared" si="407"/>
        <v>0</v>
      </c>
      <c r="J1689" s="47">
        <v>0</v>
      </c>
      <c r="K1689" s="46">
        <f t="shared" si="408"/>
        <v>0</v>
      </c>
      <c r="L1689" s="47">
        <v>0</v>
      </c>
      <c r="AX1689" s="46"/>
      <c r="AY1689" s="47"/>
      <c r="AZ1689" s="70"/>
      <c r="BC1689" s="50"/>
    </row>
    <row r="1690" spans="1:55" s="48" customFormat="1" ht="27.75" customHeight="1" outlineLevel="1" x14ac:dyDescent="0.25">
      <c r="A1690" s="42">
        <v>7</v>
      </c>
      <c r="B1690" s="43" t="s">
        <v>707</v>
      </c>
      <c r="C1690" s="44" t="s">
        <v>110</v>
      </c>
      <c r="D1690" s="45">
        <v>26</v>
      </c>
      <c r="E1690" s="45">
        <v>0.85814000000000001</v>
      </c>
      <c r="F1690" s="45">
        <f t="shared" si="404"/>
        <v>22.311640000000001</v>
      </c>
      <c r="G1690" s="46">
        <f t="shared" si="405"/>
        <v>0</v>
      </c>
      <c r="H1690" s="47">
        <f t="shared" si="406"/>
        <v>0</v>
      </c>
      <c r="I1690" s="46">
        <f t="shared" si="407"/>
        <v>0</v>
      </c>
      <c r="J1690" s="47">
        <v>0</v>
      </c>
      <c r="K1690" s="46">
        <f t="shared" si="408"/>
        <v>0</v>
      </c>
      <c r="L1690" s="47">
        <v>0</v>
      </c>
      <c r="AX1690" s="46"/>
      <c r="AY1690" s="47"/>
      <c r="AZ1690" s="70"/>
      <c r="BC1690" s="50"/>
    </row>
    <row r="1691" spans="1:55" s="48" customFormat="1" ht="15.45" customHeight="1" outlineLevel="1" x14ac:dyDescent="0.25">
      <c r="A1691" s="42">
        <v>8</v>
      </c>
      <c r="B1691" s="43" t="s">
        <v>167</v>
      </c>
      <c r="C1691" s="44" t="s">
        <v>110</v>
      </c>
      <c r="D1691" s="45">
        <v>3.2</v>
      </c>
      <c r="E1691" s="45">
        <v>34.412799999999997</v>
      </c>
      <c r="F1691" s="45">
        <f t="shared" si="404"/>
        <v>110.12096</v>
      </c>
      <c r="G1691" s="46">
        <f t="shared" si="405"/>
        <v>0</v>
      </c>
      <c r="H1691" s="47">
        <f t="shared" si="406"/>
        <v>0</v>
      </c>
      <c r="I1691" s="46">
        <f t="shared" si="407"/>
        <v>0</v>
      </c>
      <c r="J1691" s="47">
        <v>0</v>
      </c>
      <c r="K1691" s="46">
        <f t="shared" si="408"/>
        <v>0</v>
      </c>
      <c r="L1691" s="47">
        <v>0</v>
      </c>
      <c r="AX1691" s="46"/>
      <c r="AY1691" s="47"/>
      <c r="AZ1691" s="70"/>
      <c r="BC1691" s="50"/>
    </row>
    <row r="1692" spans="1:55" s="48" customFormat="1" ht="15.45" customHeight="1" outlineLevel="1" x14ac:dyDescent="0.25">
      <c r="A1692" s="42">
        <v>9</v>
      </c>
      <c r="B1692" s="43" t="s">
        <v>709</v>
      </c>
      <c r="C1692" s="44" t="s">
        <v>110</v>
      </c>
      <c r="D1692" s="45">
        <v>1.44</v>
      </c>
      <c r="E1692" s="45">
        <v>10.788500000000001</v>
      </c>
      <c r="F1692" s="45">
        <f t="shared" si="404"/>
        <v>15.535440000000001</v>
      </c>
      <c r="G1692" s="46">
        <f t="shared" si="405"/>
        <v>0</v>
      </c>
      <c r="H1692" s="47">
        <f t="shared" si="406"/>
        <v>0</v>
      </c>
      <c r="I1692" s="46">
        <f t="shared" si="407"/>
        <v>0</v>
      </c>
      <c r="J1692" s="47">
        <v>0</v>
      </c>
      <c r="K1692" s="46">
        <f t="shared" si="408"/>
        <v>0</v>
      </c>
      <c r="L1692" s="47">
        <v>0</v>
      </c>
      <c r="AX1692" s="46"/>
      <c r="AY1692" s="47"/>
      <c r="AZ1692" s="70"/>
      <c r="BC1692" s="50"/>
    </row>
    <row r="1693" spans="1:55" s="48" customFormat="1" ht="15.45" customHeight="1" outlineLevel="1" x14ac:dyDescent="0.25">
      <c r="A1693" s="42">
        <v>10</v>
      </c>
      <c r="B1693" s="43" t="s">
        <v>1006</v>
      </c>
      <c r="C1693" s="44" t="s">
        <v>98</v>
      </c>
      <c r="D1693" s="45">
        <v>14.4</v>
      </c>
      <c r="E1693" s="45">
        <v>9.8818000000000001</v>
      </c>
      <c r="F1693" s="45">
        <f t="shared" si="404"/>
        <v>142.29792</v>
      </c>
      <c r="G1693" s="46">
        <f t="shared" si="405"/>
        <v>0</v>
      </c>
      <c r="H1693" s="47">
        <f t="shared" si="406"/>
        <v>0</v>
      </c>
      <c r="I1693" s="46">
        <f t="shared" si="407"/>
        <v>0</v>
      </c>
      <c r="J1693" s="47">
        <v>0</v>
      </c>
      <c r="K1693" s="46">
        <f t="shared" si="408"/>
        <v>0</v>
      </c>
      <c r="L1693" s="47">
        <v>0</v>
      </c>
      <c r="AX1693" s="46"/>
      <c r="AY1693" s="47"/>
      <c r="AZ1693" s="70"/>
      <c r="BC1693" s="50"/>
    </row>
    <row r="1694" spans="1:55" s="59" customFormat="1" ht="17.7" customHeight="1" outlineLevel="1" x14ac:dyDescent="0.35">
      <c r="A1694" s="42">
        <v>11</v>
      </c>
      <c r="B1694" s="43" t="s">
        <v>117</v>
      </c>
      <c r="C1694" s="44" t="s">
        <v>98</v>
      </c>
      <c r="D1694" s="45">
        <v>14.4</v>
      </c>
      <c r="E1694" s="45">
        <v>5.4732580000000004</v>
      </c>
      <c r="F1694" s="45">
        <f t="shared" si="404"/>
        <v>78.814915200000002</v>
      </c>
      <c r="G1694" s="46">
        <f t="shared" si="405"/>
        <v>0</v>
      </c>
      <c r="H1694" s="47">
        <f t="shared" si="406"/>
        <v>0</v>
      </c>
      <c r="I1694" s="46">
        <f t="shared" si="407"/>
        <v>0</v>
      </c>
      <c r="J1694" s="47">
        <v>0</v>
      </c>
      <c r="K1694" s="46">
        <f t="shared" si="408"/>
        <v>0</v>
      </c>
      <c r="L1694" s="47">
        <v>0</v>
      </c>
      <c r="AX1694" s="73">
        <v>1</v>
      </c>
      <c r="AY1694" s="74">
        <v>5766733.6402624408</v>
      </c>
      <c r="AZ1694" s="75">
        <f>H1694-J1694</f>
        <v>0</v>
      </c>
      <c r="BC1694" s="61"/>
    </row>
    <row r="1695" spans="1:55" s="48" customFormat="1" ht="15.45" customHeight="1" outlineLevel="1" x14ac:dyDescent="0.25">
      <c r="A1695" s="42">
        <v>12</v>
      </c>
      <c r="B1695" s="43" t="s">
        <v>840</v>
      </c>
      <c r="C1695" s="44" t="s">
        <v>98</v>
      </c>
      <c r="D1695" s="45">
        <v>14.4</v>
      </c>
      <c r="E1695" s="45">
        <v>1.5362</v>
      </c>
      <c r="F1695" s="45">
        <f t="shared" si="404"/>
        <v>22.121280000000002</v>
      </c>
      <c r="G1695" s="46">
        <f t="shared" si="405"/>
        <v>0</v>
      </c>
      <c r="H1695" s="47">
        <f t="shared" si="406"/>
        <v>0</v>
      </c>
      <c r="I1695" s="46">
        <f t="shared" si="407"/>
        <v>0</v>
      </c>
      <c r="J1695" s="47">
        <v>0</v>
      </c>
      <c r="K1695" s="46">
        <f t="shared" si="408"/>
        <v>0</v>
      </c>
      <c r="L1695" s="47">
        <v>0</v>
      </c>
      <c r="AX1695" s="46">
        <v>0</v>
      </c>
      <c r="AY1695" s="47">
        <v>0</v>
      </c>
      <c r="AZ1695" s="70">
        <f>H1695-J1695</f>
        <v>0</v>
      </c>
      <c r="BC1695" s="50"/>
    </row>
    <row r="1696" spans="1:55" s="48" customFormat="1" ht="27.75" customHeight="1" outlineLevel="1" x14ac:dyDescent="0.25">
      <c r="A1696" s="42">
        <v>13</v>
      </c>
      <c r="B1696" s="43" t="s">
        <v>1007</v>
      </c>
      <c r="C1696" s="44" t="s">
        <v>110</v>
      </c>
      <c r="D1696" s="45">
        <v>14.49</v>
      </c>
      <c r="E1696" s="45">
        <v>212.52520000000001</v>
      </c>
      <c r="F1696" s="45">
        <f t="shared" si="404"/>
        <v>3079.4901480000003</v>
      </c>
      <c r="G1696" s="46">
        <f t="shared" si="405"/>
        <v>0</v>
      </c>
      <c r="H1696" s="47">
        <f t="shared" si="406"/>
        <v>0</v>
      </c>
      <c r="I1696" s="46">
        <f t="shared" si="407"/>
        <v>0</v>
      </c>
      <c r="J1696" s="47">
        <v>0</v>
      </c>
      <c r="K1696" s="46">
        <f t="shared" si="408"/>
        <v>0</v>
      </c>
      <c r="L1696" s="47">
        <v>0</v>
      </c>
      <c r="AX1696" s="46">
        <v>0</v>
      </c>
      <c r="AY1696" s="47">
        <v>1038012.055247239</v>
      </c>
      <c r="AZ1696" s="70">
        <f>H1696-J1696</f>
        <v>0</v>
      </c>
      <c r="BC1696" s="50"/>
    </row>
    <row r="1697" spans="1:55" s="48" customFormat="1" ht="15.45" customHeight="1" outlineLevel="1" x14ac:dyDescent="0.25">
      <c r="A1697" s="42">
        <v>14</v>
      </c>
      <c r="B1697" s="43" t="s">
        <v>42</v>
      </c>
      <c r="C1697" s="44" t="s">
        <v>28</v>
      </c>
      <c r="D1697" s="45">
        <v>3.3000000000000002E-2</v>
      </c>
      <c r="E1697" s="45">
        <v>1325.1</v>
      </c>
      <c r="F1697" s="45">
        <f t="shared" si="404"/>
        <v>43.728299999999997</v>
      </c>
      <c r="G1697" s="46">
        <f t="shared" si="405"/>
        <v>0</v>
      </c>
      <c r="H1697" s="47">
        <f t="shared" si="406"/>
        <v>0</v>
      </c>
      <c r="I1697" s="46">
        <f t="shared" si="407"/>
        <v>0</v>
      </c>
      <c r="J1697" s="47">
        <v>0</v>
      </c>
      <c r="K1697" s="46">
        <f t="shared" si="408"/>
        <v>0</v>
      </c>
      <c r="L1697" s="47">
        <v>0</v>
      </c>
      <c r="AX1697" s="46"/>
      <c r="AY1697" s="47"/>
      <c r="AZ1697" s="70"/>
      <c r="BC1697" s="50"/>
    </row>
    <row r="1698" spans="1:55" s="48" customFormat="1" ht="15.45" customHeight="1" outlineLevel="1" x14ac:dyDescent="0.25">
      <c r="A1698" s="42">
        <v>15</v>
      </c>
      <c r="B1698" s="43" t="s">
        <v>43</v>
      </c>
      <c r="C1698" s="44" t="s">
        <v>28</v>
      </c>
      <c r="D1698" s="45">
        <v>1.64</v>
      </c>
      <c r="E1698" s="45">
        <v>1200.0999999999999</v>
      </c>
      <c r="F1698" s="45">
        <f t="shared" si="404"/>
        <v>1968.1639999999998</v>
      </c>
      <c r="G1698" s="46">
        <f t="shared" si="405"/>
        <v>0</v>
      </c>
      <c r="H1698" s="47">
        <f t="shared" si="406"/>
        <v>0</v>
      </c>
      <c r="I1698" s="46">
        <f t="shared" si="407"/>
        <v>0</v>
      </c>
      <c r="J1698" s="47">
        <v>0</v>
      </c>
      <c r="K1698" s="46">
        <f t="shared" si="408"/>
        <v>0</v>
      </c>
      <c r="L1698" s="47">
        <v>0</v>
      </c>
      <c r="AX1698" s="46"/>
      <c r="AY1698" s="47"/>
      <c r="AZ1698" s="70"/>
      <c r="BC1698" s="50"/>
    </row>
    <row r="1699" spans="1:55" s="48" customFormat="1" ht="15.45" customHeight="1" outlineLevel="1" x14ac:dyDescent="0.25">
      <c r="A1699" s="42">
        <v>16</v>
      </c>
      <c r="B1699" s="43" t="s">
        <v>1008</v>
      </c>
      <c r="C1699" s="44" t="s">
        <v>98</v>
      </c>
      <c r="D1699" s="45">
        <v>9</v>
      </c>
      <c r="E1699" s="45">
        <v>5.4732580000000004</v>
      </c>
      <c r="F1699" s="45">
        <f t="shared" si="404"/>
        <v>49.259322000000004</v>
      </c>
      <c r="G1699" s="46">
        <f t="shared" si="405"/>
        <v>0</v>
      </c>
      <c r="H1699" s="47">
        <f t="shared" si="406"/>
        <v>0</v>
      </c>
      <c r="I1699" s="46">
        <f t="shared" si="407"/>
        <v>0</v>
      </c>
      <c r="J1699" s="47">
        <v>0</v>
      </c>
      <c r="K1699" s="46">
        <f t="shared" si="408"/>
        <v>0</v>
      </c>
      <c r="L1699" s="47">
        <v>0</v>
      </c>
      <c r="AX1699" s="46"/>
      <c r="AY1699" s="47"/>
      <c r="AZ1699" s="70"/>
      <c r="BC1699" s="50"/>
    </row>
    <row r="1700" spans="1:55" s="48" customFormat="1" ht="15.45" customHeight="1" outlineLevel="1" x14ac:dyDescent="0.25">
      <c r="A1700" s="42">
        <v>17</v>
      </c>
      <c r="B1700" s="43" t="s">
        <v>1009</v>
      </c>
      <c r="C1700" s="44" t="s">
        <v>98</v>
      </c>
      <c r="D1700" s="45">
        <v>14.4</v>
      </c>
      <c r="E1700" s="45">
        <v>1.514</v>
      </c>
      <c r="F1700" s="45">
        <f t="shared" si="404"/>
        <v>21.801600000000001</v>
      </c>
      <c r="G1700" s="46">
        <f t="shared" si="405"/>
        <v>0</v>
      </c>
      <c r="H1700" s="47">
        <f t="shared" si="406"/>
        <v>0</v>
      </c>
      <c r="I1700" s="46">
        <f t="shared" si="407"/>
        <v>0</v>
      </c>
      <c r="J1700" s="47">
        <v>0</v>
      </c>
      <c r="K1700" s="46">
        <f t="shared" si="408"/>
        <v>0</v>
      </c>
      <c r="L1700" s="47">
        <v>0</v>
      </c>
      <c r="AX1700" s="46"/>
      <c r="AY1700" s="47"/>
      <c r="AZ1700" s="70"/>
      <c r="BC1700" s="50"/>
    </row>
    <row r="1701" spans="1:55" s="48" customFormat="1" ht="27.75" customHeight="1" outlineLevel="1" x14ac:dyDescent="0.25">
      <c r="A1701" s="42">
        <v>18</v>
      </c>
      <c r="B1701" s="43" t="s">
        <v>158</v>
      </c>
      <c r="C1701" s="44" t="s">
        <v>98</v>
      </c>
      <c r="D1701" s="45">
        <v>52.9</v>
      </c>
      <c r="E1701" s="45">
        <v>10.504</v>
      </c>
      <c r="F1701" s="45">
        <f t="shared" si="404"/>
        <v>555.66159999999991</v>
      </c>
      <c r="G1701" s="46">
        <f t="shared" si="405"/>
        <v>0</v>
      </c>
      <c r="H1701" s="47">
        <f t="shared" si="406"/>
        <v>0</v>
      </c>
      <c r="I1701" s="46">
        <f t="shared" si="407"/>
        <v>0</v>
      </c>
      <c r="J1701" s="47">
        <v>0</v>
      </c>
      <c r="K1701" s="46">
        <f t="shared" si="408"/>
        <v>0</v>
      </c>
      <c r="L1701" s="47">
        <v>0</v>
      </c>
      <c r="AX1701" s="46"/>
      <c r="AY1701" s="47"/>
      <c r="AZ1701" s="70"/>
      <c r="BC1701" s="50"/>
    </row>
    <row r="1702" spans="1:55" s="48" customFormat="1" ht="27.75" customHeight="1" outlineLevel="1" x14ac:dyDescent="0.25">
      <c r="A1702" s="42">
        <v>19</v>
      </c>
      <c r="B1702" s="43" t="s">
        <v>1010</v>
      </c>
      <c r="C1702" s="44" t="s">
        <v>110</v>
      </c>
      <c r="D1702" s="45">
        <v>1.06</v>
      </c>
      <c r="E1702" s="45">
        <v>134.13820000000001</v>
      </c>
      <c r="F1702" s="45">
        <f t="shared" si="404"/>
        <v>142.18649200000002</v>
      </c>
      <c r="G1702" s="46">
        <f t="shared" si="405"/>
        <v>0</v>
      </c>
      <c r="H1702" s="47">
        <f t="shared" si="406"/>
        <v>0</v>
      </c>
      <c r="I1702" s="46">
        <f t="shared" si="407"/>
        <v>0</v>
      </c>
      <c r="J1702" s="47">
        <v>0</v>
      </c>
      <c r="K1702" s="46">
        <f t="shared" si="408"/>
        <v>0</v>
      </c>
      <c r="L1702" s="47">
        <v>0</v>
      </c>
      <c r="AX1702" s="46"/>
      <c r="AY1702" s="47"/>
      <c r="AZ1702" s="70"/>
      <c r="BC1702" s="50"/>
    </row>
    <row r="1703" spans="1:55" s="48" customFormat="1" ht="15.45" customHeight="1" outlineLevel="1" x14ac:dyDescent="0.25">
      <c r="A1703" s="42">
        <v>20</v>
      </c>
      <c r="B1703" s="43" t="s">
        <v>78</v>
      </c>
      <c r="C1703" s="44" t="s">
        <v>110</v>
      </c>
      <c r="D1703" s="45">
        <v>1.06</v>
      </c>
      <c r="E1703" s="45">
        <v>66.499999999999986</v>
      </c>
      <c r="F1703" s="45">
        <f t="shared" si="404"/>
        <v>70.489999999999995</v>
      </c>
      <c r="G1703" s="46">
        <f t="shared" si="405"/>
        <v>0</v>
      </c>
      <c r="H1703" s="47">
        <f t="shared" si="406"/>
        <v>0</v>
      </c>
      <c r="I1703" s="46">
        <f t="shared" si="407"/>
        <v>0</v>
      </c>
      <c r="J1703" s="47">
        <v>0</v>
      </c>
      <c r="K1703" s="46">
        <f t="shared" si="408"/>
        <v>0</v>
      </c>
      <c r="L1703" s="47">
        <v>0</v>
      </c>
      <c r="AX1703" s="46"/>
      <c r="AY1703" s="47"/>
      <c r="AZ1703" s="70"/>
      <c r="BC1703" s="50"/>
    </row>
    <row r="1704" spans="1:55" s="48" customFormat="1" ht="27.75" customHeight="1" outlineLevel="1" x14ac:dyDescent="0.25">
      <c r="A1704" s="42">
        <v>21</v>
      </c>
      <c r="B1704" s="43" t="s">
        <v>827</v>
      </c>
      <c r="C1704" s="44" t="s">
        <v>98</v>
      </c>
      <c r="D1704" s="45">
        <v>52.9</v>
      </c>
      <c r="E1704" s="45">
        <v>11.8912</v>
      </c>
      <c r="F1704" s="45">
        <f t="shared" si="404"/>
        <v>629.04447999999991</v>
      </c>
      <c r="G1704" s="46">
        <f t="shared" si="405"/>
        <v>0</v>
      </c>
      <c r="H1704" s="47">
        <f t="shared" si="406"/>
        <v>0</v>
      </c>
      <c r="I1704" s="46">
        <f t="shared" si="407"/>
        <v>0</v>
      </c>
      <c r="J1704" s="47">
        <v>0</v>
      </c>
      <c r="K1704" s="46">
        <f t="shared" si="408"/>
        <v>0</v>
      </c>
      <c r="L1704" s="47">
        <v>0</v>
      </c>
      <c r="AX1704" s="46"/>
      <c r="AY1704" s="47"/>
      <c r="AZ1704" s="70"/>
      <c r="BC1704" s="50"/>
    </row>
    <row r="1705" spans="1:55" s="48" customFormat="1" ht="27.75" customHeight="1" outlineLevel="1" x14ac:dyDescent="0.25">
      <c r="A1705" s="42">
        <v>22</v>
      </c>
      <c r="B1705" s="43" t="s">
        <v>718</v>
      </c>
      <c r="C1705" s="44" t="s">
        <v>110</v>
      </c>
      <c r="D1705" s="45">
        <v>1.58</v>
      </c>
      <c r="E1705" s="45">
        <v>280</v>
      </c>
      <c r="F1705" s="45">
        <f t="shared" si="404"/>
        <v>442.40000000000003</v>
      </c>
      <c r="G1705" s="46">
        <f t="shared" si="405"/>
        <v>0</v>
      </c>
      <c r="H1705" s="47">
        <f t="shared" si="406"/>
        <v>0</v>
      </c>
      <c r="I1705" s="46">
        <f t="shared" si="407"/>
        <v>0</v>
      </c>
      <c r="J1705" s="47">
        <v>0</v>
      </c>
      <c r="K1705" s="46">
        <f t="shared" si="408"/>
        <v>0</v>
      </c>
      <c r="L1705" s="47">
        <v>0</v>
      </c>
      <c r="AX1705" s="46"/>
      <c r="AY1705" s="47"/>
      <c r="AZ1705" s="70"/>
      <c r="BC1705" s="50"/>
    </row>
    <row r="1706" spans="1:55" s="48" customFormat="1" ht="15.45" customHeight="1" outlineLevel="1" x14ac:dyDescent="0.25">
      <c r="A1706" s="42">
        <v>23</v>
      </c>
      <c r="B1706" s="43" t="s">
        <v>42</v>
      </c>
      <c r="C1706" s="44" t="s">
        <v>28</v>
      </c>
      <c r="D1706" s="45">
        <v>1.0999999999999999E-2</v>
      </c>
      <c r="E1706" s="45">
        <v>1325.1</v>
      </c>
      <c r="F1706" s="45">
        <f t="shared" si="404"/>
        <v>14.576099999999999</v>
      </c>
      <c r="G1706" s="46">
        <f t="shared" si="405"/>
        <v>0</v>
      </c>
      <c r="H1706" s="47">
        <f t="shared" si="406"/>
        <v>0</v>
      </c>
      <c r="I1706" s="46">
        <f t="shared" si="407"/>
        <v>0</v>
      </c>
      <c r="J1706" s="47">
        <v>0</v>
      </c>
      <c r="K1706" s="46">
        <f t="shared" si="408"/>
        <v>0</v>
      </c>
      <c r="L1706" s="47">
        <v>0</v>
      </c>
      <c r="AX1706" s="46"/>
      <c r="AY1706" s="47"/>
      <c r="AZ1706" s="70"/>
      <c r="BC1706" s="50"/>
    </row>
    <row r="1707" spans="1:55" s="48" customFormat="1" ht="15.45" customHeight="1" outlineLevel="1" x14ac:dyDescent="0.25">
      <c r="A1707" s="42">
        <v>24</v>
      </c>
      <c r="B1707" s="43" t="s">
        <v>43</v>
      </c>
      <c r="C1707" s="44" t="s">
        <v>28</v>
      </c>
      <c r="D1707" s="45">
        <v>0.19700000000000001</v>
      </c>
      <c r="E1707" s="45">
        <v>1200.0999999999999</v>
      </c>
      <c r="F1707" s="45">
        <f t="shared" si="404"/>
        <v>236.41970000000001</v>
      </c>
      <c r="G1707" s="46">
        <f t="shared" si="405"/>
        <v>0</v>
      </c>
      <c r="H1707" s="47">
        <f t="shared" si="406"/>
        <v>0</v>
      </c>
      <c r="I1707" s="46">
        <f t="shared" si="407"/>
        <v>0</v>
      </c>
      <c r="J1707" s="47">
        <v>0</v>
      </c>
      <c r="K1707" s="46">
        <f t="shared" si="408"/>
        <v>0</v>
      </c>
      <c r="L1707" s="47">
        <v>0</v>
      </c>
      <c r="AX1707" s="46">
        <v>1</v>
      </c>
      <c r="AY1707" s="47">
        <v>5766733.6402624408</v>
      </c>
      <c r="AZ1707" s="70">
        <f t="shared" ref="AZ1707:AZ1730" si="409">H1707-J1707</f>
        <v>0</v>
      </c>
      <c r="BC1707" s="50"/>
    </row>
    <row r="1708" spans="1:55" s="48" customFormat="1" ht="27.75" customHeight="1" outlineLevel="1" x14ac:dyDescent="0.25">
      <c r="A1708" s="42">
        <v>25</v>
      </c>
      <c r="B1708" s="43" t="s">
        <v>1011</v>
      </c>
      <c r="C1708" s="44" t="s">
        <v>93</v>
      </c>
      <c r="D1708" s="45">
        <v>3</v>
      </c>
      <c r="E1708" s="45">
        <v>29.4862</v>
      </c>
      <c r="F1708" s="45">
        <f t="shared" si="404"/>
        <v>88.458600000000004</v>
      </c>
      <c r="G1708" s="46">
        <f t="shared" si="405"/>
        <v>0</v>
      </c>
      <c r="H1708" s="47">
        <f t="shared" si="406"/>
        <v>0</v>
      </c>
      <c r="I1708" s="46">
        <f t="shared" si="407"/>
        <v>0</v>
      </c>
      <c r="J1708" s="47">
        <v>0</v>
      </c>
      <c r="K1708" s="46">
        <f t="shared" si="408"/>
        <v>0</v>
      </c>
      <c r="L1708" s="47">
        <v>0</v>
      </c>
      <c r="AX1708" s="46">
        <v>1</v>
      </c>
      <c r="AY1708" s="47">
        <v>5766733.6402624408</v>
      </c>
      <c r="AZ1708" s="70">
        <f t="shared" si="409"/>
        <v>0</v>
      </c>
      <c r="BC1708" s="50"/>
    </row>
    <row r="1709" spans="1:55" s="48" customFormat="1" ht="27.75" customHeight="1" outlineLevel="1" x14ac:dyDescent="0.25">
      <c r="A1709" s="42">
        <v>26</v>
      </c>
      <c r="B1709" s="43" t="s">
        <v>1026</v>
      </c>
      <c r="C1709" s="44" t="s">
        <v>93</v>
      </c>
      <c r="D1709" s="45">
        <v>1</v>
      </c>
      <c r="E1709" s="45">
        <v>53.231800000000007</v>
      </c>
      <c r="F1709" s="45">
        <f t="shared" si="404"/>
        <v>53.231800000000007</v>
      </c>
      <c r="G1709" s="46">
        <f t="shared" si="405"/>
        <v>0</v>
      </c>
      <c r="H1709" s="47">
        <f t="shared" si="406"/>
        <v>0</v>
      </c>
      <c r="I1709" s="46">
        <f t="shared" si="407"/>
        <v>0</v>
      </c>
      <c r="J1709" s="47">
        <v>0</v>
      </c>
      <c r="K1709" s="46">
        <f t="shared" si="408"/>
        <v>0</v>
      </c>
      <c r="L1709" s="47">
        <v>0</v>
      </c>
      <c r="AX1709" s="46">
        <v>1</v>
      </c>
      <c r="AY1709" s="47">
        <v>5766733.6402624408</v>
      </c>
      <c r="AZ1709" s="70">
        <f t="shared" si="409"/>
        <v>0</v>
      </c>
      <c r="BC1709" s="50"/>
    </row>
    <row r="1710" spans="1:55" s="48" customFormat="1" ht="15.45" customHeight="1" outlineLevel="1" x14ac:dyDescent="0.25">
      <c r="A1710" s="42">
        <v>27</v>
      </c>
      <c r="B1710" s="43" t="s">
        <v>1012</v>
      </c>
      <c r="C1710" s="44" t="s">
        <v>93</v>
      </c>
      <c r="D1710" s="45">
        <v>1</v>
      </c>
      <c r="E1710" s="45">
        <v>136.59639999999999</v>
      </c>
      <c r="F1710" s="45">
        <f t="shared" si="404"/>
        <v>136.59639999999999</v>
      </c>
      <c r="G1710" s="46">
        <f t="shared" si="405"/>
        <v>0</v>
      </c>
      <c r="H1710" s="47">
        <f t="shared" si="406"/>
        <v>0</v>
      </c>
      <c r="I1710" s="46">
        <f t="shared" si="407"/>
        <v>0</v>
      </c>
      <c r="J1710" s="47">
        <v>0</v>
      </c>
      <c r="K1710" s="46">
        <f t="shared" si="408"/>
        <v>0</v>
      </c>
      <c r="L1710" s="47">
        <v>0</v>
      </c>
      <c r="AX1710" s="46">
        <v>0</v>
      </c>
      <c r="AY1710" s="47">
        <v>0</v>
      </c>
      <c r="AZ1710" s="70">
        <f t="shared" si="409"/>
        <v>0</v>
      </c>
      <c r="BC1710" s="50"/>
    </row>
    <row r="1711" spans="1:55" s="48" customFormat="1" ht="15.45" customHeight="1" outlineLevel="1" x14ac:dyDescent="0.25">
      <c r="A1711" s="42">
        <v>28</v>
      </c>
      <c r="B1711" s="43" t="s">
        <v>90</v>
      </c>
      <c r="C1711" s="44" t="s">
        <v>28</v>
      </c>
      <c r="D1711" s="45">
        <v>4.1000000000000002E-2</v>
      </c>
      <c r="E1711" s="45">
        <v>3264.1</v>
      </c>
      <c r="F1711" s="45">
        <f t="shared" si="404"/>
        <v>133.82810000000001</v>
      </c>
      <c r="G1711" s="46">
        <f t="shared" si="405"/>
        <v>0</v>
      </c>
      <c r="H1711" s="47">
        <f t="shared" si="406"/>
        <v>0</v>
      </c>
      <c r="I1711" s="46">
        <f t="shared" si="407"/>
        <v>0</v>
      </c>
      <c r="J1711" s="47">
        <v>0</v>
      </c>
      <c r="K1711" s="46">
        <f t="shared" si="408"/>
        <v>0</v>
      </c>
      <c r="L1711" s="47">
        <v>0</v>
      </c>
      <c r="AX1711" s="46">
        <v>0</v>
      </c>
      <c r="AY1711" s="47">
        <v>1038012.055247239</v>
      </c>
      <c r="AZ1711" s="70">
        <f t="shared" si="409"/>
        <v>0</v>
      </c>
      <c r="BC1711" s="50"/>
    </row>
    <row r="1712" spans="1:55" s="48" customFormat="1" ht="27.75" customHeight="1" outlineLevel="1" x14ac:dyDescent="0.25">
      <c r="A1712" s="42">
        <v>29</v>
      </c>
      <c r="B1712" s="43" t="s">
        <v>736</v>
      </c>
      <c r="C1712" s="44" t="s">
        <v>98</v>
      </c>
      <c r="D1712" s="45">
        <v>2.6</v>
      </c>
      <c r="E1712" s="45">
        <v>2.9254000000000011</v>
      </c>
      <c r="F1712" s="45">
        <f t="shared" si="404"/>
        <v>7.6060400000000028</v>
      </c>
      <c r="G1712" s="46">
        <f t="shared" si="405"/>
        <v>0</v>
      </c>
      <c r="H1712" s="47">
        <f t="shared" si="406"/>
        <v>0</v>
      </c>
      <c r="I1712" s="46">
        <f t="shared" si="407"/>
        <v>0</v>
      </c>
      <c r="J1712" s="47">
        <v>0</v>
      </c>
      <c r="K1712" s="46">
        <f t="shared" si="408"/>
        <v>0</v>
      </c>
      <c r="L1712" s="47">
        <v>0</v>
      </c>
      <c r="AX1712" s="46">
        <v>0</v>
      </c>
      <c r="AY1712" s="47">
        <v>0</v>
      </c>
      <c r="AZ1712" s="70">
        <f t="shared" si="409"/>
        <v>0</v>
      </c>
      <c r="BC1712" s="50"/>
    </row>
    <row r="1713" spans="1:55" s="48" customFormat="1" ht="27.75" customHeight="1" outlineLevel="1" x14ac:dyDescent="0.25">
      <c r="A1713" s="42">
        <v>30</v>
      </c>
      <c r="B1713" s="43" t="s">
        <v>909</v>
      </c>
      <c r="C1713" s="44" t="s">
        <v>61</v>
      </c>
      <c r="D1713" s="45">
        <v>1.8</v>
      </c>
      <c r="E1713" s="45">
        <v>12.0646</v>
      </c>
      <c r="F1713" s="45">
        <f t="shared" si="404"/>
        <v>21.716280000000001</v>
      </c>
      <c r="G1713" s="46">
        <f t="shared" si="405"/>
        <v>0</v>
      </c>
      <c r="H1713" s="47">
        <f t="shared" si="406"/>
        <v>0</v>
      </c>
      <c r="I1713" s="46">
        <f t="shared" si="407"/>
        <v>0</v>
      </c>
      <c r="J1713" s="47">
        <v>0</v>
      </c>
      <c r="K1713" s="46">
        <f t="shared" si="408"/>
        <v>0</v>
      </c>
      <c r="L1713" s="47">
        <v>0</v>
      </c>
      <c r="AX1713" s="46">
        <v>0</v>
      </c>
      <c r="AY1713" s="47">
        <v>0</v>
      </c>
      <c r="AZ1713" s="70">
        <f t="shared" si="409"/>
        <v>0</v>
      </c>
      <c r="BC1713" s="50"/>
    </row>
    <row r="1714" spans="1:55" s="48" customFormat="1" ht="15.45" customHeight="1" outlineLevel="1" x14ac:dyDescent="0.25">
      <c r="A1714" s="42">
        <v>31</v>
      </c>
      <c r="B1714" s="43" t="s">
        <v>75</v>
      </c>
      <c r="C1714" s="44" t="s">
        <v>98</v>
      </c>
      <c r="D1714" s="45">
        <v>12.8</v>
      </c>
      <c r="E1714" s="45">
        <v>3.7719999999999998</v>
      </c>
      <c r="F1714" s="45">
        <f t="shared" si="404"/>
        <v>48.281599999999997</v>
      </c>
      <c r="G1714" s="46">
        <f t="shared" si="405"/>
        <v>0</v>
      </c>
      <c r="H1714" s="47">
        <f t="shared" si="406"/>
        <v>0</v>
      </c>
      <c r="I1714" s="46">
        <f t="shared" si="407"/>
        <v>0</v>
      </c>
      <c r="J1714" s="47">
        <v>0</v>
      </c>
      <c r="K1714" s="46">
        <f t="shared" si="408"/>
        <v>0</v>
      </c>
      <c r="L1714" s="47">
        <v>0</v>
      </c>
      <c r="AX1714" s="46">
        <v>0</v>
      </c>
      <c r="AY1714" s="47">
        <v>0</v>
      </c>
      <c r="AZ1714" s="70">
        <f t="shared" si="409"/>
        <v>0</v>
      </c>
      <c r="BC1714" s="50"/>
    </row>
    <row r="1715" spans="1:55" s="48" customFormat="1" ht="15.45" customHeight="1" outlineLevel="1" x14ac:dyDescent="0.25">
      <c r="A1715" s="42">
        <v>32</v>
      </c>
      <c r="B1715" s="43" t="s">
        <v>1013</v>
      </c>
      <c r="C1715" s="44" t="s">
        <v>98</v>
      </c>
      <c r="D1715" s="45">
        <v>12.8</v>
      </c>
      <c r="E1715" s="45">
        <v>0.95300000000000007</v>
      </c>
      <c r="F1715" s="45">
        <f t="shared" si="404"/>
        <v>12.198400000000001</v>
      </c>
      <c r="G1715" s="46">
        <f t="shared" si="405"/>
        <v>0</v>
      </c>
      <c r="H1715" s="47">
        <f t="shared" si="406"/>
        <v>0</v>
      </c>
      <c r="I1715" s="46">
        <f t="shared" si="407"/>
        <v>0</v>
      </c>
      <c r="J1715" s="47">
        <v>0</v>
      </c>
      <c r="K1715" s="46">
        <f t="shared" si="408"/>
        <v>0</v>
      </c>
      <c r="L1715" s="47">
        <v>0</v>
      </c>
      <c r="AX1715" s="46">
        <v>0</v>
      </c>
      <c r="AY1715" s="47">
        <v>0</v>
      </c>
      <c r="AZ1715" s="70">
        <f t="shared" si="409"/>
        <v>0</v>
      </c>
      <c r="BC1715" s="50"/>
    </row>
    <row r="1716" spans="1:55" s="48" customFormat="1" ht="15.45" customHeight="1" outlineLevel="1" x14ac:dyDescent="0.25">
      <c r="A1716" s="42">
        <v>33</v>
      </c>
      <c r="B1716" s="43" t="s">
        <v>1014</v>
      </c>
      <c r="C1716" s="44" t="s">
        <v>98</v>
      </c>
      <c r="D1716" s="45">
        <v>12.8</v>
      </c>
      <c r="E1716" s="45">
        <v>6.5463999999999993</v>
      </c>
      <c r="F1716" s="45">
        <f t="shared" si="404"/>
        <v>83.79392</v>
      </c>
      <c r="G1716" s="46">
        <f t="shared" si="405"/>
        <v>0</v>
      </c>
      <c r="H1716" s="47">
        <f t="shared" si="406"/>
        <v>0</v>
      </c>
      <c r="I1716" s="46">
        <f t="shared" si="407"/>
        <v>0</v>
      </c>
      <c r="J1716" s="47">
        <v>0</v>
      </c>
      <c r="K1716" s="46">
        <f t="shared" si="408"/>
        <v>0</v>
      </c>
      <c r="L1716" s="47">
        <v>0</v>
      </c>
      <c r="AX1716" s="46">
        <v>0</v>
      </c>
      <c r="AY1716" s="47">
        <v>0</v>
      </c>
      <c r="AZ1716" s="70">
        <f t="shared" si="409"/>
        <v>0</v>
      </c>
      <c r="BC1716" s="50"/>
    </row>
    <row r="1717" spans="1:55" s="48" customFormat="1" ht="15.45" customHeight="1" outlineLevel="1" x14ac:dyDescent="0.25">
      <c r="A1717" s="42">
        <v>34</v>
      </c>
      <c r="B1717" s="43" t="s">
        <v>75</v>
      </c>
      <c r="C1717" s="44" t="s">
        <v>98</v>
      </c>
      <c r="D1717" s="45">
        <v>12.8</v>
      </c>
      <c r="E1717" s="45">
        <v>3.7719999999999998</v>
      </c>
      <c r="F1717" s="45">
        <f t="shared" si="404"/>
        <v>48.281599999999997</v>
      </c>
      <c r="G1717" s="46">
        <f t="shared" si="405"/>
        <v>0</v>
      </c>
      <c r="H1717" s="47">
        <f t="shared" si="406"/>
        <v>0</v>
      </c>
      <c r="I1717" s="46">
        <f t="shared" si="407"/>
        <v>0</v>
      </c>
      <c r="J1717" s="47">
        <v>0</v>
      </c>
      <c r="K1717" s="46">
        <f t="shared" si="408"/>
        <v>0</v>
      </c>
      <c r="L1717" s="47">
        <v>0</v>
      </c>
      <c r="AX1717" s="46">
        <v>0</v>
      </c>
      <c r="AY1717" s="47">
        <v>0</v>
      </c>
      <c r="AZ1717" s="70">
        <f t="shared" si="409"/>
        <v>0</v>
      </c>
      <c r="BC1717" s="50"/>
    </row>
    <row r="1718" spans="1:55" s="48" customFormat="1" ht="15.45" customHeight="1" outlineLevel="1" x14ac:dyDescent="0.25">
      <c r="A1718" s="42">
        <v>35</v>
      </c>
      <c r="B1718" s="43" t="s">
        <v>1015</v>
      </c>
      <c r="C1718" s="44" t="s">
        <v>98</v>
      </c>
      <c r="D1718" s="45">
        <v>12.8</v>
      </c>
      <c r="E1718" s="45">
        <v>0.95300000000000007</v>
      </c>
      <c r="F1718" s="45">
        <f t="shared" si="404"/>
        <v>12.198400000000001</v>
      </c>
      <c r="G1718" s="46">
        <f t="shared" si="405"/>
        <v>0</v>
      </c>
      <c r="H1718" s="47">
        <f t="shared" si="406"/>
        <v>0</v>
      </c>
      <c r="I1718" s="46">
        <f t="shared" si="407"/>
        <v>0</v>
      </c>
      <c r="J1718" s="47">
        <v>0</v>
      </c>
      <c r="K1718" s="46">
        <f t="shared" si="408"/>
        <v>0</v>
      </c>
      <c r="L1718" s="47">
        <v>0</v>
      </c>
      <c r="AX1718" s="46">
        <v>0</v>
      </c>
      <c r="AY1718" s="47">
        <v>0</v>
      </c>
      <c r="AZ1718" s="70">
        <f t="shared" si="409"/>
        <v>0</v>
      </c>
      <c r="BC1718" s="50"/>
    </row>
    <row r="1719" spans="1:55" s="48" customFormat="1" ht="15.45" customHeight="1" outlineLevel="1" x14ac:dyDescent="0.25">
      <c r="A1719" s="42">
        <v>36</v>
      </c>
      <c r="B1719" s="43" t="s">
        <v>1016</v>
      </c>
      <c r="C1719" s="44" t="s">
        <v>110</v>
      </c>
      <c r="D1719" s="45">
        <v>27</v>
      </c>
      <c r="E1719" s="45">
        <v>1.9461999999999999</v>
      </c>
      <c r="F1719" s="45">
        <f t="shared" si="404"/>
        <v>52.547399999999996</v>
      </c>
      <c r="G1719" s="46">
        <f t="shared" si="405"/>
        <v>0</v>
      </c>
      <c r="H1719" s="47">
        <f t="shared" si="406"/>
        <v>0</v>
      </c>
      <c r="I1719" s="46">
        <f t="shared" si="407"/>
        <v>0</v>
      </c>
      <c r="J1719" s="47">
        <v>0</v>
      </c>
      <c r="K1719" s="46">
        <f t="shared" si="408"/>
        <v>0</v>
      </c>
      <c r="L1719" s="47">
        <v>0</v>
      </c>
      <c r="AX1719" s="46">
        <v>0</v>
      </c>
      <c r="AY1719" s="47">
        <v>0</v>
      </c>
      <c r="AZ1719" s="70">
        <f t="shared" si="409"/>
        <v>0</v>
      </c>
      <c r="BC1719" s="50"/>
    </row>
    <row r="1720" spans="1:55" s="56" customFormat="1" ht="17.25" customHeight="1" x14ac:dyDescent="0.3">
      <c r="A1720" s="31">
        <v>13.2</v>
      </c>
      <c r="B1720" s="51" t="s">
        <v>1041</v>
      </c>
      <c r="C1720" s="52">
        <v>0</v>
      </c>
      <c r="D1720" s="53"/>
      <c r="E1720" s="53"/>
      <c r="F1720" s="53"/>
      <c r="G1720" s="54"/>
      <c r="H1720" s="55"/>
      <c r="I1720" s="54"/>
      <c r="J1720" s="55"/>
      <c r="K1720" s="54"/>
      <c r="L1720" s="55">
        <v>0</v>
      </c>
      <c r="AX1720" s="69">
        <v>0</v>
      </c>
      <c r="AY1720" s="71">
        <v>0</v>
      </c>
      <c r="AZ1720" s="72">
        <f t="shared" si="409"/>
        <v>0</v>
      </c>
      <c r="BC1720" s="58"/>
    </row>
    <row r="1721" spans="1:55" s="48" customFormat="1" ht="41.7" customHeight="1" outlineLevel="1" x14ac:dyDescent="0.25">
      <c r="A1721" s="42">
        <v>1</v>
      </c>
      <c r="B1721" s="43" t="s">
        <v>1028</v>
      </c>
      <c r="C1721" s="44" t="s">
        <v>61</v>
      </c>
      <c r="D1721" s="45">
        <v>5</v>
      </c>
      <c r="E1721" s="45">
        <v>9.3513999999999999</v>
      </c>
      <c r="F1721" s="45">
        <f t="shared" ref="F1721:F1741" si="410">+E1721*D1721</f>
        <v>46.756999999999998</v>
      </c>
      <c r="G1721" s="46">
        <f t="shared" ref="G1721:G1741" si="411">I1721+K1721</f>
        <v>0</v>
      </c>
      <c r="H1721" s="47">
        <f t="shared" ref="H1721:H1741" si="412">J1721+L1721</f>
        <v>0</v>
      </c>
      <c r="I1721" s="46">
        <f t="shared" ref="I1721:I1741" si="413">J1721/F1721</f>
        <v>0</v>
      </c>
      <c r="J1721" s="47">
        <v>0</v>
      </c>
      <c r="K1721" s="46">
        <f t="shared" ref="K1721:K1741" si="414">L1721/F1721</f>
        <v>0</v>
      </c>
      <c r="L1721" s="47">
        <v>0</v>
      </c>
      <c r="AX1721" s="46">
        <v>0</v>
      </c>
      <c r="AY1721" s="47">
        <v>0</v>
      </c>
      <c r="AZ1721" s="70">
        <f t="shared" si="409"/>
        <v>0</v>
      </c>
      <c r="BC1721" s="50"/>
    </row>
    <row r="1722" spans="1:55" s="48" customFormat="1" ht="27.75" customHeight="1" outlineLevel="1" x14ac:dyDescent="0.25">
      <c r="A1722" s="42">
        <v>2</v>
      </c>
      <c r="B1722" s="43" t="s">
        <v>185</v>
      </c>
      <c r="C1722" s="44" t="s">
        <v>61</v>
      </c>
      <c r="D1722" s="45">
        <v>5</v>
      </c>
      <c r="E1722" s="45">
        <v>8.686399999999999</v>
      </c>
      <c r="F1722" s="45">
        <f t="shared" si="410"/>
        <v>43.431999999999995</v>
      </c>
      <c r="G1722" s="46">
        <f t="shared" si="411"/>
        <v>0</v>
      </c>
      <c r="H1722" s="47">
        <f t="shared" si="412"/>
        <v>0</v>
      </c>
      <c r="I1722" s="46">
        <f t="shared" si="413"/>
        <v>0</v>
      </c>
      <c r="J1722" s="47">
        <v>0</v>
      </c>
      <c r="K1722" s="46">
        <f t="shared" si="414"/>
        <v>0</v>
      </c>
      <c r="L1722" s="47">
        <v>0</v>
      </c>
      <c r="AX1722" s="46">
        <v>0</v>
      </c>
      <c r="AY1722" s="47">
        <v>0</v>
      </c>
      <c r="AZ1722" s="70">
        <f t="shared" si="409"/>
        <v>0</v>
      </c>
      <c r="BC1722" s="50"/>
    </row>
    <row r="1723" spans="1:55" s="48" customFormat="1" ht="27.75" customHeight="1" outlineLevel="1" x14ac:dyDescent="0.25">
      <c r="A1723" s="42">
        <v>3</v>
      </c>
      <c r="B1723" s="43" t="s">
        <v>186</v>
      </c>
      <c r="C1723" s="44" t="s">
        <v>61</v>
      </c>
      <c r="D1723" s="45">
        <v>5</v>
      </c>
      <c r="E1723" s="45">
        <v>1.1876</v>
      </c>
      <c r="F1723" s="45">
        <f t="shared" si="410"/>
        <v>5.9379999999999997</v>
      </c>
      <c r="G1723" s="46">
        <f t="shared" si="411"/>
        <v>0</v>
      </c>
      <c r="H1723" s="47">
        <f t="shared" si="412"/>
        <v>0</v>
      </c>
      <c r="I1723" s="46">
        <f t="shared" si="413"/>
        <v>0</v>
      </c>
      <c r="J1723" s="47">
        <v>0</v>
      </c>
      <c r="K1723" s="46">
        <f t="shared" si="414"/>
        <v>0</v>
      </c>
      <c r="L1723" s="47">
        <v>0</v>
      </c>
      <c r="AX1723" s="46">
        <v>0</v>
      </c>
      <c r="AY1723" s="47">
        <v>0</v>
      </c>
      <c r="AZ1723" s="70">
        <f t="shared" si="409"/>
        <v>0</v>
      </c>
      <c r="BC1723" s="50"/>
    </row>
    <row r="1724" spans="1:55" s="48" customFormat="1" ht="15.45" customHeight="1" outlineLevel="1" x14ac:dyDescent="0.25">
      <c r="A1724" s="42">
        <v>4</v>
      </c>
      <c r="B1724" s="43" t="s">
        <v>1029</v>
      </c>
      <c r="C1724" s="44" t="s">
        <v>93</v>
      </c>
      <c r="D1724" s="45">
        <v>2</v>
      </c>
      <c r="E1724" s="45">
        <v>4.0658000000000003</v>
      </c>
      <c r="F1724" s="45">
        <f t="shared" si="410"/>
        <v>8.1316000000000006</v>
      </c>
      <c r="G1724" s="46">
        <f t="shared" si="411"/>
        <v>0</v>
      </c>
      <c r="H1724" s="47">
        <f t="shared" si="412"/>
        <v>0</v>
      </c>
      <c r="I1724" s="46">
        <f t="shared" si="413"/>
        <v>0</v>
      </c>
      <c r="J1724" s="47">
        <v>0</v>
      </c>
      <c r="K1724" s="46">
        <f t="shared" si="414"/>
        <v>0</v>
      </c>
      <c r="L1724" s="47">
        <v>0</v>
      </c>
      <c r="AX1724" s="46">
        <v>0</v>
      </c>
      <c r="AY1724" s="47">
        <v>0</v>
      </c>
      <c r="AZ1724" s="70">
        <f t="shared" si="409"/>
        <v>0</v>
      </c>
      <c r="BC1724" s="50"/>
    </row>
    <row r="1725" spans="1:55" s="48" customFormat="1" ht="15.45" customHeight="1" outlineLevel="1" x14ac:dyDescent="0.25">
      <c r="A1725" s="42">
        <v>5</v>
      </c>
      <c r="B1725" s="43" t="s">
        <v>1030</v>
      </c>
      <c r="C1725" s="44" t="s">
        <v>93</v>
      </c>
      <c r="D1725" s="45">
        <v>1</v>
      </c>
      <c r="E1725" s="45">
        <v>85.0946</v>
      </c>
      <c r="F1725" s="45">
        <f t="shared" si="410"/>
        <v>85.0946</v>
      </c>
      <c r="G1725" s="46">
        <f t="shared" si="411"/>
        <v>0</v>
      </c>
      <c r="H1725" s="47">
        <f t="shared" si="412"/>
        <v>0</v>
      </c>
      <c r="I1725" s="46">
        <f t="shared" si="413"/>
        <v>0</v>
      </c>
      <c r="J1725" s="47">
        <v>0</v>
      </c>
      <c r="K1725" s="46">
        <f t="shared" si="414"/>
        <v>0</v>
      </c>
      <c r="L1725" s="47">
        <v>0</v>
      </c>
      <c r="AX1725" s="46">
        <v>0</v>
      </c>
      <c r="AY1725" s="47">
        <v>0</v>
      </c>
      <c r="AZ1725" s="70">
        <f t="shared" si="409"/>
        <v>0</v>
      </c>
      <c r="BC1725" s="50"/>
    </row>
    <row r="1726" spans="1:55" s="48" customFormat="1" ht="41.7" customHeight="1" outlineLevel="1" x14ac:dyDescent="0.25">
      <c r="A1726" s="42">
        <v>6</v>
      </c>
      <c r="B1726" s="43" t="s">
        <v>1031</v>
      </c>
      <c r="C1726" s="44" t="s">
        <v>61</v>
      </c>
      <c r="D1726" s="45">
        <v>6</v>
      </c>
      <c r="E1726" s="45">
        <v>10.4734</v>
      </c>
      <c r="F1726" s="45">
        <f t="shared" si="410"/>
        <v>62.840400000000002</v>
      </c>
      <c r="G1726" s="46">
        <f t="shared" si="411"/>
        <v>0</v>
      </c>
      <c r="H1726" s="47">
        <f t="shared" si="412"/>
        <v>0</v>
      </c>
      <c r="I1726" s="46">
        <f t="shared" si="413"/>
        <v>0</v>
      </c>
      <c r="J1726" s="47">
        <v>0</v>
      </c>
      <c r="K1726" s="46">
        <f t="shared" si="414"/>
        <v>0</v>
      </c>
      <c r="L1726" s="47">
        <v>0</v>
      </c>
      <c r="AX1726" s="46">
        <v>0</v>
      </c>
      <c r="AY1726" s="47">
        <v>0</v>
      </c>
      <c r="AZ1726" s="70">
        <f t="shared" si="409"/>
        <v>0</v>
      </c>
      <c r="BC1726" s="50"/>
    </row>
    <row r="1727" spans="1:55" s="48" customFormat="1" ht="27.75" customHeight="1" outlineLevel="1" x14ac:dyDescent="0.25">
      <c r="A1727" s="42">
        <v>7</v>
      </c>
      <c r="B1727" s="43" t="s">
        <v>1032</v>
      </c>
      <c r="C1727" s="44" t="s">
        <v>61</v>
      </c>
      <c r="D1727" s="45">
        <v>6</v>
      </c>
      <c r="E1727" s="45">
        <v>17.846</v>
      </c>
      <c r="F1727" s="45">
        <f t="shared" si="410"/>
        <v>107.07599999999999</v>
      </c>
      <c r="G1727" s="46">
        <f t="shared" si="411"/>
        <v>0</v>
      </c>
      <c r="H1727" s="47">
        <f t="shared" si="412"/>
        <v>0</v>
      </c>
      <c r="I1727" s="46">
        <f t="shared" si="413"/>
        <v>0</v>
      </c>
      <c r="J1727" s="47">
        <v>0</v>
      </c>
      <c r="K1727" s="46">
        <f t="shared" si="414"/>
        <v>0</v>
      </c>
      <c r="L1727" s="47">
        <v>0</v>
      </c>
      <c r="AX1727" s="46">
        <v>0</v>
      </c>
      <c r="AY1727" s="47">
        <v>0</v>
      </c>
      <c r="AZ1727" s="70">
        <f t="shared" si="409"/>
        <v>0</v>
      </c>
      <c r="BC1727" s="50"/>
    </row>
    <row r="1728" spans="1:55" s="48" customFormat="1" ht="48.75" customHeight="1" outlineLevel="1" x14ac:dyDescent="0.25">
      <c r="A1728" s="42">
        <v>8</v>
      </c>
      <c r="B1728" s="43" t="s">
        <v>186</v>
      </c>
      <c r="C1728" s="44" t="s">
        <v>61</v>
      </c>
      <c r="D1728" s="45">
        <v>6</v>
      </c>
      <c r="E1728" s="45">
        <v>1.1876</v>
      </c>
      <c r="F1728" s="45">
        <f t="shared" si="410"/>
        <v>7.1256000000000004</v>
      </c>
      <c r="G1728" s="46">
        <f t="shared" si="411"/>
        <v>0</v>
      </c>
      <c r="H1728" s="47">
        <f t="shared" si="412"/>
        <v>0</v>
      </c>
      <c r="I1728" s="46">
        <f t="shared" si="413"/>
        <v>0</v>
      </c>
      <c r="J1728" s="47">
        <v>0</v>
      </c>
      <c r="K1728" s="46">
        <f t="shared" si="414"/>
        <v>0</v>
      </c>
      <c r="L1728" s="47">
        <v>0</v>
      </c>
      <c r="AX1728" s="46">
        <v>0.75757585000000005</v>
      </c>
      <c r="AY1728" s="47">
        <v>50000.006099999999</v>
      </c>
      <c r="AZ1728" s="70">
        <f t="shared" si="409"/>
        <v>0</v>
      </c>
      <c r="BC1728" s="50"/>
    </row>
    <row r="1729" spans="1:55" s="48" customFormat="1" ht="15.45" customHeight="1" outlineLevel="1" x14ac:dyDescent="0.25">
      <c r="A1729" s="42">
        <v>9</v>
      </c>
      <c r="B1729" s="43" t="s">
        <v>1033</v>
      </c>
      <c r="C1729" s="44" t="s">
        <v>93</v>
      </c>
      <c r="D1729" s="45">
        <v>1</v>
      </c>
      <c r="E1729" s="45">
        <v>20.510200000000001</v>
      </c>
      <c r="F1729" s="45">
        <f t="shared" si="410"/>
        <v>20.510200000000001</v>
      </c>
      <c r="G1729" s="46">
        <f t="shared" si="411"/>
        <v>0</v>
      </c>
      <c r="H1729" s="47">
        <f t="shared" si="412"/>
        <v>0</v>
      </c>
      <c r="I1729" s="46">
        <f t="shared" si="413"/>
        <v>0</v>
      </c>
      <c r="J1729" s="47">
        <v>0</v>
      </c>
      <c r="K1729" s="46">
        <f t="shared" si="414"/>
        <v>0</v>
      </c>
      <c r="L1729" s="47">
        <v>0</v>
      </c>
      <c r="AX1729" s="46">
        <v>0</v>
      </c>
      <c r="AY1729" s="47">
        <v>0</v>
      </c>
      <c r="AZ1729" s="70">
        <f t="shared" si="409"/>
        <v>0</v>
      </c>
      <c r="BC1729" s="50"/>
    </row>
    <row r="1730" spans="1:55" s="48" customFormat="1" ht="15.45" customHeight="1" outlineLevel="1" x14ac:dyDescent="0.25">
      <c r="A1730" s="42">
        <v>10</v>
      </c>
      <c r="B1730" s="43" t="s">
        <v>1034</v>
      </c>
      <c r="C1730" s="44" t="s">
        <v>93</v>
      </c>
      <c r="D1730" s="45">
        <v>1</v>
      </c>
      <c r="E1730" s="45">
        <v>12.1646</v>
      </c>
      <c r="F1730" s="45">
        <f t="shared" si="410"/>
        <v>12.1646</v>
      </c>
      <c r="G1730" s="46">
        <f t="shared" si="411"/>
        <v>0</v>
      </c>
      <c r="H1730" s="47">
        <f t="shared" si="412"/>
        <v>0</v>
      </c>
      <c r="I1730" s="46">
        <f t="shared" si="413"/>
        <v>0</v>
      </c>
      <c r="J1730" s="47">
        <v>0</v>
      </c>
      <c r="K1730" s="46">
        <f t="shared" si="414"/>
        <v>0</v>
      </c>
      <c r="L1730" s="47">
        <v>0</v>
      </c>
      <c r="AX1730" s="46">
        <v>0</v>
      </c>
      <c r="AY1730" s="47">
        <v>0</v>
      </c>
      <c r="AZ1730" s="70">
        <f t="shared" si="409"/>
        <v>0</v>
      </c>
      <c r="BC1730" s="50"/>
    </row>
    <row r="1731" spans="1:55" s="48" customFormat="1" ht="41.7" customHeight="1" outlineLevel="1" x14ac:dyDescent="0.25">
      <c r="A1731" s="42">
        <v>11</v>
      </c>
      <c r="B1731" s="43" t="s">
        <v>1035</v>
      </c>
      <c r="C1731" s="44" t="s">
        <v>61</v>
      </c>
      <c r="D1731" s="45">
        <v>5</v>
      </c>
      <c r="E1731" s="45">
        <v>33.066400000000002</v>
      </c>
      <c r="F1731" s="45">
        <f t="shared" si="410"/>
        <v>165.33199999999999</v>
      </c>
      <c r="G1731" s="46">
        <f t="shared" si="411"/>
        <v>0</v>
      </c>
      <c r="H1731" s="47">
        <f t="shared" si="412"/>
        <v>0</v>
      </c>
      <c r="I1731" s="46">
        <f t="shared" si="413"/>
        <v>0</v>
      </c>
      <c r="J1731" s="47">
        <v>0</v>
      </c>
      <c r="K1731" s="46">
        <f t="shared" si="414"/>
        <v>0</v>
      </c>
      <c r="L1731" s="47">
        <v>0</v>
      </c>
      <c r="AX1731" s="46"/>
      <c r="AY1731" s="47"/>
      <c r="AZ1731" s="70"/>
      <c r="BC1731" s="50"/>
    </row>
    <row r="1732" spans="1:55" s="48" customFormat="1" ht="27.75" customHeight="1" outlineLevel="1" x14ac:dyDescent="0.25">
      <c r="A1732" s="42">
        <v>12</v>
      </c>
      <c r="B1732" s="43" t="s">
        <v>1036</v>
      </c>
      <c r="C1732" s="44" t="s">
        <v>61</v>
      </c>
      <c r="D1732" s="45">
        <v>5</v>
      </c>
      <c r="E1732" s="45">
        <v>53.780600000000007</v>
      </c>
      <c r="F1732" s="45">
        <f t="shared" si="410"/>
        <v>268.90300000000002</v>
      </c>
      <c r="G1732" s="46">
        <f t="shared" si="411"/>
        <v>0</v>
      </c>
      <c r="H1732" s="47">
        <f t="shared" si="412"/>
        <v>0</v>
      </c>
      <c r="I1732" s="46">
        <f t="shared" si="413"/>
        <v>0</v>
      </c>
      <c r="J1732" s="47">
        <v>0</v>
      </c>
      <c r="K1732" s="46">
        <f t="shared" si="414"/>
        <v>0</v>
      </c>
      <c r="L1732" s="47">
        <v>0</v>
      </c>
      <c r="AX1732" s="46"/>
      <c r="AY1732" s="47"/>
      <c r="AZ1732" s="70"/>
      <c r="BC1732" s="50"/>
    </row>
    <row r="1733" spans="1:55" s="48" customFormat="1" ht="27.75" customHeight="1" outlineLevel="1" x14ac:dyDescent="0.25">
      <c r="A1733" s="42">
        <v>13</v>
      </c>
      <c r="B1733" s="43" t="s">
        <v>1037</v>
      </c>
      <c r="C1733" s="44" t="s">
        <v>61</v>
      </c>
      <c r="D1733" s="45">
        <v>5</v>
      </c>
      <c r="E1733" s="45">
        <v>1.1876</v>
      </c>
      <c r="F1733" s="45">
        <f t="shared" si="410"/>
        <v>5.9379999999999997</v>
      </c>
      <c r="G1733" s="46">
        <f t="shared" si="411"/>
        <v>0</v>
      </c>
      <c r="H1733" s="47">
        <f t="shared" si="412"/>
        <v>0</v>
      </c>
      <c r="I1733" s="46">
        <f t="shared" si="413"/>
        <v>0</v>
      </c>
      <c r="J1733" s="47">
        <v>0</v>
      </c>
      <c r="K1733" s="46">
        <f t="shared" si="414"/>
        <v>0</v>
      </c>
      <c r="L1733" s="47">
        <v>0</v>
      </c>
      <c r="AX1733" s="46"/>
      <c r="AY1733" s="47"/>
      <c r="AZ1733" s="70"/>
      <c r="BC1733" s="50"/>
    </row>
    <row r="1734" spans="1:55" s="48" customFormat="1" ht="41.7" customHeight="1" outlineLevel="1" x14ac:dyDescent="0.25">
      <c r="A1734" s="42">
        <v>14</v>
      </c>
      <c r="B1734" s="43" t="s">
        <v>1038</v>
      </c>
      <c r="C1734" s="44" t="s">
        <v>61</v>
      </c>
      <c r="D1734" s="45">
        <v>13</v>
      </c>
      <c r="E1734" s="45">
        <v>10.4734</v>
      </c>
      <c r="F1734" s="45">
        <f t="shared" si="410"/>
        <v>136.1542</v>
      </c>
      <c r="G1734" s="46">
        <f t="shared" si="411"/>
        <v>0</v>
      </c>
      <c r="H1734" s="47">
        <f t="shared" si="412"/>
        <v>0</v>
      </c>
      <c r="I1734" s="46">
        <f t="shared" si="413"/>
        <v>0</v>
      </c>
      <c r="J1734" s="47">
        <v>0</v>
      </c>
      <c r="K1734" s="46">
        <f t="shared" si="414"/>
        <v>0</v>
      </c>
      <c r="L1734" s="47">
        <v>0</v>
      </c>
      <c r="AX1734" s="46"/>
      <c r="AY1734" s="47"/>
      <c r="AZ1734" s="70"/>
      <c r="BC1734" s="50"/>
    </row>
    <row r="1735" spans="1:55" s="48" customFormat="1" ht="27.75" customHeight="1" outlineLevel="1" x14ac:dyDescent="0.25">
      <c r="A1735" s="42">
        <v>15</v>
      </c>
      <c r="B1735" s="43" t="s">
        <v>1032</v>
      </c>
      <c r="C1735" s="44" t="s">
        <v>61</v>
      </c>
      <c r="D1735" s="45">
        <v>13</v>
      </c>
      <c r="E1735" s="45">
        <v>17.846</v>
      </c>
      <c r="F1735" s="45">
        <f t="shared" si="410"/>
        <v>231.99799999999999</v>
      </c>
      <c r="G1735" s="46">
        <f t="shared" si="411"/>
        <v>0</v>
      </c>
      <c r="H1735" s="47">
        <f t="shared" si="412"/>
        <v>0</v>
      </c>
      <c r="I1735" s="46">
        <f t="shared" si="413"/>
        <v>0</v>
      </c>
      <c r="J1735" s="47">
        <v>0</v>
      </c>
      <c r="K1735" s="46">
        <f t="shared" si="414"/>
        <v>0</v>
      </c>
      <c r="L1735" s="47">
        <v>0</v>
      </c>
      <c r="AX1735" s="46"/>
      <c r="AY1735" s="47"/>
      <c r="AZ1735" s="70"/>
      <c r="BC1735" s="50"/>
    </row>
    <row r="1736" spans="1:55" s="48" customFormat="1" ht="27.75" customHeight="1" outlineLevel="1" x14ac:dyDescent="0.25">
      <c r="A1736" s="42">
        <v>16</v>
      </c>
      <c r="B1736" s="43" t="s">
        <v>186</v>
      </c>
      <c r="C1736" s="44" t="s">
        <v>61</v>
      </c>
      <c r="D1736" s="45">
        <v>13</v>
      </c>
      <c r="E1736" s="45">
        <v>1.1876</v>
      </c>
      <c r="F1736" s="45">
        <f t="shared" si="410"/>
        <v>15.438800000000001</v>
      </c>
      <c r="G1736" s="46">
        <f t="shared" si="411"/>
        <v>0</v>
      </c>
      <c r="H1736" s="47">
        <f t="shared" si="412"/>
        <v>0</v>
      </c>
      <c r="I1736" s="46">
        <f t="shared" si="413"/>
        <v>0</v>
      </c>
      <c r="J1736" s="47">
        <v>0</v>
      </c>
      <c r="K1736" s="46">
        <f t="shared" si="414"/>
        <v>0</v>
      </c>
      <c r="L1736" s="47">
        <v>0</v>
      </c>
      <c r="AX1736" s="46"/>
      <c r="AY1736" s="47"/>
      <c r="AZ1736" s="70"/>
      <c r="BC1736" s="50"/>
    </row>
    <row r="1737" spans="1:55" s="48" customFormat="1" ht="15.45" customHeight="1" outlineLevel="1" x14ac:dyDescent="0.25">
      <c r="A1737" s="42">
        <v>17</v>
      </c>
      <c r="B1737" s="43" t="s">
        <v>1033</v>
      </c>
      <c r="C1737" s="44" t="s">
        <v>93</v>
      </c>
      <c r="D1737" s="45">
        <v>1</v>
      </c>
      <c r="E1737" s="45">
        <v>20.510200000000001</v>
      </c>
      <c r="F1737" s="45">
        <f t="shared" si="410"/>
        <v>20.510200000000001</v>
      </c>
      <c r="G1737" s="46">
        <f t="shared" si="411"/>
        <v>0</v>
      </c>
      <c r="H1737" s="47">
        <f t="shared" si="412"/>
        <v>0</v>
      </c>
      <c r="I1737" s="46">
        <f t="shared" si="413"/>
        <v>0</v>
      </c>
      <c r="J1737" s="47">
        <v>0</v>
      </c>
      <c r="K1737" s="46">
        <f t="shared" si="414"/>
        <v>0</v>
      </c>
      <c r="L1737" s="47">
        <v>0</v>
      </c>
      <c r="AX1737" s="46"/>
      <c r="AY1737" s="47"/>
      <c r="AZ1737" s="70"/>
      <c r="BC1737" s="50"/>
    </row>
    <row r="1738" spans="1:55" s="59" customFormat="1" ht="17.7" customHeight="1" outlineLevel="1" x14ac:dyDescent="0.35">
      <c r="A1738" s="42">
        <v>18</v>
      </c>
      <c r="B1738" s="43" t="s">
        <v>1034</v>
      </c>
      <c r="C1738" s="44" t="s">
        <v>93</v>
      </c>
      <c r="D1738" s="45">
        <v>3</v>
      </c>
      <c r="E1738" s="45">
        <v>12.1646</v>
      </c>
      <c r="F1738" s="45">
        <f t="shared" si="410"/>
        <v>36.4938</v>
      </c>
      <c r="G1738" s="46">
        <f t="shared" si="411"/>
        <v>0</v>
      </c>
      <c r="H1738" s="47">
        <f t="shared" si="412"/>
        <v>0</v>
      </c>
      <c r="I1738" s="46">
        <f t="shared" si="413"/>
        <v>0</v>
      </c>
      <c r="J1738" s="47">
        <v>0</v>
      </c>
      <c r="K1738" s="46">
        <f t="shared" si="414"/>
        <v>0</v>
      </c>
      <c r="L1738" s="47">
        <v>0</v>
      </c>
      <c r="AX1738" s="73"/>
      <c r="AY1738" s="74"/>
      <c r="AZ1738" s="75"/>
      <c r="BC1738" s="61"/>
    </row>
    <row r="1739" spans="1:55" s="48" customFormat="1" ht="15.45" customHeight="1" outlineLevel="1" x14ac:dyDescent="0.25">
      <c r="A1739" s="42">
        <v>19</v>
      </c>
      <c r="B1739" s="43" t="s">
        <v>1039</v>
      </c>
      <c r="C1739" s="44" t="s">
        <v>93</v>
      </c>
      <c r="D1739" s="45">
        <v>2</v>
      </c>
      <c r="E1739" s="45">
        <v>4.2391999999999994</v>
      </c>
      <c r="F1739" s="45">
        <f t="shared" si="410"/>
        <v>8.4783999999999988</v>
      </c>
      <c r="G1739" s="46">
        <f t="shared" si="411"/>
        <v>0</v>
      </c>
      <c r="H1739" s="47">
        <f t="shared" si="412"/>
        <v>0</v>
      </c>
      <c r="I1739" s="46">
        <f t="shared" si="413"/>
        <v>0</v>
      </c>
      <c r="J1739" s="47">
        <v>0</v>
      </c>
      <c r="K1739" s="46">
        <f t="shared" si="414"/>
        <v>0</v>
      </c>
      <c r="L1739" s="47">
        <v>0</v>
      </c>
      <c r="AX1739" s="46"/>
      <c r="AY1739" s="47"/>
      <c r="AZ1739" s="70"/>
      <c r="BC1739" s="50"/>
    </row>
    <row r="1740" spans="1:55" s="48" customFormat="1" ht="15.45" customHeight="1" outlineLevel="1" x14ac:dyDescent="0.25">
      <c r="A1740" s="42">
        <v>20</v>
      </c>
      <c r="B1740" s="43" t="s">
        <v>922</v>
      </c>
      <c r="C1740" s="44" t="s">
        <v>98</v>
      </c>
      <c r="D1740" s="45">
        <v>11.47</v>
      </c>
      <c r="E1740" s="45">
        <v>1.1774</v>
      </c>
      <c r="F1740" s="45">
        <f t="shared" si="410"/>
        <v>13.504778</v>
      </c>
      <c r="G1740" s="46">
        <f t="shared" si="411"/>
        <v>0</v>
      </c>
      <c r="H1740" s="47">
        <f t="shared" si="412"/>
        <v>0</v>
      </c>
      <c r="I1740" s="46">
        <f t="shared" si="413"/>
        <v>0</v>
      </c>
      <c r="J1740" s="47">
        <v>0</v>
      </c>
      <c r="K1740" s="46">
        <f t="shared" si="414"/>
        <v>0</v>
      </c>
      <c r="L1740" s="47">
        <v>0</v>
      </c>
      <c r="AX1740" s="46"/>
      <c r="AY1740" s="47"/>
      <c r="AZ1740" s="70"/>
      <c r="BC1740" s="50"/>
    </row>
    <row r="1741" spans="1:55" s="48" customFormat="1" ht="27.75" customHeight="1" outlineLevel="1" x14ac:dyDescent="0.25">
      <c r="A1741" s="42">
        <v>21</v>
      </c>
      <c r="B1741" s="43" t="s">
        <v>921</v>
      </c>
      <c r="C1741" s="44" t="s">
        <v>98</v>
      </c>
      <c r="D1741" s="45">
        <v>11.47</v>
      </c>
      <c r="E1741" s="45">
        <v>6.0058000000000007</v>
      </c>
      <c r="F1741" s="45">
        <f t="shared" si="410"/>
        <v>68.886526000000018</v>
      </c>
      <c r="G1741" s="46">
        <f t="shared" si="411"/>
        <v>0</v>
      </c>
      <c r="H1741" s="47">
        <f t="shared" si="412"/>
        <v>0</v>
      </c>
      <c r="I1741" s="46">
        <f t="shared" si="413"/>
        <v>0</v>
      </c>
      <c r="J1741" s="47">
        <v>0</v>
      </c>
      <c r="K1741" s="46">
        <f t="shared" si="414"/>
        <v>0</v>
      </c>
      <c r="L1741" s="47">
        <v>0</v>
      </c>
      <c r="AX1741" s="46"/>
      <c r="AY1741" s="47"/>
      <c r="AZ1741" s="70"/>
      <c r="BC1741" s="50"/>
    </row>
    <row r="1742" spans="1:55" s="56" customFormat="1" ht="17.25" customHeight="1" x14ac:dyDescent="0.3">
      <c r="A1742" s="31">
        <v>14.1</v>
      </c>
      <c r="B1742" s="51" t="s">
        <v>1042</v>
      </c>
      <c r="C1742" s="52">
        <v>0</v>
      </c>
      <c r="D1742" s="53"/>
      <c r="E1742" s="53"/>
      <c r="F1742" s="53"/>
      <c r="G1742" s="54"/>
      <c r="H1742" s="55"/>
      <c r="I1742" s="54"/>
      <c r="J1742" s="55"/>
      <c r="K1742" s="54"/>
      <c r="L1742" s="55">
        <v>0</v>
      </c>
      <c r="AX1742" s="69">
        <v>1</v>
      </c>
      <c r="AY1742" s="71">
        <v>5766733.6402624408</v>
      </c>
      <c r="AZ1742" s="72">
        <f>H1742-J1742</f>
        <v>0</v>
      </c>
      <c r="BC1742" s="58"/>
    </row>
    <row r="1743" spans="1:55" s="48" customFormat="1" ht="27.75" customHeight="1" outlineLevel="1" x14ac:dyDescent="0.25">
      <c r="A1743" s="42">
        <v>1</v>
      </c>
      <c r="B1743" s="43" t="s">
        <v>707</v>
      </c>
      <c r="C1743" s="44" t="s">
        <v>110</v>
      </c>
      <c r="D1743" s="45">
        <v>146</v>
      </c>
      <c r="E1743" s="45">
        <v>0.88466</v>
      </c>
      <c r="F1743" s="45">
        <f>+E1743*D1743</f>
        <v>129.16036</v>
      </c>
      <c r="G1743" s="46">
        <f t="shared" ref="G1743:H1747" si="415">I1743+K1743</f>
        <v>0</v>
      </c>
      <c r="H1743" s="47">
        <f t="shared" si="415"/>
        <v>0</v>
      </c>
      <c r="I1743" s="46">
        <f>J1743/F1743</f>
        <v>0</v>
      </c>
      <c r="J1743" s="47">
        <v>0</v>
      </c>
      <c r="K1743" s="46">
        <f>L1743/F1743</f>
        <v>0</v>
      </c>
      <c r="L1743" s="47">
        <v>0</v>
      </c>
      <c r="AX1743" s="46">
        <v>1</v>
      </c>
      <c r="AY1743" s="47">
        <v>5766733.6402624408</v>
      </c>
      <c r="AZ1743" s="70">
        <f>H1743-J1743</f>
        <v>0</v>
      </c>
      <c r="BC1743" s="50"/>
    </row>
    <row r="1744" spans="1:55" s="48" customFormat="1" ht="27.75" customHeight="1" outlineLevel="1" x14ac:dyDescent="0.25">
      <c r="A1744" s="42">
        <v>2</v>
      </c>
      <c r="B1744" s="43" t="s">
        <v>648</v>
      </c>
      <c r="C1744" s="44" t="s">
        <v>110</v>
      </c>
      <c r="D1744" s="45">
        <v>5</v>
      </c>
      <c r="E1744" s="45">
        <v>8.9600000000000009</v>
      </c>
      <c r="F1744" s="45">
        <f>+E1744*D1744</f>
        <v>44.800000000000004</v>
      </c>
      <c r="G1744" s="46">
        <f t="shared" si="415"/>
        <v>0</v>
      </c>
      <c r="H1744" s="47">
        <f t="shared" si="415"/>
        <v>0</v>
      </c>
      <c r="I1744" s="46">
        <f>J1744/F1744</f>
        <v>0</v>
      </c>
      <c r="J1744" s="47">
        <v>0</v>
      </c>
      <c r="K1744" s="46">
        <f>L1744/F1744</f>
        <v>0</v>
      </c>
      <c r="L1744" s="47">
        <v>0</v>
      </c>
      <c r="AX1744" s="46">
        <v>1</v>
      </c>
      <c r="AY1744" s="47">
        <v>5766733.6402624408</v>
      </c>
      <c r="AZ1744" s="70">
        <f>H1744-J1744</f>
        <v>0</v>
      </c>
      <c r="BC1744" s="50"/>
    </row>
    <row r="1745" spans="1:55" s="48" customFormat="1" ht="27.75" customHeight="1" outlineLevel="1" x14ac:dyDescent="0.25">
      <c r="A1745" s="42">
        <v>3</v>
      </c>
      <c r="B1745" s="43" t="s">
        <v>649</v>
      </c>
      <c r="C1745" s="44" t="s">
        <v>110</v>
      </c>
      <c r="D1745" s="45">
        <v>116</v>
      </c>
      <c r="E1745" s="45">
        <v>0.9</v>
      </c>
      <c r="F1745" s="45">
        <f>+E1745*D1745</f>
        <v>104.4</v>
      </c>
      <c r="G1745" s="46">
        <f t="shared" si="415"/>
        <v>0</v>
      </c>
      <c r="H1745" s="47">
        <f t="shared" si="415"/>
        <v>0</v>
      </c>
      <c r="I1745" s="46">
        <f>J1745/F1745</f>
        <v>0</v>
      </c>
      <c r="J1745" s="47">
        <v>0</v>
      </c>
      <c r="K1745" s="46">
        <f>L1745/F1745</f>
        <v>0</v>
      </c>
      <c r="L1745" s="47">
        <v>0</v>
      </c>
      <c r="AX1745" s="46">
        <v>0</v>
      </c>
      <c r="AY1745" s="47">
        <v>0</v>
      </c>
      <c r="AZ1745" s="70">
        <f>H1745-J1745</f>
        <v>0</v>
      </c>
      <c r="BC1745" s="50"/>
    </row>
    <row r="1746" spans="1:55" s="48" customFormat="1" ht="15.45" customHeight="1" outlineLevel="1" x14ac:dyDescent="0.25">
      <c r="A1746" s="42">
        <v>4</v>
      </c>
      <c r="B1746" s="43" t="s">
        <v>166</v>
      </c>
      <c r="C1746" s="44" t="s">
        <v>110</v>
      </c>
      <c r="D1746" s="45">
        <v>29</v>
      </c>
      <c r="E1746" s="45">
        <v>8.16</v>
      </c>
      <c r="F1746" s="45">
        <f>+E1746*D1746</f>
        <v>236.64000000000001</v>
      </c>
      <c r="G1746" s="46">
        <f t="shared" si="415"/>
        <v>0</v>
      </c>
      <c r="H1746" s="47">
        <f t="shared" si="415"/>
        <v>0</v>
      </c>
      <c r="I1746" s="46">
        <f>J1746/F1746</f>
        <v>0</v>
      </c>
      <c r="J1746" s="47">
        <v>0</v>
      </c>
      <c r="K1746" s="46">
        <f>L1746/F1746</f>
        <v>0</v>
      </c>
      <c r="L1746" s="47">
        <v>0</v>
      </c>
      <c r="AX1746" s="46">
        <v>0</v>
      </c>
      <c r="AY1746" s="47">
        <v>1038012.055247239</v>
      </c>
      <c r="AZ1746" s="70">
        <f>H1746-J1746</f>
        <v>0</v>
      </c>
      <c r="BC1746" s="50"/>
    </row>
    <row r="1747" spans="1:55" s="48" customFormat="1" ht="15.45" customHeight="1" outlineLevel="1" x14ac:dyDescent="0.25">
      <c r="A1747" s="42">
        <v>5</v>
      </c>
      <c r="B1747" s="43" t="s">
        <v>37</v>
      </c>
      <c r="C1747" s="44" t="s">
        <v>110</v>
      </c>
      <c r="D1747" s="45">
        <v>145</v>
      </c>
      <c r="E1747" s="45">
        <v>2</v>
      </c>
      <c r="F1747" s="45">
        <f>+E1747*D1747</f>
        <v>290</v>
      </c>
      <c r="G1747" s="46">
        <f t="shared" si="415"/>
        <v>0</v>
      </c>
      <c r="H1747" s="47">
        <f t="shared" si="415"/>
        <v>0</v>
      </c>
      <c r="I1747" s="46">
        <f>J1747/F1747</f>
        <v>0</v>
      </c>
      <c r="J1747" s="47">
        <v>0</v>
      </c>
      <c r="K1747" s="46">
        <f>L1747/F1747</f>
        <v>0</v>
      </c>
      <c r="L1747" s="47">
        <v>0</v>
      </c>
      <c r="AX1747" s="46"/>
      <c r="AY1747" s="47"/>
      <c r="AZ1747" s="70"/>
      <c r="BC1747" s="50"/>
    </row>
    <row r="1748" spans="1:55" s="56" customFormat="1" ht="17.25" customHeight="1" x14ac:dyDescent="0.3">
      <c r="A1748" s="31">
        <v>14.2</v>
      </c>
      <c r="B1748" s="51" t="s">
        <v>1043</v>
      </c>
      <c r="C1748" s="52">
        <v>0</v>
      </c>
      <c r="D1748" s="53"/>
      <c r="E1748" s="53"/>
      <c r="F1748" s="53"/>
      <c r="G1748" s="54"/>
      <c r="H1748" s="55"/>
      <c r="I1748" s="54"/>
      <c r="J1748" s="55"/>
      <c r="K1748" s="54"/>
      <c r="L1748" s="55">
        <v>0</v>
      </c>
      <c r="AX1748" s="69"/>
      <c r="AY1748" s="71"/>
      <c r="AZ1748" s="72"/>
      <c r="BC1748" s="58"/>
    </row>
    <row r="1749" spans="1:55" s="48" customFormat="1" ht="15.45" customHeight="1" outlineLevel="1" x14ac:dyDescent="0.25">
      <c r="A1749" s="42">
        <v>1</v>
      </c>
      <c r="B1749" s="43" t="s">
        <v>167</v>
      </c>
      <c r="C1749" s="44" t="s">
        <v>110</v>
      </c>
      <c r="D1749" s="45">
        <v>2.5</v>
      </c>
      <c r="E1749" s="45">
        <v>36.616</v>
      </c>
      <c r="F1749" s="45">
        <f t="shared" ref="F1749:F1760" si="416">+E1749*D1749</f>
        <v>91.539999999999992</v>
      </c>
      <c r="G1749" s="46">
        <f t="shared" ref="G1749:G1760" si="417">I1749+K1749</f>
        <v>0</v>
      </c>
      <c r="H1749" s="47">
        <f t="shared" ref="H1749:H1760" si="418">J1749+L1749</f>
        <v>0</v>
      </c>
      <c r="I1749" s="46">
        <f t="shared" ref="I1749:I1760" si="419">J1749/F1749</f>
        <v>0</v>
      </c>
      <c r="J1749" s="47">
        <v>0</v>
      </c>
      <c r="K1749" s="46">
        <f t="shared" ref="K1749:K1760" si="420">L1749/F1749</f>
        <v>0</v>
      </c>
      <c r="L1749" s="47">
        <v>0</v>
      </c>
      <c r="AX1749" s="46"/>
      <c r="AY1749" s="47"/>
      <c r="AZ1749" s="70"/>
      <c r="BC1749" s="50"/>
    </row>
    <row r="1750" spans="1:55" s="59" customFormat="1" ht="17.7" customHeight="1" outlineLevel="1" x14ac:dyDescent="0.35">
      <c r="A1750" s="42">
        <v>2</v>
      </c>
      <c r="B1750" s="43" t="s">
        <v>709</v>
      </c>
      <c r="C1750" s="44" t="s">
        <v>110</v>
      </c>
      <c r="D1750" s="45">
        <v>2.3039999999999998</v>
      </c>
      <c r="E1750" s="45">
        <v>99.24</v>
      </c>
      <c r="F1750" s="45">
        <f t="shared" si="416"/>
        <v>228.64895999999996</v>
      </c>
      <c r="G1750" s="46">
        <f t="shared" si="417"/>
        <v>0</v>
      </c>
      <c r="H1750" s="47">
        <f t="shared" si="418"/>
        <v>0</v>
      </c>
      <c r="I1750" s="46">
        <f t="shared" si="419"/>
        <v>0</v>
      </c>
      <c r="J1750" s="47">
        <v>0</v>
      </c>
      <c r="K1750" s="46">
        <f t="shared" si="420"/>
        <v>0</v>
      </c>
      <c r="L1750" s="47">
        <v>0</v>
      </c>
      <c r="AX1750" s="73"/>
      <c r="AY1750" s="74"/>
      <c r="AZ1750" s="75"/>
      <c r="BC1750" s="61"/>
    </row>
    <row r="1751" spans="1:55" s="48" customFormat="1" ht="15.45" customHeight="1" outlineLevel="1" x14ac:dyDescent="0.25">
      <c r="A1751" s="42">
        <v>3</v>
      </c>
      <c r="B1751" s="43" t="s">
        <v>825</v>
      </c>
      <c r="C1751" s="44" t="s">
        <v>110</v>
      </c>
      <c r="D1751" s="45">
        <v>8.4600000000000009</v>
      </c>
      <c r="E1751" s="45">
        <v>117.2572</v>
      </c>
      <c r="F1751" s="45">
        <f t="shared" si="416"/>
        <v>991.99591200000009</v>
      </c>
      <c r="G1751" s="46">
        <f t="shared" si="417"/>
        <v>0</v>
      </c>
      <c r="H1751" s="47">
        <f t="shared" si="418"/>
        <v>0</v>
      </c>
      <c r="I1751" s="46">
        <f t="shared" si="419"/>
        <v>0</v>
      </c>
      <c r="J1751" s="47">
        <v>0</v>
      </c>
      <c r="K1751" s="46">
        <f t="shared" si="420"/>
        <v>0</v>
      </c>
      <c r="L1751" s="47">
        <v>0</v>
      </c>
      <c r="AX1751" s="46"/>
      <c r="AY1751" s="47"/>
      <c r="AZ1751" s="70"/>
      <c r="BC1751" s="50"/>
    </row>
    <row r="1752" spans="1:55" s="48" customFormat="1" ht="15.45" customHeight="1" outlineLevel="1" x14ac:dyDescent="0.25">
      <c r="A1752" s="42">
        <v>4</v>
      </c>
      <c r="B1752" s="43" t="s">
        <v>42</v>
      </c>
      <c r="C1752" s="44" t="s">
        <v>28</v>
      </c>
      <c r="D1752" s="45">
        <v>3.7999999999999999E-2</v>
      </c>
      <c r="E1752" s="45">
        <v>1325.1</v>
      </c>
      <c r="F1752" s="45">
        <f t="shared" si="416"/>
        <v>50.353799999999993</v>
      </c>
      <c r="G1752" s="46">
        <f t="shared" si="417"/>
        <v>0</v>
      </c>
      <c r="H1752" s="47">
        <f t="shared" si="418"/>
        <v>0</v>
      </c>
      <c r="I1752" s="46">
        <f t="shared" si="419"/>
        <v>0</v>
      </c>
      <c r="J1752" s="47">
        <v>0</v>
      </c>
      <c r="K1752" s="46">
        <f t="shared" si="420"/>
        <v>0</v>
      </c>
      <c r="L1752" s="47">
        <v>0</v>
      </c>
      <c r="AX1752" s="46"/>
      <c r="AY1752" s="47"/>
      <c r="AZ1752" s="70"/>
      <c r="BC1752" s="50"/>
    </row>
    <row r="1753" spans="1:55" s="48" customFormat="1" ht="15.45" customHeight="1" outlineLevel="1" x14ac:dyDescent="0.25">
      <c r="A1753" s="42">
        <v>5</v>
      </c>
      <c r="B1753" s="43" t="s">
        <v>43</v>
      </c>
      <c r="C1753" s="44" t="s">
        <v>28</v>
      </c>
      <c r="D1753" s="45">
        <v>0.54</v>
      </c>
      <c r="E1753" s="45">
        <v>1200.0999999999999</v>
      </c>
      <c r="F1753" s="45">
        <f t="shared" si="416"/>
        <v>648.05399999999997</v>
      </c>
      <c r="G1753" s="46">
        <f t="shared" si="417"/>
        <v>0</v>
      </c>
      <c r="H1753" s="47">
        <f t="shared" si="418"/>
        <v>0</v>
      </c>
      <c r="I1753" s="46">
        <f t="shared" si="419"/>
        <v>0</v>
      </c>
      <c r="J1753" s="47">
        <v>0</v>
      </c>
      <c r="K1753" s="46">
        <f t="shared" si="420"/>
        <v>0</v>
      </c>
      <c r="L1753" s="47">
        <v>0</v>
      </c>
      <c r="AX1753" s="46"/>
      <c r="AY1753" s="47"/>
      <c r="AZ1753" s="70"/>
      <c r="BC1753" s="50"/>
    </row>
    <row r="1754" spans="1:55" s="59" customFormat="1" ht="17.7" customHeight="1" outlineLevel="1" x14ac:dyDescent="0.35">
      <c r="A1754" s="42">
        <v>6</v>
      </c>
      <c r="B1754" s="43" t="s">
        <v>1044</v>
      </c>
      <c r="C1754" s="44" t="s">
        <v>110</v>
      </c>
      <c r="D1754" s="45">
        <v>13.12</v>
      </c>
      <c r="E1754" s="45">
        <v>129.6808</v>
      </c>
      <c r="F1754" s="45">
        <f t="shared" si="416"/>
        <v>1701.412096</v>
      </c>
      <c r="G1754" s="46">
        <f t="shared" si="417"/>
        <v>0</v>
      </c>
      <c r="H1754" s="47">
        <f t="shared" si="418"/>
        <v>0</v>
      </c>
      <c r="I1754" s="46">
        <f t="shared" si="419"/>
        <v>0</v>
      </c>
      <c r="J1754" s="47">
        <v>0</v>
      </c>
      <c r="K1754" s="46">
        <f t="shared" si="420"/>
        <v>0</v>
      </c>
      <c r="L1754" s="47">
        <v>0</v>
      </c>
      <c r="AX1754" s="73">
        <v>1</v>
      </c>
      <c r="AY1754" s="74">
        <v>5766733.6402624408</v>
      </c>
      <c r="AZ1754" s="75">
        <f>H1754-J1754</f>
        <v>0</v>
      </c>
      <c r="BC1754" s="61"/>
    </row>
    <row r="1755" spans="1:55" s="48" customFormat="1" ht="27.75" customHeight="1" outlineLevel="1" x14ac:dyDescent="0.25">
      <c r="A1755" s="42">
        <v>7</v>
      </c>
      <c r="B1755" s="43" t="s">
        <v>827</v>
      </c>
      <c r="C1755" s="44" t="s">
        <v>98</v>
      </c>
      <c r="D1755" s="45">
        <v>39.200000000000003</v>
      </c>
      <c r="E1755" s="45">
        <v>12.115600000000001</v>
      </c>
      <c r="F1755" s="45">
        <f t="shared" si="416"/>
        <v>474.93152000000003</v>
      </c>
      <c r="G1755" s="46">
        <f t="shared" si="417"/>
        <v>0</v>
      </c>
      <c r="H1755" s="47">
        <f t="shared" si="418"/>
        <v>0</v>
      </c>
      <c r="I1755" s="46">
        <f t="shared" si="419"/>
        <v>0</v>
      </c>
      <c r="J1755" s="47">
        <v>0</v>
      </c>
      <c r="K1755" s="46">
        <f t="shared" si="420"/>
        <v>0</v>
      </c>
      <c r="L1755" s="47">
        <v>0</v>
      </c>
      <c r="AX1755" s="46">
        <v>1</v>
      </c>
      <c r="AY1755" s="47">
        <v>5766733.6402624408</v>
      </c>
      <c r="AZ1755" s="70">
        <f>H1755-J1755</f>
        <v>0</v>
      </c>
      <c r="BC1755" s="50"/>
    </row>
    <row r="1756" spans="1:55" s="48" customFormat="1" ht="15.45" customHeight="1" outlineLevel="1" x14ac:dyDescent="0.25">
      <c r="A1756" s="42">
        <v>8</v>
      </c>
      <c r="B1756" s="43" t="s">
        <v>96</v>
      </c>
      <c r="C1756" s="44" t="s">
        <v>98</v>
      </c>
      <c r="D1756" s="45">
        <v>0.36</v>
      </c>
      <c r="E1756" s="45">
        <v>178.6</v>
      </c>
      <c r="F1756" s="45">
        <f t="shared" si="416"/>
        <v>64.295999999999992</v>
      </c>
      <c r="G1756" s="46">
        <f t="shared" si="417"/>
        <v>0</v>
      </c>
      <c r="H1756" s="47">
        <f t="shared" si="418"/>
        <v>0</v>
      </c>
      <c r="I1756" s="46">
        <f t="shared" si="419"/>
        <v>0</v>
      </c>
      <c r="J1756" s="47">
        <v>0</v>
      </c>
      <c r="K1756" s="46">
        <f t="shared" si="420"/>
        <v>0</v>
      </c>
      <c r="L1756" s="47">
        <v>0</v>
      </c>
      <c r="AX1756" s="46">
        <v>1</v>
      </c>
      <c r="AY1756" s="47">
        <v>5766733.6402624408</v>
      </c>
      <c r="AZ1756" s="70">
        <f>H1756-J1756</f>
        <v>0</v>
      </c>
      <c r="BC1756" s="50"/>
    </row>
    <row r="1757" spans="1:55" s="48" customFormat="1" ht="15.45" customHeight="1" outlineLevel="1" x14ac:dyDescent="0.25">
      <c r="A1757" s="42">
        <v>9</v>
      </c>
      <c r="B1757" s="43" t="s">
        <v>1045</v>
      </c>
      <c r="C1757" s="44" t="s">
        <v>28</v>
      </c>
      <c r="D1757" s="45">
        <v>1.0999999999999999E-2</v>
      </c>
      <c r="E1757" s="45">
        <v>4201.0108</v>
      </c>
      <c r="F1757" s="45">
        <f t="shared" si="416"/>
        <v>46.211118799999994</v>
      </c>
      <c r="G1757" s="46">
        <f t="shared" si="417"/>
        <v>0</v>
      </c>
      <c r="H1757" s="47">
        <f t="shared" si="418"/>
        <v>0</v>
      </c>
      <c r="I1757" s="46">
        <f t="shared" si="419"/>
        <v>0</v>
      </c>
      <c r="J1757" s="47">
        <v>0</v>
      </c>
      <c r="K1757" s="46">
        <f t="shared" si="420"/>
        <v>0</v>
      </c>
      <c r="L1757" s="47">
        <v>0</v>
      </c>
      <c r="AX1757" s="46">
        <v>0</v>
      </c>
      <c r="AY1757" s="47">
        <v>0</v>
      </c>
      <c r="AZ1757" s="70">
        <f>H1757-J1757</f>
        <v>0</v>
      </c>
      <c r="BC1757" s="50"/>
    </row>
    <row r="1758" spans="1:55" s="48" customFormat="1" ht="27.75" customHeight="1" outlineLevel="1" x14ac:dyDescent="0.25">
      <c r="A1758" s="42">
        <v>10</v>
      </c>
      <c r="B1758" s="43" t="s">
        <v>736</v>
      </c>
      <c r="C1758" s="44" t="s">
        <v>98</v>
      </c>
      <c r="D1758" s="45">
        <v>0.72</v>
      </c>
      <c r="E1758" s="45">
        <v>2.9763999999999999</v>
      </c>
      <c r="F1758" s="45">
        <f t="shared" si="416"/>
        <v>2.143008</v>
      </c>
      <c r="G1758" s="46">
        <f t="shared" si="417"/>
        <v>0</v>
      </c>
      <c r="H1758" s="47">
        <f t="shared" si="418"/>
        <v>0</v>
      </c>
      <c r="I1758" s="46">
        <f t="shared" si="419"/>
        <v>0</v>
      </c>
      <c r="J1758" s="47">
        <v>0</v>
      </c>
      <c r="K1758" s="46">
        <f t="shared" si="420"/>
        <v>0</v>
      </c>
      <c r="L1758" s="47">
        <v>0</v>
      </c>
      <c r="AX1758" s="46">
        <v>0</v>
      </c>
      <c r="AY1758" s="47">
        <v>1038012.055247239</v>
      </c>
      <c r="AZ1758" s="70">
        <f>H1758-J1758</f>
        <v>0</v>
      </c>
      <c r="BC1758" s="50"/>
    </row>
    <row r="1759" spans="1:55" s="48" customFormat="1" ht="27.75" customHeight="1" outlineLevel="1" x14ac:dyDescent="0.25">
      <c r="A1759" s="42">
        <v>11</v>
      </c>
      <c r="B1759" s="43" t="s">
        <v>1046</v>
      </c>
      <c r="C1759" s="44" t="s">
        <v>93</v>
      </c>
      <c r="D1759" s="45">
        <v>2</v>
      </c>
      <c r="E1759" s="45">
        <v>30.322600000000001</v>
      </c>
      <c r="F1759" s="45">
        <f t="shared" si="416"/>
        <v>60.645200000000003</v>
      </c>
      <c r="G1759" s="46">
        <f t="shared" si="417"/>
        <v>0</v>
      </c>
      <c r="H1759" s="47">
        <f t="shared" si="418"/>
        <v>0</v>
      </c>
      <c r="I1759" s="46">
        <f t="shared" si="419"/>
        <v>0</v>
      </c>
      <c r="J1759" s="47">
        <v>0</v>
      </c>
      <c r="K1759" s="46">
        <f t="shared" si="420"/>
        <v>0</v>
      </c>
      <c r="L1759" s="47">
        <v>0</v>
      </c>
      <c r="AX1759" s="46"/>
      <c r="AY1759" s="47"/>
      <c r="AZ1759" s="70"/>
      <c r="BC1759" s="50"/>
    </row>
    <row r="1760" spans="1:55" s="48" customFormat="1" ht="41.7" customHeight="1" outlineLevel="1" x14ac:dyDescent="0.25">
      <c r="A1760" s="42">
        <v>12</v>
      </c>
      <c r="B1760" s="43" t="s">
        <v>1047</v>
      </c>
      <c r="C1760" s="44" t="s">
        <v>93</v>
      </c>
      <c r="D1760" s="45">
        <v>3</v>
      </c>
      <c r="E1760" s="45">
        <v>30.322600000000001</v>
      </c>
      <c r="F1760" s="45">
        <f t="shared" si="416"/>
        <v>90.967800000000011</v>
      </c>
      <c r="G1760" s="46">
        <f t="shared" si="417"/>
        <v>0</v>
      </c>
      <c r="H1760" s="47">
        <f t="shared" si="418"/>
        <v>0</v>
      </c>
      <c r="I1760" s="46">
        <f t="shared" si="419"/>
        <v>0</v>
      </c>
      <c r="J1760" s="47">
        <v>0</v>
      </c>
      <c r="K1760" s="46">
        <f t="shared" si="420"/>
        <v>0</v>
      </c>
      <c r="L1760" s="47">
        <v>0</v>
      </c>
      <c r="AX1760" s="46"/>
      <c r="AY1760" s="47"/>
      <c r="AZ1760" s="70"/>
      <c r="BC1760" s="50"/>
    </row>
    <row r="1761" spans="1:55" s="56" customFormat="1" ht="17.25" customHeight="1" x14ac:dyDescent="0.3">
      <c r="A1761" s="31">
        <v>14.3</v>
      </c>
      <c r="B1761" s="51" t="s">
        <v>1048</v>
      </c>
      <c r="C1761" s="52">
        <v>0</v>
      </c>
      <c r="D1761" s="53"/>
      <c r="E1761" s="53"/>
      <c r="F1761" s="53"/>
      <c r="G1761" s="54"/>
      <c r="H1761" s="55"/>
      <c r="I1761" s="54"/>
      <c r="J1761" s="55"/>
      <c r="K1761" s="54"/>
      <c r="L1761" s="55">
        <v>0</v>
      </c>
      <c r="AX1761" s="69"/>
      <c r="AY1761" s="71"/>
      <c r="AZ1761" s="72"/>
      <c r="BC1761" s="58"/>
    </row>
    <row r="1762" spans="1:55" s="48" customFormat="1" ht="15.45" customHeight="1" outlineLevel="1" x14ac:dyDescent="0.25">
      <c r="A1762" s="42">
        <v>1</v>
      </c>
      <c r="B1762" s="43" t="s">
        <v>1049</v>
      </c>
      <c r="C1762" s="44" t="s">
        <v>110</v>
      </c>
      <c r="D1762" s="45">
        <v>0.32</v>
      </c>
      <c r="E1762" s="45">
        <v>234.60820000000001</v>
      </c>
      <c r="F1762" s="45">
        <f t="shared" ref="F1762:F1767" si="421">+E1762*D1762</f>
        <v>75.074624</v>
      </c>
      <c r="G1762" s="46">
        <f t="shared" ref="G1762:H1767" si="422">I1762+K1762</f>
        <v>0</v>
      </c>
      <c r="H1762" s="47">
        <f t="shared" si="422"/>
        <v>0</v>
      </c>
      <c r="I1762" s="46">
        <f t="shared" ref="I1762:I1767" si="423">J1762/F1762</f>
        <v>0</v>
      </c>
      <c r="J1762" s="47">
        <v>0</v>
      </c>
      <c r="K1762" s="46">
        <f t="shared" ref="K1762:K1767" si="424">L1762/F1762</f>
        <v>0</v>
      </c>
      <c r="L1762" s="47">
        <v>0</v>
      </c>
      <c r="AX1762" s="46"/>
      <c r="AY1762" s="47"/>
      <c r="AZ1762" s="70"/>
      <c r="BC1762" s="50"/>
    </row>
    <row r="1763" spans="1:55" s="48" customFormat="1" ht="15.45" customHeight="1" outlineLevel="1" x14ac:dyDescent="0.25">
      <c r="A1763" s="42">
        <v>2</v>
      </c>
      <c r="B1763" s="43" t="s">
        <v>42</v>
      </c>
      <c r="C1763" s="44" t="s">
        <v>28</v>
      </c>
      <c r="D1763" s="45">
        <v>4.4999999999999998E-2</v>
      </c>
      <c r="E1763" s="45">
        <v>1325.1</v>
      </c>
      <c r="F1763" s="45">
        <f t="shared" si="421"/>
        <v>59.629499999999993</v>
      </c>
      <c r="G1763" s="46">
        <f t="shared" si="422"/>
        <v>0</v>
      </c>
      <c r="H1763" s="47">
        <f t="shared" si="422"/>
        <v>0</v>
      </c>
      <c r="I1763" s="46">
        <f t="shared" si="423"/>
        <v>0</v>
      </c>
      <c r="J1763" s="47">
        <v>0</v>
      </c>
      <c r="K1763" s="46">
        <f t="shared" si="424"/>
        <v>0</v>
      </c>
      <c r="L1763" s="47">
        <v>0</v>
      </c>
      <c r="AX1763" s="46"/>
      <c r="AY1763" s="47"/>
      <c r="AZ1763" s="70"/>
      <c r="BC1763" s="50"/>
    </row>
    <row r="1764" spans="1:55" s="48" customFormat="1" ht="15.45" customHeight="1" outlineLevel="1" x14ac:dyDescent="0.25">
      <c r="A1764" s="42">
        <v>3</v>
      </c>
      <c r="B1764" s="43" t="s">
        <v>43</v>
      </c>
      <c r="C1764" s="44" t="s">
        <v>28</v>
      </c>
      <c r="D1764" s="45">
        <v>6.6000000000000003E-2</v>
      </c>
      <c r="E1764" s="45">
        <v>1200.0999999999999</v>
      </c>
      <c r="F1764" s="45">
        <f t="shared" si="421"/>
        <v>79.206599999999995</v>
      </c>
      <c r="G1764" s="46">
        <f t="shared" si="422"/>
        <v>0</v>
      </c>
      <c r="H1764" s="47">
        <f t="shared" si="422"/>
        <v>0</v>
      </c>
      <c r="I1764" s="46">
        <f t="shared" si="423"/>
        <v>0</v>
      </c>
      <c r="J1764" s="47">
        <v>0</v>
      </c>
      <c r="K1764" s="46">
        <f t="shared" si="424"/>
        <v>0</v>
      </c>
      <c r="L1764" s="47">
        <v>0</v>
      </c>
      <c r="AX1764" s="46">
        <v>1</v>
      </c>
      <c r="AY1764" s="47">
        <v>5766733.6402624408</v>
      </c>
      <c r="AZ1764" s="70">
        <f>H1764-J1764</f>
        <v>0</v>
      </c>
      <c r="BC1764" s="50"/>
    </row>
    <row r="1765" spans="1:55" s="48" customFormat="1" ht="27.75" customHeight="1" outlineLevel="1" x14ac:dyDescent="0.25">
      <c r="A1765" s="42">
        <v>4</v>
      </c>
      <c r="B1765" s="43" t="s">
        <v>1050</v>
      </c>
      <c r="C1765" s="44" t="s">
        <v>110</v>
      </c>
      <c r="D1765" s="45">
        <v>2.91</v>
      </c>
      <c r="E1765" s="45">
        <v>255</v>
      </c>
      <c r="F1765" s="45">
        <f t="shared" si="421"/>
        <v>742.05000000000007</v>
      </c>
      <c r="G1765" s="46">
        <f t="shared" si="422"/>
        <v>0</v>
      </c>
      <c r="H1765" s="47">
        <f t="shared" si="422"/>
        <v>0</v>
      </c>
      <c r="I1765" s="46">
        <f t="shared" si="423"/>
        <v>0</v>
      </c>
      <c r="J1765" s="47">
        <v>0</v>
      </c>
      <c r="K1765" s="46">
        <f t="shared" si="424"/>
        <v>0</v>
      </c>
      <c r="L1765" s="47">
        <v>0</v>
      </c>
      <c r="AX1765" s="46">
        <v>1</v>
      </c>
      <c r="AY1765" s="47">
        <v>5766733.6402624408</v>
      </c>
      <c r="AZ1765" s="70">
        <f>H1765-J1765</f>
        <v>0</v>
      </c>
      <c r="BC1765" s="50"/>
    </row>
    <row r="1766" spans="1:55" s="48" customFormat="1" ht="15.45" customHeight="1" outlineLevel="1" x14ac:dyDescent="0.25">
      <c r="A1766" s="42">
        <v>5</v>
      </c>
      <c r="B1766" s="43" t="s">
        <v>42</v>
      </c>
      <c r="C1766" s="44" t="s">
        <v>28</v>
      </c>
      <c r="D1766" s="45">
        <v>1.7000000000000001E-2</v>
      </c>
      <c r="E1766" s="45">
        <v>1325.1</v>
      </c>
      <c r="F1766" s="45">
        <f t="shared" si="421"/>
        <v>22.526700000000002</v>
      </c>
      <c r="G1766" s="46">
        <f t="shared" si="422"/>
        <v>0</v>
      </c>
      <c r="H1766" s="47">
        <f t="shared" si="422"/>
        <v>0</v>
      </c>
      <c r="I1766" s="46">
        <f t="shared" si="423"/>
        <v>0</v>
      </c>
      <c r="J1766" s="47">
        <v>0</v>
      </c>
      <c r="K1766" s="46">
        <f t="shared" si="424"/>
        <v>0</v>
      </c>
      <c r="L1766" s="47">
        <v>0</v>
      </c>
      <c r="AX1766" s="46">
        <v>1</v>
      </c>
      <c r="AY1766" s="47">
        <v>5766733.6402624408</v>
      </c>
      <c r="AZ1766" s="70">
        <f>H1766-J1766</f>
        <v>0</v>
      </c>
      <c r="BC1766" s="50"/>
    </row>
    <row r="1767" spans="1:55" s="48" customFormat="1" ht="15.45" customHeight="1" outlineLevel="1" x14ac:dyDescent="0.25">
      <c r="A1767" s="42">
        <v>0</v>
      </c>
      <c r="B1767" s="43" t="s">
        <v>43</v>
      </c>
      <c r="C1767" s="44" t="s">
        <v>28</v>
      </c>
      <c r="D1767" s="45">
        <v>0.30099999999999999</v>
      </c>
      <c r="E1767" s="45">
        <v>1200.0999999999999</v>
      </c>
      <c r="F1767" s="45">
        <f t="shared" si="421"/>
        <v>361.23009999999994</v>
      </c>
      <c r="G1767" s="46">
        <f t="shared" si="422"/>
        <v>0</v>
      </c>
      <c r="H1767" s="47">
        <f t="shared" si="422"/>
        <v>0</v>
      </c>
      <c r="I1767" s="46">
        <f t="shared" si="423"/>
        <v>0</v>
      </c>
      <c r="J1767" s="47">
        <v>0</v>
      </c>
      <c r="K1767" s="46">
        <f t="shared" si="424"/>
        <v>0</v>
      </c>
      <c r="L1767" s="47">
        <v>0</v>
      </c>
      <c r="AX1767" s="46">
        <v>0</v>
      </c>
      <c r="AY1767" s="47">
        <v>0</v>
      </c>
      <c r="AZ1767" s="70">
        <f>H1767-J1767</f>
        <v>0</v>
      </c>
      <c r="BC1767" s="50"/>
    </row>
    <row r="1768" spans="1:55" s="56" customFormat="1" ht="17.25" customHeight="1" x14ac:dyDescent="0.3">
      <c r="A1768" s="31">
        <v>14.4</v>
      </c>
      <c r="B1768" s="51" t="s">
        <v>1051</v>
      </c>
      <c r="C1768" s="52">
        <v>0</v>
      </c>
      <c r="D1768" s="53"/>
      <c r="E1768" s="53"/>
      <c r="F1768" s="53"/>
      <c r="G1768" s="54"/>
      <c r="H1768" s="55"/>
      <c r="I1768" s="54"/>
      <c r="J1768" s="55"/>
      <c r="K1768" s="54"/>
      <c r="L1768" s="55">
        <v>0</v>
      </c>
      <c r="AX1768" s="69">
        <v>0</v>
      </c>
      <c r="AY1768" s="71">
        <v>1038012.055247239</v>
      </c>
      <c r="AZ1768" s="72">
        <f>H1768-J1768</f>
        <v>0</v>
      </c>
      <c r="BC1768" s="58"/>
    </row>
    <row r="1769" spans="1:55" s="48" customFormat="1" ht="27.75" customHeight="1" outlineLevel="1" x14ac:dyDescent="0.25">
      <c r="A1769" s="42">
        <v>1</v>
      </c>
      <c r="B1769" s="43" t="s">
        <v>67</v>
      </c>
      <c r="C1769" s="44" t="s">
        <v>98</v>
      </c>
      <c r="D1769" s="45">
        <v>33.1</v>
      </c>
      <c r="E1769" s="45">
        <v>41.92</v>
      </c>
      <c r="F1769" s="45">
        <f>+E1769*D1769</f>
        <v>1387.5520000000001</v>
      </c>
      <c r="G1769" s="46">
        <f t="shared" ref="G1769:H1772" si="425">I1769+K1769</f>
        <v>0</v>
      </c>
      <c r="H1769" s="47">
        <f t="shared" si="425"/>
        <v>0</v>
      </c>
      <c r="I1769" s="46">
        <f>J1769/F1769</f>
        <v>0</v>
      </c>
      <c r="J1769" s="47">
        <v>0</v>
      </c>
      <c r="K1769" s="46">
        <f>L1769/F1769</f>
        <v>0</v>
      </c>
      <c r="L1769" s="47">
        <v>0</v>
      </c>
      <c r="AX1769" s="46"/>
      <c r="AY1769" s="47"/>
      <c r="AZ1769" s="70"/>
      <c r="BC1769" s="50"/>
    </row>
    <row r="1770" spans="1:55" s="48" customFormat="1" ht="15.45" customHeight="1" outlineLevel="1" x14ac:dyDescent="0.25">
      <c r="A1770" s="42">
        <v>2</v>
      </c>
      <c r="B1770" s="43" t="s">
        <v>71</v>
      </c>
      <c r="C1770" s="44" t="s">
        <v>28</v>
      </c>
      <c r="D1770" s="45">
        <v>0.111</v>
      </c>
      <c r="E1770" s="45">
        <v>2150</v>
      </c>
      <c r="F1770" s="45">
        <f>+E1770*D1770</f>
        <v>238.65</v>
      </c>
      <c r="G1770" s="46">
        <f t="shared" si="425"/>
        <v>0</v>
      </c>
      <c r="H1770" s="47">
        <f t="shared" si="425"/>
        <v>0</v>
      </c>
      <c r="I1770" s="46">
        <f>J1770/F1770</f>
        <v>0</v>
      </c>
      <c r="J1770" s="47">
        <v>0</v>
      </c>
      <c r="K1770" s="46">
        <f>L1770/F1770</f>
        <v>0</v>
      </c>
      <c r="L1770" s="47">
        <v>0</v>
      </c>
      <c r="AX1770" s="46"/>
      <c r="AY1770" s="47"/>
      <c r="AZ1770" s="70"/>
      <c r="BC1770" s="50"/>
    </row>
    <row r="1771" spans="1:55" s="48" customFormat="1" ht="15.45" customHeight="1" outlineLevel="1" x14ac:dyDescent="0.25">
      <c r="A1771" s="42">
        <v>3</v>
      </c>
      <c r="B1771" s="43" t="s">
        <v>108</v>
      </c>
      <c r="C1771" s="44" t="s">
        <v>93</v>
      </c>
      <c r="D1771" s="45">
        <v>3</v>
      </c>
      <c r="E1771" s="45">
        <v>40.9</v>
      </c>
      <c r="F1771" s="45">
        <f>+E1771*D1771</f>
        <v>122.69999999999999</v>
      </c>
      <c r="G1771" s="46">
        <f t="shared" si="425"/>
        <v>0</v>
      </c>
      <c r="H1771" s="47">
        <f t="shared" si="425"/>
        <v>0</v>
      </c>
      <c r="I1771" s="46">
        <f>J1771/F1771</f>
        <v>0</v>
      </c>
      <c r="J1771" s="47">
        <v>0</v>
      </c>
      <c r="K1771" s="46">
        <f>L1771/F1771</f>
        <v>0</v>
      </c>
      <c r="L1771" s="47">
        <v>0</v>
      </c>
      <c r="AX1771" s="46"/>
      <c r="AY1771" s="47"/>
      <c r="AZ1771" s="70"/>
      <c r="BC1771" s="50"/>
    </row>
    <row r="1772" spans="1:55" s="48" customFormat="1" ht="15.45" customHeight="1" outlineLevel="1" x14ac:dyDescent="0.25">
      <c r="A1772" s="42">
        <v>4</v>
      </c>
      <c r="B1772" s="43" t="s">
        <v>833</v>
      </c>
      <c r="C1772" s="44" t="s">
        <v>93</v>
      </c>
      <c r="D1772" s="45">
        <v>3</v>
      </c>
      <c r="E1772" s="45">
        <v>55.902200000000001</v>
      </c>
      <c r="F1772" s="45">
        <f>+E1772*D1772</f>
        <v>167.70660000000001</v>
      </c>
      <c r="G1772" s="46">
        <f t="shared" si="425"/>
        <v>0</v>
      </c>
      <c r="H1772" s="47">
        <f t="shared" si="425"/>
        <v>0</v>
      </c>
      <c r="I1772" s="46">
        <f>J1772/F1772</f>
        <v>0</v>
      </c>
      <c r="J1772" s="47">
        <v>0</v>
      </c>
      <c r="K1772" s="46">
        <f>L1772/F1772</f>
        <v>0</v>
      </c>
      <c r="L1772" s="47">
        <v>0</v>
      </c>
      <c r="AX1772" s="46"/>
      <c r="AY1772" s="47"/>
      <c r="AZ1772" s="70"/>
      <c r="BC1772" s="50"/>
    </row>
    <row r="1773" spans="1:55" s="56" customFormat="1" ht="17.25" customHeight="1" x14ac:dyDescent="0.3">
      <c r="A1773" s="31">
        <v>14.5</v>
      </c>
      <c r="B1773" s="51" t="s">
        <v>1052</v>
      </c>
      <c r="C1773" s="52">
        <v>0</v>
      </c>
      <c r="D1773" s="53"/>
      <c r="E1773" s="53"/>
      <c r="F1773" s="53"/>
      <c r="G1773" s="54"/>
      <c r="H1773" s="55"/>
      <c r="I1773" s="54"/>
      <c r="J1773" s="55"/>
      <c r="K1773" s="54"/>
      <c r="L1773" s="55">
        <v>0</v>
      </c>
      <c r="AX1773" s="69"/>
      <c r="AY1773" s="71"/>
      <c r="AZ1773" s="72"/>
      <c r="BC1773" s="58"/>
    </row>
    <row r="1774" spans="1:55" s="48" customFormat="1" ht="15.45" customHeight="1" outlineLevel="1" x14ac:dyDescent="0.25">
      <c r="A1774" s="42">
        <v>1</v>
      </c>
      <c r="B1774" s="43" t="s">
        <v>1053</v>
      </c>
      <c r="C1774" s="44" t="s">
        <v>98</v>
      </c>
      <c r="D1774" s="45">
        <v>12.96</v>
      </c>
      <c r="E1774" s="45">
        <v>5.7507999999999999</v>
      </c>
      <c r="F1774" s="45">
        <f t="shared" ref="F1774:F1782" si="426">+E1774*D1774</f>
        <v>74.53036800000001</v>
      </c>
      <c r="G1774" s="46">
        <f t="shared" ref="G1774:G1782" si="427">I1774+K1774</f>
        <v>0</v>
      </c>
      <c r="H1774" s="47">
        <f t="shared" ref="H1774:H1782" si="428">J1774+L1774</f>
        <v>0</v>
      </c>
      <c r="I1774" s="46">
        <f t="shared" ref="I1774:I1782" si="429">J1774/F1774</f>
        <v>0</v>
      </c>
      <c r="J1774" s="47">
        <v>0</v>
      </c>
      <c r="K1774" s="46">
        <f t="shared" ref="K1774:K1782" si="430">L1774/F1774</f>
        <v>0</v>
      </c>
      <c r="L1774" s="47">
        <v>0</v>
      </c>
      <c r="AX1774" s="46"/>
      <c r="AY1774" s="47"/>
      <c r="AZ1774" s="70"/>
      <c r="BC1774" s="50"/>
    </row>
    <row r="1775" spans="1:55" s="48" customFormat="1" ht="15.45" customHeight="1" outlineLevel="1" x14ac:dyDescent="0.25">
      <c r="A1775" s="42">
        <v>2</v>
      </c>
      <c r="B1775" s="43" t="s">
        <v>1054</v>
      </c>
      <c r="C1775" s="44" t="s">
        <v>110</v>
      </c>
      <c r="D1775" s="45">
        <v>1.296</v>
      </c>
      <c r="E1775" s="45">
        <v>114.1564</v>
      </c>
      <c r="F1775" s="45">
        <f t="shared" si="426"/>
        <v>147.94669440000001</v>
      </c>
      <c r="G1775" s="46">
        <f t="shared" si="427"/>
        <v>0</v>
      </c>
      <c r="H1775" s="47">
        <f t="shared" si="428"/>
        <v>0</v>
      </c>
      <c r="I1775" s="46">
        <f t="shared" si="429"/>
        <v>0</v>
      </c>
      <c r="J1775" s="47">
        <v>0</v>
      </c>
      <c r="K1775" s="46">
        <f t="shared" si="430"/>
        <v>0</v>
      </c>
      <c r="L1775" s="47">
        <v>0</v>
      </c>
      <c r="AX1775" s="46"/>
      <c r="AY1775" s="47"/>
      <c r="AZ1775" s="70"/>
      <c r="BC1775" s="50"/>
    </row>
    <row r="1776" spans="1:55" s="48" customFormat="1" ht="15.45" customHeight="1" outlineLevel="1" x14ac:dyDescent="0.25">
      <c r="A1776" s="42">
        <v>3</v>
      </c>
      <c r="B1776" s="43" t="s">
        <v>75</v>
      </c>
      <c r="C1776" s="44" t="s">
        <v>98</v>
      </c>
      <c r="D1776" s="45">
        <v>12.96</v>
      </c>
      <c r="E1776" s="45">
        <v>3.7719999999999998</v>
      </c>
      <c r="F1776" s="45">
        <f t="shared" si="426"/>
        <v>48.885120000000001</v>
      </c>
      <c r="G1776" s="46">
        <f t="shared" si="427"/>
        <v>0</v>
      </c>
      <c r="H1776" s="47">
        <f t="shared" si="428"/>
        <v>0</v>
      </c>
      <c r="I1776" s="46">
        <f t="shared" si="429"/>
        <v>0</v>
      </c>
      <c r="J1776" s="47">
        <v>0</v>
      </c>
      <c r="K1776" s="46">
        <f t="shared" si="430"/>
        <v>0</v>
      </c>
      <c r="L1776" s="47">
        <v>0</v>
      </c>
      <c r="AX1776" s="46"/>
      <c r="AY1776" s="47"/>
      <c r="AZ1776" s="70"/>
      <c r="BC1776" s="50"/>
    </row>
    <row r="1777" spans="1:55" s="48" customFormat="1" ht="15.45" customHeight="1" outlineLevel="1" x14ac:dyDescent="0.25">
      <c r="A1777" s="42">
        <v>4</v>
      </c>
      <c r="B1777" s="43" t="s">
        <v>1055</v>
      </c>
      <c r="C1777" s="44" t="s">
        <v>98</v>
      </c>
      <c r="D1777" s="45">
        <v>12.96</v>
      </c>
      <c r="E1777" s="45">
        <v>0.95300000000000007</v>
      </c>
      <c r="F1777" s="45">
        <f t="shared" si="426"/>
        <v>12.350880000000002</v>
      </c>
      <c r="G1777" s="46">
        <f t="shared" si="427"/>
        <v>0</v>
      </c>
      <c r="H1777" s="47">
        <f t="shared" si="428"/>
        <v>0</v>
      </c>
      <c r="I1777" s="46">
        <f t="shared" si="429"/>
        <v>0</v>
      </c>
      <c r="J1777" s="47">
        <v>0</v>
      </c>
      <c r="K1777" s="46">
        <f t="shared" si="430"/>
        <v>0</v>
      </c>
      <c r="L1777" s="47">
        <v>0</v>
      </c>
      <c r="AX1777" s="46"/>
      <c r="AY1777" s="47"/>
      <c r="AZ1777" s="70"/>
      <c r="BC1777" s="50"/>
    </row>
    <row r="1778" spans="1:55" s="48" customFormat="1" ht="15.45" customHeight="1" outlineLevel="1" x14ac:dyDescent="0.25">
      <c r="A1778" s="42">
        <v>5</v>
      </c>
      <c r="B1778" s="43" t="s">
        <v>82</v>
      </c>
      <c r="C1778" s="44" t="s">
        <v>110</v>
      </c>
      <c r="D1778" s="45">
        <v>0.33</v>
      </c>
      <c r="E1778" s="45">
        <v>803.44180000000006</v>
      </c>
      <c r="F1778" s="45">
        <f t="shared" si="426"/>
        <v>265.13579400000003</v>
      </c>
      <c r="G1778" s="46">
        <f t="shared" si="427"/>
        <v>0</v>
      </c>
      <c r="H1778" s="47">
        <f t="shared" si="428"/>
        <v>0</v>
      </c>
      <c r="I1778" s="46">
        <f t="shared" si="429"/>
        <v>0</v>
      </c>
      <c r="J1778" s="47">
        <v>0</v>
      </c>
      <c r="K1778" s="46">
        <f t="shared" si="430"/>
        <v>0</v>
      </c>
      <c r="L1778" s="47">
        <v>0</v>
      </c>
      <c r="AX1778" s="46">
        <v>1</v>
      </c>
      <c r="AY1778" s="47">
        <v>5766733.6402624408</v>
      </c>
      <c r="AZ1778" s="70">
        <f t="shared" ref="AZ1778:AZ1819" si="431">H1778-J1778</f>
        <v>0</v>
      </c>
      <c r="BC1778" s="50"/>
    </row>
    <row r="1779" spans="1:55" s="48" customFormat="1" ht="27.75" customHeight="1" outlineLevel="1" x14ac:dyDescent="0.25">
      <c r="A1779" s="42">
        <v>6</v>
      </c>
      <c r="B1779" s="43" t="s">
        <v>666</v>
      </c>
      <c r="C1779" s="44" t="s">
        <v>98</v>
      </c>
      <c r="D1779" s="45">
        <v>27.64</v>
      </c>
      <c r="E1779" s="45">
        <v>19.7758</v>
      </c>
      <c r="F1779" s="45">
        <f t="shared" si="426"/>
        <v>546.60311200000001</v>
      </c>
      <c r="G1779" s="46">
        <f t="shared" si="427"/>
        <v>0</v>
      </c>
      <c r="H1779" s="47">
        <f t="shared" si="428"/>
        <v>0</v>
      </c>
      <c r="I1779" s="46">
        <f t="shared" si="429"/>
        <v>0</v>
      </c>
      <c r="J1779" s="47">
        <v>0</v>
      </c>
      <c r="K1779" s="46">
        <f t="shared" si="430"/>
        <v>0</v>
      </c>
      <c r="L1779" s="47">
        <v>0</v>
      </c>
      <c r="AX1779" s="46">
        <v>1</v>
      </c>
      <c r="AY1779" s="47">
        <v>5766733.6402624408</v>
      </c>
      <c r="AZ1779" s="70">
        <f t="shared" si="431"/>
        <v>0</v>
      </c>
      <c r="BC1779" s="50"/>
    </row>
    <row r="1780" spans="1:55" s="48" customFormat="1" ht="15.45" customHeight="1" outlineLevel="1" x14ac:dyDescent="0.25">
      <c r="A1780" s="42">
        <v>7</v>
      </c>
      <c r="B1780" s="43" t="s">
        <v>86</v>
      </c>
      <c r="C1780" s="44" t="s">
        <v>61</v>
      </c>
      <c r="D1780" s="45">
        <v>17.600000000000001</v>
      </c>
      <c r="E1780" s="45">
        <v>14.3188</v>
      </c>
      <c r="F1780" s="45">
        <f t="shared" si="426"/>
        <v>252.01088000000001</v>
      </c>
      <c r="G1780" s="46">
        <f t="shared" si="427"/>
        <v>0</v>
      </c>
      <c r="H1780" s="47">
        <f t="shared" si="428"/>
        <v>0</v>
      </c>
      <c r="I1780" s="46">
        <f t="shared" si="429"/>
        <v>0</v>
      </c>
      <c r="J1780" s="47">
        <v>0</v>
      </c>
      <c r="K1780" s="46">
        <f t="shared" si="430"/>
        <v>0</v>
      </c>
      <c r="L1780" s="47">
        <v>0</v>
      </c>
      <c r="AX1780" s="46">
        <v>1</v>
      </c>
      <c r="AY1780" s="47">
        <v>5766733.6402624408</v>
      </c>
      <c r="AZ1780" s="70">
        <f t="shared" si="431"/>
        <v>0</v>
      </c>
      <c r="BC1780" s="50"/>
    </row>
    <row r="1781" spans="1:55" s="48" customFormat="1" ht="15.45" customHeight="1" outlineLevel="1" x14ac:dyDescent="0.25">
      <c r="A1781" s="42">
        <v>8</v>
      </c>
      <c r="B1781" s="43" t="s">
        <v>734</v>
      </c>
      <c r="C1781" s="44" t="s">
        <v>61</v>
      </c>
      <c r="D1781" s="45">
        <v>7.6</v>
      </c>
      <c r="E1781" s="45">
        <v>11.473000000000001</v>
      </c>
      <c r="F1781" s="45">
        <f t="shared" si="426"/>
        <v>87.194800000000001</v>
      </c>
      <c r="G1781" s="46">
        <f t="shared" si="427"/>
        <v>0</v>
      </c>
      <c r="H1781" s="47">
        <f t="shared" si="428"/>
        <v>0</v>
      </c>
      <c r="I1781" s="46">
        <f t="shared" si="429"/>
        <v>0</v>
      </c>
      <c r="J1781" s="47">
        <v>0</v>
      </c>
      <c r="K1781" s="46">
        <f t="shared" si="430"/>
        <v>0</v>
      </c>
      <c r="L1781" s="47">
        <v>0</v>
      </c>
      <c r="AX1781" s="46">
        <v>0</v>
      </c>
      <c r="AY1781" s="47">
        <v>0</v>
      </c>
      <c r="AZ1781" s="70">
        <f t="shared" si="431"/>
        <v>0</v>
      </c>
      <c r="BC1781" s="50"/>
    </row>
    <row r="1782" spans="1:55" s="48" customFormat="1" ht="15.45" customHeight="1" outlineLevel="1" x14ac:dyDescent="0.25">
      <c r="A1782" s="42">
        <v>9</v>
      </c>
      <c r="B1782" s="43" t="s">
        <v>1056</v>
      </c>
      <c r="C1782" s="44" t="s">
        <v>93</v>
      </c>
      <c r="D1782" s="45">
        <v>2</v>
      </c>
      <c r="E1782" s="45">
        <v>5.7303999999999986</v>
      </c>
      <c r="F1782" s="45">
        <f t="shared" si="426"/>
        <v>11.460799999999997</v>
      </c>
      <c r="G1782" s="46">
        <f t="shared" si="427"/>
        <v>0</v>
      </c>
      <c r="H1782" s="47">
        <f t="shared" si="428"/>
        <v>0</v>
      </c>
      <c r="I1782" s="46">
        <f t="shared" si="429"/>
        <v>0</v>
      </c>
      <c r="J1782" s="47">
        <v>0</v>
      </c>
      <c r="K1782" s="46">
        <f t="shared" si="430"/>
        <v>0</v>
      </c>
      <c r="L1782" s="47">
        <v>0</v>
      </c>
      <c r="AX1782" s="46">
        <v>0</v>
      </c>
      <c r="AY1782" s="47">
        <v>1038012.055247239</v>
      </c>
      <c r="AZ1782" s="70">
        <f t="shared" si="431"/>
        <v>0</v>
      </c>
      <c r="BC1782" s="50"/>
    </row>
    <row r="1783" spans="1:55" s="56" customFormat="1" ht="17.25" customHeight="1" x14ac:dyDescent="0.3">
      <c r="A1783" s="31">
        <v>14.6</v>
      </c>
      <c r="B1783" s="51" t="s">
        <v>1057</v>
      </c>
      <c r="C1783" s="52">
        <v>0</v>
      </c>
      <c r="D1783" s="53"/>
      <c r="E1783" s="53"/>
      <c r="F1783" s="53"/>
      <c r="G1783" s="54"/>
      <c r="H1783" s="55"/>
      <c r="I1783" s="54"/>
      <c r="J1783" s="55"/>
      <c r="K1783" s="54"/>
      <c r="L1783" s="55">
        <v>0</v>
      </c>
      <c r="AX1783" s="69">
        <v>1</v>
      </c>
      <c r="AY1783" s="71">
        <v>1308.3047999999999</v>
      </c>
      <c r="AZ1783" s="72">
        <f t="shared" si="431"/>
        <v>0</v>
      </c>
      <c r="BC1783" s="58"/>
    </row>
    <row r="1784" spans="1:55" s="48" customFormat="1" ht="15.45" customHeight="1" outlineLevel="1" x14ac:dyDescent="0.25">
      <c r="A1784" s="42">
        <v>1</v>
      </c>
      <c r="B1784" s="43" t="s">
        <v>96</v>
      </c>
      <c r="C1784" s="44" t="s">
        <v>98</v>
      </c>
      <c r="D1784" s="45">
        <v>2.2000000000000002</v>
      </c>
      <c r="E1784" s="45">
        <v>178.6</v>
      </c>
      <c r="F1784" s="45">
        <f>+E1784*D1784</f>
        <v>392.92</v>
      </c>
      <c r="G1784" s="46">
        <f t="shared" ref="G1784:H1787" si="432">I1784+K1784</f>
        <v>0</v>
      </c>
      <c r="H1784" s="47">
        <f t="shared" si="432"/>
        <v>0</v>
      </c>
      <c r="I1784" s="46">
        <f>J1784/F1784</f>
        <v>0</v>
      </c>
      <c r="J1784" s="47">
        <v>0</v>
      </c>
      <c r="K1784" s="46">
        <f>L1784/F1784</f>
        <v>0</v>
      </c>
      <c r="L1784" s="47">
        <v>0</v>
      </c>
      <c r="AX1784" s="46">
        <v>1.000034090134315</v>
      </c>
      <c r="AY1784" s="47">
        <v>1100.6492000000001</v>
      </c>
      <c r="AZ1784" s="70">
        <f t="shared" si="431"/>
        <v>0</v>
      </c>
      <c r="BC1784" s="50"/>
    </row>
    <row r="1785" spans="1:55" s="48" customFormat="1" ht="15.45" customHeight="1" outlineLevel="1" x14ac:dyDescent="0.25">
      <c r="A1785" s="42">
        <v>2</v>
      </c>
      <c r="B1785" s="43" t="s">
        <v>1058</v>
      </c>
      <c r="C1785" s="44" t="s">
        <v>93</v>
      </c>
      <c r="D1785" s="45">
        <v>1</v>
      </c>
      <c r="E1785" s="45">
        <v>19.663599999999999</v>
      </c>
      <c r="F1785" s="45">
        <f>+E1785*D1785</f>
        <v>19.663599999999999</v>
      </c>
      <c r="G1785" s="46">
        <f t="shared" si="432"/>
        <v>0</v>
      </c>
      <c r="H1785" s="47">
        <f t="shared" si="432"/>
        <v>0</v>
      </c>
      <c r="I1785" s="46">
        <f>J1785/F1785</f>
        <v>0</v>
      </c>
      <c r="J1785" s="47">
        <v>0</v>
      </c>
      <c r="K1785" s="46">
        <f>L1785/F1785</f>
        <v>0</v>
      </c>
      <c r="L1785" s="47">
        <v>0</v>
      </c>
      <c r="AX1785" s="46">
        <v>0</v>
      </c>
      <c r="AY1785" s="47">
        <v>0</v>
      </c>
      <c r="AZ1785" s="70">
        <f t="shared" si="431"/>
        <v>0</v>
      </c>
      <c r="BC1785" s="50"/>
    </row>
    <row r="1786" spans="1:55" s="48" customFormat="1" ht="27.75" customHeight="1" outlineLevel="1" x14ac:dyDescent="0.25">
      <c r="A1786" s="42">
        <v>3</v>
      </c>
      <c r="B1786" s="43" t="s">
        <v>736</v>
      </c>
      <c r="C1786" s="44" t="s">
        <v>98</v>
      </c>
      <c r="D1786" s="45">
        <v>4.4000000000000004</v>
      </c>
      <c r="E1786" s="45">
        <v>2.9763999999999999</v>
      </c>
      <c r="F1786" s="45">
        <f>+E1786*D1786</f>
        <v>13.096160000000001</v>
      </c>
      <c r="G1786" s="46">
        <f t="shared" si="432"/>
        <v>0</v>
      </c>
      <c r="H1786" s="47">
        <f t="shared" si="432"/>
        <v>0</v>
      </c>
      <c r="I1786" s="46">
        <f>J1786/F1786</f>
        <v>0</v>
      </c>
      <c r="J1786" s="47">
        <v>0</v>
      </c>
      <c r="K1786" s="46">
        <f>L1786/F1786</f>
        <v>0</v>
      </c>
      <c r="L1786" s="47">
        <v>0</v>
      </c>
      <c r="AX1786" s="46">
        <v>0</v>
      </c>
      <c r="AY1786" s="47">
        <v>0</v>
      </c>
      <c r="AZ1786" s="70">
        <f t="shared" si="431"/>
        <v>0</v>
      </c>
      <c r="BC1786" s="50"/>
    </row>
    <row r="1787" spans="1:55" s="48" customFormat="1" ht="27.75" customHeight="1" outlineLevel="1" x14ac:dyDescent="0.25">
      <c r="A1787" s="42">
        <v>4</v>
      </c>
      <c r="B1787" s="43" t="s">
        <v>1059</v>
      </c>
      <c r="C1787" s="44" t="s">
        <v>98</v>
      </c>
      <c r="D1787" s="45">
        <v>3.12</v>
      </c>
      <c r="E1787" s="45">
        <v>168.80799999999999</v>
      </c>
      <c r="F1787" s="45">
        <f>+E1787*D1787</f>
        <v>526.68096000000003</v>
      </c>
      <c r="G1787" s="46">
        <f t="shared" si="432"/>
        <v>0</v>
      </c>
      <c r="H1787" s="47">
        <f t="shared" si="432"/>
        <v>0</v>
      </c>
      <c r="I1787" s="46">
        <f>J1787/F1787</f>
        <v>0</v>
      </c>
      <c r="J1787" s="47">
        <v>0</v>
      </c>
      <c r="K1787" s="46">
        <f>L1787/F1787</f>
        <v>0</v>
      </c>
      <c r="L1787" s="47">
        <v>0</v>
      </c>
      <c r="AX1787" s="46">
        <v>0.42205242687875311</v>
      </c>
      <c r="AY1787" s="47">
        <v>1049.7370794998681</v>
      </c>
      <c r="AZ1787" s="70">
        <f t="shared" si="431"/>
        <v>0</v>
      </c>
      <c r="BC1787" s="50"/>
    </row>
    <row r="1788" spans="1:55" s="56" customFormat="1" ht="17.25" customHeight="1" x14ac:dyDescent="0.3">
      <c r="A1788" s="31">
        <v>14.7</v>
      </c>
      <c r="B1788" s="51" t="s">
        <v>1060</v>
      </c>
      <c r="C1788" s="52">
        <v>0</v>
      </c>
      <c r="D1788" s="53"/>
      <c r="E1788" s="53"/>
      <c r="F1788" s="53"/>
      <c r="G1788" s="54"/>
      <c r="H1788" s="55"/>
      <c r="I1788" s="54"/>
      <c r="J1788" s="55"/>
      <c r="K1788" s="54"/>
      <c r="L1788" s="55">
        <v>0</v>
      </c>
      <c r="AX1788" s="69">
        <v>0</v>
      </c>
      <c r="AY1788" s="71">
        <v>0</v>
      </c>
      <c r="AZ1788" s="72">
        <f t="shared" si="431"/>
        <v>0</v>
      </c>
      <c r="BC1788" s="58"/>
    </row>
    <row r="1789" spans="1:55" s="48" customFormat="1" ht="15.45" customHeight="1" outlineLevel="1" x14ac:dyDescent="0.25">
      <c r="A1789" s="42">
        <v>1</v>
      </c>
      <c r="B1789" s="43" t="s">
        <v>1061</v>
      </c>
      <c r="C1789" s="44" t="s">
        <v>98</v>
      </c>
      <c r="D1789" s="45">
        <v>16</v>
      </c>
      <c r="E1789" s="45">
        <v>5.4732580000000004</v>
      </c>
      <c r="F1789" s="45">
        <f>+E1789*D1789</f>
        <v>87.572128000000006</v>
      </c>
      <c r="G1789" s="46">
        <f t="shared" ref="G1789:H1791" si="433">I1789+K1789</f>
        <v>0</v>
      </c>
      <c r="H1789" s="47">
        <f t="shared" si="433"/>
        <v>0</v>
      </c>
      <c r="I1789" s="46">
        <f>J1789/F1789</f>
        <v>0</v>
      </c>
      <c r="J1789" s="47">
        <v>0</v>
      </c>
      <c r="K1789" s="46">
        <f>L1789/F1789</f>
        <v>0</v>
      </c>
      <c r="L1789" s="47">
        <v>0</v>
      </c>
      <c r="AX1789" s="46">
        <v>0</v>
      </c>
      <c r="AY1789" s="47">
        <v>0</v>
      </c>
      <c r="AZ1789" s="70">
        <f t="shared" si="431"/>
        <v>0</v>
      </c>
      <c r="BC1789" s="50"/>
    </row>
    <row r="1790" spans="1:55" s="48" customFormat="1" ht="15.45" customHeight="1" outlineLevel="1" x14ac:dyDescent="0.25">
      <c r="A1790" s="42">
        <v>2</v>
      </c>
      <c r="B1790" s="43" t="s">
        <v>118</v>
      </c>
      <c r="C1790" s="44" t="s">
        <v>98</v>
      </c>
      <c r="D1790" s="45">
        <v>16</v>
      </c>
      <c r="E1790" s="45">
        <v>1.4259999999999999</v>
      </c>
      <c r="F1790" s="45">
        <f>+E1790*D1790</f>
        <v>22.815999999999999</v>
      </c>
      <c r="G1790" s="46">
        <f t="shared" si="433"/>
        <v>0</v>
      </c>
      <c r="H1790" s="47">
        <f t="shared" si="433"/>
        <v>0</v>
      </c>
      <c r="I1790" s="46">
        <f>J1790/F1790</f>
        <v>0</v>
      </c>
      <c r="J1790" s="47">
        <v>0</v>
      </c>
      <c r="K1790" s="46">
        <f>L1790/F1790</f>
        <v>0</v>
      </c>
      <c r="L1790" s="47">
        <v>0</v>
      </c>
      <c r="AX1790" s="46">
        <v>0</v>
      </c>
      <c r="AY1790" s="47">
        <v>0</v>
      </c>
      <c r="AZ1790" s="70">
        <f t="shared" si="431"/>
        <v>0</v>
      </c>
      <c r="BC1790" s="50"/>
    </row>
    <row r="1791" spans="1:55" s="48" customFormat="1" ht="27.75" customHeight="1" outlineLevel="1" x14ac:dyDescent="0.25">
      <c r="A1791" s="42">
        <v>3</v>
      </c>
      <c r="B1791" s="43" t="s">
        <v>842</v>
      </c>
      <c r="C1791" s="44" t="s">
        <v>98</v>
      </c>
      <c r="D1791" s="45">
        <v>16</v>
      </c>
      <c r="E1791" s="45">
        <v>32.403399999999998</v>
      </c>
      <c r="F1791" s="45">
        <f>+E1791*D1791</f>
        <v>518.45439999999996</v>
      </c>
      <c r="G1791" s="46">
        <f t="shared" si="433"/>
        <v>0</v>
      </c>
      <c r="H1791" s="47">
        <f t="shared" si="433"/>
        <v>0</v>
      </c>
      <c r="I1791" s="46">
        <f>J1791/F1791</f>
        <v>0</v>
      </c>
      <c r="J1791" s="47">
        <v>0</v>
      </c>
      <c r="K1791" s="46">
        <f>L1791/F1791</f>
        <v>0</v>
      </c>
      <c r="L1791" s="47">
        <v>0</v>
      </c>
      <c r="AX1791" s="46">
        <v>8.55363520794237E-2</v>
      </c>
      <c r="AY1791" s="47">
        <v>345.048495</v>
      </c>
      <c r="AZ1791" s="70">
        <f t="shared" si="431"/>
        <v>0</v>
      </c>
      <c r="BC1791" s="50"/>
    </row>
    <row r="1792" spans="1:55" s="56" customFormat="1" ht="17.25" customHeight="1" x14ac:dyDescent="0.3">
      <c r="A1792" s="31">
        <v>14.8</v>
      </c>
      <c r="B1792" s="51" t="s">
        <v>1062</v>
      </c>
      <c r="C1792" s="52">
        <v>0</v>
      </c>
      <c r="D1792" s="53"/>
      <c r="E1792" s="53"/>
      <c r="F1792" s="53"/>
      <c r="G1792" s="54"/>
      <c r="H1792" s="55"/>
      <c r="I1792" s="54"/>
      <c r="J1792" s="55"/>
      <c r="K1792" s="54"/>
      <c r="L1792" s="55">
        <v>0</v>
      </c>
      <c r="AX1792" s="69">
        <v>8.4536352079423699E-2</v>
      </c>
      <c r="AY1792" s="71">
        <v>55.299657600000003</v>
      </c>
      <c r="AZ1792" s="72">
        <f t="shared" si="431"/>
        <v>0</v>
      </c>
      <c r="BC1792" s="58"/>
    </row>
    <row r="1793" spans="1:55" s="48" customFormat="1" ht="15.45" customHeight="1" outlineLevel="1" x14ac:dyDescent="0.25">
      <c r="A1793" s="42">
        <v>1</v>
      </c>
      <c r="B1793" s="43" t="s">
        <v>149</v>
      </c>
      <c r="C1793" s="44" t="s">
        <v>98</v>
      </c>
      <c r="D1793" s="45">
        <v>13</v>
      </c>
      <c r="E1793" s="45">
        <v>6.5157999999999996</v>
      </c>
      <c r="F1793" s="45">
        <f t="shared" ref="F1793:F1799" si="434">+E1793*D1793</f>
        <v>84.705399999999997</v>
      </c>
      <c r="G1793" s="46">
        <f t="shared" ref="G1793:H1799" si="435">I1793+K1793</f>
        <v>0</v>
      </c>
      <c r="H1793" s="47">
        <f t="shared" si="435"/>
        <v>0</v>
      </c>
      <c r="I1793" s="46">
        <f t="shared" ref="I1793:I1799" si="436">J1793/F1793</f>
        <v>0</v>
      </c>
      <c r="J1793" s="47">
        <v>0</v>
      </c>
      <c r="K1793" s="46">
        <f t="shared" ref="K1793:K1799" si="437">L1793/F1793</f>
        <v>0</v>
      </c>
      <c r="L1793" s="47">
        <v>0</v>
      </c>
      <c r="AX1793" s="46">
        <v>0</v>
      </c>
      <c r="AY1793" s="47">
        <v>0</v>
      </c>
      <c r="AZ1793" s="70">
        <f t="shared" si="431"/>
        <v>0</v>
      </c>
      <c r="BC1793" s="50"/>
    </row>
    <row r="1794" spans="1:55" s="48" customFormat="1" ht="27.75" customHeight="1" outlineLevel="1" x14ac:dyDescent="0.25">
      <c r="A1794" s="42">
        <v>2</v>
      </c>
      <c r="B1794" s="43" t="s">
        <v>152</v>
      </c>
      <c r="C1794" s="44" t="s">
        <v>98</v>
      </c>
      <c r="D1794" s="45">
        <v>13</v>
      </c>
      <c r="E1794" s="45">
        <v>5.71</v>
      </c>
      <c r="F1794" s="45">
        <f t="shared" si="434"/>
        <v>74.23</v>
      </c>
      <c r="G1794" s="46">
        <f t="shared" si="435"/>
        <v>0</v>
      </c>
      <c r="H1794" s="47">
        <f t="shared" si="435"/>
        <v>0</v>
      </c>
      <c r="I1794" s="46">
        <f t="shared" si="436"/>
        <v>0</v>
      </c>
      <c r="J1794" s="47">
        <v>0</v>
      </c>
      <c r="K1794" s="46">
        <f t="shared" si="437"/>
        <v>0</v>
      </c>
      <c r="L1794" s="47">
        <v>0</v>
      </c>
      <c r="AX1794" s="46">
        <v>0</v>
      </c>
      <c r="AY1794" s="47">
        <v>0</v>
      </c>
      <c r="AZ1794" s="70">
        <f t="shared" si="431"/>
        <v>0</v>
      </c>
      <c r="BC1794" s="50"/>
    </row>
    <row r="1795" spans="1:55" s="48" customFormat="1" ht="27.75" customHeight="1" outlineLevel="1" x14ac:dyDescent="0.25">
      <c r="A1795" s="42">
        <v>3</v>
      </c>
      <c r="B1795" s="43" t="s">
        <v>156</v>
      </c>
      <c r="C1795" s="44" t="s">
        <v>98</v>
      </c>
      <c r="D1795" s="45">
        <v>66.099999999999994</v>
      </c>
      <c r="E1795" s="45">
        <v>12.778600000000001</v>
      </c>
      <c r="F1795" s="45">
        <f t="shared" si="434"/>
        <v>844.66545999999994</v>
      </c>
      <c r="G1795" s="46">
        <f t="shared" si="435"/>
        <v>0</v>
      </c>
      <c r="H1795" s="47">
        <f t="shared" si="435"/>
        <v>0</v>
      </c>
      <c r="I1795" s="46">
        <f t="shared" si="436"/>
        <v>0</v>
      </c>
      <c r="J1795" s="47">
        <v>0</v>
      </c>
      <c r="K1795" s="46">
        <f t="shared" si="437"/>
        <v>0</v>
      </c>
      <c r="L1795" s="47">
        <v>0</v>
      </c>
      <c r="AX1795" s="46">
        <v>0</v>
      </c>
      <c r="AY1795" s="47">
        <v>0</v>
      </c>
      <c r="AZ1795" s="70">
        <f t="shared" si="431"/>
        <v>0</v>
      </c>
      <c r="BC1795" s="50"/>
    </row>
    <row r="1796" spans="1:55" s="48" customFormat="1" ht="27.75" customHeight="1" outlineLevel="1" x14ac:dyDescent="0.25">
      <c r="A1796" s="42">
        <v>4</v>
      </c>
      <c r="B1796" s="43" t="s">
        <v>1063</v>
      </c>
      <c r="C1796" s="44" t="s">
        <v>98</v>
      </c>
      <c r="D1796" s="45">
        <v>4.3600000000000003</v>
      </c>
      <c r="E1796" s="45">
        <v>27.956199999999999</v>
      </c>
      <c r="F1796" s="45">
        <f t="shared" si="434"/>
        <v>121.889032</v>
      </c>
      <c r="G1796" s="46">
        <f t="shared" si="435"/>
        <v>0</v>
      </c>
      <c r="H1796" s="47">
        <f t="shared" si="435"/>
        <v>0</v>
      </c>
      <c r="I1796" s="46">
        <f t="shared" si="436"/>
        <v>0</v>
      </c>
      <c r="J1796" s="47">
        <v>0</v>
      </c>
      <c r="K1796" s="46">
        <f t="shared" si="437"/>
        <v>0</v>
      </c>
      <c r="L1796" s="47">
        <v>0</v>
      </c>
      <c r="AX1796" s="46">
        <v>0</v>
      </c>
      <c r="AY1796" s="47">
        <v>0</v>
      </c>
      <c r="AZ1796" s="70">
        <f t="shared" si="431"/>
        <v>0</v>
      </c>
      <c r="BC1796" s="50"/>
    </row>
    <row r="1797" spans="1:55" s="48" customFormat="1" ht="27.75" customHeight="1" outlineLevel="1" x14ac:dyDescent="0.25">
      <c r="A1797" s="42">
        <v>5</v>
      </c>
      <c r="B1797" s="43" t="s">
        <v>1064</v>
      </c>
      <c r="C1797" s="44" t="s">
        <v>98</v>
      </c>
      <c r="D1797" s="45">
        <v>69.010000000000005</v>
      </c>
      <c r="E1797" s="45">
        <v>5.71</v>
      </c>
      <c r="F1797" s="45">
        <f t="shared" si="434"/>
        <v>394.0471</v>
      </c>
      <c r="G1797" s="46">
        <f t="shared" si="435"/>
        <v>0</v>
      </c>
      <c r="H1797" s="47">
        <f t="shared" si="435"/>
        <v>0</v>
      </c>
      <c r="I1797" s="46">
        <f t="shared" si="436"/>
        <v>0</v>
      </c>
      <c r="J1797" s="47">
        <v>0</v>
      </c>
      <c r="K1797" s="46">
        <f t="shared" si="437"/>
        <v>0</v>
      </c>
      <c r="L1797" s="47">
        <v>0</v>
      </c>
      <c r="AX1797" s="46">
        <v>0.30972358821269069</v>
      </c>
      <c r="AY1797" s="47">
        <v>22803.201150467241</v>
      </c>
      <c r="AZ1797" s="70">
        <f t="shared" si="431"/>
        <v>0</v>
      </c>
      <c r="BC1797" s="50"/>
    </row>
    <row r="1798" spans="1:55" s="48" customFormat="1" ht="15.45" customHeight="1" outlineLevel="1" x14ac:dyDescent="0.25">
      <c r="A1798" s="42">
        <v>6</v>
      </c>
      <c r="B1798" s="43" t="s">
        <v>161</v>
      </c>
      <c r="C1798" s="44" t="s">
        <v>98</v>
      </c>
      <c r="D1798" s="45">
        <v>63.4</v>
      </c>
      <c r="E1798" s="45">
        <v>10.320399999999999</v>
      </c>
      <c r="F1798" s="45">
        <f t="shared" si="434"/>
        <v>654.31335999999999</v>
      </c>
      <c r="G1798" s="46">
        <f t="shared" si="435"/>
        <v>0</v>
      </c>
      <c r="H1798" s="47">
        <f t="shared" si="435"/>
        <v>0</v>
      </c>
      <c r="I1798" s="46">
        <f t="shared" si="436"/>
        <v>0</v>
      </c>
      <c r="J1798" s="47">
        <v>0</v>
      </c>
      <c r="K1798" s="46">
        <f t="shared" si="437"/>
        <v>0</v>
      </c>
      <c r="L1798" s="47">
        <v>0</v>
      </c>
      <c r="AX1798" s="46">
        <v>0.2449552084901363</v>
      </c>
      <c r="AY1798" s="47">
        <v>6773.6078914481104</v>
      </c>
      <c r="AZ1798" s="70">
        <f t="shared" si="431"/>
        <v>0</v>
      </c>
      <c r="BC1798" s="50"/>
    </row>
    <row r="1799" spans="1:55" s="48" customFormat="1" ht="27.75" customHeight="1" outlineLevel="1" x14ac:dyDescent="0.25">
      <c r="A1799" s="42">
        <v>7</v>
      </c>
      <c r="B1799" s="43" t="s">
        <v>1065</v>
      </c>
      <c r="C1799" s="44" t="s">
        <v>98</v>
      </c>
      <c r="D1799" s="45">
        <v>64.849999999999994</v>
      </c>
      <c r="E1799" s="45">
        <v>4.9857999999999993</v>
      </c>
      <c r="F1799" s="45">
        <f t="shared" si="434"/>
        <v>323.32912999999991</v>
      </c>
      <c r="G1799" s="46">
        <f t="shared" si="435"/>
        <v>0</v>
      </c>
      <c r="H1799" s="47">
        <f t="shared" si="435"/>
        <v>0</v>
      </c>
      <c r="I1799" s="46">
        <f t="shared" si="436"/>
        <v>0</v>
      </c>
      <c r="J1799" s="47">
        <v>0</v>
      </c>
      <c r="K1799" s="46">
        <f t="shared" si="437"/>
        <v>0</v>
      </c>
      <c r="L1799" s="47">
        <v>0</v>
      </c>
      <c r="AX1799" s="46">
        <v>0.44645611890858689</v>
      </c>
      <c r="AY1799" s="47">
        <v>6859.5267351305883</v>
      </c>
      <c r="AZ1799" s="70">
        <f t="shared" si="431"/>
        <v>0</v>
      </c>
      <c r="BC1799" s="50"/>
    </row>
    <row r="1800" spans="1:55" s="56" customFormat="1" ht="17.25" customHeight="1" x14ac:dyDescent="0.3">
      <c r="A1800" s="31">
        <v>14.9</v>
      </c>
      <c r="B1800" s="51" t="s">
        <v>1066</v>
      </c>
      <c r="C1800" s="52">
        <v>0</v>
      </c>
      <c r="D1800" s="53"/>
      <c r="E1800" s="53"/>
      <c r="F1800" s="53"/>
      <c r="G1800" s="54"/>
      <c r="H1800" s="55"/>
      <c r="I1800" s="54"/>
      <c r="J1800" s="55"/>
      <c r="K1800" s="54"/>
      <c r="L1800" s="55">
        <v>0</v>
      </c>
      <c r="AX1800" s="69">
        <v>0</v>
      </c>
      <c r="AY1800" s="71">
        <v>0</v>
      </c>
      <c r="AZ1800" s="72">
        <f t="shared" si="431"/>
        <v>0</v>
      </c>
      <c r="BC1800" s="58"/>
    </row>
    <row r="1801" spans="1:55" s="48" customFormat="1" ht="27.75" customHeight="1" outlineLevel="1" x14ac:dyDescent="0.25">
      <c r="A1801" s="42">
        <v>1</v>
      </c>
      <c r="B1801" s="43" t="s">
        <v>1067</v>
      </c>
      <c r="C1801" s="44" t="s">
        <v>28</v>
      </c>
      <c r="D1801" s="45">
        <v>0.33700000000000002</v>
      </c>
      <c r="E1801" s="45">
        <v>3264.1</v>
      </c>
      <c r="F1801" s="45">
        <f>+E1801*D1801</f>
        <v>1100.0017</v>
      </c>
      <c r="G1801" s="46">
        <f t="shared" ref="G1801:H1805" si="438">I1801+K1801</f>
        <v>0</v>
      </c>
      <c r="H1801" s="47">
        <f t="shared" si="438"/>
        <v>0</v>
      </c>
      <c r="I1801" s="46">
        <f>J1801/F1801</f>
        <v>0</v>
      </c>
      <c r="J1801" s="47">
        <v>0</v>
      </c>
      <c r="K1801" s="46">
        <f>L1801/F1801</f>
        <v>0</v>
      </c>
      <c r="L1801" s="47">
        <v>0</v>
      </c>
      <c r="AX1801" s="46">
        <v>0</v>
      </c>
      <c r="AY1801" s="47">
        <v>0</v>
      </c>
      <c r="AZ1801" s="70">
        <f t="shared" si="431"/>
        <v>0</v>
      </c>
      <c r="BC1801" s="50"/>
    </row>
    <row r="1802" spans="1:55" s="48" customFormat="1" ht="15.45" customHeight="1" outlineLevel="1" x14ac:dyDescent="0.25">
      <c r="A1802" s="42">
        <v>2</v>
      </c>
      <c r="B1802" s="43" t="s">
        <v>1068</v>
      </c>
      <c r="C1802" s="44" t="s">
        <v>110</v>
      </c>
      <c r="D1802" s="45">
        <v>7.1999999999999995E-2</v>
      </c>
      <c r="E1802" s="45">
        <v>229.3246</v>
      </c>
      <c r="F1802" s="45">
        <f>+E1802*D1802</f>
        <v>16.511371199999999</v>
      </c>
      <c r="G1802" s="46">
        <f t="shared" si="438"/>
        <v>0</v>
      </c>
      <c r="H1802" s="47">
        <f t="shared" si="438"/>
        <v>0</v>
      </c>
      <c r="I1802" s="46">
        <f>J1802/F1802</f>
        <v>0</v>
      </c>
      <c r="J1802" s="47">
        <v>0</v>
      </c>
      <c r="K1802" s="46">
        <f>L1802/F1802</f>
        <v>0</v>
      </c>
      <c r="L1802" s="47">
        <v>0</v>
      </c>
      <c r="AX1802" s="46">
        <v>0</v>
      </c>
      <c r="AY1802" s="47">
        <v>0</v>
      </c>
      <c r="AZ1802" s="70">
        <f t="shared" si="431"/>
        <v>0</v>
      </c>
      <c r="BC1802" s="50"/>
    </row>
    <row r="1803" spans="1:55" s="48" customFormat="1" ht="15.45" customHeight="1" outlineLevel="1" x14ac:dyDescent="0.25">
      <c r="A1803" s="42">
        <v>3</v>
      </c>
      <c r="B1803" s="43" t="s">
        <v>1069</v>
      </c>
      <c r="C1803" s="44" t="s">
        <v>98</v>
      </c>
      <c r="D1803" s="45">
        <v>9.4</v>
      </c>
      <c r="E1803" s="45">
        <v>1.2385999999999999</v>
      </c>
      <c r="F1803" s="45">
        <f>+E1803*D1803</f>
        <v>11.64284</v>
      </c>
      <c r="G1803" s="46">
        <f t="shared" si="438"/>
        <v>0</v>
      </c>
      <c r="H1803" s="47">
        <f t="shared" si="438"/>
        <v>0</v>
      </c>
      <c r="I1803" s="46">
        <f>J1803/F1803</f>
        <v>0</v>
      </c>
      <c r="J1803" s="47">
        <v>0</v>
      </c>
      <c r="K1803" s="46">
        <f>L1803/F1803</f>
        <v>0</v>
      </c>
      <c r="L1803" s="47">
        <v>0</v>
      </c>
      <c r="AX1803" s="46">
        <v>0.30074574771976259</v>
      </c>
      <c r="AY1803" s="47">
        <v>1168.3312254350551</v>
      </c>
      <c r="AZ1803" s="70">
        <f t="shared" si="431"/>
        <v>0</v>
      </c>
      <c r="BC1803" s="50"/>
    </row>
    <row r="1804" spans="1:55" s="48" customFormat="1" ht="15.45" customHeight="1" outlineLevel="1" x14ac:dyDescent="0.25">
      <c r="A1804" s="42">
        <v>4</v>
      </c>
      <c r="B1804" s="43" t="s">
        <v>1070</v>
      </c>
      <c r="C1804" s="44" t="s">
        <v>98</v>
      </c>
      <c r="D1804" s="45">
        <v>9.4</v>
      </c>
      <c r="E1804" s="45">
        <v>0.9326000000000001</v>
      </c>
      <c r="F1804" s="45">
        <f>+E1804*D1804</f>
        <v>8.7664400000000011</v>
      </c>
      <c r="G1804" s="46">
        <f t="shared" si="438"/>
        <v>0</v>
      </c>
      <c r="H1804" s="47">
        <f t="shared" si="438"/>
        <v>0</v>
      </c>
      <c r="I1804" s="46">
        <f>J1804/F1804</f>
        <v>0</v>
      </c>
      <c r="J1804" s="47">
        <v>0</v>
      </c>
      <c r="K1804" s="46">
        <f>L1804/F1804</f>
        <v>0</v>
      </c>
      <c r="L1804" s="47">
        <v>0</v>
      </c>
      <c r="AX1804" s="46">
        <v>0.2449552084901363</v>
      </c>
      <c r="AY1804" s="47">
        <v>12700.51479646521</v>
      </c>
      <c r="AZ1804" s="70">
        <f t="shared" si="431"/>
        <v>0</v>
      </c>
      <c r="BC1804" s="50"/>
    </row>
    <row r="1805" spans="1:55" s="48" customFormat="1" ht="27.75" customHeight="1" outlineLevel="1" x14ac:dyDescent="0.25">
      <c r="A1805" s="42">
        <v>5</v>
      </c>
      <c r="B1805" s="43" t="s">
        <v>1071</v>
      </c>
      <c r="C1805" s="44" t="s">
        <v>110</v>
      </c>
      <c r="D1805" s="45">
        <v>0.18</v>
      </c>
      <c r="E1805" s="45">
        <v>142.07380000000001</v>
      </c>
      <c r="F1805" s="45">
        <f>+E1805*D1805</f>
        <v>25.573284000000001</v>
      </c>
      <c r="G1805" s="46">
        <f t="shared" si="438"/>
        <v>0</v>
      </c>
      <c r="H1805" s="47">
        <f t="shared" si="438"/>
        <v>0</v>
      </c>
      <c r="I1805" s="46">
        <f>J1805/F1805</f>
        <v>0</v>
      </c>
      <c r="J1805" s="47">
        <v>0</v>
      </c>
      <c r="K1805" s="46">
        <f>L1805/F1805</f>
        <v>0</v>
      </c>
      <c r="L1805" s="47">
        <v>0</v>
      </c>
      <c r="AX1805" s="46">
        <v>0.44643366439139198</v>
      </c>
      <c r="AY1805" s="47">
        <v>4260.3613261680666</v>
      </c>
      <c r="AZ1805" s="70">
        <f t="shared" si="431"/>
        <v>0</v>
      </c>
      <c r="BC1805" s="50"/>
    </row>
    <row r="1806" spans="1:55" s="56" customFormat="1" ht="17.25" customHeight="1" x14ac:dyDescent="0.3">
      <c r="A1806" s="62">
        <v>14.1</v>
      </c>
      <c r="B1806" s="51" t="s">
        <v>1072</v>
      </c>
      <c r="C1806" s="52">
        <v>0</v>
      </c>
      <c r="D1806" s="53"/>
      <c r="E1806" s="53"/>
      <c r="F1806" s="53"/>
      <c r="G1806" s="54"/>
      <c r="H1806" s="55"/>
      <c r="I1806" s="54"/>
      <c r="J1806" s="55"/>
      <c r="K1806" s="54"/>
      <c r="L1806" s="55">
        <v>0</v>
      </c>
      <c r="AX1806" s="69">
        <v>0</v>
      </c>
      <c r="AY1806" s="71">
        <v>0</v>
      </c>
      <c r="AZ1806" s="72">
        <f t="shared" si="431"/>
        <v>0</v>
      </c>
      <c r="BC1806" s="58"/>
    </row>
    <row r="1807" spans="1:55" s="48" customFormat="1" ht="27.75" customHeight="1" outlineLevel="1" x14ac:dyDescent="0.25">
      <c r="A1807" s="42">
        <v>1</v>
      </c>
      <c r="B1807" s="43" t="s">
        <v>262</v>
      </c>
      <c r="C1807" s="44" t="s">
        <v>93</v>
      </c>
      <c r="D1807" s="45">
        <v>2</v>
      </c>
      <c r="E1807" s="45">
        <v>194.78739999999999</v>
      </c>
      <c r="F1807" s="45">
        <f t="shared" ref="F1807:F1834" si="439">+E1807*D1807</f>
        <v>389.57479999999998</v>
      </c>
      <c r="G1807" s="46">
        <f t="shared" ref="G1807:G1834" si="440">I1807+K1807</f>
        <v>0</v>
      </c>
      <c r="H1807" s="47">
        <f t="shared" ref="H1807:H1834" si="441">J1807+L1807</f>
        <v>0</v>
      </c>
      <c r="I1807" s="46">
        <f t="shared" ref="I1807:I1834" si="442">J1807/F1807</f>
        <v>0</v>
      </c>
      <c r="J1807" s="47">
        <v>0</v>
      </c>
      <c r="K1807" s="46">
        <f t="shared" ref="K1807:K1834" si="443">L1807/F1807</f>
        <v>0</v>
      </c>
      <c r="L1807" s="47">
        <v>0</v>
      </c>
      <c r="AX1807" s="46">
        <v>0</v>
      </c>
      <c r="AY1807" s="47">
        <v>0</v>
      </c>
      <c r="AZ1807" s="70">
        <f t="shared" si="431"/>
        <v>0</v>
      </c>
      <c r="BC1807" s="50"/>
    </row>
    <row r="1808" spans="1:55" s="48" customFormat="1" ht="55.5" customHeight="1" outlineLevel="1" x14ac:dyDescent="0.25">
      <c r="A1808" s="42">
        <v>2</v>
      </c>
      <c r="B1808" s="43" t="s">
        <v>1073</v>
      </c>
      <c r="C1808" s="44" t="s">
        <v>234</v>
      </c>
      <c r="D1808" s="45">
        <v>1</v>
      </c>
      <c r="E1808" s="45">
        <v>15478.1</v>
      </c>
      <c r="F1808" s="45">
        <f t="shared" si="439"/>
        <v>15478.1</v>
      </c>
      <c r="G1808" s="46">
        <f t="shared" si="440"/>
        <v>0</v>
      </c>
      <c r="H1808" s="47">
        <f t="shared" si="441"/>
        <v>0</v>
      </c>
      <c r="I1808" s="46">
        <f t="shared" si="442"/>
        <v>0</v>
      </c>
      <c r="J1808" s="47">
        <v>0</v>
      </c>
      <c r="K1808" s="46">
        <f t="shared" si="443"/>
        <v>0</v>
      </c>
      <c r="L1808" s="47">
        <v>0</v>
      </c>
      <c r="AX1808" s="46">
        <v>0</v>
      </c>
      <c r="AY1808" s="47">
        <v>0</v>
      </c>
      <c r="AZ1808" s="70">
        <f t="shared" si="431"/>
        <v>0</v>
      </c>
      <c r="BC1808" s="50"/>
    </row>
    <row r="1809" spans="1:55" s="48" customFormat="1" ht="27.75" customHeight="1" outlineLevel="1" x14ac:dyDescent="0.25">
      <c r="A1809" s="42">
        <v>3</v>
      </c>
      <c r="B1809" s="43" t="s">
        <v>1074</v>
      </c>
      <c r="C1809" s="44" t="s">
        <v>93</v>
      </c>
      <c r="D1809" s="45">
        <v>1</v>
      </c>
      <c r="E1809" s="45">
        <v>765.1</v>
      </c>
      <c r="F1809" s="45">
        <f t="shared" si="439"/>
        <v>765.1</v>
      </c>
      <c r="G1809" s="46">
        <f t="shared" si="440"/>
        <v>0</v>
      </c>
      <c r="H1809" s="47">
        <f t="shared" si="441"/>
        <v>0</v>
      </c>
      <c r="I1809" s="46">
        <f t="shared" si="442"/>
        <v>0</v>
      </c>
      <c r="J1809" s="47">
        <v>0</v>
      </c>
      <c r="K1809" s="46">
        <f t="shared" si="443"/>
        <v>0</v>
      </c>
      <c r="L1809" s="47">
        <v>0</v>
      </c>
      <c r="AX1809" s="46">
        <v>0</v>
      </c>
      <c r="AY1809" s="47">
        <v>0</v>
      </c>
      <c r="AZ1809" s="70">
        <f t="shared" si="431"/>
        <v>0</v>
      </c>
      <c r="BC1809" s="50"/>
    </row>
    <row r="1810" spans="1:55" s="48" customFormat="1" ht="55.5" customHeight="1" outlineLevel="1" x14ac:dyDescent="0.25">
      <c r="A1810" s="42">
        <v>4</v>
      </c>
      <c r="B1810" s="43" t="s">
        <v>1075</v>
      </c>
      <c r="C1810" s="44" t="s">
        <v>93</v>
      </c>
      <c r="D1810" s="45">
        <v>2</v>
      </c>
      <c r="E1810" s="45">
        <v>16.542400000000001</v>
      </c>
      <c r="F1810" s="45">
        <f t="shared" si="439"/>
        <v>33.084800000000001</v>
      </c>
      <c r="G1810" s="46">
        <f t="shared" si="440"/>
        <v>0</v>
      </c>
      <c r="H1810" s="47">
        <f t="shared" si="441"/>
        <v>0</v>
      </c>
      <c r="I1810" s="46">
        <f t="shared" si="442"/>
        <v>0</v>
      </c>
      <c r="J1810" s="47">
        <v>0</v>
      </c>
      <c r="K1810" s="46">
        <f t="shared" si="443"/>
        <v>0</v>
      </c>
      <c r="L1810" s="47">
        <v>0</v>
      </c>
      <c r="AX1810" s="46">
        <v>0</v>
      </c>
      <c r="AY1810" s="47">
        <v>0</v>
      </c>
      <c r="AZ1810" s="70">
        <f t="shared" si="431"/>
        <v>0</v>
      </c>
      <c r="BC1810" s="50"/>
    </row>
    <row r="1811" spans="1:55" s="48" customFormat="1" ht="27.75" customHeight="1" outlineLevel="1" x14ac:dyDescent="0.25">
      <c r="A1811" s="42">
        <v>5</v>
      </c>
      <c r="B1811" s="43" t="s">
        <v>1076</v>
      </c>
      <c r="C1811" s="44" t="s">
        <v>93</v>
      </c>
      <c r="D1811" s="45">
        <v>1</v>
      </c>
      <c r="E1811" s="45">
        <v>49.386400000000009</v>
      </c>
      <c r="F1811" s="45">
        <f t="shared" si="439"/>
        <v>49.386400000000009</v>
      </c>
      <c r="G1811" s="46">
        <f t="shared" si="440"/>
        <v>0</v>
      </c>
      <c r="H1811" s="47">
        <f t="shared" si="441"/>
        <v>0</v>
      </c>
      <c r="I1811" s="46">
        <f t="shared" si="442"/>
        <v>0</v>
      </c>
      <c r="J1811" s="47">
        <v>0</v>
      </c>
      <c r="K1811" s="46">
        <f t="shared" si="443"/>
        <v>0</v>
      </c>
      <c r="L1811" s="47">
        <v>0</v>
      </c>
      <c r="AX1811" s="46">
        <v>0</v>
      </c>
      <c r="AY1811" s="47">
        <v>0</v>
      </c>
      <c r="AZ1811" s="70">
        <f t="shared" si="431"/>
        <v>0</v>
      </c>
      <c r="BC1811" s="50"/>
    </row>
    <row r="1812" spans="1:55" s="48" customFormat="1" ht="15.45" customHeight="1" outlineLevel="1" x14ac:dyDescent="0.25">
      <c r="A1812" s="42">
        <v>6</v>
      </c>
      <c r="B1812" s="43" t="s">
        <v>1077</v>
      </c>
      <c r="C1812" s="44" t="s">
        <v>93</v>
      </c>
      <c r="D1812" s="45">
        <v>1</v>
      </c>
      <c r="E1812" s="45">
        <v>114.64400000000001</v>
      </c>
      <c r="F1812" s="45">
        <f t="shared" si="439"/>
        <v>114.64400000000001</v>
      </c>
      <c r="G1812" s="46">
        <f t="shared" si="440"/>
        <v>0</v>
      </c>
      <c r="H1812" s="47">
        <f t="shared" si="441"/>
        <v>0</v>
      </c>
      <c r="I1812" s="46">
        <f t="shared" si="442"/>
        <v>0</v>
      </c>
      <c r="J1812" s="47">
        <v>0</v>
      </c>
      <c r="K1812" s="46">
        <f t="shared" si="443"/>
        <v>0</v>
      </c>
      <c r="L1812" s="47">
        <v>0</v>
      </c>
      <c r="AX1812" s="46">
        <v>0.62017288711832197</v>
      </c>
      <c r="AY1812" s="47">
        <v>2404.8000000000002</v>
      </c>
      <c r="AZ1812" s="70">
        <f t="shared" si="431"/>
        <v>0</v>
      </c>
      <c r="BC1812" s="50"/>
    </row>
    <row r="1813" spans="1:55" s="48" customFormat="1" ht="27.75" customHeight="1" outlineLevel="1" x14ac:dyDescent="0.25">
      <c r="A1813" s="42">
        <v>7</v>
      </c>
      <c r="B1813" s="43" t="s">
        <v>1078</v>
      </c>
      <c r="C1813" s="44" t="s">
        <v>61</v>
      </c>
      <c r="D1813" s="45">
        <v>16</v>
      </c>
      <c r="E1813" s="45">
        <v>10.4734</v>
      </c>
      <c r="F1813" s="45">
        <f t="shared" si="439"/>
        <v>167.5744</v>
      </c>
      <c r="G1813" s="46">
        <f t="shared" si="440"/>
        <v>0</v>
      </c>
      <c r="H1813" s="47">
        <f t="shared" si="441"/>
        <v>0</v>
      </c>
      <c r="I1813" s="46">
        <f t="shared" si="442"/>
        <v>0</v>
      </c>
      <c r="J1813" s="47">
        <v>0</v>
      </c>
      <c r="K1813" s="46">
        <f t="shared" si="443"/>
        <v>0</v>
      </c>
      <c r="L1813" s="47">
        <v>0</v>
      </c>
      <c r="AX1813" s="46">
        <v>0.50198481879540013</v>
      </c>
      <c r="AY1813" s="47">
        <v>1349.6524312639999</v>
      </c>
      <c r="AZ1813" s="70">
        <f t="shared" si="431"/>
        <v>0</v>
      </c>
      <c r="BC1813" s="50"/>
    </row>
    <row r="1814" spans="1:55" s="48" customFormat="1" ht="43.2" customHeight="1" outlineLevel="1" x14ac:dyDescent="0.25">
      <c r="A1814" s="42">
        <v>8</v>
      </c>
      <c r="B1814" s="43" t="s">
        <v>1032</v>
      </c>
      <c r="C1814" s="44" t="s">
        <v>61</v>
      </c>
      <c r="D1814" s="45">
        <v>16</v>
      </c>
      <c r="E1814" s="45">
        <v>17.846</v>
      </c>
      <c r="F1814" s="45">
        <f t="shared" si="439"/>
        <v>285.536</v>
      </c>
      <c r="G1814" s="46">
        <f t="shared" si="440"/>
        <v>0</v>
      </c>
      <c r="H1814" s="47">
        <f t="shared" si="441"/>
        <v>0</v>
      </c>
      <c r="I1814" s="46">
        <f t="shared" si="442"/>
        <v>0</v>
      </c>
      <c r="J1814" s="47">
        <v>0</v>
      </c>
      <c r="K1814" s="46">
        <f t="shared" si="443"/>
        <v>0</v>
      </c>
      <c r="L1814" s="47">
        <v>0</v>
      </c>
      <c r="AX1814" s="46">
        <v>0</v>
      </c>
      <c r="AY1814" s="47">
        <v>0</v>
      </c>
      <c r="AZ1814" s="70">
        <f t="shared" si="431"/>
        <v>0</v>
      </c>
      <c r="BC1814" s="50"/>
    </row>
    <row r="1815" spans="1:55" s="48" customFormat="1" ht="27.75" customHeight="1" outlineLevel="1" x14ac:dyDescent="0.25">
      <c r="A1815" s="42">
        <v>9</v>
      </c>
      <c r="B1815" s="43" t="s">
        <v>1079</v>
      </c>
      <c r="C1815" s="44" t="s">
        <v>61</v>
      </c>
      <c r="D1815" s="45">
        <v>20</v>
      </c>
      <c r="E1815" s="45">
        <v>10.4428</v>
      </c>
      <c r="F1815" s="45">
        <f t="shared" si="439"/>
        <v>208.85599999999999</v>
      </c>
      <c r="G1815" s="46">
        <f t="shared" si="440"/>
        <v>0</v>
      </c>
      <c r="H1815" s="47">
        <f t="shared" si="441"/>
        <v>0</v>
      </c>
      <c r="I1815" s="46">
        <f t="shared" si="442"/>
        <v>0</v>
      </c>
      <c r="J1815" s="47">
        <v>0</v>
      </c>
      <c r="K1815" s="46">
        <f t="shared" si="443"/>
        <v>0</v>
      </c>
      <c r="L1815" s="47">
        <v>0</v>
      </c>
      <c r="AX1815" s="46">
        <v>0</v>
      </c>
      <c r="AY1815" s="47">
        <v>0</v>
      </c>
      <c r="AZ1815" s="70">
        <f t="shared" si="431"/>
        <v>0</v>
      </c>
      <c r="BC1815" s="50"/>
    </row>
    <row r="1816" spans="1:55" s="48" customFormat="1" ht="27.75" customHeight="1" outlineLevel="1" x14ac:dyDescent="0.25">
      <c r="A1816" s="42">
        <v>10</v>
      </c>
      <c r="B1816" s="43" t="s">
        <v>290</v>
      </c>
      <c r="C1816" s="44" t="s">
        <v>61</v>
      </c>
      <c r="D1816" s="45">
        <v>20</v>
      </c>
      <c r="E1816" s="45">
        <v>14.4086</v>
      </c>
      <c r="F1816" s="45">
        <f t="shared" si="439"/>
        <v>288.17200000000003</v>
      </c>
      <c r="G1816" s="46">
        <f t="shared" si="440"/>
        <v>0</v>
      </c>
      <c r="H1816" s="47">
        <f t="shared" si="441"/>
        <v>0</v>
      </c>
      <c r="I1816" s="46">
        <f t="shared" si="442"/>
        <v>0</v>
      </c>
      <c r="J1816" s="47">
        <v>0</v>
      </c>
      <c r="K1816" s="46">
        <f t="shared" si="443"/>
        <v>0</v>
      </c>
      <c r="L1816" s="47">
        <v>0</v>
      </c>
      <c r="AX1816" s="46">
        <v>0.49528185486995763</v>
      </c>
      <c r="AY1816" s="47">
        <v>830.85016999999993</v>
      </c>
      <c r="AZ1816" s="70">
        <f t="shared" si="431"/>
        <v>0</v>
      </c>
      <c r="BC1816" s="50"/>
    </row>
    <row r="1817" spans="1:55" s="48" customFormat="1" ht="27.75" customHeight="1" outlineLevel="1" x14ac:dyDescent="0.25">
      <c r="A1817" s="42">
        <v>11</v>
      </c>
      <c r="B1817" s="43" t="s">
        <v>186</v>
      </c>
      <c r="C1817" s="44" t="s">
        <v>61</v>
      </c>
      <c r="D1817" s="45">
        <v>36</v>
      </c>
      <c r="E1817" s="45">
        <v>1.1876</v>
      </c>
      <c r="F1817" s="45">
        <f t="shared" si="439"/>
        <v>42.753599999999999</v>
      </c>
      <c r="G1817" s="46">
        <f t="shared" si="440"/>
        <v>0</v>
      </c>
      <c r="H1817" s="47">
        <f t="shared" si="441"/>
        <v>0</v>
      </c>
      <c r="I1817" s="46">
        <f t="shared" si="442"/>
        <v>0</v>
      </c>
      <c r="J1817" s="47">
        <v>0</v>
      </c>
      <c r="K1817" s="46">
        <f t="shared" si="443"/>
        <v>0</v>
      </c>
      <c r="L1817" s="47">
        <v>0</v>
      </c>
      <c r="AX1817" s="46">
        <v>0.6202058969858999</v>
      </c>
      <c r="AY1817" s="47">
        <v>283.60000000000002</v>
      </c>
      <c r="AZ1817" s="70">
        <f t="shared" si="431"/>
        <v>0</v>
      </c>
      <c r="BC1817" s="50"/>
    </row>
    <row r="1818" spans="1:55" s="59" customFormat="1" ht="27.75" customHeight="1" outlineLevel="1" x14ac:dyDescent="0.35">
      <c r="A1818" s="42">
        <v>12</v>
      </c>
      <c r="B1818" s="43" t="s">
        <v>848</v>
      </c>
      <c r="C1818" s="44" t="s">
        <v>61</v>
      </c>
      <c r="D1818" s="45">
        <v>5</v>
      </c>
      <c r="E1818" s="45">
        <v>7.8723999999999998</v>
      </c>
      <c r="F1818" s="45">
        <f t="shared" si="439"/>
        <v>39.362000000000002</v>
      </c>
      <c r="G1818" s="46">
        <f t="shared" si="440"/>
        <v>0</v>
      </c>
      <c r="H1818" s="47">
        <f t="shared" si="441"/>
        <v>0</v>
      </c>
      <c r="I1818" s="46">
        <f t="shared" si="442"/>
        <v>0</v>
      </c>
      <c r="J1818" s="47">
        <v>0</v>
      </c>
      <c r="K1818" s="46">
        <f t="shared" si="443"/>
        <v>0</v>
      </c>
      <c r="L1818" s="47">
        <v>0</v>
      </c>
      <c r="AX1818" s="73">
        <v>0.49997244819191239</v>
      </c>
      <c r="AY1818" s="74">
        <v>315.24614783999988</v>
      </c>
      <c r="AZ1818" s="75">
        <f t="shared" si="431"/>
        <v>0</v>
      </c>
      <c r="BC1818" s="61"/>
    </row>
    <row r="1819" spans="1:55" s="59" customFormat="1" ht="17.7" customHeight="1" outlineLevel="1" x14ac:dyDescent="0.35">
      <c r="A1819" s="42">
        <v>13</v>
      </c>
      <c r="B1819" s="43" t="s">
        <v>1080</v>
      </c>
      <c r="C1819" s="44" t="s">
        <v>61</v>
      </c>
      <c r="D1819" s="45">
        <v>5</v>
      </c>
      <c r="E1819" s="45">
        <v>5.4529999999999994</v>
      </c>
      <c r="F1819" s="45">
        <f t="shared" si="439"/>
        <v>27.264999999999997</v>
      </c>
      <c r="G1819" s="46">
        <f t="shared" si="440"/>
        <v>0</v>
      </c>
      <c r="H1819" s="47">
        <f t="shared" si="441"/>
        <v>0</v>
      </c>
      <c r="I1819" s="46">
        <f t="shared" si="442"/>
        <v>0</v>
      </c>
      <c r="J1819" s="47">
        <v>0</v>
      </c>
      <c r="K1819" s="46">
        <f t="shared" si="443"/>
        <v>0</v>
      </c>
      <c r="L1819" s="47">
        <v>0</v>
      </c>
      <c r="AX1819" s="73">
        <v>0</v>
      </c>
      <c r="AY1819" s="74">
        <v>0</v>
      </c>
      <c r="AZ1819" s="75">
        <f t="shared" si="431"/>
        <v>0</v>
      </c>
      <c r="BC1819" s="61"/>
    </row>
    <row r="1820" spans="1:55" s="59" customFormat="1" ht="27.75" customHeight="1" outlineLevel="1" x14ac:dyDescent="0.35">
      <c r="A1820" s="42">
        <v>14</v>
      </c>
      <c r="B1820" s="43" t="s">
        <v>194</v>
      </c>
      <c r="C1820" s="44" t="s">
        <v>61</v>
      </c>
      <c r="D1820" s="45">
        <v>5</v>
      </c>
      <c r="E1820" s="45">
        <v>1.1876</v>
      </c>
      <c r="F1820" s="45">
        <f t="shared" si="439"/>
        <v>5.9379999999999997</v>
      </c>
      <c r="G1820" s="46">
        <f t="shared" si="440"/>
        <v>0</v>
      </c>
      <c r="H1820" s="47">
        <f t="shared" si="441"/>
        <v>0</v>
      </c>
      <c r="I1820" s="46">
        <f t="shared" si="442"/>
        <v>0</v>
      </c>
      <c r="J1820" s="47">
        <v>0</v>
      </c>
      <c r="K1820" s="46">
        <f t="shared" si="443"/>
        <v>0</v>
      </c>
      <c r="L1820" s="47">
        <v>0</v>
      </c>
      <c r="AX1820" s="73"/>
      <c r="AY1820" s="74"/>
      <c r="AZ1820" s="75"/>
      <c r="BC1820" s="61"/>
    </row>
    <row r="1821" spans="1:55" s="48" customFormat="1" ht="41.7" customHeight="1" outlineLevel="1" x14ac:dyDescent="0.25">
      <c r="A1821" s="42">
        <v>15</v>
      </c>
      <c r="B1821" s="43" t="s">
        <v>1081</v>
      </c>
      <c r="C1821" s="44" t="s">
        <v>93</v>
      </c>
      <c r="D1821" s="45">
        <v>2</v>
      </c>
      <c r="E1821" s="45">
        <v>42.807400000000001</v>
      </c>
      <c r="F1821" s="45">
        <f t="shared" si="439"/>
        <v>85.614800000000002</v>
      </c>
      <c r="G1821" s="46">
        <f t="shared" si="440"/>
        <v>0</v>
      </c>
      <c r="H1821" s="47">
        <f t="shared" si="441"/>
        <v>0</v>
      </c>
      <c r="I1821" s="46">
        <f t="shared" si="442"/>
        <v>0</v>
      </c>
      <c r="J1821" s="47">
        <v>0</v>
      </c>
      <c r="K1821" s="46">
        <f t="shared" si="443"/>
        <v>0</v>
      </c>
      <c r="L1821" s="47">
        <v>0</v>
      </c>
      <c r="AX1821" s="46"/>
      <c r="AY1821" s="47"/>
      <c r="AZ1821" s="70"/>
      <c r="BC1821" s="50"/>
    </row>
    <row r="1822" spans="1:55" s="48" customFormat="1" ht="15.45" customHeight="1" outlineLevel="1" x14ac:dyDescent="0.25">
      <c r="A1822" s="42">
        <v>16</v>
      </c>
      <c r="B1822" s="43" t="s">
        <v>1082</v>
      </c>
      <c r="C1822" s="44" t="s">
        <v>93</v>
      </c>
      <c r="D1822" s="45">
        <v>2</v>
      </c>
      <c r="E1822" s="45">
        <v>212.44159999999999</v>
      </c>
      <c r="F1822" s="45">
        <f t="shared" si="439"/>
        <v>424.88319999999999</v>
      </c>
      <c r="G1822" s="46">
        <f t="shared" si="440"/>
        <v>0</v>
      </c>
      <c r="H1822" s="47">
        <f t="shared" si="441"/>
        <v>0</v>
      </c>
      <c r="I1822" s="46">
        <f t="shared" si="442"/>
        <v>0</v>
      </c>
      <c r="J1822" s="47">
        <v>0</v>
      </c>
      <c r="K1822" s="46">
        <f t="shared" si="443"/>
        <v>0</v>
      </c>
      <c r="L1822" s="47">
        <v>0</v>
      </c>
      <c r="AX1822" s="46"/>
      <c r="AY1822" s="47"/>
      <c r="AZ1822" s="70"/>
      <c r="BC1822" s="50"/>
    </row>
    <row r="1823" spans="1:55" s="48" customFormat="1" ht="41.7" customHeight="1" outlineLevel="1" x14ac:dyDescent="0.25">
      <c r="A1823" s="42">
        <v>17</v>
      </c>
      <c r="B1823" s="43" t="s">
        <v>1083</v>
      </c>
      <c r="C1823" s="44" t="s">
        <v>93</v>
      </c>
      <c r="D1823" s="45">
        <v>2</v>
      </c>
      <c r="E1823" s="45">
        <v>42.807400000000001</v>
      </c>
      <c r="F1823" s="45">
        <f t="shared" si="439"/>
        <v>85.614800000000002</v>
      </c>
      <c r="G1823" s="46">
        <f t="shared" si="440"/>
        <v>0</v>
      </c>
      <c r="H1823" s="47">
        <f t="shared" si="441"/>
        <v>0</v>
      </c>
      <c r="I1823" s="46">
        <f t="shared" si="442"/>
        <v>0</v>
      </c>
      <c r="J1823" s="47">
        <v>0</v>
      </c>
      <c r="K1823" s="46">
        <f t="shared" si="443"/>
        <v>0</v>
      </c>
      <c r="L1823" s="47">
        <v>0</v>
      </c>
      <c r="AX1823" s="46"/>
      <c r="AY1823" s="47"/>
      <c r="AZ1823" s="70"/>
      <c r="BC1823" s="50"/>
    </row>
    <row r="1824" spans="1:55" s="48" customFormat="1" ht="15.45" customHeight="1" outlineLevel="1" x14ac:dyDescent="0.25">
      <c r="A1824" s="42">
        <v>18</v>
      </c>
      <c r="B1824" s="43" t="s">
        <v>1084</v>
      </c>
      <c r="C1824" s="44" t="s">
        <v>93</v>
      </c>
      <c r="D1824" s="45">
        <v>2</v>
      </c>
      <c r="E1824" s="45">
        <v>127.547</v>
      </c>
      <c r="F1824" s="45">
        <f t="shared" si="439"/>
        <v>255.09399999999999</v>
      </c>
      <c r="G1824" s="46">
        <f t="shared" si="440"/>
        <v>0</v>
      </c>
      <c r="H1824" s="47">
        <f t="shared" si="441"/>
        <v>0</v>
      </c>
      <c r="I1824" s="46">
        <f t="shared" si="442"/>
        <v>0</v>
      </c>
      <c r="J1824" s="47">
        <v>0</v>
      </c>
      <c r="K1824" s="46">
        <f t="shared" si="443"/>
        <v>0</v>
      </c>
      <c r="L1824" s="47">
        <v>0</v>
      </c>
      <c r="AX1824" s="46">
        <v>1</v>
      </c>
      <c r="AY1824" s="47">
        <v>5766733.6402624408</v>
      </c>
      <c r="AZ1824" s="70">
        <f>H1824-J1824</f>
        <v>0</v>
      </c>
      <c r="BC1824" s="50"/>
    </row>
    <row r="1825" spans="1:55" s="48" customFormat="1" ht="27.75" customHeight="1" outlineLevel="1" x14ac:dyDescent="0.25">
      <c r="A1825" s="42">
        <v>19</v>
      </c>
      <c r="B1825" s="43" t="s">
        <v>1085</v>
      </c>
      <c r="C1825" s="44" t="s">
        <v>93</v>
      </c>
      <c r="D1825" s="45">
        <v>4</v>
      </c>
      <c r="E1825" s="45">
        <v>10.603999999999999</v>
      </c>
      <c r="F1825" s="45">
        <f t="shared" si="439"/>
        <v>42.415999999999997</v>
      </c>
      <c r="G1825" s="46">
        <f t="shared" si="440"/>
        <v>0</v>
      </c>
      <c r="H1825" s="47">
        <f t="shared" si="441"/>
        <v>0</v>
      </c>
      <c r="I1825" s="46">
        <f t="shared" si="442"/>
        <v>0</v>
      </c>
      <c r="J1825" s="47">
        <v>0</v>
      </c>
      <c r="K1825" s="46">
        <f t="shared" si="443"/>
        <v>0</v>
      </c>
      <c r="L1825" s="47">
        <v>0</v>
      </c>
      <c r="AX1825" s="46">
        <v>1</v>
      </c>
      <c r="AY1825" s="47">
        <v>5766733.6402624408</v>
      </c>
      <c r="AZ1825" s="70">
        <f>H1825-J1825</f>
        <v>0</v>
      </c>
      <c r="BC1825" s="50"/>
    </row>
    <row r="1826" spans="1:55" s="48" customFormat="1" ht="27.75" customHeight="1" outlineLevel="1" x14ac:dyDescent="0.25">
      <c r="A1826" s="42">
        <v>20</v>
      </c>
      <c r="B1826" s="43" t="s">
        <v>1086</v>
      </c>
      <c r="C1826" s="44" t="s">
        <v>93</v>
      </c>
      <c r="D1826" s="45">
        <v>4</v>
      </c>
      <c r="E1826" s="45">
        <v>6.4423999999999992</v>
      </c>
      <c r="F1826" s="45">
        <f t="shared" si="439"/>
        <v>25.769599999999997</v>
      </c>
      <c r="G1826" s="46">
        <f t="shared" si="440"/>
        <v>0</v>
      </c>
      <c r="H1826" s="47">
        <f t="shared" si="441"/>
        <v>0</v>
      </c>
      <c r="I1826" s="46">
        <f t="shared" si="442"/>
        <v>0</v>
      </c>
      <c r="J1826" s="47">
        <v>0</v>
      </c>
      <c r="K1826" s="46">
        <f t="shared" si="443"/>
        <v>0</v>
      </c>
      <c r="L1826" s="47">
        <v>0</v>
      </c>
      <c r="AX1826" s="46">
        <v>1</v>
      </c>
      <c r="AY1826" s="47">
        <v>5766733.6402624408</v>
      </c>
      <c r="AZ1826" s="70">
        <f>H1826-J1826</f>
        <v>0</v>
      </c>
      <c r="BC1826" s="50"/>
    </row>
    <row r="1827" spans="1:55" s="48" customFormat="1" ht="27.75" customHeight="1" outlineLevel="1" x14ac:dyDescent="0.25">
      <c r="A1827" s="42">
        <v>21</v>
      </c>
      <c r="B1827" s="43" t="s">
        <v>221</v>
      </c>
      <c r="C1827" s="44" t="s">
        <v>93</v>
      </c>
      <c r="D1827" s="45">
        <v>2</v>
      </c>
      <c r="E1827" s="45">
        <v>6.4423999999999992</v>
      </c>
      <c r="F1827" s="45">
        <f t="shared" si="439"/>
        <v>12.884799999999998</v>
      </c>
      <c r="G1827" s="46">
        <f t="shared" si="440"/>
        <v>0</v>
      </c>
      <c r="H1827" s="47">
        <f t="shared" si="441"/>
        <v>0</v>
      </c>
      <c r="I1827" s="46">
        <f t="shared" si="442"/>
        <v>0</v>
      </c>
      <c r="J1827" s="47">
        <v>0</v>
      </c>
      <c r="K1827" s="46">
        <f t="shared" si="443"/>
        <v>0</v>
      </c>
      <c r="L1827" s="47">
        <v>0</v>
      </c>
      <c r="AX1827" s="46">
        <v>0</v>
      </c>
      <c r="AY1827" s="47">
        <v>0</v>
      </c>
      <c r="AZ1827" s="70">
        <f>H1827-J1827</f>
        <v>0</v>
      </c>
      <c r="BC1827" s="50"/>
    </row>
    <row r="1828" spans="1:55" s="48" customFormat="1" ht="15.45" customHeight="1" outlineLevel="1" x14ac:dyDescent="0.25">
      <c r="A1828" s="42">
        <v>22</v>
      </c>
      <c r="B1828" s="43" t="s">
        <v>1087</v>
      </c>
      <c r="C1828" s="44" t="s">
        <v>93</v>
      </c>
      <c r="D1828" s="45">
        <v>2</v>
      </c>
      <c r="E1828" s="45">
        <v>120.88639999999999</v>
      </c>
      <c r="F1828" s="45">
        <f t="shared" si="439"/>
        <v>241.77279999999999</v>
      </c>
      <c r="G1828" s="46">
        <f t="shared" si="440"/>
        <v>0</v>
      </c>
      <c r="H1828" s="47">
        <f t="shared" si="441"/>
        <v>0</v>
      </c>
      <c r="I1828" s="46">
        <f t="shared" si="442"/>
        <v>0</v>
      </c>
      <c r="J1828" s="47">
        <v>0</v>
      </c>
      <c r="K1828" s="46">
        <f t="shared" si="443"/>
        <v>0</v>
      </c>
      <c r="L1828" s="47">
        <v>0</v>
      </c>
      <c r="AX1828" s="46">
        <v>0</v>
      </c>
      <c r="AY1828" s="47">
        <v>1038012.055247239</v>
      </c>
      <c r="AZ1828" s="70">
        <f>H1828-J1828</f>
        <v>0</v>
      </c>
      <c r="BC1828" s="50"/>
    </row>
    <row r="1829" spans="1:55" s="48" customFormat="1" ht="15.45" customHeight="1" outlineLevel="1" x14ac:dyDescent="0.25">
      <c r="A1829" s="42">
        <v>23</v>
      </c>
      <c r="B1829" s="43" t="s">
        <v>276</v>
      </c>
      <c r="C1829" s="44" t="s">
        <v>93</v>
      </c>
      <c r="D1829" s="45">
        <v>1</v>
      </c>
      <c r="E1829" s="45">
        <v>69.182599999999979</v>
      </c>
      <c r="F1829" s="45">
        <f t="shared" si="439"/>
        <v>69.182599999999979</v>
      </c>
      <c r="G1829" s="46">
        <f t="shared" si="440"/>
        <v>0</v>
      </c>
      <c r="H1829" s="47">
        <f t="shared" si="441"/>
        <v>0</v>
      </c>
      <c r="I1829" s="46">
        <f t="shared" si="442"/>
        <v>0</v>
      </c>
      <c r="J1829" s="47">
        <v>0</v>
      </c>
      <c r="K1829" s="46">
        <f t="shared" si="443"/>
        <v>0</v>
      </c>
      <c r="L1829" s="47">
        <v>0</v>
      </c>
      <c r="AX1829" s="46"/>
      <c r="AY1829" s="47"/>
      <c r="AZ1829" s="70"/>
      <c r="BC1829" s="50"/>
    </row>
    <row r="1830" spans="1:55" s="48" customFormat="1" ht="27.75" customHeight="1" outlineLevel="1" x14ac:dyDescent="0.25">
      <c r="A1830" s="42">
        <v>24</v>
      </c>
      <c r="B1830" s="43" t="s">
        <v>1088</v>
      </c>
      <c r="C1830" s="44" t="s">
        <v>93</v>
      </c>
      <c r="D1830" s="45">
        <v>2</v>
      </c>
      <c r="E1830" s="45">
        <v>72.320000000000007</v>
      </c>
      <c r="F1830" s="45">
        <f t="shared" si="439"/>
        <v>144.64000000000001</v>
      </c>
      <c r="G1830" s="46">
        <f t="shared" si="440"/>
        <v>0</v>
      </c>
      <c r="H1830" s="47">
        <f t="shared" si="441"/>
        <v>0</v>
      </c>
      <c r="I1830" s="46">
        <f t="shared" si="442"/>
        <v>0</v>
      </c>
      <c r="J1830" s="47">
        <v>0</v>
      </c>
      <c r="K1830" s="46">
        <f t="shared" si="443"/>
        <v>0</v>
      </c>
      <c r="L1830" s="47">
        <v>0</v>
      </c>
      <c r="AX1830" s="46"/>
      <c r="AY1830" s="47"/>
      <c r="AZ1830" s="70"/>
      <c r="BC1830" s="50"/>
    </row>
    <row r="1831" spans="1:55" s="48" customFormat="1" ht="27.75" customHeight="1" outlineLevel="1" x14ac:dyDescent="0.25">
      <c r="A1831" s="42">
        <v>25</v>
      </c>
      <c r="B1831" s="43" t="s">
        <v>1089</v>
      </c>
      <c r="C1831" s="44" t="s">
        <v>93</v>
      </c>
      <c r="D1831" s="45">
        <v>2</v>
      </c>
      <c r="E1831" s="45">
        <v>60.585999999999999</v>
      </c>
      <c r="F1831" s="45">
        <f t="shared" si="439"/>
        <v>121.172</v>
      </c>
      <c r="G1831" s="46">
        <f t="shared" si="440"/>
        <v>0</v>
      </c>
      <c r="H1831" s="47">
        <f t="shared" si="441"/>
        <v>0</v>
      </c>
      <c r="I1831" s="46">
        <f t="shared" si="442"/>
        <v>0</v>
      </c>
      <c r="J1831" s="47">
        <v>0</v>
      </c>
      <c r="K1831" s="46">
        <f t="shared" si="443"/>
        <v>0</v>
      </c>
      <c r="L1831" s="47">
        <v>0</v>
      </c>
      <c r="AX1831" s="46"/>
      <c r="AY1831" s="47"/>
      <c r="AZ1831" s="70"/>
      <c r="BC1831" s="50"/>
    </row>
    <row r="1832" spans="1:55" s="59" customFormat="1" ht="17.7" customHeight="1" outlineLevel="1" x14ac:dyDescent="0.35">
      <c r="A1832" s="42">
        <v>26</v>
      </c>
      <c r="B1832" s="43" t="s">
        <v>885</v>
      </c>
      <c r="C1832" s="44" t="s">
        <v>93</v>
      </c>
      <c r="D1832" s="45">
        <v>2</v>
      </c>
      <c r="E1832" s="45">
        <v>24.988</v>
      </c>
      <c r="F1832" s="45">
        <f t="shared" si="439"/>
        <v>49.975999999999999</v>
      </c>
      <c r="G1832" s="46">
        <f t="shared" si="440"/>
        <v>0</v>
      </c>
      <c r="H1832" s="47">
        <f t="shared" si="441"/>
        <v>0</v>
      </c>
      <c r="I1832" s="46">
        <f t="shared" si="442"/>
        <v>0</v>
      </c>
      <c r="J1832" s="47">
        <v>0</v>
      </c>
      <c r="K1832" s="46">
        <f t="shared" si="443"/>
        <v>0</v>
      </c>
      <c r="L1832" s="47">
        <v>0</v>
      </c>
      <c r="AX1832" s="73"/>
      <c r="AY1832" s="74"/>
      <c r="AZ1832" s="75"/>
      <c r="BC1832" s="61"/>
    </row>
    <row r="1833" spans="1:55" s="48" customFormat="1" ht="15.45" customHeight="1" outlineLevel="1" x14ac:dyDescent="0.25">
      <c r="A1833" s="42">
        <v>27</v>
      </c>
      <c r="B1833" s="43" t="s">
        <v>1090</v>
      </c>
      <c r="C1833" s="44" t="s">
        <v>93</v>
      </c>
      <c r="D1833" s="45">
        <v>2</v>
      </c>
      <c r="E1833" s="45">
        <v>53.260399999999997</v>
      </c>
      <c r="F1833" s="45">
        <f t="shared" si="439"/>
        <v>106.52079999999999</v>
      </c>
      <c r="G1833" s="46">
        <f t="shared" si="440"/>
        <v>0</v>
      </c>
      <c r="H1833" s="47">
        <f t="shared" si="441"/>
        <v>0</v>
      </c>
      <c r="I1833" s="46">
        <f t="shared" si="442"/>
        <v>0</v>
      </c>
      <c r="J1833" s="47">
        <v>0</v>
      </c>
      <c r="K1833" s="46">
        <f t="shared" si="443"/>
        <v>0</v>
      </c>
      <c r="L1833" s="47">
        <v>0</v>
      </c>
      <c r="AX1833" s="46"/>
      <c r="AY1833" s="47"/>
      <c r="AZ1833" s="70"/>
      <c r="BC1833" s="50"/>
    </row>
    <row r="1834" spans="1:55" s="48" customFormat="1" ht="15.45" customHeight="1" outlineLevel="1" x14ac:dyDescent="0.25">
      <c r="A1834" s="42">
        <v>28</v>
      </c>
      <c r="B1834" s="43" t="s">
        <v>1091</v>
      </c>
      <c r="C1834" s="44" t="s">
        <v>93</v>
      </c>
      <c r="D1834" s="45">
        <v>2</v>
      </c>
      <c r="E1834" s="45">
        <v>3.382400000000001</v>
      </c>
      <c r="F1834" s="45">
        <f t="shared" si="439"/>
        <v>6.7648000000000019</v>
      </c>
      <c r="G1834" s="46">
        <f t="shared" si="440"/>
        <v>0</v>
      </c>
      <c r="H1834" s="47">
        <f t="shared" si="441"/>
        <v>0</v>
      </c>
      <c r="I1834" s="46">
        <f t="shared" si="442"/>
        <v>0</v>
      </c>
      <c r="J1834" s="47">
        <v>0</v>
      </c>
      <c r="K1834" s="46">
        <f t="shared" si="443"/>
        <v>0</v>
      </c>
      <c r="L1834" s="47">
        <v>0</v>
      </c>
      <c r="AX1834" s="46"/>
      <c r="AY1834" s="47"/>
      <c r="AZ1834" s="70"/>
      <c r="BC1834" s="50"/>
    </row>
    <row r="1835" spans="1:55" s="56" customFormat="1" ht="17.25" customHeight="1" x14ac:dyDescent="0.3">
      <c r="A1835" s="62">
        <v>14.11</v>
      </c>
      <c r="B1835" s="51" t="s">
        <v>1092</v>
      </c>
      <c r="C1835" s="52">
        <v>0</v>
      </c>
      <c r="D1835" s="53"/>
      <c r="E1835" s="53"/>
      <c r="F1835" s="53"/>
      <c r="G1835" s="54"/>
      <c r="H1835" s="55"/>
      <c r="I1835" s="54"/>
      <c r="J1835" s="55"/>
      <c r="K1835" s="54"/>
      <c r="L1835" s="55">
        <v>0</v>
      </c>
      <c r="AX1835" s="69"/>
      <c r="AY1835" s="71"/>
      <c r="AZ1835" s="72"/>
      <c r="BC1835" s="58"/>
    </row>
    <row r="1836" spans="1:55" s="59" customFormat="1" ht="17.7" customHeight="1" outlineLevel="1" x14ac:dyDescent="0.35">
      <c r="A1836" s="42">
        <v>1</v>
      </c>
      <c r="B1836" s="43" t="s">
        <v>1093</v>
      </c>
      <c r="C1836" s="44" t="s">
        <v>93</v>
      </c>
      <c r="D1836" s="45">
        <v>4</v>
      </c>
      <c r="E1836" s="45">
        <v>16.122199999999999</v>
      </c>
      <c r="F1836" s="45">
        <f t="shared" ref="F1836:F1856" si="444">+E1836*D1836</f>
        <v>64.488799999999998</v>
      </c>
      <c r="G1836" s="46">
        <f t="shared" ref="G1836:G1856" si="445">I1836+K1836</f>
        <v>0</v>
      </c>
      <c r="H1836" s="47">
        <f t="shared" ref="H1836:H1856" si="446">J1836+L1836</f>
        <v>0</v>
      </c>
      <c r="I1836" s="46">
        <f t="shared" ref="I1836:I1856" si="447">J1836/F1836</f>
        <v>0</v>
      </c>
      <c r="J1836" s="47">
        <v>0</v>
      </c>
      <c r="K1836" s="46">
        <f t="shared" ref="K1836:K1856" si="448">L1836/F1836</f>
        <v>0</v>
      </c>
      <c r="L1836" s="47">
        <v>0</v>
      </c>
      <c r="AX1836" s="73">
        <v>1</v>
      </c>
      <c r="AY1836" s="74">
        <v>5766733.6402624408</v>
      </c>
      <c r="AZ1836" s="75">
        <f>H1836-J1836</f>
        <v>0</v>
      </c>
      <c r="BC1836" s="61"/>
    </row>
    <row r="1837" spans="1:55" s="48" customFormat="1" ht="15.45" customHeight="1" outlineLevel="1" x14ac:dyDescent="0.25">
      <c r="A1837" s="42">
        <v>2</v>
      </c>
      <c r="B1837" s="43" t="s">
        <v>450</v>
      </c>
      <c r="C1837" s="44" t="s">
        <v>93</v>
      </c>
      <c r="D1837" s="45">
        <v>4</v>
      </c>
      <c r="E1837" s="45">
        <v>9.6981999999999999</v>
      </c>
      <c r="F1837" s="45">
        <f t="shared" si="444"/>
        <v>38.7928</v>
      </c>
      <c r="G1837" s="46">
        <f t="shared" si="445"/>
        <v>0</v>
      </c>
      <c r="H1837" s="47">
        <f t="shared" si="446"/>
        <v>0</v>
      </c>
      <c r="I1837" s="46">
        <f t="shared" si="447"/>
        <v>0</v>
      </c>
      <c r="J1837" s="47">
        <v>0</v>
      </c>
      <c r="K1837" s="46">
        <f t="shared" si="448"/>
        <v>0</v>
      </c>
      <c r="L1837" s="47">
        <v>0</v>
      </c>
      <c r="AX1837" s="46">
        <v>1</v>
      </c>
      <c r="AY1837" s="47">
        <v>5766733.6402624408</v>
      </c>
      <c r="AZ1837" s="70">
        <f>H1837-J1837</f>
        <v>0</v>
      </c>
      <c r="BC1837" s="50"/>
    </row>
    <row r="1838" spans="1:55" s="48" customFormat="1" ht="15.45" customHeight="1" outlineLevel="1" x14ac:dyDescent="0.25">
      <c r="A1838" s="42">
        <v>3</v>
      </c>
      <c r="B1838" s="43" t="s">
        <v>1094</v>
      </c>
      <c r="C1838" s="44" t="s">
        <v>93</v>
      </c>
      <c r="D1838" s="45">
        <v>1</v>
      </c>
      <c r="E1838" s="45">
        <v>9.7064000000000004</v>
      </c>
      <c r="F1838" s="45">
        <f t="shared" si="444"/>
        <v>9.7064000000000004</v>
      </c>
      <c r="G1838" s="46">
        <f t="shared" si="445"/>
        <v>0</v>
      </c>
      <c r="H1838" s="47">
        <f t="shared" si="446"/>
        <v>0</v>
      </c>
      <c r="I1838" s="46">
        <f t="shared" si="447"/>
        <v>0</v>
      </c>
      <c r="J1838" s="47">
        <v>0</v>
      </c>
      <c r="K1838" s="46">
        <f t="shared" si="448"/>
        <v>0</v>
      </c>
      <c r="L1838" s="47">
        <v>0</v>
      </c>
      <c r="AX1838" s="46">
        <v>1</v>
      </c>
      <c r="AY1838" s="47">
        <v>5766733.6402624408</v>
      </c>
      <c r="AZ1838" s="70">
        <f>H1838-J1838</f>
        <v>0</v>
      </c>
      <c r="BC1838" s="50"/>
    </row>
    <row r="1839" spans="1:55" s="48" customFormat="1" ht="15.45" customHeight="1" outlineLevel="1" x14ac:dyDescent="0.25">
      <c r="A1839" s="42">
        <v>4</v>
      </c>
      <c r="B1839" s="43" t="s">
        <v>1095</v>
      </c>
      <c r="C1839" s="44" t="s">
        <v>93</v>
      </c>
      <c r="D1839" s="45">
        <v>1</v>
      </c>
      <c r="E1839" s="45">
        <v>0.9</v>
      </c>
      <c r="F1839" s="45">
        <f t="shared" si="444"/>
        <v>0.9</v>
      </c>
      <c r="G1839" s="46">
        <f t="shared" si="445"/>
        <v>0</v>
      </c>
      <c r="H1839" s="47">
        <f t="shared" si="446"/>
        <v>0</v>
      </c>
      <c r="I1839" s="46">
        <f t="shared" si="447"/>
        <v>0</v>
      </c>
      <c r="J1839" s="47">
        <v>0</v>
      </c>
      <c r="K1839" s="46">
        <f t="shared" si="448"/>
        <v>0</v>
      </c>
      <c r="L1839" s="47">
        <v>0</v>
      </c>
      <c r="AX1839" s="46">
        <v>0</v>
      </c>
      <c r="AY1839" s="47">
        <v>0</v>
      </c>
      <c r="AZ1839" s="70">
        <f>H1839-J1839</f>
        <v>0</v>
      </c>
      <c r="BC1839" s="50"/>
    </row>
    <row r="1840" spans="1:55" s="48" customFormat="1" ht="15.45" customHeight="1" outlineLevel="1" x14ac:dyDescent="0.25">
      <c r="A1840" s="42">
        <v>5</v>
      </c>
      <c r="B1840" s="43" t="s">
        <v>926</v>
      </c>
      <c r="C1840" s="44" t="s">
        <v>93</v>
      </c>
      <c r="D1840" s="45">
        <v>4</v>
      </c>
      <c r="E1840" s="45">
        <v>1.4137999999999999</v>
      </c>
      <c r="F1840" s="45">
        <f t="shared" si="444"/>
        <v>5.6551999999999998</v>
      </c>
      <c r="G1840" s="46">
        <f t="shared" si="445"/>
        <v>0</v>
      </c>
      <c r="H1840" s="47">
        <f t="shared" si="446"/>
        <v>0</v>
      </c>
      <c r="I1840" s="46">
        <f t="shared" si="447"/>
        <v>0</v>
      </c>
      <c r="J1840" s="47">
        <v>0</v>
      </c>
      <c r="K1840" s="46">
        <f t="shared" si="448"/>
        <v>0</v>
      </c>
      <c r="L1840" s="47">
        <v>0</v>
      </c>
      <c r="AX1840" s="46">
        <v>0</v>
      </c>
      <c r="AY1840" s="47">
        <v>1038012.055247239</v>
      </c>
      <c r="AZ1840" s="70">
        <f>H1840-J1840</f>
        <v>0</v>
      </c>
      <c r="BC1840" s="50"/>
    </row>
    <row r="1841" spans="1:55" s="48" customFormat="1" ht="15.45" customHeight="1" outlineLevel="1" x14ac:dyDescent="0.25">
      <c r="A1841" s="42">
        <v>6</v>
      </c>
      <c r="B1841" s="43" t="s">
        <v>686</v>
      </c>
      <c r="C1841" s="44" t="s">
        <v>93</v>
      </c>
      <c r="D1841" s="45">
        <v>1</v>
      </c>
      <c r="E1841" s="45">
        <v>82.779199999999989</v>
      </c>
      <c r="F1841" s="45">
        <f t="shared" si="444"/>
        <v>82.779199999999989</v>
      </c>
      <c r="G1841" s="46">
        <f t="shared" si="445"/>
        <v>0</v>
      </c>
      <c r="H1841" s="47">
        <f t="shared" si="446"/>
        <v>0</v>
      </c>
      <c r="I1841" s="46">
        <f t="shared" si="447"/>
        <v>0</v>
      </c>
      <c r="J1841" s="47">
        <v>0</v>
      </c>
      <c r="K1841" s="46">
        <f t="shared" si="448"/>
        <v>0</v>
      </c>
      <c r="L1841" s="47">
        <v>0</v>
      </c>
      <c r="AX1841" s="46"/>
      <c r="AY1841" s="47"/>
      <c r="AZ1841" s="70"/>
      <c r="BC1841" s="50"/>
    </row>
    <row r="1842" spans="1:55" s="48" customFormat="1" ht="27.75" customHeight="1" outlineLevel="1" x14ac:dyDescent="0.25">
      <c r="A1842" s="42">
        <v>7</v>
      </c>
      <c r="B1842" s="43" t="s">
        <v>688</v>
      </c>
      <c r="C1842" s="44" t="s">
        <v>93</v>
      </c>
      <c r="D1842" s="45">
        <v>2</v>
      </c>
      <c r="E1842" s="45">
        <v>6.5444000000000004</v>
      </c>
      <c r="F1842" s="45">
        <f t="shared" si="444"/>
        <v>13.088800000000001</v>
      </c>
      <c r="G1842" s="46">
        <f t="shared" si="445"/>
        <v>0</v>
      </c>
      <c r="H1842" s="47">
        <f t="shared" si="446"/>
        <v>0</v>
      </c>
      <c r="I1842" s="46">
        <f t="shared" si="447"/>
        <v>0</v>
      </c>
      <c r="J1842" s="47">
        <v>0</v>
      </c>
      <c r="K1842" s="46">
        <f t="shared" si="448"/>
        <v>0</v>
      </c>
      <c r="L1842" s="47">
        <v>0</v>
      </c>
      <c r="AX1842" s="46"/>
      <c r="AY1842" s="47"/>
      <c r="AZ1842" s="70"/>
      <c r="BC1842" s="50"/>
    </row>
    <row r="1843" spans="1:55" s="48" customFormat="1" ht="15.45" customHeight="1" outlineLevel="1" x14ac:dyDescent="0.25">
      <c r="A1843" s="42">
        <v>8</v>
      </c>
      <c r="B1843" s="43" t="s">
        <v>464</v>
      </c>
      <c r="C1843" s="44" t="s">
        <v>93</v>
      </c>
      <c r="D1843" s="45">
        <v>2</v>
      </c>
      <c r="E1843" s="45">
        <v>8.882200000000001</v>
      </c>
      <c r="F1843" s="45">
        <f t="shared" si="444"/>
        <v>17.764400000000002</v>
      </c>
      <c r="G1843" s="46">
        <f t="shared" si="445"/>
        <v>0</v>
      </c>
      <c r="H1843" s="47">
        <f t="shared" si="446"/>
        <v>0</v>
      </c>
      <c r="I1843" s="46">
        <f t="shared" si="447"/>
        <v>0</v>
      </c>
      <c r="J1843" s="47">
        <v>0</v>
      </c>
      <c r="K1843" s="46">
        <f t="shared" si="448"/>
        <v>0</v>
      </c>
      <c r="L1843" s="47">
        <v>0</v>
      </c>
      <c r="AX1843" s="46"/>
      <c r="AY1843" s="47"/>
      <c r="AZ1843" s="70"/>
      <c r="BC1843" s="50"/>
    </row>
    <row r="1844" spans="1:55" s="48" customFormat="1" ht="27.75" customHeight="1" outlineLevel="1" x14ac:dyDescent="0.25">
      <c r="A1844" s="42">
        <v>9</v>
      </c>
      <c r="B1844" s="43" t="s">
        <v>1096</v>
      </c>
      <c r="C1844" s="44" t="s">
        <v>93</v>
      </c>
      <c r="D1844" s="45">
        <v>1</v>
      </c>
      <c r="E1844" s="45">
        <v>0.9</v>
      </c>
      <c r="F1844" s="45">
        <f t="shared" si="444"/>
        <v>0.9</v>
      </c>
      <c r="G1844" s="46">
        <f t="shared" si="445"/>
        <v>0</v>
      </c>
      <c r="H1844" s="47">
        <f t="shared" si="446"/>
        <v>0</v>
      </c>
      <c r="I1844" s="46">
        <f t="shared" si="447"/>
        <v>0</v>
      </c>
      <c r="J1844" s="47">
        <v>0</v>
      </c>
      <c r="K1844" s="46">
        <f t="shared" si="448"/>
        <v>0</v>
      </c>
      <c r="L1844" s="47">
        <v>0</v>
      </c>
      <c r="AX1844" s="46"/>
      <c r="AY1844" s="47"/>
      <c r="AZ1844" s="70"/>
      <c r="BC1844" s="50"/>
    </row>
    <row r="1845" spans="1:55" s="48" customFormat="1" ht="15.45" customHeight="1" outlineLevel="1" x14ac:dyDescent="0.25">
      <c r="A1845" s="42">
        <v>10</v>
      </c>
      <c r="B1845" s="43" t="s">
        <v>931</v>
      </c>
      <c r="C1845" s="44" t="s">
        <v>93</v>
      </c>
      <c r="D1845" s="45">
        <v>4</v>
      </c>
      <c r="E1845" s="45">
        <v>1.2505999999999999</v>
      </c>
      <c r="F1845" s="45">
        <f t="shared" si="444"/>
        <v>5.0023999999999997</v>
      </c>
      <c r="G1845" s="46">
        <f t="shared" si="445"/>
        <v>0</v>
      </c>
      <c r="H1845" s="47">
        <f t="shared" si="446"/>
        <v>0</v>
      </c>
      <c r="I1845" s="46">
        <f t="shared" si="447"/>
        <v>0</v>
      </c>
      <c r="J1845" s="47">
        <v>0</v>
      </c>
      <c r="K1845" s="46">
        <f t="shared" si="448"/>
        <v>0</v>
      </c>
      <c r="L1845" s="47">
        <v>0</v>
      </c>
      <c r="AX1845" s="46"/>
      <c r="AY1845" s="47"/>
      <c r="AZ1845" s="70"/>
      <c r="BC1845" s="50"/>
    </row>
    <row r="1846" spans="1:55" s="48" customFormat="1" ht="15.45" customHeight="1" outlineLevel="1" x14ac:dyDescent="0.25">
      <c r="A1846" s="42">
        <v>11</v>
      </c>
      <c r="B1846" s="43" t="s">
        <v>503</v>
      </c>
      <c r="C1846" s="44" t="s">
        <v>93</v>
      </c>
      <c r="D1846" s="45">
        <v>4</v>
      </c>
      <c r="E1846" s="45">
        <v>12.9826</v>
      </c>
      <c r="F1846" s="45">
        <f t="shared" si="444"/>
        <v>51.930399999999999</v>
      </c>
      <c r="G1846" s="46">
        <f t="shared" si="445"/>
        <v>0</v>
      </c>
      <c r="H1846" s="47">
        <f t="shared" si="446"/>
        <v>0</v>
      </c>
      <c r="I1846" s="46">
        <f t="shared" si="447"/>
        <v>0</v>
      </c>
      <c r="J1846" s="47">
        <v>0</v>
      </c>
      <c r="K1846" s="46">
        <f t="shared" si="448"/>
        <v>0</v>
      </c>
      <c r="L1846" s="47">
        <v>0</v>
      </c>
      <c r="AX1846" s="46">
        <v>1</v>
      </c>
      <c r="AY1846" s="47">
        <v>5766733.6402624408</v>
      </c>
      <c r="AZ1846" s="70">
        <f>H1846-J1846</f>
        <v>0</v>
      </c>
      <c r="BC1846" s="50"/>
    </row>
    <row r="1847" spans="1:55" s="48" customFormat="1" ht="15.45" customHeight="1" outlineLevel="1" x14ac:dyDescent="0.25">
      <c r="A1847" s="42">
        <v>12</v>
      </c>
      <c r="B1847" s="43" t="s">
        <v>691</v>
      </c>
      <c r="C1847" s="44" t="s">
        <v>61</v>
      </c>
      <c r="D1847" s="45">
        <v>40</v>
      </c>
      <c r="E1847" s="45">
        <v>0.9</v>
      </c>
      <c r="F1847" s="45">
        <f t="shared" si="444"/>
        <v>36</v>
      </c>
      <c r="G1847" s="46">
        <f t="shared" si="445"/>
        <v>0</v>
      </c>
      <c r="H1847" s="47">
        <f t="shared" si="446"/>
        <v>0</v>
      </c>
      <c r="I1847" s="46">
        <f t="shared" si="447"/>
        <v>0</v>
      </c>
      <c r="J1847" s="47">
        <v>0</v>
      </c>
      <c r="K1847" s="46">
        <f t="shared" si="448"/>
        <v>0</v>
      </c>
      <c r="L1847" s="47">
        <v>0</v>
      </c>
      <c r="AX1847" s="46">
        <v>1</v>
      </c>
      <c r="AY1847" s="47">
        <v>5766733.6402624408</v>
      </c>
      <c r="AZ1847" s="70">
        <f>H1847-J1847</f>
        <v>0</v>
      </c>
      <c r="BC1847" s="50"/>
    </row>
    <row r="1848" spans="1:55" s="48" customFormat="1" ht="27.75" customHeight="1" outlineLevel="1" x14ac:dyDescent="0.25">
      <c r="A1848" s="42">
        <v>13</v>
      </c>
      <c r="B1848" s="43" t="s">
        <v>407</v>
      </c>
      <c r="C1848" s="44" t="s">
        <v>61</v>
      </c>
      <c r="D1848" s="45">
        <v>40</v>
      </c>
      <c r="E1848" s="45">
        <v>2.1604000000000001</v>
      </c>
      <c r="F1848" s="45">
        <f t="shared" si="444"/>
        <v>86.415999999999997</v>
      </c>
      <c r="G1848" s="46">
        <f t="shared" si="445"/>
        <v>0</v>
      </c>
      <c r="H1848" s="47">
        <f t="shared" si="446"/>
        <v>0</v>
      </c>
      <c r="I1848" s="46">
        <f t="shared" si="447"/>
        <v>0</v>
      </c>
      <c r="J1848" s="47">
        <v>0</v>
      </c>
      <c r="K1848" s="46">
        <f t="shared" si="448"/>
        <v>0</v>
      </c>
      <c r="L1848" s="47">
        <v>0</v>
      </c>
      <c r="AX1848" s="46">
        <v>1</v>
      </c>
      <c r="AY1848" s="47">
        <v>5766733.6402624408</v>
      </c>
      <c r="AZ1848" s="70">
        <f>H1848-J1848</f>
        <v>0</v>
      </c>
      <c r="BC1848" s="50"/>
    </row>
    <row r="1849" spans="1:55" s="48" customFormat="1" ht="15.45" customHeight="1" outlineLevel="1" x14ac:dyDescent="0.25">
      <c r="A1849" s="42">
        <v>14</v>
      </c>
      <c r="B1849" s="43" t="s">
        <v>1097</v>
      </c>
      <c r="C1849" s="44" t="s">
        <v>61</v>
      </c>
      <c r="D1849" s="45">
        <v>40</v>
      </c>
      <c r="E1849" s="45">
        <v>1.71</v>
      </c>
      <c r="F1849" s="45">
        <f t="shared" si="444"/>
        <v>68.400000000000006</v>
      </c>
      <c r="G1849" s="46">
        <f t="shared" si="445"/>
        <v>0</v>
      </c>
      <c r="H1849" s="47">
        <f t="shared" si="446"/>
        <v>0</v>
      </c>
      <c r="I1849" s="46">
        <f t="shared" si="447"/>
        <v>0</v>
      </c>
      <c r="J1849" s="47">
        <v>0</v>
      </c>
      <c r="K1849" s="46">
        <f t="shared" si="448"/>
        <v>0</v>
      </c>
      <c r="L1849" s="47">
        <v>0</v>
      </c>
      <c r="AX1849" s="46">
        <v>0</v>
      </c>
      <c r="AY1849" s="47">
        <v>0</v>
      </c>
      <c r="AZ1849" s="70">
        <f>H1849-J1849</f>
        <v>0</v>
      </c>
      <c r="BC1849" s="50"/>
    </row>
    <row r="1850" spans="1:55" s="48" customFormat="1" ht="27.75" customHeight="1" outlineLevel="1" x14ac:dyDescent="0.25">
      <c r="A1850" s="42">
        <v>15</v>
      </c>
      <c r="B1850" s="43" t="s">
        <v>469</v>
      </c>
      <c r="C1850" s="44" t="s">
        <v>61</v>
      </c>
      <c r="D1850" s="45">
        <v>40</v>
      </c>
      <c r="E1850" s="45">
        <v>2.0175999999999998</v>
      </c>
      <c r="F1850" s="45">
        <f t="shared" si="444"/>
        <v>80.703999999999994</v>
      </c>
      <c r="G1850" s="46">
        <f t="shared" si="445"/>
        <v>0</v>
      </c>
      <c r="H1850" s="47">
        <f t="shared" si="446"/>
        <v>0</v>
      </c>
      <c r="I1850" s="46">
        <f t="shared" si="447"/>
        <v>0</v>
      </c>
      <c r="J1850" s="47">
        <v>0</v>
      </c>
      <c r="K1850" s="46">
        <f t="shared" si="448"/>
        <v>0</v>
      </c>
      <c r="L1850" s="47">
        <v>0</v>
      </c>
      <c r="AX1850" s="46">
        <v>0</v>
      </c>
      <c r="AY1850" s="47">
        <v>1038012.055247239</v>
      </c>
      <c r="AZ1850" s="70">
        <f>H1850-J1850</f>
        <v>0</v>
      </c>
      <c r="BC1850" s="50"/>
    </row>
    <row r="1851" spans="1:55" s="48" customFormat="1" ht="15.45" customHeight="1" outlineLevel="1" x14ac:dyDescent="0.25">
      <c r="A1851" s="42">
        <v>16</v>
      </c>
      <c r="B1851" s="43" t="s">
        <v>426</v>
      </c>
      <c r="C1851" s="44" t="s">
        <v>130</v>
      </c>
      <c r="D1851" s="45">
        <v>24.1</v>
      </c>
      <c r="E1851" s="45">
        <v>1.4239999999999999</v>
      </c>
      <c r="F1851" s="45">
        <f t="shared" si="444"/>
        <v>34.318399999999997</v>
      </c>
      <c r="G1851" s="46">
        <f t="shared" si="445"/>
        <v>0</v>
      </c>
      <c r="H1851" s="47">
        <f t="shared" si="446"/>
        <v>0</v>
      </c>
      <c r="I1851" s="46">
        <f t="shared" si="447"/>
        <v>0</v>
      </c>
      <c r="J1851" s="47">
        <v>0</v>
      </c>
      <c r="K1851" s="46">
        <f t="shared" si="448"/>
        <v>0</v>
      </c>
      <c r="L1851" s="47">
        <v>0</v>
      </c>
      <c r="AX1851" s="46"/>
      <c r="AY1851" s="47"/>
      <c r="AZ1851" s="70"/>
      <c r="BC1851" s="50"/>
    </row>
    <row r="1852" spans="1:55" s="48" customFormat="1" ht="15.45" customHeight="1" outlineLevel="1" x14ac:dyDescent="0.25">
      <c r="A1852" s="42">
        <v>17</v>
      </c>
      <c r="B1852" s="43" t="s">
        <v>427</v>
      </c>
      <c r="C1852" s="44" t="s">
        <v>93</v>
      </c>
      <c r="D1852" s="45">
        <v>3</v>
      </c>
      <c r="E1852" s="45">
        <v>107.404</v>
      </c>
      <c r="F1852" s="45">
        <f t="shared" si="444"/>
        <v>322.21199999999999</v>
      </c>
      <c r="G1852" s="46">
        <f t="shared" si="445"/>
        <v>0</v>
      </c>
      <c r="H1852" s="47">
        <f t="shared" si="446"/>
        <v>0</v>
      </c>
      <c r="I1852" s="46">
        <f t="shared" si="447"/>
        <v>0</v>
      </c>
      <c r="J1852" s="47">
        <v>0</v>
      </c>
      <c r="K1852" s="46">
        <f t="shared" si="448"/>
        <v>0</v>
      </c>
      <c r="L1852" s="47">
        <v>0</v>
      </c>
      <c r="AX1852" s="46"/>
      <c r="AY1852" s="47"/>
      <c r="AZ1852" s="70"/>
      <c r="BC1852" s="50"/>
    </row>
    <row r="1853" spans="1:55" s="48" customFormat="1" ht="15.45" customHeight="1" outlineLevel="1" x14ac:dyDescent="0.25">
      <c r="A1853" s="42">
        <v>18</v>
      </c>
      <c r="B1853" s="43" t="s">
        <v>428</v>
      </c>
      <c r="C1853" s="44" t="s">
        <v>61</v>
      </c>
      <c r="D1853" s="45">
        <v>5</v>
      </c>
      <c r="E1853" s="45">
        <v>4.9429999999999996</v>
      </c>
      <c r="F1853" s="45">
        <f t="shared" si="444"/>
        <v>24.714999999999996</v>
      </c>
      <c r="G1853" s="46">
        <f t="shared" si="445"/>
        <v>0</v>
      </c>
      <c r="H1853" s="47">
        <f t="shared" si="446"/>
        <v>0</v>
      </c>
      <c r="I1853" s="46">
        <f t="shared" si="447"/>
        <v>0</v>
      </c>
      <c r="J1853" s="47">
        <v>0</v>
      </c>
      <c r="K1853" s="46">
        <f t="shared" si="448"/>
        <v>0</v>
      </c>
      <c r="L1853" s="47">
        <v>0</v>
      </c>
      <c r="AX1853" s="46"/>
      <c r="AY1853" s="47"/>
      <c r="AZ1853" s="70"/>
      <c r="BC1853" s="50"/>
    </row>
    <row r="1854" spans="1:55" s="48" customFormat="1" ht="33.75" customHeight="1" outlineLevel="1" x14ac:dyDescent="0.25">
      <c r="A1854" s="42">
        <v>19</v>
      </c>
      <c r="B1854" s="43" t="s">
        <v>429</v>
      </c>
      <c r="C1854" s="44" t="s">
        <v>61</v>
      </c>
      <c r="D1854" s="45">
        <v>5</v>
      </c>
      <c r="E1854" s="45">
        <v>2.1909999999999998</v>
      </c>
      <c r="F1854" s="45">
        <f t="shared" si="444"/>
        <v>10.954999999999998</v>
      </c>
      <c r="G1854" s="46">
        <f t="shared" si="445"/>
        <v>0</v>
      </c>
      <c r="H1854" s="47">
        <f t="shared" si="446"/>
        <v>0</v>
      </c>
      <c r="I1854" s="46">
        <f t="shared" si="447"/>
        <v>0</v>
      </c>
      <c r="J1854" s="47">
        <v>0</v>
      </c>
      <c r="K1854" s="46">
        <f t="shared" si="448"/>
        <v>0</v>
      </c>
      <c r="L1854" s="47">
        <v>0</v>
      </c>
      <c r="AX1854" s="46"/>
      <c r="AY1854" s="47"/>
      <c r="AZ1854" s="70"/>
      <c r="BC1854" s="50"/>
    </row>
    <row r="1855" spans="1:55" s="48" customFormat="1" ht="15.45" customHeight="1" outlineLevel="1" x14ac:dyDescent="0.25">
      <c r="A1855" s="42">
        <v>20</v>
      </c>
      <c r="B1855" s="43" t="s">
        <v>430</v>
      </c>
      <c r="C1855" s="44" t="s">
        <v>61</v>
      </c>
      <c r="D1855" s="45">
        <v>15</v>
      </c>
      <c r="E1855" s="45">
        <v>7.3807999999999998</v>
      </c>
      <c r="F1855" s="45">
        <f t="shared" si="444"/>
        <v>110.712</v>
      </c>
      <c r="G1855" s="46">
        <f t="shared" si="445"/>
        <v>0</v>
      </c>
      <c r="H1855" s="47">
        <f t="shared" si="446"/>
        <v>0</v>
      </c>
      <c r="I1855" s="46">
        <f t="shared" si="447"/>
        <v>0</v>
      </c>
      <c r="J1855" s="47">
        <v>0</v>
      </c>
      <c r="K1855" s="46">
        <f t="shared" si="448"/>
        <v>0</v>
      </c>
      <c r="L1855" s="47">
        <v>0</v>
      </c>
      <c r="AX1855" s="46"/>
      <c r="AY1855" s="47"/>
      <c r="AZ1855" s="70"/>
      <c r="BC1855" s="50"/>
    </row>
    <row r="1856" spans="1:55" s="48" customFormat="1" ht="15.45" customHeight="1" outlineLevel="1" x14ac:dyDescent="0.25">
      <c r="A1856" s="42">
        <v>21</v>
      </c>
      <c r="B1856" s="43" t="s">
        <v>431</v>
      </c>
      <c r="C1856" s="44" t="s">
        <v>61</v>
      </c>
      <c r="D1856" s="45">
        <v>15</v>
      </c>
      <c r="E1856" s="45">
        <v>2.1604000000000001</v>
      </c>
      <c r="F1856" s="45">
        <f t="shared" si="444"/>
        <v>32.405999999999999</v>
      </c>
      <c r="G1856" s="46">
        <f t="shared" si="445"/>
        <v>0</v>
      </c>
      <c r="H1856" s="47">
        <f t="shared" si="446"/>
        <v>0</v>
      </c>
      <c r="I1856" s="46">
        <f t="shared" si="447"/>
        <v>0</v>
      </c>
      <c r="J1856" s="47">
        <v>0</v>
      </c>
      <c r="K1856" s="46">
        <f t="shared" si="448"/>
        <v>0</v>
      </c>
      <c r="L1856" s="47">
        <v>0</v>
      </c>
      <c r="AX1856" s="46"/>
      <c r="AY1856" s="47"/>
      <c r="AZ1856" s="70"/>
      <c r="BC1856" s="50"/>
    </row>
    <row r="1857" spans="1:55" s="56" customFormat="1" ht="17.25" customHeight="1" x14ac:dyDescent="0.3">
      <c r="A1857" s="62">
        <v>14.12</v>
      </c>
      <c r="B1857" s="51" t="s">
        <v>1098</v>
      </c>
      <c r="C1857" s="52">
        <v>0</v>
      </c>
      <c r="D1857" s="53"/>
      <c r="E1857" s="53"/>
      <c r="F1857" s="53"/>
      <c r="G1857" s="54"/>
      <c r="H1857" s="55"/>
      <c r="I1857" s="54"/>
      <c r="J1857" s="55"/>
      <c r="K1857" s="54"/>
      <c r="L1857" s="55">
        <v>0</v>
      </c>
      <c r="AX1857" s="69"/>
      <c r="AY1857" s="71"/>
      <c r="AZ1857" s="72"/>
      <c r="BC1857" s="58"/>
    </row>
    <row r="1858" spans="1:55" s="48" customFormat="1" ht="27.75" customHeight="1" outlineLevel="1" x14ac:dyDescent="0.25">
      <c r="A1858" s="42">
        <v>1</v>
      </c>
      <c r="B1858" s="43" t="s">
        <v>1099</v>
      </c>
      <c r="C1858" s="44" t="s">
        <v>93</v>
      </c>
      <c r="D1858" s="45">
        <v>1</v>
      </c>
      <c r="E1858" s="45">
        <v>51.811999999999998</v>
      </c>
      <c r="F1858" s="45">
        <f t="shared" ref="F1858:F1881" si="449">+E1858*D1858</f>
        <v>51.811999999999998</v>
      </c>
      <c r="G1858" s="46">
        <f t="shared" ref="G1858:G1881" si="450">I1858+K1858</f>
        <v>0</v>
      </c>
      <c r="H1858" s="47">
        <f t="shared" ref="H1858:H1881" si="451">J1858+L1858</f>
        <v>0</v>
      </c>
      <c r="I1858" s="46">
        <f t="shared" ref="I1858:I1881" si="452">J1858/F1858</f>
        <v>0</v>
      </c>
      <c r="J1858" s="47">
        <v>0</v>
      </c>
      <c r="K1858" s="46">
        <f t="shared" ref="K1858:K1881" si="453">L1858/F1858</f>
        <v>0</v>
      </c>
      <c r="L1858" s="47">
        <v>0</v>
      </c>
      <c r="AX1858" s="46">
        <v>0</v>
      </c>
      <c r="AY1858" s="47">
        <v>0</v>
      </c>
      <c r="AZ1858" s="70">
        <f>H1858-J1858</f>
        <v>0</v>
      </c>
      <c r="BC1858" s="50"/>
    </row>
    <row r="1859" spans="1:55" s="48" customFormat="1" ht="27.75" customHeight="1" outlineLevel="1" x14ac:dyDescent="0.25">
      <c r="A1859" s="42">
        <v>2</v>
      </c>
      <c r="B1859" s="43" t="s">
        <v>370</v>
      </c>
      <c r="C1859" s="44" t="s">
        <v>93</v>
      </c>
      <c r="D1859" s="45">
        <v>1</v>
      </c>
      <c r="E1859" s="45">
        <v>35.147199999999998</v>
      </c>
      <c r="F1859" s="45">
        <f t="shared" si="449"/>
        <v>35.147199999999998</v>
      </c>
      <c r="G1859" s="46">
        <f t="shared" si="450"/>
        <v>0</v>
      </c>
      <c r="H1859" s="47">
        <f t="shared" si="451"/>
        <v>0</v>
      </c>
      <c r="I1859" s="46">
        <f t="shared" si="452"/>
        <v>0</v>
      </c>
      <c r="J1859" s="47">
        <v>0</v>
      </c>
      <c r="K1859" s="46">
        <f t="shared" si="453"/>
        <v>0</v>
      </c>
      <c r="L1859" s="47">
        <v>0</v>
      </c>
      <c r="AX1859" s="46">
        <v>0</v>
      </c>
      <c r="AY1859" s="47">
        <v>0</v>
      </c>
      <c r="AZ1859" s="70">
        <f>H1859-J1859</f>
        <v>0</v>
      </c>
      <c r="BC1859" s="50"/>
    </row>
    <row r="1860" spans="1:55" s="48" customFormat="1" ht="48.75" customHeight="1" outlineLevel="1" x14ac:dyDescent="0.25">
      <c r="A1860" s="42">
        <v>3</v>
      </c>
      <c r="B1860" s="43" t="s">
        <v>360</v>
      </c>
      <c r="C1860" s="44" t="s">
        <v>93</v>
      </c>
      <c r="D1860" s="45">
        <v>1</v>
      </c>
      <c r="E1860" s="45">
        <v>20.79</v>
      </c>
      <c r="F1860" s="45">
        <f t="shared" si="449"/>
        <v>20.79</v>
      </c>
      <c r="G1860" s="46">
        <f t="shared" si="450"/>
        <v>0</v>
      </c>
      <c r="H1860" s="47">
        <f t="shared" si="451"/>
        <v>0</v>
      </c>
      <c r="I1860" s="46">
        <f t="shared" si="452"/>
        <v>0</v>
      </c>
      <c r="J1860" s="47">
        <v>0</v>
      </c>
      <c r="K1860" s="46">
        <f t="shared" si="453"/>
        <v>0</v>
      </c>
      <c r="L1860" s="47">
        <v>0</v>
      </c>
      <c r="AX1860" s="46">
        <v>0.75757585000000005</v>
      </c>
      <c r="AY1860" s="47">
        <v>50000.006099999999</v>
      </c>
      <c r="AZ1860" s="70">
        <f>H1860-J1860</f>
        <v>0</v>
      </c>
      <c r="BC1860" s="50"/>
    </row>
    <row r="1861" spans="1:55" s="48" customFormat="1" ht="27.75" customHeight="1" outlineLevel="1" x14ac:dyDescent="0.25">
      <c r="A1861" s="42">
        <v>4</v>
      </c>
      <c r="B1861" s="43" t="s">
        <v>1100</v>
      </c>
      <c r="C1861" s="44" t="s">
        <v>93</v>
      </c>
      <c r="D1861" s="45">
        <v>3</v>
      </c>
      <c r="E1861" s="45">
        <v>20.498000000000001</v>
      </c>
      <c r="F1861" s="45">
        <f t="shared" si="449"/>
        <v>61.494</v>
      </c>
      <c r="G1861" s="46">
        <f t="shared" si="450"/>
        <v>0</v>
      </c>
      <c r="H1861" s="47">
        <f t="shared" si="451"/>
        <v>0</v>
      </c>
      <c r="I1861" s="46">
        <f t="shared" si="452"/>
        <v>0</v>
      </c>
      <c r="J1861" s="47">
        <v>0</v>
      </c>
      <c r="K1861" s="46">
        <f t="shared" si="453"/>
        <v>0</v>
      </c>
      <c r="L1861" s="47">
        <v>0</v>
      </c>
      <c r="AX1861" s="46">
        <v>0</v>
      </c>
      <c r="AY1861" s="47">
        <v>0</v>
      </c>
      <c r="AZ1861" s="70">
        <f>H1861-J1861</f>
        <v>0</v>
      </c>
      <c r="BC1861" s="50"/>
    </row>
    <row r="1862" spans="1:55" s="48" customFormat="1" ht="15.45" customHeight="1" outlineLevel="1" x14ac:dyDescent="0.25">
      <c r="A1862" s="42">
        <v>5</v>
      </c>
      <c r="B1862" s="43" t="s">
        <v>378</v>
      </c>
      <c r="C1862" s="44" t="s">
        <v>93</v>
      </c>
      <c r="D1862" s="45">
        <v>3</v>
      </c>
      <c r="E1862" s="45">
        <v>4.3921999999999999</v>
      </c>
      <c r="F1862" s="45">
        <f t="shared" si="449"/>
        <v>13.176600000000001</v>
      </c>
      <c r="G1862" s="46">
        <f t="shared" si="450"/>
        <v>0</v>
      </c>
      <c r="H1862" s="47">
        <f t="shared" si="451"/>
        <v>0</v>
      </c>
      <c r="I1862" s="46">
        <f t="shared" si="452"/>
        <v>0</v>
      </c>
      <c r="J1862" s="47">
        <v>0</v>
      </c>
      <c r="K1862" s="46">
        <f t="shared" si="453"/>
        <v>0</v>
      </c>
      <c r="L1862" s="47">
        <v>0</v>
      </c>
      <c r="AX1862" s="46">
        <v>0</v>
      </c>
      <c r="AY1862" s="47">
        <v>0</v>
      </c>
      <c r="AZ1862" s="70">
        <f>H1862-J1862</f>
        <v>0</v>
      </c>
      <c r="BC1862" s="50"/>
    </row>
    <row r="1863" spans="1:55" s="48" customFormat="1" ht="15.45" customHeight="1" outlineLevel="1" x14ac:dyDescent="0.25">
      <c r="A1863" s="42">
        <v>6</v>
      </c>
      <c r="B1863" s="43" t="s">
        <v>372</v>
      </c>
      <c r="C1863" s="44" t="s">
        <v>93</v>
      </c>
      <c r="D1863" s="45">
        <v>3</v>
      </c>
      <c r="E1863" s="45">
        <v>4.3921999999999999</v>
      </c>
      <c r="F1863" s="45">
        <f t="shared" si="449"/>
        <v>13.176600000000001</v>
      </c>
      <c r="G1863" s="46">
        <f t="shared" si="450"/>
        <v>0</v>
      </c>
      <c r="H1863" s="47">
        <f t="shared" si="451"/>
        <v>0</v>
      </c>
      <c r="I1863" s="46">
        <f t="shared" si="452"/>
        <v>0</v>
      </c>
      <c r="J1863" s="47">
        <v>0</v>
      </c>
      <c r="K1863" s="46">
        <f t="shared" si="453"/>
        <v>0</v>
      </c>
      <c r="L1863" s="47">
        <v>0</v>
      </c>
      <c r="AX1863" s="46"/>
      <c r="AY1863" s="47"/>
      <c r="AZ1863" s="70"/>
      <c r="BC1863" s="50"/>
    </row>
    <row r="1864" spans="1:55" s="48" customFormat="1" ht="15.45" customHeight="1" outlineLevel="1" x14ac:dyDescent="0.25">
      <c r="A1864" s="42">
        <v>7</v>
      </c>
      <c r="B1864" s="43" t="s">
        <v>362</v>
      </c>
      <c r="C1864" s="44" t="s">
        <v>93</v>
      </c>
      <c r="D1864" s="45">
        <v>10</v>
      </c>
      <c r="E1864" s="45">
        <v>14.3698</v>
      </c>
      <c r="F1864" s="45">
        <f t="shared" si="449"/>
        <v>143.69800000000001</v>
      </c>
      <c r="G1864" s="46">
        <f t="shared" si="450"/>
        <v>0</v>
      </c>
      <c r="H1864" s="47">
        <f t="shared" si="451"/>
        <v>0</v>
      </c>
      <c r="I1864" s="46">
        <f t="shared" si="452"/>
        <v>0</v>
      </c>
      <c r="J1864" s="47">
        <v>0</v>
      </c>
      <c r="K1864" s="46">
        <f t="shared" si="453"/>
        <v>0</v>
      </c>
      <c r="L1864" s="47">
        <v>0</v>
      </c>
      <c r="AX1864" s="46"/>
      <c r="AY1864" s="47"/>
      <c r="AZ1864" s="70"/>
      <c r="BC1864" s="50"/>
    </row>
    <row r="1865" spans="1:55" s="48" customFormat="1" ht="15.45" customHeight="1" outlineLevel="1" x14ac:dyDescent="0.25">
      <c r="A1865" s="42">
        <v>8</v>
      </c>
      <c r="B1865" s="43" t="s">
        <v>1101</v>
      </c>
      <c r="C1865" s="44" t="s">
        <v>93</v>
      </c>
      <c r="D1865" s="45">
        <v>1</v>
      </c>
      <c r="E1865" s="45">
        <v>171.5498</v>
      </c>
      <c r="F1865" s="45">
        <f t="shared" si="449"/>
        <v>171.5498</v>
      </c>
      <c r="G1865" s="46">
        <f t="shared" si="450"/>
        <v>0</v>
      </c>
      <c r="H1865" s="47">
        <f t="shared" si="451"/>
        <v>0</v>
      </c>
      <c r="I1865" s="46">
        <f t="shared" si="452"/>
        <v>0</v>
      </c>
      <c r="J1865" s="47">
        <v>0</v>
      </c>
      <c r="K1865" s="46">
        <f t="shared" si="453"/>
        <v>0</v>
      </c>
      <c r="L1865" s="47">
        <v>0</v>
      </c>
      <c r="AX1865" s="46"/>
      <c r="AY1865" s="47"/>
      <c r="AZ1865" s="70"/>
      <c r="BC1865" s="50"/>
    </row>
    <row r="1866" spans="1:55" s="48" customFormat="1" ht="41.7" customHeight="1" outlineLevel="1" x14ac:dyDescent="0.25">
      <c r="A1866" s="42">
        <v>9</v>
      </c>
      <c r="B1866" s="43" t="s">
        <v>1102</v>
      </c>
      <c r="C1866" s="44" t="s">
        <v>93</v>
      </c>
      <c r="D1866" s="45">
        <v>1</v>
      </c>
      <c r="E1866" s="45">
        <v>21.938199999999998</v>
      </c>
      <c r="F1866" s="45">
        <f t="shared" si="449"/>
        <v>21.938199999999998</v>
      </c>
      <c r="G1866" s="46">
        <f t="shared" si="450"/>
        <v>0</v>
      </c>
      <c r="H1866" s="47">
        <f t="shared" si="451"/>
        <v>0</v>
      </c>
      <c r="I1866" s="46">
        <f t="shared" si="452"/>
        <v>0</v>
      </c>
      <c r="J1866" s="47">
        <v>0</v>
      </c>
      <c r="K1866" s="46">
        <f t="shared" si="453"/>
        <v>0</v>
      </c>
      <c r="L1866" s="47">
        <v>0</v>
      </c>
      <c r="AX1866" s="46"/>
      <c r="AY1866" s="47"/>
      <c r="AZ1866" s="70"/>
      <c r="BC1866" s="50"/>
    </row>
    <row r="1867" spans="1:55" s="48" customFormat="1" ht="15.45" customHeight="1" outlineLevel="1" x14ac:dyDescent="0.25">
      <c r="A1867" s="42">
        <v>10</v>
      </c>
      <c r="B1867" s="43" t="s">
        <v>468</v>
      </c>
      <c r="C1867" s="44" t="s">
        <v>61</v>
      </c>
      <c r="D1867" s="45">
        <v>1.5</v>
      </c>
      <c r="E1867" s="45">
        <v>4.4499999999999993</v>
      </c>
      <c r="F1867" s="45">
        <f t="shared" si="449"/>
        <v>6.6749999999999989</v>
      </c>
      <c r="G1867" s="46">
        <f t="shared" si="450"/>
        <v>0</v>
      </c>
      <c r="H1867" s="47">
        <f t="shared" si="451"/>
        <v>0</v>
      </c>
      <c r="I1867" s="46">
        <f t="shared" si="452"/>
        <v>0</v>
      </c>
      <c r="J1867" s="47">
        <v>0</v>
      </c>
      <c r="K1867" s="46">
        <f t="shared" si="453"/>
        <v>0</v>
      </c>
      <c r="L1867" s="47">
        <v>0</v>
      </c>
      <c r="AX1867" s="46"/>
      <c r="AY1867" s="47"/>
      <c r="AZ1867" s="70"/>
      <c r="BC1867" s="50"/>
    </row>
    <row r="1868" spans="1:55" s="48" customFormat="1" ht="15.45" customHeight="1" outlineLevel="1" x14ac:dyDescent="0.25">
      <c r="A1868" s="42">
        <v>11</v>
      </c>
      <c r="B1868" s="43" t="s">
        <v>1103</v>
      </c>
      <c r="C1868" s="44" t="s">
        <v>93</v>
      </c>
      <c r="D1868" s="45">
        <v>3</v>
      </c>
      <c r="E1868" s="45">
        <v>15.887600000000001</v>
      </c>
      <c r="F1868" s="45">
        <f t="shared" si="449"/>
        <v>47.662800000000004</v>
      </c>
      <c r="G1868" s="46">
        <f t="shared" si="450"/>
        <v>0</v>
      </c>
      <c r="H1868" s="47">
        <f t="shared" si="451"/>
        <v>0</v>
      </c>
      <c r="I1868" s="46">
        <f t="shared" si="452"/>
        <v>0</v>
      </c>
      <c r="J1868" s="47">
        <v>0</v>
      </c>
      <c r="K1868" s="46">
        <f t="shared" si="453"/>
        <v>0</v>
      </c>
      <c r="L1868" s="47">
        <v>0</v>
      </c>
      <c r="AX1868" s="46"/>
      <c r="AY1868" s="47"/>
      <c r="AZ1868" s="70"/>
      <c r="BC1868" s="50"/>
    </row>
    <row r="1869" spans="1:55" s="48" customFormat="1" ht="27.75" customHeight="1" outlineLevel="1" x14ac:dyDescent="0.25">
      <c r="A1869" s="42">
        <v>12</v>
      </c>
      <c r="B1869" s="43" t="s">
        <v>386</v>
      </c>
      <c r="C1869" s="44" t="s">
        <v>93</v>
      </c>
      <c r="D1869" s="45">
        <v>3</v>
      </c>
      <c r="E1869" s="45">
        <v>28.619199999999999</v>
      </c>
      <c r="F1869" s="45">
        <f t="shared" si="449"/>
        <v>85.857599999999991</v>
      </c>
      <c r="G1869" s="46">
        <f t="shared" si="450"/>
        <v>0</v>
      </c>
      <c r="H1869" s="47">
        <f t="shared" si="451"/>
        <v>0</v>
      </c>
      <c r="I1869" s="46">
        <f t="shared" si="452"/>
        <v>0</v>
      </c>
      <c r="J1869" s="47">
        <v>0</v>
      </c>
      <c r="K1869" s="46">
        <f t="shared" si="453"/>
        <v>0</v>
      </c>
      <c r="L1869" s="47">
        <v>0</v>
      </c>
      <c r="AX1869" s="46"/>
      <c r="AY1869" s="47"/>
      <c r="AZ1869" s="70"/>
      <c r="BC1869" s="50"/>
    </row>
    <row r="1870" spans="1:55" s="48" customFormat="1" ht="15.45" customHeight="1" outlineLevel="1" x14ac:dyDescent="0.25">
      <c r="A1870" s="42">
        <v>13</v>
      </c>
      <c r="B1870" s="43" t="s">
        <v>1104</v>
      </c>
      <c r="C1870" s="44" t="s">
        <v>93</v>
      </c>
      <c r="D1870" s="45">
        <v>3</v>
      </c>
      <c r="E1870" s="45">
        <v>13.990399999999999</v>
      </c>
      <c r="F1870" s="45">
        <f t="shared" si="449"/>
        <v>41.971199999999996</v>
      </c>
      <c r="G1870" s="46">
        <f t="shared" si="450"/>
        <v>0</v>
      </c>
      <c r="H1870" s="47">
        <f t="shared" si="451"/>
        <v>0</v>
      </c>
      <c r="I1870" s="46">
        <f t="shared" si="452"/>
        <v>0</v>
      </c>
      <c r="J1870" s="47">
        <v>0</v>
      </c>
      <c r="K1870" s="46">
        <f t="shared" si="453"/>
        <v>0</v>
      </c>
      <c r="L1870" s="47">
        <v>0</v>
      </c>
      <c r="AX1870" s="46"/>
      <c r="AY1870" s="47"/>
      <c r="AZ1870" s="70"/>
      <c r="BC1870" s="50"/>
    </row>
    <row r="1871" spans="1:55" s="48" customFormat="1" ht="27.75" customHeight="1" outlineLevel="1" x14ac:dyDescent="0.25">
      <c r="A1871" s="42">
        <v>14</v>
      </c>
      <c r="B1871" s="43" t="s">
        <v>388</v>
      </c>
      <c r="C1871" s="44" t="s">
        <v>93</v>
      </c>
      <c r="D1871" s="45">
        <v>3</v>
      </c>
      <c r="E1871" s="45">
        <v>20.489799999999999</v>
      </c>
      <c r="F1871" s="45">
        <f t="shared" si="449"/>
        <v>61.469399999999993</v>
      </c>
      <c r="G1871" s="46">
        <f t="shared" si="450"/>
        <v>0</v>
      </c>
      <c r="H1871" s="47">
        <f t="shared" si="451"/>
        <v>0</v>
      </c>
      <c r="I1871" s="46">
        <f t="shared" si="452"/>
        <v>0</v>
      </c>
      <c r="J1871" s="47">
        <v>0</v>
      </c>
      <c r="K1871" s="46">
        <f t="shared" si="453"/>
        <v>0</v>
      </c>
      <c r="L1871" s="47">
        <v>0</v>
      </c>
      <c r="AX1871" s="46"/>
      <c r="AY1871" s="47"/>
      <c r="AZ1871" s="70"/>
      <c r="BC1871" s="50"/>
    </row>
    <row r="1872" spans="1:55" s="48" customFormat="1" ht="15.45" customHeight="1" outlineLevel="1" x14ac:dyDescent="0.25">
      <c r="A1872" s="42">
        <v>15</v>
      </c>
      <c r="B1872" s="43" t="s">
        <v>456</v>
      </c>
      <c r="C1872" s="44" t="s">
        <v>234</v>
      </c>
      <c r="D1872" s="45">
        <v>1</v>
      </c>
      <c r="E1872" s="45">
        <v>134.3912</v>
      </c>
      <c r="F1872" s="45">
        <f t="shared" si="449"/>
        <v>134.3912</v>
      </c>
      <c r="G1872" s="46">
        <f t="shared" si="450"/>
        <v>0</v>
      </c>
      <c r="H1872" s="47">
        <f t="shared" si="451"/>
        <v>0</v>
      </c>
      <c r="I1872" s="46">
        <f t="shared" si="452"/>
        <v>0</v>
      </c>
      <c r="J1872" s="47">
        <v>0</v>
      </c>
      <c r="K1872" s="46">
        <f t="shared" si="453"/>
        <v>0</v>
      </c>
      <c r="L1872" s="47">
        <v>0</v>
      </c>
      <c r="AX1872" s="46"/>
      <c r="AY1872" s="47"/>
      <c r="AZ1872" s="70"/>
      <c r="BC1872" s="50"/>
    </row>
    <row r="1873" spans="1:55" s="48" customFormat="1" ht="15.45" customHeight="1" outlineLevel="1" x14ac:dyDescent="0.25">
      <c r="A1873" s="42">
        <v>16</v>
      </c>
      <c r="B1873" s="43" t="s">
        <v>457</v>
      </c>
      <c r="C1873" s="44" t="s">
        <v>93</v>
      </c>
      <c r="D1873" s="45">
        <v>1</v>
      </c>
      <c r="E1873" s="45">
        <v>16.256799999999998</v>
      </c>
      <c r="F1873" s="45">
        <f t="shared" si="449"/>
        <v>16.256799999999998</v>
      </c>
      <c r="G1873" s="46">
        <f t="shared" si="450"/>
        <v>0</v>
      </c>
      <c r="H1873" s="47">
        <f t="shared" si="451"/>
        <v>0</v>
      </c>
      <c r="I1873" s="46">
        <f t="shared" si="452"/>
        <v>0</v>
      </c>
      <c r="J1873" s="47">
        <v>0</v>
      </c>
      <c r="K1873" s="46">
        <f t="shared" si="453"/>
        <v>0</v>
      </c>
      <c r="L1873" s="47">
        <v>0</v>
      </c>
      <c r="AX1873" s="46"/>
      <c r="AY1873" s="47"/>
      <c r="AZ1873" s="70"/>
      <c r="BC1873" s="50"/>
    </row>
    <row r="1874" spans="1:55" s="48" customFormat="1" ht="27.75" customHeight="1" outlineLevel="1" x14ac:dyDescent="0.25">
      <c r="A1874" s="42">
        <v>17</v>
      </c>
      <c r="B1874" s="43" t="s">
        <v>1105</v>
      </c>
      <c r="C1874" s="44" t="s">
        <v>93</v>
      </c>
      <c r="D1874" s="45">
        <v>1</v>
      </c>
      <c r="E1874" s="45">
        <v>3.8923999999999999</v>
      </c>
      <c r="F1874" s="45">
        <f t="shared" si="449"/>
        <v>3.8923999999999999</v>
      </c>
      <c r="G1874" s="46">
        <f t="shared" si="450"/>
        <v>0</v>
      </c>
      <c r="H1874" s="47">
        <f t="shared" si="451"/>
        <v>0</v>
      </c>
      <c r="I1874" s="46">
        <f t="shared" si="452"/>
        <v>0</v>
      </c>
      <c r="J1874" s="47">
        <v>0</v>
      </c>
      <c r="K1874" s="46">
        <f t="shared" si="453"/>
        <v>0</v>
      </c>
      <c r="L1874" s="47">
        <v>0</v>
      </c>
      <c r="AX1874" s="46"/>
      <c r="AY1874" s="47"/>
      <c r="AZ1874" s="70"/>
      <c r="BC1874" s="50"/>
    </row>
    <row r="1875" spans="1:55" s="48" customFormat="1" ht="15.45" customHeight="1" outlineLevel="1" x14ac:dyDescent="0.25">
      <c r="A1875" s="42">
        <v>18</v>
      </c>
      <c r="B1875" s="43" t="s">
        <v>398</v>
      </c>
      <c r="C1875" s="44" t="s">
        <v>93</v>
      </c>
      <c r="D1875" s="45">
        <v>1</v>
      </c>
      <c r="E1875" s="45">
        <v>4.3635999999999999</v>
      </c>
      <c r="F1875" s="45">
        <f t="shared" si="449"/>
        <v>4.3635999999999999</v>
      </c>
      <c r="G1875" s="46">
        <f t="shared" si="450"/>
        <v>0</v>
      </c>
      <c r="H1875" s="47">
        <f t="shared" si="451"/>
        <v>0</v>
      </c>
      <c r="I1875" s="46">
        <f t="shared" si="452"/>
        <v>0</v>
      </c>
      <c r="J1875" s="47">
        <v>0</v>
      </c>
      <c r="K1875" s="46">
        <f t="shared" si="453"/>
        <v>0</v>
      </c>
      <c r="L1875" s="47">
        <v>0</v>
      </c>
      <c r="AX1875" s="46">
        <v>1</v>
      </c>
      <c r="AY1875" s="47">
        <v>5766733.6402624408</v>
      </c>
      <c r="AZ1875" s="70">
        <f>H1875-J1875</f>
        <v>0</v>
      </c>
      <c r="BC1875" s="50"/>
    </row>
    <row r="1876" spans="1:55" s="48" customFormat="1" ht="15.45" customHeight="1" outlineLevel="1" x14ac:dyDescent="0.25">
      <c r="A1876" s="42">
        <v>19</v>
      </c>
      <c r="B1876" s="43" t="s">
        <v>466</v>
      </c>
      <c r="C1876" s="44" t="s">
        <v>61</v>
      </c>
      <c r="D1876" s="45">
        <v>25</v>
      </c>
      <c r="E1876" s="45">
        <v>0.9</v>
      </c>
      <c r="F1876" s="45">
        <f t="shared" si="449"/>
        <v>22.5</v>
      </c>
      <c r="G1876" s="46">
        <f t="shared" si="450"/>
        <v>0</v>
      </c>
      <c r="H1876" s="47">
        <f t="shared" si="451"/>
        <v>0</v>
      </c>
      <c r="I1876" s="46">
        <f t="shared" si="452"/>
        <v>0</v>
      </c>
      <c r="J1876" s="47">
        <v>0</v>
      </c>
      <c r="K1876" s="46">
        <f t="shared" si="453"/>
        <v>0</v>
      </c>
      <c r="L1876" s="47">
        <v>0</v>
      </c>
      <c r="AX1876" s="46">
        <v>1</v>
      </c>
      <c r="AY1876" s="47">
        <v>5766733.6402624408</v>
      </c>
      <c r="AZ1876" s="70">
        <f>H1876-J1876</f>
        <v>0</v>
      </c>
      <c r="BC1876" s="50"/>
    </row>
    <row r="1877" spans="1:55" s="48" customFormat="1" ht="27.75" customHeight="1" outlineLevel="1" x14ac:dyDescent="0.25">
      <c r="A1877" s="42">
        <v>20</v>
      </c>
      <c r="B1877" s="43" t="s">
        <v>407</v>
      </c>
      <c r="C1877" s="44" t="s">
        <v>61</v>
      </c>
      <c r="D1877" s="45">
        <v>25</v>
      </c>
      <c r="E1877" s="45">
        <v>2.1604000000000001</v>
      </c>
      <c r="F1877" s="45">
        <f t="shared" si="449"/>
        <v>54.010000000000005</v>
      </c>
      <c r="G1877" s="46">
        <f t="shared" si="450"/>
        <v>0</v>
      </c>
      <c r="H1877" s="47">
        <f t="shared" si="451"/>
        <v>0</v>
      </c>
      <c r="I1877" s="46">
        <f t="shared" si="452"/>
        <v>0</v>
      </c>
      <c r="J1877" s="47">
        <v>0</v>
      </c>
      <c r="K1877" s="46">
        <f t="shared" si="453"/>
        <v>0</v>
      </c>
      <c r="L1877" s="47">
        <v>0</v>
      </c>
      <c r="AX1877" s="46">
        <v>1</v>
      </c>
      <c r="AY1877" s="47">
        <v>5766733.6402624408</v>
      </c>
      <c r="AZ1877" s="70">
        <f>H1877-J1877</f>
        <v>0</v>
      </c>
      <c r="BC1877" s="50"/>
    </row>
    <row r="1878" spans="1:55" s="48" customFormat="1" ht="15.45" customHeight="1" outlineLevel="1" x14ac:dyDescent="0.25">
      <c r="A1878" s="42">
        <v>21</v>
      </c>
      <c r="B1878" s="43" t="s">
        <v>417</v>
      </c>
      <c r="C1878" s="44" t="s">
        <v>61</v>
      </c>
      <c r="D1878" s="45">
        <v>11</v>
      </c>
      <c r="E1878" s="45">
        <v>2.2999999999999998</v>
      </c>
      <c r="F1878" s="45">
        <f t="shared" si="449"/>
        <v>25.299999999999997</v>
      </c>
      <c r="G1878" s="46">
        <f t="shared" si="450"/>
        <v>0</v>
      </c>
      <c r="H1878" s="47">
        <f t="shared" si="451"/>
        <v>0</v>
      </c>
      <c r="I1878" s="46">
        <f t="shared" si="452"/>
        <v>0</v>
      </c>
      <c r="J1878" s="47">
        <v>0</v>
      </c>
      <c r="K1878" s="46">
        <f t="shared" si="453"/>
        <v>0</v>
      </c>
      <c r="L1878" s="47">
        <v>0</v>
      </c>
      <c r="AX1878" s="46">
        <v>0</v>
      </c>
      <c r="AY1878" s="47">
        <v>0</v>
      </c>
      <c r="AZ1878" s="70">
        <f>H1878-J1878</f>
        <v>0</v>
      </c>
      <c r="BC1878" s="50"/>
    </row>
    <row r="1879" spans="1:55" s="48" customFormat="1" ht="15.45" customHeight="1" outlineLevel="1" x14ac:dyDescent="0.25">
      <c r="A1879" s="42">
        <v>22</v>
      </c>
      <c r="B1879" s="43" t="s">
        <v>940</v>
      </c>
      <c r="C1879" s="44" t="s">
        <v>61</v>
      </c>
      <c r="D1879" s="45">
        <v>15</v>
      </c>
      <c r="E1879" s="45">
        <v>3.52</v>
      </c>
      <c r="F1879" s="45">
        <f t="shared" si="449"/>
        <v>52.8</v>
      </c>
      <c r="G1879" s="46">
        <f t="shared" si="450"/>
        <v>0</v>
      </c>
      <c r="H1879" s="47">
        <f t="shared" si="451"/>
        <v>0</v>
      </c>
      <c r="I1879" s="46">
        <f t="shared" si="452"/>
        <v>0</v>
      </c>
      <c r="J1879" s="47">
        <v>0</v>
      </c>
      <c r="K1879" s="46">
        <f t="shared" si="453"/>
        <v>0</v>
      </c>
      <c r="L1879" s="47">
        <v>0</v>
      </c>
      <c r="AX1879" s="46">
        <v>0</v>
      </c>
      <c r="AY1879" s="47">
        <v>1038012.055247239</v>
      </c>
      <c r="AZ1879" s="70">
        <f>H1879-J1879</f>
        <v>0</v>
      </c>
      <c r="BC1879" s="50"/>
    </row>
    <row r="1880" spans="1:55" s="48" customFormat="1" ht="27.75" customHeight="1" outlineLevel="1" x14ac:dyDescent="0.25">
      <c r="A1880" s="42">
        <v>23</v>
      </c>
      <c r="B1880" s="43" t="s">
        <v>469</v>
      </c>
      <c r="C1880" s="44" t="s">
        <v>61</v>
      </c>
      <c r="D1880" s="45">
        <v>25</v>
      </c>
      <c r="E1880" s="45">
        <v>2.0175999999999998</v>
      </c>
      <c r="F1880" s="45">
        <f t="shared" si="449"/>
        <v>50.44</v>
      </c>
      <c r="G1880" s="46">
        <f t="shared" si="450"/>
        <v>0</v>
      </c>
      <c r="H1880" s="47">
        <f t="shared" si="451"/>
        <v>0</v>
      </c>
      <c r="I1880" s="46">
        <f t="shared" si="452"/>
        <v>0</v>
      </c>
      <c r="J1880" s="47">
        <v>0</v>
      </c>
      <c r="K1880" s="46">
        <f t="shared" si="453"/>
        <v>0</v>
      </c>
      <c r="L1880" s="47">
        <v>0</v>
      </c>
      <c r="AX1880" s="46"/>
      <c r="AY1880" s="47"/>
      <c r="AZ1880" s="70"/>
      <c r="BC1880" s="50"/>
    </row>
    <row r="1881" spans="1:55" s="48" customFormat="1" ht="27.75" customHeight="1" outlineLevel="1" x14ac:dyDescent="0.25">
      <c r="A1881" s="42">
        <v>24</v>
      </c>
      <c r="B1881" s="43" t="s">
        <v>425</v>
      </c>
      <c r="C1881" s="44" t="s">
        <v>61</v>
      </c>
      <c r="D1881" s="45">
        <v>1</v>
      </c>
      <c r="E1881" s="45">
        <v>1.885</v>
      </c>
      <c r="F1881" s="45">
        <f t="shared" si="449"/>
        <v>1.885</v>
      </c>
      <c r="G1881" s="46">
        <f t="shared" si="450"/>
        <v>0</v>
      </c>
      <c r="H1881" s="47">
        <f t="shared" si="451"/>
        <v>0</v>
      </c>
      <c r="I1881" s="46">
        <f t="shared" si="452"/>
        <v>0</v>
      </c>
      <c r="J1881" s="47">
        <v>0</v>
      </c>
      <c r="K1881" s="46">
        <f t="shared" si="453"/>
        <v>0</v>
      </c>
      <c r="L1881" s="47">
        <v>0</v>
      </c>
      <c r="AX1881" s="46"/>
      <c r="AY1881" s="47"/>
      <c r="AZ1881" s="70"/>
      <c r="BC1881" s="50"/>
    </row>
    <row r="1882" spans="1:55" s="56" customFormat="1" ht="17.25" customHeight="1" x14ac:dyDescent="0.3">
      <c r="A1882" s="31">
        <v>15.1</v>
      </c>
      <c r="B1882" s="51" t="s">
        <v>1106</v>
      </c>
      <c r="C1882" s="52">
        <v>0</v>
      </c>
      <c r="D1882" s="53"/>
      <c r="E1882" s="53"/>
      <c r="F1882" s="53"/>
      <c r="G1882" s="54"/>
      <c r="H1882" s="55"/>
      <c r="I1882" s="54"/>
      <c r="J1882" s="55"/>
      <c r="K1882" s="54"/>
      <c r="L1882" s="55">
        <v>0</v>
      </c>
      <c r="AX1882" s="69"/>
      <c r="AY1882" s="71"/>
      <c r="AZ1882" s="72"/>
      <c r="BC1882" s="58"/>
    </row>
    <row r="1883" spans="1:55" s="48" customFormat="1" ht="27.75" customHeight="1" outlineLevel="1" x14ac:dyDescent="0.25">
      <c r="A1883" s="42">
        <v>1</v>
      </c>
      <c r="B1883" s="43" t="s">
        <v>707</v>
      </c>
      <c r="C1883" s="44" t="s">
        <v>110</v>
      </c>
      <c r="D1883" s="45">
        <v>176</v>
      </c>
      <c r="E1883" s="45">
        <v>0.9</v>
      </c>
      <c r="F1883" s="45">
        <f t="shared" ref="F1883:F1890" si="454">+E1883*D1883</f>
        <v>158.4</v>
      </c>
      <c r="G1883" s="46">
        <f t="shared" ref="G1883:H1890" si="455">I1883+K1883</f>
        <v>0</v>
      </c>
      <c r="H1883" s="47">
        <f t="shared" si="455"/>
        <v>0</v>
      </c>
      <c r="I1883" s="46">
        <f t="shared" ref="I1883:I1890" si="456">J1883/F1883</f>
        <v>0</v>
      </c>
      <c r="J1883" s="47">
        <v>0</v>
      </c>
      <c r="K1883" s="46">
        <f t="shared" ref="K1883:K1890" si="457">L1883/F1883</f>
        <v>0</v>
      </c>
      <c r="L1883" s="47">
        <v>0</v>
      </c>
      <c r="AX1883" s="46"/>
      <c r="AY1883" s="47"/>
      <c r="AZ1883" s="70"/>
      <c r="BC1883" s="50"/>
    </row>
    <row r="1884" spans="1:55" s="48" customFormat="1" ht="27.75" customHeight="1" outlineLevel="1" x14ac:dyDescent="0.25">
      <c r="A1884" s="42">
        <v>2</v>
      </c>
      <c r="B1884" s="43" t="s">
        <v>648</v>
      </c>
      <c r="C1884" s="44" t="s">
        <v>110</v>
      </c>
      <c r="D1884" s="45">
        <v>6</v>
      </c>
      <c r="E1884" s="45">
        <v>8.9600000000000009</v>
      </c>
      <c r="F1884" s="45">
        <f t="shared" si="454"/>
        <v>53.760000000000005</v>
      </c>
      <c r="G1884" s="46">
        <f t="shared" si="455"/>
        <v>0</v>
      </c>
      <c r="H1884" s="47">
        <f t="shared" si="455"/>
        <v>0</v>
      </c>
      <c r="I1884" s="46">
        <f t="shared" si="456"/>
        <v>0</v>
      </c>
      <c r="J1884" s="47">
        <v>0</v>
      </c>
      <c r="K1884" s="46">
        <f t="shared" si="457"/>
        <v>0</v>
      </c>
      <c r="L1884" s="47">
        <v>0</v>
      </c>
      <c r="AX1884" s="46"/>
      <c r="AY1884" s="47"/>
      <c r="AZ1884" s="70"/>
      <c r="BC1884" s="50"/>
    </row>
    <row r="1885" spans="1:55" s="48" customFormat="1" ht="27.75" customHeight="1" outlineLevel="1" x14ac:dyDescent="0.25">
      <c r="A1885" s="42">
        <v>3</v>
      </c>
      <c r="B1885" s="43" t="s">
        <v>649</v>
      </c>
      <c r="C1885" s="44" t="s">
        <v>110</v>
      </c>
      <c r="D1885" s="45">
        <v>63</v>
      </c>
      <c r="E1885" s="45">
        <v>0.9</v>
      </c>
      <c r="F1885" s="45">
        <f t="shared" si="454"/>
        <v>56.7</v>
      </c>
      <c r="G1885" s="46">
        <f t="shared" si="455"/>
        <v>0</v>
      </c>
      <c r="H1885" s="47">
        <f t="shared" si="455"/>
        <v>0</v>
      </c>
      <c r="I1885" s="46">
        <f t="shared" si="456"/>
        <v>0</v>
      </c>
      <c r="J1885" s="47">
        <v>0</v>
      </c>
      <c r="K1885" s="46">
        <f t="shared" si="457"/>
        <v>0</v>
      </c>
      <c r="L1885" s="47">
        <v>0</v>
      </c>
      <c r="AX1885" s="46"/>
      <c r="AY1885" s="47"/>
      <c r="AZ1885" s="70"/>
      <c r="BC1885" s="50"/>
    </row>
    <row r="1886" spans="1:55" s="48" customFormat="1" ht="15.45" customHeight="1" outlineLevel="1" x14ac:dyDescent="0.25">
      <c r="A1886" s="42">
        <v>4</v>
      </c>
      <c r="B1886" s="43" t="s">
        <v>166</v>
      </c>
      <c r="C1886" s="44" t="s">
        <v>110</v>
      </c>
      <c r="D1886" s="45">
        <v>16</v>
      </c>
      <c r="E1886" s="45">
        <v>8.16</v>
      </c>
      <c r="F1886" s="45">
        <f t="shared" si="454"/>
        <v>130.56</v>
      </c>
      <c r="G1886" s="46">
        <f t="shared" si="455"/>
        <v>0</v>
      </c>
      <c r="H1886" s="47">
        <f t="shared" si="455"/>
        <v>0</v>
      </c>
      <c r="I1886" s="46">
        <f t="shared" si="456"/>
        <v>0</v>
      </c>
      <c r="J1886" s="47">
        <v>0</v>
      </c>
      <c r="K1886" s="46">
        <f t="shared" si="457"/>
        <v>0</v>
      </c>
      <c r="L1886" s="47">
        <v>0</v>
      </c>
      <c r="AX1886" s="46"/>
      <c r="AY1886" s="47"/>
      <c r="AZ1886" s="70"/>
      <c r="BC1886" s="50"/>
    </row>
    <row r="1887" spans="1:55" s="48" customFormat="1" ht="15.45" customHeight="1" outlineLevel="1" x14ac:dyDescent="0.25">
      <c r="A1887" s="42">
        <v>5</v>
      </c>
      <c r="B1887" s="43" t="s">
        <v>37</v>
      </c>
      <c r="C1887" s="44" t="s">
        <v>110</v>
      </c>
      <c r="D1887" s="45">
        <v>63</v>
      </c>
      <c r="E1887" s="45">
        <v>2</v>
      </c>
      <c r="F1887" s="45">
        <f t="shared" si="454"/>
        <v>126</v>
      </c>
      <c r="G1887" s="46">
        <f t="shared" si="455"/>
        <v>0</v>
      </c>
      <c r="H1887" s="47">
        <f t="shared" si="455"/>
        <v>0</v>
      </c>
      <c r="I1887" s="46">
        <f t="shared" si="456"/>
        <v>0</v>
      </c>
      <c r="J1887" s="47">
        <v>0</v>
      </c>
      <c r="K1887" s="46">
        <f t="shared" si="457"/>
        <v>0</v>
      </c>
      <c r="L1887" s="47">
        <v>0</v>
      </c>
      <c r="AX1887" s="46"/>
      <c r="AY1887" s="47"/>
      <c r="AZ1887" s="70"/>
      <c r="BC1887" s="50"/>
    </row>
    <row r="1888" spans="1:55" s="48" customFormat="1" ht="27.75" customHeight="1" outlineLevel="1" x14ac:dyDescent="0.25">
      <c r="A1888" s="42">
        <v>6</v>
      </c>
      <c r="B1888" s="43" t="s">
        <v>803</v>
      </c>
      <c r="C1888" s="44" t="s">
        <v>110</v>
      </c>
      <c r="D1888" s="45">
        <v>103</v>
      </c>
      <c r="E1888" s="45">
        <v>0.9</v>
      </c>
      <c r="F1888" s="45">
        <f t="shared" si="454"/>
        <v>92.7</v>
      </c>
      <c r="G1888" s="46">
        <f t="shared" si="455"/>
        <v>0</v>
      </c>
      <c r="H1888" s="47">
        <f t="shared" si="455"/>
        <v>0</v>
      </c>
      <c r="I1888" s="46">
        <f t="shared" si="456"/>
        <v>0</v>
      </c>
      <c r="J1888" s="47">
        <v>0</v>
      </c>
      <c r="K1888" s="46">
        <f t="shared" si="457"/>
        <v>0</v>
      </c>
      <c r="L1888" s="47">
        <v>0</v>
      </c>
      <c r="AX1888" s="46">
        <v>1</v>
      </c>
      <c r="AY1888" s="47">
        <v>5766733.6402624408</v>
      </c>
      <c r="AZ1888" s="70">
        <f>H1888-J1888</f>
        <v>0</v>
      </c>
      <c r="BC1888" s="50"/>
    </row>
    <row r="1889" spans="1:55" s="48" customFormat="1" ht="15.45" customHeight="1" outlineLevel="1" x14ac:dyDescent="0.25">
      <c r="A1889" s="42">
        <v>7</v>
      </c>
      <c r="B1889" s="43" t="s">
        <v>29</v>
      </c>
      <c r="C1889" s="44" t="s">
        <v>28</v>
      </c>
      <c r="D1889" s="45">
        <v>180.3</v>
      </c>
      <c r="E1889" s="45">
        <v>1.63</v>
      </c>
      <c r="F1889" s="45">
        <f t="shared" si="454"/>
        <v>293.88900000000001</v>
      </c>
      <c r="G1889" s="46">
        <f t="shared" si="455"/>
        <v>0</v>
      </c>
      <c r="H1889" s="47">
        <f t="shared" si="455"/>
        <v>0</v>
      </c>
      <c r="I1889" s="46">
        <f t="shared" si="456"/>
        <v>0</v>
      </c>
      <c r="J1889" s="47">
        <v>0</v>
      </c>
      <c r="K1889" s="46">
        <f t="shared" si="457"/>
        <v>0</v>
      </c>
      <c r="L1889" s="47">
        <v>0</v>
      </c>
      <c r="AX1889" s="46">
        <v>1</v>
      </c>
      <c r="AY1889" s="47">
        <v>5766733.6402624408</v>
      </c>
      <c r="AZ1889" s="70">
        <f>H1889-J1889</f>
        <v>0</v>
      </c>
      <c r="BC1889" s="50"/>
    </row>
    <row r="1890" spans="1:55" s="48" customFormat="1" ht="15.45" customHeight="1" outlineLevel="1" x14ac:dyDescent="0.25">
      <c r="A1890" s="42">
        <v>8</v>
      </c>
      <c r="B1890" s="43" t="s">
        <v>30</v>
      </c>
      <c r="C1890" s="44" t="s">
        <v>110</v>
      </c>
      <c r="D1890" s="45">
        <v>103</v>
      </c>
      <c r="E1890" s="45">
        <v>0.90200000000000002</v>
      </c>
      <c r="F1890" s="45">
        <f t="shared" si="454"/>
        <v>92.906000000000006</v>
      </c>
      <c r="G1890" s="46">
        <f t="shared" si="455"/>
        <v>0</v>
      </c>
      <c r="H1890" s="47">
        <f t="shared" si="455"/>
        <v>0</v>
      </c>
      <c r="I1890" s="46">
        <f t="shared" si="456"/>
        <v>0</v>
      </c>
      <c r="J1890" s="47">
        <v>0</v>
      </c>
      <c r="K1890" s="46">
        <f t="shared" si="457"/>
        <v>0</v>
      </c>
      <c r="L1890" s="47">
        <v>0</v>
      </c>
      <c r="AX1890" s="46">
        <v>1</v>
      </c>
      <c r="AY1890" s="47">
        <v>5766733.6402624408</v>
      </c>
      <c r="AZ1890" s="70">
        <f>H1890-J1890</f>
        <v>0</v>
      </c>
      <c r="BC1890" s="50"/>
    </row>
    <row r="1891" spans="1:55" s="56" customFormat="1" ht="17.25" customHeight="1" x14ac:dyDescent="0.3">
      <c r="A1891" s="31">
        <v>15.2</v>
      </c>
      <c r="B1891" s="51" t="s">
        <v>1107</v>
      </c>
      <c r="C1891" s="52">
        <v>0</v>
      </c>
      <c r="D1891" s="53"/>
      <c r="E1891" s="53"/>
      <c r="F1891" s="53"/>
      <c r="G1891" s="54"/>
      <c r="H1891" s="55"/>
      <c r="I1891" s="54"/>
      <c r="J1891" s="55"/>
      <c r="K1891" s="54"/>
      <c r="L1891" s="55">
        <v>0</v>
      </c>
      <c r="AX1891" s="69">
        <v>0</v>
      </c>
      <c r="AY1891" s="71">
        <v>0</v>
      </c>
      <c r="AZ1891" s="72">
        <f>H1891-J1891</f>
        <v>0</v>
      </c>
      <c r="BC1891" s="58"/>
    </row>
    <row r="1892" spans="1:55" s="48" customFormat="1" ht="15.45" customHeight="1" outlineLevel="1" x14ac:dyDescent="0.25">
      <c r="A1892" s="42">
        <v>1</v>
      </c>
      <c r="B1892" s="43" t="s">
        <v>825</v>
      </c>
      <c r="C1892" s="44" t="s">
        <v>110</v>
      </c>
      <c r="D1892" s="45">
        <v>18.5</v>
      </c>
      <c r="E1892" s="45">
        <v>117.15519999999999</v>
      </c>
      <c r="F1892" s="45">
        <f t="shared" ref="F1892:F1900" si="458">+E1892*D1892</f>
        <v>2167.3712</v>
      </c>
      <c r="G1892" s="46">
        <f t="shared" ref="G1892:G1900" si="459">I1892+K1892</f>
        <v>0</v>
      </c>
      <c r="H1892" s="47">
        <f t="shared" ref="H1892:H1900" si="460">J1892+L1892</f>
        <v>0</v>
      </c>
      <c r="I1892" s="46">
        <f t="shared" ref="I1892:I1900" si="461">J1892/F1892</f>
        <v>0</v>
      </c>
      <c r="J1892" s="47">
        <v>0</v>
      </c>
      <c r="K1892" s="46">
        <f t="shared" ref="K1892:K1900" si="462">L1892/F1892</f>
        <v>0</v>
      </c>
      <c r="L1892" s="47">
        <v>0</v>
      </c>
      <c r="AX1892" s="46">
        <v>0</v>
      </c>
      <c r="AY1892" s="47">
        <v>1038012.055247239</v>
      </c>
      <c r="AZ1892" s="70">
        <f>H1892-J1892</f>
        <v>0</v>
      </c>
      <c r="BC1892" s="50"/>
    </row>
    <row r="1893" spans="1:55" s="48" customFormat="1" ht="15.45" customHeight="1" outlineLevel="1" x14ac:dyDescent="0.25">
      <c r="A1893" s="42">
        <v>2</v>
      </c>
      <c r="B1893" s="43" t="s">
        <v>43</v>
      </c>
      <c r="C1893" s="44" t="s">
        <v>28</v>
      </c>
      <c r="D1893" s="45">
        <v>1.1990000000000001</v>
      </c>
      <c r="E1893" s="45">
        <v>1200.0999999999999</v>
      </c>
      <c r="F1893" s="45">
        <f t="shared" si="458"/>
        <v>1438.9198999999999</v>
      </c>
      <c r="G1893" s="46">
        <f t="shared" si="459"/>
        <v>0</v>
      </c>
      <c r="H1893" s="47">
        <f t="shared" si="460"/>
        <v>0</v>
      </c>
      <c r="I1893" s="46">
        <f t="shared" si="461"/>
        <v>0</v>
      </c>
      <c r="J1893" s="47">
        <v>0</v>
      </c>
      <c r="K1893" s="46">
        <f t="shared" si="462"/>
        <v>0</v>
      </c>
      <c r="L1893" s="47">
        <v>0</v>
      </c>
      <c r="AX1893" s="46"/>
      <c r="AY1893" s="47"/>
      <c r="AZ1893" s="70"/>
      <c r="BC1893" s="50"/>
    </row>
    <row r="1894" spans="1:55" s="48" customFormat="1" ht="15.45" customHeight="1" outlineLevel="1" x14ac:dyDescent="0.25">
      <c r="A1894" s="42">
        <v>3</v>
      </c>
      <c r="B1894" s="43" t="s">
        <v>1108</v>
      </c>
      <c r="C1894" s="44" t="s">
        <v>110</v>
      </c>
      <c r="D1894" s="45">
        <v>14.6</v>
      </c>
      <c r="E1894" s="45">
        <v>117.15519999999999</v>
      </c>
      <c r="F1894" s="45">
        <f t="shared" si="458"/>
        <v>1710.4659199999999</v>
      </c>
      <c r="G1894" s="46">
        <f t="shared" si="459"/>
        <v>0</v>
      </c>
      <c r="H1894" s="47">
        <f t="shared" si="460"/>
        <v>0</v>
      </c>
      <c r="I1894" s="46">
        <f t="shared" si="461"/>
        <v>0</v>
      </c>
      <c r="J1894" s="47">
        <v>0</v>
      </c>
      <c r="K1894" s="46">
        <f t="shared" si="462"/>
        <v>0</v>
      </c>
      <c r="L1894" s="47">
        <v>0</v>
      </c>
      <c r="AX1894" s="46"/>
      <c r="AY1894" s="47"/>
      <c r="AZ1894" s="70"/>
      <c r="BC1894" s="50"/>
    </row>
    <row r="1895" spans="1:55" s="48" customFormat="1" ht="15.45" customHeight="1" outlineLevel="1" x14ac:dyDescent="0.25">
      <c r="A1895" s="42">
        <v>4</v>
      </c>
      <c r="B1895" s="43" t="s">
        <v>42</v>
      </c>
      <c r="C1895" s="44" t="s">
        <v>28</v>
      </c>
      <c r="D1895" s="45">
        <v>0.121</v>
      </c>
      <c r="E1895" s="45">
        <v>1325.1</v>
      </c>
      <c r="F1895" s="45">
        <f t="shared" si="458"/>
        <v>160.33709999999999</v>
      </c>
      <c r="G1895" s="46">
        <f t="shared" si="459"/>
        <v>0</v>
      </c>
      <c r="H1895" s="47">
        <f t="shared" si="460"/>
        <v>0</v>
      </c>
      <c r="I1895" s="46">
        <f t="shared" si="461"/>
        <v>0</v>
      </c>
      <c r="J1895" s="47">
        <v>0</v>
      </c>
      <c r="K1895" s="46">
        <f t="shared" si="462"/>
        <v>0</v>
      </c>
      <c r="L1895" s="47">
        <v>0</v>
      </c>
      <c r="AX1895" s="46"/>
      <c r="AY1895" s="47"/>
      <c r="AZ1895" s="70"/>
      <c r="BC1895" s="50"/>
    </row>
    <row r="1896" spans="1:55" s="48" customFormat="1" ht="15.45" customHeight="1" outlineLevel="1" x14ac:dyDescent="0.25">
      <c r="A1896" s="42">
        <v>5</v>
      </c>
      <c r="B1896" s="43" t="s">
        <v>43</v>
      </c>
      <c r="C1896" s="44" t="s">
        <v>28</v>
      </c>
      <c r="D1896" s="45">
        <v>0.26500000000000001</v>
      </c>
      <c r="E1896" s="45">
        <v>1200.0999999999999</v>
      </c>
      <c r="F1896" s="45">
        <f t="shared" si="458"/>
        <v>318.0265</v>
      </c>
      <c r="G1896" s="46">
        <f t="shared" si="459"/>
        <v>0</v>
      </c>
      <c r="H1896" s="47">
        <f t="shared" si="460"/>
        <v>0</v>
      </c>
      <c r="I1896" s="46">
        <f t="shared" si="461"/>
        <v>0</v>
      </c>
      <c r="J1896" s="47">
        <v>0</v>
      </c>
      <c r="K1896" s="46">
        <f t="shared" si="462"/>
        <v>0</v>
      </c>
      <c r="L1896" s="47">
        <v>0</v>
      </c>
      <c r="AX1896" s="46"/>
      <c r="AY1896" s="47"/>
      <c r="AZ1896" s="70"/>
      <c r="BC1896" s="50"/>
    </row>
    <row r="1897" spans="1:55" s="48" customFormat="1" ht="27.75" customHeight="1" outlineLevel="1" x14ac:dyDescent="0.25">
      <c r="A1897" s="42">
        <v>6</v>
      </c>
      <c r="B1897" s="43" t="s">
        <v>1109</v>
      </c>
      <c r="C1897" s="44" t="s">
        <v>61</v>
      </c>
      <c r="D1897" s="45">
        <v>24</v>
      </c>
      <c r="E1897" s="45">
        <v>112.91200000000001</v>
      </c>
      <c r="F1897" s="45">
        <f t="shared" si="458"/>
        <v>2709.8879999999999</v>
      </c>
      <c r="G1897" s="46">
        <f t="shared" si="459"/>
        <v>0</v>
      </c>
      <c r="H1897" s="47">
        <f t="shared" si="460"/>
        <v>0</v>
      </c>
      <c r="I1897" s="46">
        <f t="shared" si="461"/>
        <v>0</v>
      </c>
      <c r="J1897" s="47">
        <v>0</v>
      </c>
      <c r="K1897" s="46">
        <f t="shared" si="462"/>
        <v>0</v>
      </c>
      <c r="L1897" s="47">
        <v>0</v>
      </c>
      <c r="AX1897" s="46"/>
      <c r="AY1897" s="47"/>
      <c r="AZ1897" s="70"/>
      <c r="BC1897" s="50"/>
    </row>
    <row r="1898" spans="1:55" s="59" customFormat="1" ht="27.75" customHeight="1" outlineLevel="1" x14ac:dyDescent="0.35">
      <c r="A1898" s="42">
        <v>7</v>
      </c>
      <c r="B1898" s="43" t="s">
        <v>158</v>
      </c>
      <c r="C1898" s="44" t="s">
        <v>98</v>
      </c>
      <c r="D1898" s="45">
        <v>96</v>
      </c>
      <c r="E1898" s="45">
        <v>10.81</v>
      </c>
      <c r="F1898" s="45">
        <f t="shared" si="458"/>
        <v>1037.76</v>
      </c>
      <c r="G1898" s="46">
        <f t="shared" si="459"/>
        <v>0</v>
      </c>
      <c r="H1898" s="47">
        <f t="shared" si="460"/>
        <v>0</v>
      </c>
      <c r="I1898" s="46">
        <f t="shared" si="461"/>
        <v>0</v>
      </c>
      <c r="J1898" s="47">
        <v>0</v>
      </c>
      <c r="K1898" s="46">
        <f t="shared" si="462"/>
        <v>0</v>
      </c>
      <c r="L1898" s="47">
        <v>0</v>
      </c>
      <c r="AX1898" s="73">
        <v>1</v>
      </c>
      <c r="AY1898" s="74">
        <v>5766733.6402624408</v>
      </c>
      <c r="AZ1898" s="75">
        <f>H1898-J1898</f>
        <v>0</v>
      </c>
      <c r="BC1898" s="61"/>
    </row>
    <row r="1899" spans="1:55" s="48" customFormat="1" ht="15.45" customHeight="1" outlineLevel="1" x14ac:dyDescent="0.25">
      <c r="A1899" s="42">
        <v>8</v>
      </c>
      <c r="B1899" s="43" t="s">
        <v>1110</v>
      </c>
      <c r="C1899" s="44" t="s">
        <v>110</v>
      </c>
      <c r="D1899" s="45">
        <v>0.4</v>
      </c>
      <c r="E1899" s="45">
        <v>124.1</v>
      </c>
      <c r="F1899" s="45">
        <f t="shared" si="458"/>
        <v>49.64</v>
      </c>
      <c r="G1899" s="46">
        <f t="shared" si="459"/>
        <v>0</v>
      </c>
      <c r="H1899" s="47">
        <f t="shared" si="460"/>
        <v>0</v>
      </c>
      <c r="I1899" s="46">
        <f t="shared" si="461"/>
        <v>0</v>
      </c>
      <c r="J1899" s="47">
        <v>0</v>
      </c>
      <c r="K1899" s="46">
        <f t="shared" si="462"/>
        <v>0</v>
      </c>
      <c r="L1899" s="47">
        <v>0</v>
      </c>
      <c r="AX1899" s="46">
        <v>0</v>
      </c>
      <c r="AY1899" s="47">
        <v>0</v>
      </c>
      <c r="AZ1899" s="70">
        <f>H1899-J1899</f>
        <v>0</v>
      </c>
      <c r="BC1899" s="50"/>
    </row>
    <row r="1900" spans="1:55" s="48" customFormat="1" ht="15.45" customHeight="1" outlineLevel="1" x14ac:dyDescent="0.25">
      <c r="A1900" s="42">
        <v>9</v>
      </c>
      <c r="B1900" s="43" t="s">
        <v>1111</v>
      </c>
      <c r="C1900" s="44" t="s">
        <v>28</v>
      </c>
      <c r="D1900" s="45">
        <v>0.30399999999999999</v>
      </c>
      <c r="E1900" s="45">
        <v>3085.8447999999999</v>
      </c>
      <c r="F1900" s="45">
        <f t="shared" si="458"/>
        <v>938.09681919999991</v>
      </c>
      <c r="G1900" s="46">
        <f t="shared" si="459"/>
        <v>0</v>
      </c>
      <c r="H1900" s="47">
        <f t="shared" si="460"/>
        <v>0</v>
      </c>
      <c r="I1900" s="46">
        <f t="shared" si="461"/>
        <v>0</v>
      </c>
      <c r="J1900" s="47">
        <v>0</v>
      </c>
      <c r="K1900" s="46">
        <f t="shared" si="462"/>
        <v>0</v>
      </c>
      <c r="L1900" s="47">
        <v>0</v>
      </c>
      <c r="AX1900" s="46">
        <v>0</v>
      </c>
      <c r="AY1900" s="47">
        <v>1038012.055247239</v>
      </c>
      <c r="AZ1900" s="70">
        <f>H1900-J1900</f>
        <v>0</v>
      </c>
      <c r="BC1900" s="50"/>
    </row>
    <row r="1901" spans="1:55" s="56" customFormat="1" ht="17.25" customHeight="1" x14ac:dyDescent="0.3">
      <c r="A1901" s="31">
        <v>15.3</v>
      </c>
      <c r="B1901" s="51" t="s">
        <v>1112</v>
      </c>
      <c r="C1901" s="52">
        <v>0</v>
      </c>
      <c r="D1901" s="53"/>
      <c r="E1901" s="53"/>
      <c r="F1901" s="53"/>
      <c r="G1901" s="54"/>
      <c r="H1901" s="55"/>
      <c r="I1901" s="54"/>
      <c r="J1901" s="55"/>
      <c r="K1901" s="54"/>
      <c r="L1901" s="55">
        <v>0</v>
      </c>
      <c r="AX1901" s="69"/>
      <c r="AY1901" s="71"/>
      <c r="AZ1901" s="72"/>
      <c r="BC1901" s="58"/>
    </row>
    <row r="1902" spans="1:55" s="48" customFormat="1" ht="27.75" customHeight="1" outlineLevel="1" x14ac:dyDescent="0.25">
      <c r="A1902" s="42">
        <v>1</v>
      </c>
      <c r="B1902" s="43" t="s">
        <v>1113</v>
      </c>
      <c r="C1902" s="44" t="s">
        <v>61</v>
      </c>
      <c r="D1902" s="45">
        <v>7</v>
      </c>
      <c r="E1902" s="45">
        <v>12.401199999999999</v>
      </c>
      <c r="F1902" s="45">
        <f>+E1902*D1902</f>
        <v>86.808399999999992</v>
      </c>
      <c r="G1902" s="46">
        <f t="shared" ref="G1902:H1904" si="463">I1902+K1902</f>
        <v>0</v>
      </c>
      <c r="H1902" s="47">
        <f t="shared" si="463"/>
        <v>0</v>
      </c>
      <c r="I1902" s="46">
        <f>J1902/F1902</f>
        <v>0</v>
      </c>
      <c r="J1902" s="47">
        <v>0</v>
      </c>
      <c r="K1902" s="46">
        <f>L1902/F1902</f>
        <v>0</v>
      </c>
      <c r="L1902" s="47">
        <v>0</v>
      </c>
      <c r="AX1902" s="46"/>
      <c r="AY1902" s="47"/>
      <c r="AZ1902" s="70"/>
      <c r="BC1902" s="50"/>
    </row>
    <row r="1903" spans="1:55" s="48" customFormat="1" ht="27.75" customHeight="1" outlineLevel="1" x14ac:dyDescent="0.25">
      <c r="A1903" s="42">
        <v>2</v>
      </c>
      <c r="B1903" s="43" t="s">
        <v>1114</v>
      </c>
      <c r="C1903" s="44" t="s">
        <v>61</v>
      </c>
      <c r="D1903" s="45">
        <v>7</v>
      </c>
      <c r="E1903" s="45">
        <v>0.9</v>
      </c>
      <c r="F1903" s="45">
        <f>+E1903*D1903</f>
        <v>6.3</v>
      </c>
      <c r="G1903" s="46">
        <f t="shared" si="463"/>
        <v>0</v>
      </c>
      <c r="H1903" s="47">
        <f t="shared" si="463"/>
        <v>0</v>
      </c>
      <c r="I1903" s="46">
        <f>J1903/F1903</f>
        <v>0</v>
      </c>
      <c r="J1903" s="47">
        <v>0</v>
      </c>
      <c r="K1903" s="46">
        <f>L1903/F1903</f>
        <v>0</v>
      </c>
      <c r="L1903" s="47">
        <v>0</v>
      </c>
      <c r="AX1903" s="46"/>
      <c r="AY1903" s="47"/>
      <c r="AZ1903" s="70"/>
      <c r="BC1903" s="50"/>
    </row>
    <row r="1904" spans="1:55" s="48" customFormat="1" ht="27.75" customHeight="1" outlineLevel="1" x14ac:dyDescent="0.25">
      <c r="A1904" s="42">
        <v>3</v>
      </c>
      <c r="B1904" s="43" t="s">
        <v>873</v>
      </c>
      <c r="C1904" s="44" t="s">
        <v>93</v>
      </c>
      <c r="D1904" s="45">
        <v>1</v>
      </c>
      <c r="E1904" s="45">
        <v>5.4019999999999992</v>
      </c>
      <c r="F1904" s="45">
        <f>+E1904*D1904</f>
        <v>5.4019999999999992</v>
      </c>
      <c r="G1904" s="46">
        <f t="shared" si="463"/>
        <v>0</v>
      </c>
      <c r="H1904" s="47">
        <f t="shared" si="463"/>
        <v>0</v>
      </c>
      <c r="I1904" s="46">
        <f>J1904/F1904</f>
        <v>0</v>
      </c>
      <c r="J1904" s="47">
        <v>0</v>
      </c>
      <c r="K1904" s="46">
        <f>L1904/F1904</f>
        <v>0</v>
      </c>
      <c r="L1904" s="47">
        <v>0</v>
      </c>
      <c r="AX1904" s="46"/>
      <c r="AY1904" s="47"/>
      <c r="AZ1904" s="70"/>
      <c r="BC1904" s="50"/>
    </row>
    <row r="1905" spans="1:55" s="56" customFormat="1" ht="17.25" customHeight="1" x14ac:dyDescent="0.3">
      <c r="A1905" s="31">
        <v>15.4</v>
      </c>
      <c r="B1905" s="51" t="s">
        <v>1115</v>
      </c>
      <c r="C1905" s="52">
        <v>0</v>
      </c>
      <c r="D1905" s="53"/>
      <c r="E1905" s="53"/>
      <c r="F1905" s="53"/>
      <c r="G1905" s="54"/>
      <c r="H1905" s="55"/>
      <c r="I1905" s="54"/>
      <c r="J1905" s="55"/>
      <c r="K1905" s="54"/>
      <c r="L1905" s="55">
        <v>0</v>
      </c>
      <c r="AX1905" s="69"/>
      <c r="AY1905" s="71"/>
      <c r="AZ1905" s="72"/>
      <c r="BC1905" s="58"/>
    </row>
    <row r="1906" spans="1:55" s="48" customFormat="1" ht="27.75" customHeight="1" outlineLevel="1" x14ac:dyDescent="0.25">
      <c r="A1906" s="42">
        <v>1</v>
      </c>
      <c r="B1906" s="43" t="s">
        <v>1116</v>
      </c>
      <c r="C1906" s="44" t="s">
        <v>61</v>
      </c>
      <c r="D1906" s="45">
        <v>16</v>
      </c>
      <c r="E1906" s="45">
        <v>7.6276000000000002</v>
      </c>
      <c r="F1906" s="45">
        <f>+E1906*D1906</f>
        <v>122.0416</v>
      </c>
      <c r="G1906" s="46">
        <f t="shared" ref="G1906:H1910" si="464">I1906+K1906</f>
        <v>0</v>
      </c>
      <c r="H1906" s="47">
        <f t="shared" si="464"/>
        <v>0</v>
      </c>
      <c r="I1906" s="46">
        <f>J1906/F1906</f>
        <v>0</v>
      </c>
      <c r="J1906" s="47">
        <v>0</v>
      </c>
      <c r="K1906" s="46">
        <f>L1906/F1906</f>
        <v>0</v>
      </c>
      <c r="L1906" s="47">
        <v>0</v>
      </c>
      <c r="AX1906" s="46"/>
      <c r="AY1906" s="47"/>
      <c r="AZ1906" s="70"/>
      <c r="BC1906" s="50"/>
    </row>
    <row r="1907" spans="1:55" s="48" customFormat="1" ht="41.7" customHeight="1" outlineLevel="1" x14ac:dyDescent="0.25">
      <c r="A1907" s="42">
        <v>2</v>
      </c>
      <c r="B1907" s="43" t="s">
        <v>1117</v>
      </c>
      <c r="C1907" s="44" t="s">
        <v>61</v>
      </c>
      <c r="D1907" s="45">
        <v>16</v>
      </c>
      <c r="E1907" s="45">
        <v>10.4</v>
      </c>
      <c r="F1907" s="45">
        <f>+E1907*D1907</f>
        <v>166.4</v>
      </c>
      <c r="G1907" s="46">
        <f t="shared" si="464"/>
        <v>0</v>
      </c>
      <c r="H1907" s="47">
        <f t="shared" si="464"/>
        <v>0</v>
      </c>
      <c r="I1907" s="46">
        <f>J1907/F1907</f>
        <v>0</v>
      </c>
      <c r="J1907" s="47">
        <v>0</v>
      </c>
      <c r="K1907" s="46">
        <f>L1907/F1907</f>
        <v>0</v>
      </c>
      <c r="L1907" s="47">
        <v>0</v>
      </c>
      <c r="AX1907" s="46"/>
      <c r="AY1907" s="47"/>
      <c r="AZ1907" s="70"/>
      <c r="BC1907" s="50"/>
    </row>
    <row r="1908" spans="1:55" s="48" customFormat="1" ht="27.75" customHeight="1" outlineLevel="1" x14ac:dyDescent="0.25">
      <c r="A1908" s="42">
        <v>3</v>
      </c>
      <c r="B1908" s="43" t="s">
        <v>1118</v>
      </c>
      <c r="C1908" s="44" t="s">
        <v>61</v>
      </c>
      <c r="D1908" s="45">
        <v>3</v>
      </c>
      <c r="E1908" s="45">
        <v>7.6276000000000002</v>
      </c>
      <c r="F1908" s="45">
        <f>+E1908*D1908</f>
        <v>22.8828</v>
      </c>
      <c r="G1908" s="46">
        <f t="shared" si="464"/>
        <v>0</v>
      </c>
      <c r="H1908" s="47">
        <f t="shared" si="464"/>
        <v>0</v>
      </c>
      <c r="I1908" s="46">
        <f>J1908/F1908</f>
        <v>0</v>
      </c>
      <c r="J1908" s="47">
        <v>0</v>
      </c>
      <c r="K1908" s="46">
        <f>L1908/F1908</f>
        <v>0</v>
      </c>
      <c r="L1908" s="47">
        <v>0</v>
      </c>
      <c r="AX1908" s="46"/>
      <c r="AY1908" s="47"/>
      <c r="AZ1908" s="70"/>
      <c r="BC1908" s="50"/>
    </row>
    <row r="1909" spans="1:55" s="48" customFormat="1" ht="41.7" customHeight="1" outlineLevel="1" x14ac:dyDescent="0.25">
      <c r="A1909" s="42">
        <v>4</v>
      </c>
      <c r="B1909" s="43" t="s">
        <v>1119</v>
      </c>
      <c r="C1909" s="44" t="s">
        <v>61</v>
      </c>
      <c r="D1909" s="45">
        <v>3</v>
      </c>
      <c r="E1909" s="45">
        <v>7.3807999999999998</v>
      </c>
      <c r="F1909" s="45">
        <f>+E1909*D1909</f>
        <v>22.142399999999999</v>
      </c>
      <c r="G1909" s="46">
        <f t="shared" si="464"/>
        <v>0</v>
      </c>
      <c r="H1909" s="47">
        <f t="shared" si="464"/>
        <v>0</v>
      </c>
      <c r="I1909" s="46">
        <f>J1909/F1909</f>
        <v>0</v>
      </c>
      <c r="J1909" s="47">
        <v>0</v>
      </c>
      <c r="K1909" s="46">
        <f>L1909/F1909</f>
        <v>0</v>
      </c>
      <c r="L1909" s="47">
        <v>0</v>
      </c>
      <c r="AX1909" s="46"/>
      <c r="AY1909" s="47"/>
      <c r="AZ1909" s="70"/>
      <c r="BC1909" s="50"/>
    </row>
    <row r="1910" spans="1:55" s="48" customFormat="1" ht="15.45" customHeight="1" outlineLevel="1" x14ac:dyDescent="0.25">
      <c r="A1910" s="42">
        <v>5</v>
      </c>
      <c r="B1910" s="43" t="s">
        <v>1120</v>
      </c>
      <c r="C1910" s="44" t="s">
        <v>234</v>
      </c>
      <c r="D1910" s="45">
        <v>1</v>
      </c>
      <c r="E1910" s="45">
        <v>22.132000000000001</v>
      </c>
      <c r="F1910" s="45">
        <f>+E1910*D1910</f>
        <v>22.132000000000001</v>
      </c>
      <c r="G1910" s="46">
        <f t="shared" si="464"/>
        <v>0</v>
      </c>
      <c r="H1910" s="47">
        <f t="shared" si="464"/>
        <v>0</v>
      </c>
      <c r="I1910" s="46">
        <f>J1910/F1910</f>
        <v>0</v>
      </c>
      <c r="J1910" s="47">
        <v>0</v>
      </c>
      <c r="K1910" s="46">
        <f>L1910/F1910</f>
        <v>0</v>
      </c>
      <c r="L1910" s="47">
        <v>0</v>
      </c>
      <c r="AX1910" s="46"/>
      <c r="AY1910" s="47"/>
      <c r="AZ1910" s="70"/>
      <c r="BC1910" s="50"/>
    </row>
    <row r="1911" spans="1:55" s="56" customFormat="1" ht="17.25" customHeight="1" x14ac:dyDescent="0.3">
      <c r="A1911" s="31">
        <v>15.5</v>
      </c>
      <c r="B1911" s="51" t="s">
        <v>1121</v>
      </c>
      <c r="C1911" s="52">
        <v>0</v>
      </c>
      <c r="D1911" s="53"/>
      <c r="E1911" s="53"/>
      <c r="F1911" s="53"/>
      <c r="G1911" s="54"/>
      <c r="H1911" s="55"/>
      <c r="I1911" s="54"/>
      <c r="J1911" s="55"/>
      <c r="K1911" s="54"/>
      <c r="L1911" s="55">
        <v>0</v>
      </c>
      <c r="AX1911" s="69">
        <v>1</v>
      </c>
      <c r="AY1911" s="71">
        <v>5766733.6402624408</v>
      </c>
      <c r="AZ1911" s="72">
        <f t="shared" ref="AZ1911:AZ1934" si="465">H1911-J1911</f>
        <v>0</v>
      </c>
      <c r="BC1911" s="58"/>
    </row>
    <row r="1912" spans="1:55" s="48" customFormat="1" ht="27.75" customHeight="1" outlineLevel="1" x14ac:dyDescent="0.25">
      <c r="A1912" s="42">
        <v>1</v>
      </c>
      <c r="B1912" s="43" t="s">
        <v>1122</v>
      </c>
      <c r="C1912" s="44" t="s">
        <v>234</v>
      </c>
      <c r="D1912" s="45">
        <v>1</v>
      </c>
      <c r="E1912" s="45">
        <v>1073.7295999999999</v>
      </c>
      <c r="F1912" s="45">
        <f>+E1912*D1912</f>
        <v>1073.7295999999999</v>
      </c>
      <c r="G1912" s="46">
        <f>I1912+K1912</f>
        <v>0</v>
      </c>
      <c r="H1912" s="47">
        <f>J1912+L1912</f>
        <v>0</v>
      </c>
      <c r="I1912" s="46">
        <f>J1912/F1912</f>
        <v>0</v>
      </c>
      <c r="J1912" s="47">
        <v>0</v>
      </c>
      <c r="K1912" s="46">
        <f>L1912/F1912</f>
        <v>0</v>
      </c>
      <c r="L1912" s="47">
        <v>0</v>
      </c>
      <c r="AX1912" s="46">
        <v>1</v>
      </c>
      <c r="AY1912" s="47">
        <v>5766733.6402624408</v>
      </c>
      <c r="AZ1912" s="70">
        <f t="shared" si="465"/>
        <v>0</v>
      </c>
      <c r="BC1912" s="50"/>
    </row>
    <row r="1913" spans="1:55" s="56" customFormat="1" ht="17.25" customHeight="1" x14ac:dyDescent="0.3">
      <c r="A1913" s="31">
        <v>16.100000000000001</v>
      </c>
      <c r="B1913" s="51" t="s">
        <v>1123</v>
      </c>
      <c r="C1913" s="52">
        <v>0</v>
      </c>
      <c r="D1913" s="53"/>
      <c r="E1913" s="53"/>
      <c r="F1913" s="53"/>
      <c r="G1913" s="54"/>
      <c r="H1913" s="55"/>
      <c r="I1913" s="54"/>
      <c r="J1913" s="55"/>
      <c r="K1913" s="54"/>
      <c r="L1913" s="55">
        <v>0</v>
      </c>
      <c r="AX1913" s="69">
        <v>1</v>
      </c>
      <c r="AY1913" s="71">
        <v>5766733.6402624408</v>
      </c>
      <c r="AZ1913" s="72">
        <f t="shared" si="465"/>
        <v>0</v>
      </c>
      <c r="BC1913" s="58"/>
    </row>
    <row r="1914" spans="1:55" s="48" customFormat="1" ht="27.75" customHeight="1" outlineLevel="1" x14ac:dyDescent="0.25">
      <c r="A1914" s="42">
        <v>1</v>
      </c>
      <c r="B1914" s="43" t="s">
        <v>647</v>
      </c>
      <c r="C1914" s="44" t="s">
        <v>110</v>
      </c>
      <c r="D1914" s="45">
        <v>23</v>
      </c>
      <c r="E1914" s="45">
        <v>0.9</v>
      </c>
      <c r="F1914" s="45">
        <f t="shared" ref="F1914:F1946" si="466">+E1914*D1914</f>
        <v>20.7</v>
      </c>
      <c r="G1914" s="46">
        <f t="shared" ref="G1914:G1946" si="467">I1914+K1914</f>
        <v>0</v>
      </c>
      <c r="H1914" s="47">
        <f t="shared" ref="H1914:H1946" si="468">J1914+L1914</f>
        <v>0</v>
      </c>
      <c r="I1914" s="46">
        <f t="shared" ref="I1914:I1946" si="469">J1914/F1914</f>
        <v>0</v>
      </c>
      <c r="J1914" s="47">
        <v>0</v>
      </c>
      <c r="K1914" s="46">
        <f t="shared" ref="K1914:K1946" si="470">L1914/F1914</f>
        <v>0</v>
      </c>
      <c r="L1914" s="47">
        <v>0</v>
      </c>
      <c r="AX1914" s="46">
        <v>0</v>
      </c>
      <c r="AY1914" s="47">
        <v>0</v>
      </c>
      <c r="AZ1914" s="70">
        <f t="shared" si="465"/>
        <v>0</v>
      </c>
      <c r="BC1914" s="50"/>
    </row>
    <row r="1915" spans="1:55" s="48" customFormat="1" ht="27.75" customHeight="1" outlineLevel="1" x14ac:dyDescent="0.25">
      <c r="A1915" s="42">
        <v>2</v>
      </c>
      <c r="B1915" s="43" t="s">
        <v>648</v>
      </c>
      <c r="C1915" s="44" t="s">
        <v>110</v>
      </c>
      <c r="D1915" s="45">
        <v>1</v>
      </c>
      <c r="E1915" s="45">
        <v>8.9600000000000009</v>
      </c>
      <c r="F1915" s="45">
        <f t="shared" si="466"/>
        <v>8.9600000000000009</v>
      </c>
      <c r="G1915" s="46">
        <f t="shared" si="467"/>
        <v>0</v>
      </c>
      <c r="H1915" s="47">
        <f t="shared" si="468"/>
        <v>0</v>
      </c>
      <c r="I1915" s="46">
        <f t="shared" si="469"/>
        <v>0</v>
      </c>
      <c r="J1915" s="47">
        <v>0</v>
      </c>
      <c r="K1915" s="46">
        <f t="shared" si="470"/>
        <v>0</v>
      </c>
      <c r="L1915" s="47">
        <v>0</v>
      </c>
      <c r="AX1915" s="46">
        <v>0</v>
      </c>
      <c r="AY1915" s="47">
        <v>1038012.055247239</v>
      </c>
      <c r="AZ1915" s="70">
        <f t="shared" si="465"/>
        <v>0</v>
      </c>
      <c r="BC1915" s="50"/>
    </row>
    <row r="1916" spans="1:55" s="48" customFormat="1" ht="27.75" customHeight="1" outlineLevel="1" x14ac:dyDescent="0.25">
      <c r="A1916" s="42">
        <v>3</v>
      </c>
      <c r="B1916" s="43" t="s">
        <v>649</v>
      </c>
      <c r="C1916" s="44" t="s">
        <v>110</v>
      </c>
      <c r="D1916" s="45">
        <v>15</v>
      </c>
      <c r="E1916" s="45">
        <v>0.9</v>
      </c>
      <c r="F1916" s="45">
        <f t="shared" si="466"/>
        <v>13.5</v>
      </c>
      <c r="G1916" s="46">
        <f t="shared" si="467"/>
        <v>0</v>
      </c>
      <c r="H1916" s="47">
        <f t="shared" si="468"/>
        <v>0</v>
      </c>
      <c r="I1916" s="46">
        <f t="shared" si="469"/>
        <v>0</v>
      </c>
      <c r="J1916" s="47">
        <v>0</v>
      </c>
      <c r="K1916" s="46">
        <f t="shared" si="470"/>
        <v>0</v>
      </c>
      <c r="L1916" s="47">
        <v>0</v>
      </c>
      <c r="AX1916" s="46">
        <v>0</v>
      </c>
      <c r="AY1916" s="47">
        <v>0</v>
      </c>
      <c r="AZ1916" s="70">
        <f t="shared" si="465"/>
        <v>0</v>
      </c>
      <c r="BC1916" s="50"/>
    </row>
    <row r="1917" spans="1:55" s="48" customFormat="1" ht="15.45" customHeight="1" outlineLevel="1" x14ac:dyDescent="0.25">
      <c r="A1917" s="42">
        <v>4</v>
      </c>
      <c r="B1917" s="43" t="s">
        <v>37</v>
      </c>
      <c r="C1917" s="44" t="s">
        <v>110</v>
      </c>
      <c r="D1917" s="45">
        <v>15</v>
      </c>
      <c r="E1917" s="45">
        <v>2</v>
      </c>
      <c r="F1917" s="45">
        <f t="shared" si="466"/>
        <v>30</v>
      </c>
      <c r="G1917" s="46">
        <f t="shared" si="467"/>
        <v>0</v>
      </c>
      <c r="H1917" s="47">
        <f t="shared" si="468"/>
        <v>0</v>
      </c>
      <c r="I1917" s="46">
        <f t="shared" si="469"/>
        <v>0</v>
      </c>
      <c r="J1917" s="47">
        <v>0</v>
      </c>
      <c r="K1917" s="46">
        <f t="shared" si="470"/>
        <v>0</v>
      </c>
      <c r="L1917" s="47">
        <v>0</v>
      </c>
      <c r="AX1917" s="46">
        <v>0</v>
      </c>
      <c r="AY1917" s="47">
        <v>0</v>
      </c>
      <c r="AZ1917" s="70">
        <f t="shared" si="465"/>
        <v>0</v>
      </c>
      <c r="BC1917" s="50"/>
    </row>
    <row r="1918" spans="1:55" s="48" customFormat="1" ht="15.45" customHeight="1" outlineLevel="1" x14ac:dyDescent="0.25">
      <c r="A1918" s="42">
        <v>5</v>
      </c>
      <c r="B1918" s="43" t="s">
        <v>166</v>
      </c>
      <c r="C1918" s="44" t="s">
        <v>110</v>
      </c>
      <c r="D1918" s="45">
        <v>4</v>
      </c>
      <c r="E1918" s="45">
        <v>8.16</v>
      </c>
      <c r="F1918" s="45">
        <f t="shared" si="466"/>
        <v>32.64</v>
      </c>
      <c r="G1918" s="46">
        <f t="shared" si="467"/>
        <v>0</v>
      </c>
      <c r="H1918" s="47">
        <f t="shared" si="468"/>
        <v>0</v>
      </c>
      <c r="I1918" s="46">
        <f t="shared" si="469"/>
        <v>0</v>
      </c>
      <c r="J1918" s="47">
        <v>0</v>
      </c>
      <c r="K1918" s="46">
        <f t="shared" si="470"/>
        <v>0</v>
      </c>
      <c r="L1918" s="47">
        <v>0</v>
      </c>
      <c r="AX1918" s="46">
        <v>0</v>
      </c>
      <c r="AY1918" s="47">
        <v>0</v>
      </c>
      <c r="AZ1918" s="70">
        <f t="shared" si="465"/>
        <v>0</v>
      </c>
      <c r="BC1918" s="50"/>
    </row>
    <row r="1919" spans="1:55" s="48" customFormat="1" ht="15.45" customHeight="1" outlineLevel="1" x14ac:dyDescent="0.25">
      <c r="A1919" s="42">
        <v>6</v>
      </c>
      <c r="B1919" s="43" t="s">
        <v>167</v>
      </c>
      <c r="C1919" s="44" t="s">
        <v>110</v>
      </c>
      <c r="D1919" s="45">
        <v>1.2</v>
      </c>
      <c r="E1919" s="45">
        <v>36.616</v>
      </c>
      <c r="F1919" s="45">
        <f t="shared" si="466"/>
        <v>43.9392</v>
      </c>
      <c r="G1919" s="46">
        <f t="shared" si="467"/>
        <v>0</v>
      </c>
      <c r="H1919" s="47">
        <f t="shared" si="468"/>
        <v>0</v>
      </c>
      <c r="I1919" s="46">
        <f t="shared" si="469"/>
        <v>0</v>
      </c>
      <c r="J1919" s="47">
        <v>0</v>
      </c>
      <c r="K1919" s="46">
        <f t="shared" si="470"/>
        <v>0</v>
      </c>
      <c r="L1919" s="47">
        <v>0</v>
      </c>
      <c r="AX1919" s="46">
        <v>0</v>
      </c>
      <c r="AY1919" s="47">
        <v>0</v>
      </c>
      <c r="AZ1919" s="70">
        <f t="shared" si="465"/>
        <v>0</v>
      </c>
      <c r="BC1919" s="50"/>
    </row>
    <row r="1920" spans="1:55" s="48" customFormat="1" ht="15.45" customHeight="1" outlineLevel="1" x14ac:dyDescent="0.25">
      <c r="A1920" s="42">
        <v>7</v>
      </c>
      <c r="B1920" s="43" t="s">
        <v>1124</v>
      </c>
      <c r="C1920" s="44" t="s">
        <v>110</v>
      </c>
      <c r="D1920" s="45">
        <v>0.93</v>
      </c>
      <c r="E1920" s="45">
        <v>91.950999999999993</v>
      </c>
      <c r="F1920" s="45">
        <f t="shared" si="466"/>
        <v>85.514430000000004</v>
      </c>
      <c r="G1920" s="46">
        <f t="shared" si="467"/>
        <v>0</v>
      </c>
      <c r="H1920" s="47">
        <f t="shared" si="468"/>
        <v>0</v>
      </c>
      <c r="I1920" s="46">
        <f t="shared" si="469"/>
        <v>0</v>
      </c>
      <c r="J1920" s="47">
        <v>0</v>
      </c>
      <c r="K1920" s="46">
        <f t="shared" si="470"/>
        <v>0</v>
      </c>
      <c r="L1920" s="47">
        <v>0</v>
      </c>
      <c r="AX1920" s="46">
        <v>0</v>
      </c>
      <c r="AY1920" s="47">
        <v>0</v>
      </c>
      <c r="AZ1920" s="70">
        <f t="shared" si="465"/>
        <v>0</v>
      </c>
      <c r="BC1920" s="50"/>
    </row>
    <row r="1921" spans="1:55" s="48" customFormat="1" ht="15.45" customHeight="1" outlineLevel="1" x14ac:dyDescent="0.25">
      <c r="A1921" s="42">
        <v>8</v>
      </c>
      <c r="B1921" s="43" t="s">
        <v>825</v>
      </c>
      <c r="C1921" s="44" t="s">
        <v>110</v>
      </c>
      <c r="D1921" s="45">
        <v>3.35</v>
      </c>
      <c r="E1921" s="45">
        <v>117.2572</v>
      </c>
      <c r="F1921" s="45">
        <f t="shared" si="466"/>
        <v>392.81162</v>
      </c>
      <c r="G1921" s="46">
        <f t="shared" si="467"/>
        <v>0</v>
      </c>
      <c r="H1921" s="47">
        <f t="shared" si="468"/>
        <v>0</v>
      </c>
      <c r="I1921" s="46">
        <f t="shared" si="469"/>
        <v>0</v>
      </c>
      <c r="J1921" s="47">
        <v>0</v>
      </c>
      <c r="K1921" s="46">
        <f t="shared" si="470"/>
        <v>0</v>
      </c>
      <c r="L1921" s="47">
        <v>0</v>
      </c>
      <c r="AX1921" s="46">
        <v>0</v>
      </c>
      <c r="AY1921" s="47">
        <v>0</v>
      </c>
      <c r="AZ1921" s="70">
        <f t="shared" si="465"/>
        <v>0</v>
      </c>
      <c r="BC1921" s="50"/>
    </row>
    <row r="1922" spans="1:55" s="48" customFormat="1" ht="15.45" customHeight="1" outlineLevel="1" x14ac:dyDescent="0.25">
      <c r="A1922" s="42">
        <v>9</v>
      </c>
      <c r="B1922" s="43" t="s">
        <v>1125</v>
      </c>
      <c r="C1922" s="44" t="s">
        <v>28</v>
      </c>
      <c r="D1922" s="45">
        <v>1.4999999999999999E-2</v>
      </c>
      <c r="E1922" s="45">
        <v>1325.1</v>
      </c>
      <c r="F1922" s="45">
        <f t="shared" si="466"/>
        <v>19.876499999999997</v>
      </c>
      <c r="G1922" s="46">
        <f t="shared" si="467"/>
        <v>0</v>
      </c>
      <c r="H1922" s="47">
        <f t="shared" si="468"/>
        <v>0</v>
      </c>
      <c r="I1922" s="46">
        <f t="shared" si="469"/>
        <v>0</v>
      </c>
      <c r="J1922" s="47">
        <v>0</v>
      </c>
      <c r="K1922" s="46">
        <f t="shared" si="470"/>
        <v>0</v>
      </c>
      <c r="L1922" s="47">
        <v>0</v>
      </c>
      <c r="AX1922" s="46">
        <v>0</v>
      </c>
      <c r="AY1922" s="47">
        <v>0</v>
      </c>
      <c r="AZ1922" s="70">
        <f t="shared" si="465"/>
        <v>0</v>
      </c>
      <c r="BC1922" s="50"/>
    </row>
    <row r="1923" spans="1:55" s="48" customFormat="1" ht="15.45" customHeight="1" outlineLevel="1" x14ac:dyDescent="0.25">
      <c r="A1923" s="42">
        <v>10</v>
      </c>
      <c r="B1923" s="43" t="s">
        <v>1126</v>
      </c>
      <c r="C1923" s="44" t="s">
        <v>28</v>
      </c>
      <c r="D1923" s="45">
        <v>0.41199999999999998</v>
      </c>
      <c r="E1923" s="45">
        <v>1200.0999999999999</v>
      </c>
      <c r="F1923" s="45">
        <f t="shared" si="466"/>
        <v>494.44119999999992</v>
      </c>
      <c r="G1923" s="46">
        <f t="shared" si="467"/>
        <v>0</v>
      </c>
      <c r="H1923" s="47">
        <f t="shared" si="468"/>
        <v>0</v>
      </c>
      <c r="I1923" s="46">
        <f t="shared" si="469"/>
        <v>0</v>
      </c>
      <c r="J1923" s="47">
        <v>0</v>
      </c>
      <c r="K1923" s="46">
        <f t="shared" si="470"/>
        <v>0</v>
      </c>
      <c r="L1923" s="47">
        <v>0</v>
      </c>
      <c r="AX1923" s="46">
        <v>0</v>
      </c>
      <c r="AY1923" s="47">
        <v>0</v>
      </c>
      <c r="AZ1923" s="70">
        <f t="shared" si="465"/>
        <v>0</v>
      </c>
      <c r="BC1923" s="50"/>
    </row>
    <row r="1924" spans="1:55" s="48" customFormat="1" ht="27.75" customHeight="1" outlineLevel="1" x14ac:dyDescent="0.25">
      <c r="A1924" s="42">
        <v>11</v>
      </c>
      <c r="B1924" s="43" t="s">
        <v>67</v>
      </c>
      <c r="C1924" s="44" t="s">
        <v>98</v>
      </c>
      <c r="D1924" s="45">
        <v>10.199999999999999</v>
      </c>
      <c r="E1924" s="45">
        <v>41.92</v>
      </c>
      <c r="F1924" s="45">
        <f t="shared" si="466"/>
        <v>427.584</v>
      </c>
      <c r="G1924" s="46">
        <f t="shared" si="467"/>
        <v>0</v>
      </c>
      <c r="H1924" s="47">
        <f t="shared" si="468"/>
        <v>0</v>
      </c>
      <c r="I1924" s="46">
        <f t="shared" si="469"/>
        <v>0</v>
      </c>
      <c r="J1924" s="47">
        <v>0</v>
      </c>
      <c r="K1924" s="46">
        <f t="shared" si="470"/>
        <v>0</v>
      </c>
      <c r="L1924" s="47">
        <v>0</v>
      </c>
      <c r="AX1924" s="46">
        <v>0</v>
      </c>
      <c r="AY1924" s="47">
        <v>0</v>
      </c>
      <c r="AZ1924" s="70">
        <f t="shared" si="465"/>
        <v>0</v>
      </c>
      <c r="BC1924" s="50"/>
    </row>
    <row r="1925" spans="1:55" s="48" customFormat="1" ht="27.75" customHeight="1" outlineLevel="1" x14ac:dyDescent="0.25">
      <c r="A1925" s="42">
        <v>12</v>
      </c>
      <c r="B1925" s="43" t="s">
        <v>1127</v>
      </c>
      <c r="C1925" s="44" t="s">
        <v>98</v>
      </c>
      <c r="D1925" s="45">
        <v>20.399999999999999</v>
      </c>
      <c r="E1925" s="45">
        <v>10.8202</v>
      </c>
      <c r="F1925" s="45">
        <f t="shared" si="466"/>
        <v>220.73207999999997</v>
      </c>
      <c r="G1925" s="46">
        <f t="shared" si="467"/>
        <v>0</v>
      </c>
      <c r="H1925" s="47">
        <f t="shared" si="468"/>
        <v>0</v>
      </c>
      <c r="I1925" s="46">
        <f t="shared" si="469"/>
        <v>0</v>
      </c>
      <c r="J1925" s="47">
        <v>0</v>
      </c>
      <c r="K1925" s="46">
        <f t="shared" si="470"/>
        <v>0</v>
      </c>
      <c r="L1925" s="47">
        <v>0</v>
      </c>
      <c r="AX1925" s="46">
        <v>0</v>
      </c>
      <c r="AY1925" s="47">
        <v>0</v>
      </c>
      <c r="AZ1925" s="70">
        <f t="shared" si="465"/>
        <v>0</v>
      </c>
      <c r="BC1925" s="50"/>
    </row>
    <row r="1926" spans="1:55" s="48" customFormat="1" ht="27.75" customHeight="1" outlineLevel="1" x14ac:dyDescent="0.25">
      <c r="A1926" s="42">
        <v>13</v>
      </c>
      <c r="B1926" s="43" t="s">
        <v>49</v>
      </c>
      <c r="C1926" s="44" t="s">
        <v>98</v>
      </c>
      <c r="D1926" s="45">
        <v>27.1</v>
      </c>
      <c r="E1926" s="45">
        <v>3.67</v>
      </c>
      <c r="F1926" s="45">
        <f t="shared" si="466"/>
        <v>99.457000000000008</v>
      </c>
      <c r="G1926" s="46">
        <f t="shared" si="467"/>
        <v>0</v>
      </c>
      <c r="H1926" s="47">
        <f t="shared" si="468"/>
        <v>0</v>
      </c>
      <c r="I1926" s="46">
        <f t="shared" si="469"/>
        <v>0</v>
      </c>
      <c r="J1926" s="47">
        <v>0</v>
      </c>
      <c r="K1926" s="46">
        <f t="shared" si="470"/>
        <v>0</v>
      </c>
      <c r="L1926" s="47">
        <v>0</v>
      </c>
      <c r="AX1926" s="46">
        <v>0</v>
      </c>
      <c r="AY1926" s="47">
        <v>0</v>
      </c>
      <c r="AZ1926" s="70">
        <f t="shared" si="465"/>
        <v>0</v>
      </c>
      <c r="BC1926" s="50"/>
    </row>
    <row r="1927" spans="1:55" s="48" customFormat="1" ht="15.45" customHeight="1" outlineLevel="1" x14ac:dyDescent="0.25">
      <c r="A1927" s="42">
        <v>14</v>
      </c>
      <c r="B1927" s="43" t="s">
        <v>167</v>
      </c>
      <c r="C1927" s="44" t="s">
        <v>110</v>
      </c>
      <c r="D1927" s="45">
        <v>0.55000000000000004</v>
      </c>
      <c r="E1927" s="45">
        <v>36.616</v>
      </c>
      <c r="F1927" s="45">
        <f t="shared" si="466"/>
        <v>20.1388</v>
      </c>
      <c r="G1927" s="46">
        <f t="shared" si="467"/>
        <v>0</v>
      </c>
      <c r="H1927" s="47">
        <f t="shared" si="468"/>
        <v>0</v>
      </c>
      <c r="I1927" s="46">
        <f t="shared" si="469"/>
        <v>0</v>
      </c>
      <c r="J1927" s="47">
        <v>0</v>
      </c>
      <c r="K1927" s="46">
        <f t="shared" si="470"/>
        <v>0</v>
      </c>
      <c r="L1927" s="47">
        <v>0</v>
      </c>
      <c r="AX1927" s="46">
        <v>0</v>
      </c>
      <c r="AY1927" s="47">
        <v>0</v>
      </c>
      <c r="AZ1927" s="70">
        <f t="shared" si="465"/>
        <v>0</v>
      </c>
      <c r="BC1927" s="50"/>
    </row>
    <row r="1928" spans="1:55" s="48" customFormat="1" ht="15.45" customHeight="1" outlineLevel="1" x14ac:dyDescent="0.25">
      <c r="A1928" s="42">
        <v>15</v>
      </c>
      <c r="B1928" s="43" t="s">
        <v>1128</v>
      </c>
      <c r="C1928" s="44" t="s">
        <v>110</v>
      </c>
      <c r="D1928" s="45">
        <v>0.55000000000000004</v>
      </c>
      <c r="E1928" s="45">
        <v>125.8456</v>
      </c>
      <c r="F1928" s="45">
        <f t="shared" si="466"/>
        <v>69.215080000000015</v>
      </c>
      <c r="G1928" s="46">
        <f t="shared" si="467"/>
        <v>0</v>
      </c>
      <c r="H1928" s="47">
        <f t="shared" si="468"/>
        <v>0</v>
      </c>
      <c r="I1928" s="46">
        <f t="shared" si="469"/>
        <v>0</v>
      </c>
      <c r="J1928" s="47">
        <v>0</v>
      </c>
      <c r="K1928" s="46">
        <f t="shared" si="470"/>
        <v>0</v>
      </c>
      <c r="L1928" s="47">
        <v>0</v>
      </c>
      <c r="AX1928" s="46">
        <v>0</v>
      </c>
      <c r="AY1928" s="47">
        <v>0</v>
      </c>
      <c r="AZ1928" s="70">
        <f t="shared" si="465"/>
        <v>0</v>
      </c>
      <c r="BC1928" s="50"/>
    </row>
    <row r="1929" spans="1:55" s="48" customFormat="1" ht="27.75" customHeight="1" outlineLevel="1" x14ac:dyDescent="0.25">
      <c r="A1929" s="42">
        <v>16</v>
      </c>
      <c r="B1929" s="43" t="s">
        <v>67</v>
      </c>
      <c r="C1929" s="44" t="s">
        <v>98</v>
      </c>
      <c r="D1929" s="45">
        <v>19.899999999999999</v>
      </c>
      <c r="E1929" s="45">
        <v>41.92</v>
      </c>
      <c r="F1929" s="45">
        <f t="shared" si="466"/>
        <v>834.20799999999997</v>
      </c>
      <c r="G1929" s="46">
        <f t="shared" si="467"/>
        <v>0</v>
      </c>
      <c r="H1929" s="47">
        <f t="shared" si="468"/>
        <v>0</v>
      </c>
      <c r="I1929" s="46">
        <f t="shared" si="469"/>
        <v>0</v>
      </c>
      <c r="J1929" s="47">
        <v>0</v>
      </c>
      <c r="K1929" s="46">
        <f t="shared" si="470"/>
        <v>0</v>
      </c>
      <c r="L1929" s="47">
        <v>0</v>
      </c>
      <c r="AX1929" s="46">
        <v>0</v>
      </c>
      <c r="AY1929" s="47">
        <v>0</v>
      </c>
      <c r="AZ1929" s="70">
        <f t="shared" si="465"/>
        <v>0</v>
      </c>
      <c r="BC1929" s="50"/>
    </row>
    <row r="1930" spans="1:55" s="48" customFormat="1" ht="15.45" customHeight="1" outlineLevel="1" x14ac:dyDescent="0.25">
      <c r="A1930" s="42">
        <v>17</v>
      </c>
      <c r="B1930" s="43" t="s">
        <v>728</v>
      </c>
      <c r="C1930" s="44" t="s">
        <v>110</v>
      </c>
      <c r="D1930" s="45">
        <v>1.56</v>
      </c>
      <c r="E1930" s="45">
        <v>144.17500000000001</v>
      </c>
      <c r="F1930" s="45">
        <f t="shared" si="466"/>
        <v>224.91300000000004</v>
      </c>
      <c r="G1930" s="46">
        <f t="shared" si="467"/>
        <v>0</v>
      </c>
      <c r="H1930" s="47">
        <f t="shared" si="468"/>
        <v>0</v>
      </c>
      <c r="I1930" s="46">
        <f t="shared" si="469"/>
        <v>0</v>
      </c>
      <c r="J1930" s="47">
        <v>0</v>
      </c>
      <c r="K1930" s="46">
        <f t="shared" si="470"/>
        <v>0</v>
      </c>
      <c r="L1930" s="47">
        <v>0</v>
      </c>
      <c r="AX1930" s="46">
        <v>0</v>
      </c>
      <c r="AY1930" s="47">
        <v>0</v>
      </c>
      <c r="AZ1930" s="70">
        <f t="shared" si="465"/>
        <v>0</v>
      </c>
      <c r="BC1930" s="50"/>
    </row>
    <row r="1931" spans="1:55" s="48" customFormat="1" ht="15.45" customHeight="1" outlineLevel="1" x14ac:dyDescent="0.25">
      <c r="A1931" s="42">
        <v>18</v>
      </c>
      <c r="B1931" s="43" t="s">
        <v>659</v>
      </c>
      <c r="C1931" s="44" t="s">
        <v>110</v>
      </c>
      <c r="D1931" s="45">
        <v>0.88</v>
      </c>
      <c r="E1931" s="45">
        <v>239.89179999999999</v>
      </c>
      <c r="F1931" s="45">
        <f t="shared" si="466"/>
        <v>211.104784</v>
      </c>
      <c r="G1931" s="46">
        <f t="shared" si="467"/>
        <v>0</v>
      </c>
      <c r="H1931" s="47">
        <f t="shared" si="468"/>
        <v>0</v>
      </c>
      <c r="I1931" s="46">
        <f t="shared" si="469"/>
        <v>0</v>
      </c>
      <c r="J1931" s="47">
        <v>0</v>
      </c>
      <c r="K1931" s="46">
        <f t="shared" si="470"/>
        <v>0</v>
      </c>
      <c r="L1931" s="47">
        <v>0</v>
      </c>
      <c r="AX1931" s="46">
        <v>0</v>
      </c>
      <c r="AY1931" s="47">
        <v>0</v>
      </c>
      <c r="AZ1931" s="70">
        <f t="shared" si="465"/>
        <v>0</v>
      </c>
      <c r="BC1931" s="50"/>
    </row>
    <row r="1932" spans="1:55" s="48" customFormat="1" ht="30" customHeight="1" outlineLevel="1" x14ac:dyDescent="0.25">
      <c r="A1932" s="42">
        <v>19</v>
      </c>
      <c r="B1932" s="43" t="s">
        <v>42</v>
      </c>
      <c r="C1932" s="44" t="s">
        <v>28</v>
      </c>
      <c r="D1932" s="45">
        <v>3.4000000000000002E-2</v>
      </c>
      <c r="E1932" s="45">
        <v>1325.1</v>
      </c>
      <c r="F1932" s="45">
        <f t="shared" si="466"/>
        <v>45.053400000000003</v>
      </c>
      <c r="G1932" s="46">
        <f t="shared" si="467"/>
        <v>0</v>
      </c>
      <c r="H1932" s="47">
        <f t="shared" si="468"/>
        <v>0</v>
      </c>
      <c r="I1932" s="46">
        <f t="shared" si="469"/>
        <v>0</v>
      </c>
      <c r="J1932" s="47">
        <v>0</v>
      </c>
      <c r="K1932" s="46">
        <f t="shared" si="470"/>
        <v>0</v>
      </c>
      <c r="L1932" s="47">
        <v>0</v>
      </c>
      <c r="AX1932" s="46">
        <v>0.75757585000000005</v>
      </c>
      <c r="AY1932" s="47">
        <v>50000.006099999999</v>
      </c>
      <c r="AZ1932" s="70">
        <f t="shared" si="465"/>
        <v>0</v>
      </c>
      <c r="BC1932" s="50"/>
    </row>
    <row r="1933" spans="1:55" s="48" customFormat="1" ht="15.45" customHeight="1" outlineLevel="1" x14ac:dyDescent="0.25">
      <c r="A1933" s="42">
        <v>20</v>
      </c>
      <c r="B1933" s="43" t="s">
        <v>43</v>
      </c>
      <c r="C1933" s="44" t="s">
        <v>28</v>
      </c>
      <c r="D1933" s="45">
        <v>3.1E-2</v>
      </c>
      <c r="E1933" s="45">
        <v>1200.0999999999999</v>
      </c>
      <c r="F1933" s="45">
        <f t="shared" si="466"/>
        <v>37.203099999999999</v>
      </c>
      <c r="G1933" s="46">
        <f t="shared" si="467"/>
        <v>0</v>
      </c>
      <c r="H1933" s="47">
        <f t="shared" si="468"/>
        <v>0</v>
      </c>
      <c r="I1933" s="46">
        <f t="shared" si="469"/>
        <v>0</v>
      </c>
      <c r="J1933" s="47">
        <v>0</v>
      </c>
      <c r="K1933" s="46">
        <f t="shared" si="470"/>
        <v>0</v>
      </c>
      <c r="L1933" s="47">
        <v>0</v>
      </c>
      <c r="AX1933" s="46">
        <v>0</v>
      </c>
      <c r="AY1933" s="47">
        <v>0</v>
      </c>
      <c r="AZ1933" s="70">
        <f t="shared" si="465"/>
        <v>0</v>
      </c>
      <c r="BC1933" s="50"/>
    </row>
    <row r="1934" spans="1:55" s="48" customFormat="1" ht="27.75" customHeight="1" outlineLevel="1" x14ac:dyDescent="0.25">
      <c r="A1934" s="42">
        <v>21</v>
      </c>
      <c r="B1934" s="43" t="s">
        <v>656</v>
      </c>
      <c r="C1934" s="44" t="s">
        <v>110</v>
      </c>
      <c r="D1934" s="45">
        <v>1.18</v>
      </c>
      <c r="E1934" s="45">
        <v>271.50400000000002</v>
      </c>
      <c r="F1934" s="45">
        <f t="shared" si="466"/>
        <v>320.37472000000002</v>
      </c>
      <c r="G1934" s="46">
        <f t="shared" si="467"/>
        <v>0</v>
      </c>
      <c r="H1934" s="47">
        <f t="shared" si="468"/>
        <v>0</v>
      </c>
      <c r="I1934" s="46">
        <f t="shared" si="469"/>
        <v>0</v>
      </c>
      <c r="J1934" s="47">
        <v>0</v>
      </c>
      <c r="K1934" s="46">
        <f t="shared" si="470"/>
        <v>0</v>
      </c>
      <c r="L1934" s="47">
        <v>0</v>
      </c>
      <c r="AX1934" s="46">
        <v>0</v>
      </c>
      <c r="AY1934" s="47">
        <v>0</v>
      </c>
      <c r="AZ1934" s="70">
        <f t="shared" si="465"/>
        <v>0</v>
      </c>
      <c r="BC1934" s="50"/>
    </row>
    <row r="1935" spans="1:55" s="48" customFormat="1" ht="15.45" customHeight="1" outlineLevel="1" x14ac:dyDescent="0.25">
      <c r="A1935" s="42">
        <v>22</v>
      </c>
      <c r="B1935" s="43" t="s">
        <v>42</v>
      </c>
      <c r="C1935" s="44" t="s">
        <v>28</v>
      </c>
      <c r="D1935" s="45">
        <v>0.76</v>
      </c>
      <c r="E1935" s="45">
        <v>1325.1</v>
      </c>
      <c r="F1935" s="45">
        <f t="shared" si="466"/>
        <v>1007.0759999999999</v>
      </c>
      <c r="G1935" s="46">
        <f t="shared" si="467"/>
        <v>0</v>
      </c>
      <c r="H1935" s="47">
        <f t="shared" si="468"/>
        <v>0</v>
      </c>
      <c r="I1935" s="46">
        <f t="shared" si="469"/>
        <v>0</v>
      </c>
      <c r="J1935" s="47">
        <v>0</v>
      </c>
      <c r="K1935" s="46">
        <f t="shared" si="470"/>
        <v>0</v>
      </c>
      <c r="L1935" s="47">
        <v>0</v>
      </c>
      <c r="AX1935" s="46"/>
      <c r="AY1935" s="47"/>
      <c r="AZ1935" s="70"/>
      <c r="BC1935" s="50"/>
    </row>
    <row r="1936" spans="1:55" s="48" customFormat="1" ht="15.45" customHeight="1" outlineLevel="1" x14ac:dyDescent="0.25">
      <c r="A1936" s="42">
        <v>23</v>
      </c>
      <c r="B1936" s="43" t="s">
        <v>43</v>
      </c>
      <c r="C1936" s="44" t="s">
        <v>28</v>
      </c>
      <c r="D1936" s="45">
        <v>4.5999999999999999E-2</v>
      </c>
      <c r="E1936" s="45">
        <v>1200.0999999999999</v>
      </c>
      <c r="F1936" s="45">
        <f t="shared" si="466"/>
        <v>55.204599999999992</v>
      </c>
      <c r="G1936" s="46">
        <f t="shared" si="467"/>
        <v>0</v>
      </c>
      <c r="H1936" s="47">
        <f t="shared" si="468"/>
        <v>0</v>
      </c>
      <c r="I1936" s="46">
        <f t="shared" si="469"/>
        <v>0</v>
      </c>
      <c r="J1936" s="47">
        <v>0</v>
      </c>
      <c r="K1936" s="46">
        <f t="shared" si="470"/>
        <v>0</v>
      </c>
      <c r="L1936" s="47">
        <v>0</v>
      </c>
      <c r="AX1936" s="46"/>
      <c r="AY1936" s="47"/>
      <c r="AZ1936" s="70"/>
      <c r="BC1936" s="50"/>
    </row>
    <row r="1937" spans="1:55" s="48" customFormat="1" ht="15.45" customHeight="1" outlineLevel="1" x14ac:dyDescent="0.25">
      <c r="A1937" s="42">
        <v>24</v>
      </c>
      <c r="B1937" s="43" t="s">
        <v>1129</v>
      </c>
      <c r="C1937" s="44" t="s">
        <v>98</v>
      </c>
      <c r="D1937" s="45">
        <v>12.5</v>
      </c>
      <c r="E1937" s="45">
        <v>40.247199999999999</v>
      </c>
      <c r="F1937" s="45">
        <f t="shared" si="466"/>
        <v>503.09</v>
      </c>
      <c r="G1937" s="46">
        <f t="shared" si="467"/>
        <v>0</v>
      </c>
      <c r="H1937" s="47">
        <f t="shared" si="468"/>
        <v>0</v>
      </c>
      <c r="I1937" s="46">
        <f t="shared" si="469"/>
        <v>0</v>
      </c>
      <c r="J1937" s="47">
        <v>0</v>
      </c>
      <c r="K1937" s="46">
        <f t="shared" si="470"/>
        <v>0</v>
      </c>
      <c r="L1937" s="47">
        <v>0</v>
      </c>
      <c r="AX1937" s="46"/>
      <c r="AY1937" s="47"/>
      <c r="AZ1937" s="70"/>
      <c r="BC1937" s="50"/>
    </row>
    <row r="1938" spans="1:55" s="48" customFormat="1" ht="27.75" customHeight="1" outlineLevel="1" x14ac:dyDescent="0.25">
      <c r="A1938" s="42">
        <v>25</v>
      </c>
      <c r="B1938" s="43" t="s">
        <v>838</v>
      </c>
      <c r="C1938" s="44" t="s">
        <v>98</v>
      </c>
      <c r="D1938" s="45">
        <v>1.08</v>
      </c>
      <c r="E1938" s="45">
        <v>157.88380000000001</v>
      </c>
      <c r="F1938" s="45">
        <f t="shared" si="466"/>
        <v>170.51450400000002</v>
      </c>
      <c r="G1938" s="46">
        <f t="shared" si="467"/>
        <v>0</v>
      </c>
      <c r="H1938" s="47">
        <f t="shared" si="468"/>
        <v>0</v>
      </c>
      <c r="I1938" s="46">
        <f t="shared" si="469"/>
        <v>0</v>
      </c>
      <c r="J1938" s="47">
        <v>0</v>
      </c>
      <c r="K1938" s="46">
        <f t="shared" si="470"/>
        <v>0</v>
      </c>
      <c r="L1938" s="47">
        <v>0</v>
      </c>
      <c r="AX1938" s="46"/>
      <c r="AY1938" s="47"/>
      <c r="AZ1938" s="70"/>
      <c r="BC1938" s="50"/>
    </row>
    <row r="1939" spans="1:55" s="48" customFormat="1" ht="27.75" customHeight="1" outlineLevel="1" x14ac:dyDescent="0.25">
      <c r="A1939" s="42">
        <v>26</v>
      </c>
      <c r="B1939" s="43" t="s">
        <v>97</v>
      </c>
      <c r="C1939" s="44" t="s">
        <v>98</v>
      </c>
      <c r="D1939" s="45">
        <v>6.02</v>
      </c>
      <c r="E1939" s="45">
        <v>163.30000000000001</v>
      </c>
      <c r="F1939" s="45">
        <f t="shared" si="466"/>
        <v>983.06600000000003</v>
      </c>
      <c r="G1939" s="46">
        <f t="shared" si="467"/>
        <v>0</v>
      </c>
      <c r="H1939" s="47">
        <f t="shared" si="468"/>
        <v>0</v>
      </c>
      <c r="I1939" s="46">
        <f t="shared" si="469"/>
        <v>0</v>
      </c>
      <c r="J1939" s="47">
        <v>0</v>
      </c>
      <c r="K1939" s="46">
        <f t="shared" si="470"/>
        <v>0</v>
      </c>
      <c r="L1939" s="47">
        <v>0</v>
      </c>
      <c r="AX1939" s="46"/>
      <c r="AY1939" s="47"/>
      <c r="AZ1939" s="70"/>
      <c r="BC1939" s="50"/>
    </row>
    <row r="1940" spans="1:55" s="48" customFormat="1" ht="15.45" customHeight="1" outlineLevel="1" x14ac:dyDescent="0.25">
      <c r="A1940" s="42">
        <v>27</v>
      </c>
      <c r="B1940" s="43" t="s">
        <v>1130</v>
      </c>
      <c r="C1940" s="44" t="s">
        <v>98</v>
      </c>
      <c r="D1940" s="45">
        <v>5.14</v>
      </c>
      <c r="E1940" s="45">
        <v>5.4244000000000003</v>
      </c>
      <c r="F1940" s="45">
        <f t="shared" si="466"/>
        <v>27.881416000000002</v>
      </c>
      <c r="G1940" s="46">
        <f t="shared" si="467"/>
        <v>0</v>
      </c>
      <c r="H1940" s="47">
        <f t="shared" si="468"/>
        <v>0</v>
      </c>
      <c r="I1940" s="46">
        <f t="shared" si="469"/>
        <v>0</v>
      </c>
      <c r="J1940" s="47">
        <v>0</v>
      </c>
      <c r="K1940" s="46">
        <f t="shared" si="470"/>
        <v>0</v>
      </c>
      <c r="L1940" s="47">
        <v>0</v>
      </c>
      <c r="AX1940" s="46"/>
      <c r="AY1940" s="47"/>
      <c r="AZ1940" s="70"/>
      <c r="BC1940" s="50"/>
    </row>
    <row r="1941" spans="1:55" s="48" customFormat="1" ht="27.75" customHeight="1" outlineLevel="1" x14ac:dyDescent="0.25">
      <c r="A1941" s="42">
        <v>28</v>
      </c>
      <c r="B1941" s="43" t="s">
        <v>745</v>
      </c>
      <c r="C1941" s="44" t="s">
        <v>98</v>
      </c>
      <c r="D1941" s="45">
        <v>5.14</v>
      </c>
      <c r="E1941" s="45">
        <v>32.403399999999998</v>
      </c>
      <c r="F1941" s="45">
        <f t="shared" si="466"/>
        <v>166.55347599999999</v>
      </c>
      <c r="G1941" s="46">
        <f t="shared" si="467"/>
        <v>0</v>
      </c>
      <c r="H1941" s="47">
        <f t="shared" si="468"/>
        <v>0</v>
      </c>
      <c r="I1941" s="46">
        <f t="shared" si="469"/>
        <v>0</v>
      </c>
      <c r="J1941" s="47">
        <v>0</v>
      </c>
      <c r="K1941" s="46">
        <f t="shared" si="470"/>
        <v>0</v>
      </c>
      <c r="L1941" s="47">
        <v>0</v>
      </c>
      <c r="AX1941" s="46"/>
      <c r="AY1941" s="47"/>
      <c r="AZ1941" s="70"/>
      <c r="BC1941" s="50"/>
    </row>
    <row r="1942" spans="1:55" s="59" customFormat="1" ht="17.7" customHeight="1" outlineLevel="1" x14ac:dyDescent="0.35">
      <c r="A1942" s="42">
        <v>29</v>
      </c>
      <c r="B1942" s="43" t="s">
        <v>1131</v>
      </c>
      <c r="C1942" s="44" t="s">
        <v>98</v>
      </c>
      <c r="D1942" s="45">
        <v>5.46</v>
      </c>
      <c r="E1942" s="45">
        <v>27.079000000000001</v>
      </c>
      <c r="F1942" s="45">
        <f t="shared" si="466"/>
        <v>147.85133999999999</v>
      </c>
      <c r="G1942" s="46">
        <f t="shared" si="467"/>
        <v>0</v>
      </c>
      <c r="H1942" s="47">
        <f t="shared" si="468"/>
        <v>0</v>
      </c>
      <c r="I1942" s="46">
        <f t="shared" si="469"/>
        <v>0</v>
      </c>
      <c r="J1942" s="47">
        <v>0</v>
      </c>
      <c r="K1942" s="46">
        <f t="shared" si="470"/>
        <v>0</v>
      </c>
      <c r="L1942" s="47">
        <v>0</v>
      </c>
      <c r="AX1942" s="73"/>
      <c r="AY1942" s="74"/>
      <c r="AZ1942" s="75"/>
      <c r="BC1942" s="61"/>
    </row>
    <row r="1943" spans="1:55" s="48" customFormat="1" ht="27.75" customHeight="1" outlineLevel="1" x14ac:dyDescent="0.25">
      <c r="A1943" s="42">
        <v>30</v>
      </c>
      <c r="B1943" s="43" t="s">
        <v>1132</v>
      </c>
      <c r="C1943" s="44" t="s">
        <v>98</v>
      </c>
      <c r="D1943" s="45">
        <v>34</v>
      </c>
      <c r="E1943" s="45">
        <v>10.8202</v>
      </c>
      <c r="F1943" s="45">
        <f t="shared" si="466"/>
        <v>367.88679999999999</v>
      </c>
      <c r="G1943" s="46">
        <f t="shared" si="467"/>
        <v>0</v>
      </c>
      <c r="H1943" s="47">
        <f t="shared" si="468"/>
        <v>0</v>
      </c>
      <c r="I1943" s="46">
        <f t="shared" si="469"/>
        <v>0</v>
      </c>
      <c r="J1943" s="47">
        <v>0</v>
      </c>
      <c r="K1943" s="46">
        <f t="shared" si="470"/>
        <v>0</v>
      </c>
      <c r="L1943" s="47">
        <v>0</v>
      </c>
      <c r="AX1943" s="46"/>
      <c r="AY1943" s="47"/>
      <c r="AZ1943" s="70"/>
      <c r="BC1943" s="50"/>
    </row>
    <row r="1944" spans="1:55" s="48" customFormat="1" ht="41.7" customHeight="1" outlineLevel="1" x14ac:dyDescent="0.25">
      <c r="A1944" s="42">
        <v>31</v>
      </c>
      <c r="B1944" s="43" t="s">
        <v>1133</v>
      </c>
      <c r="C1944" s="44" t="s">
        <v>98</v>
      </c>
      <c r="D1944" s="45">
        <v>34</v>
      </c>
      <c r="E1944" s="45">
        <v>40.186</v>
      </c>
      <c r="F1944" s="45">
        <f t="shared" si="466"/>
        <v>1366.3240000000001</v>
      </c>
      <c r="G1944" s="46">
        <f t="shared" si="467"/>
        <v>0</v>
      </c>
      <c r="H1944" s="47">
        <f t="shared" si="468"/>
        <v>0</v>
      </c>
      <c r="I1944" s="46">
        <f t="shared" si="469"/>
        <v>0</v>
      </c>
      <c r="J1944" s="47">
        <v>0</v>
      </c>
      <c r="K1944" s="46">
        <f t="shared" si="470"/>
        <v>0</v>
      </c>
      <c r="L1944" s="47">
        <v>0</v>
      </c>
      <c r="AX1944" s="46"/>
      <c r="AY1944" s="47"/>
      <c r="AZ1944" s="70"/>
      <c r="BC1944" s="50"/>
    </row>
    <row r="1945" spans="1:55" s="48" customFormat="1" ht="15.45" customHeight="1" outlineLevel="1" x14ac:dyDescent="0.25">
      <c r="A1945" s="42">
        <v>32</v>
      </c>
      <c r="B1945" s="43" t="s">
        <v>161</v>
      </c>
      <c r="C1945" s="44" t="s">
        <v>98</v>
      </c>
      <c r="D1945" s="45">
        <v>36</v>
      </c>
      <c r="E1945" s="45">
        <v>10.320399999999999</v>
      </c>
      <c r="F1945" s="45">
        <f t="shared" si="466"/>
        <v>371.53440000000001</v>
      </c>
      <c r="G1945" s="46">
        <f t="shared" si="467"/>
        <v>0</v>
      </c>
      <c r="H1945" s="47">
        <f t="shared" si="468"/>
        <v>0</v>
      </c>
      <c r="I1945" s="46">
        <f t="shared" si="469"/>
        <v>0</v>
      </c>
      <c r="J1945" s="47">
        <v>0</v>
      </c>
      <c r="K1945" s="46">
        <f t="shared" si="470"/>
        <v>0</v>
      </c>
      <c r="L1945" s="47">
        <v>0</v>
      </c>
      <c r="AX1945" s="46"/>
      <c r="AY1945" s="47"/>
      <c r="AZ1945" s="70"/>
      <c r="BC1945" s="50"/>
    </row>
    <row r="1946" spans="1:55" s="48" customFormat="1" ht="27.75" customHeight="1" outlineLevel="1" x14ac:dyDescent="0.25">
      <c r="A1946" s="42">
        <v>33</v>
      </c>
      <c r="B1946" s="43" t="s">
        <v>678</v>
      </c>
      <c r="C1946" s="44" t="s">
        <v>98</v>
      </c>
      <c r="D1946" s="45">
        <v>36</v>
      </c>
      <c r="E1946" s="45">
        <v>4.9857999999999993</v>
      </c>
      <c r="F1946" s="45">
        <f t="shared" si="466"/>
        <v>179.48879999999997</v>
      </c>
      <c r="G1946" s="46">
        <f t="shared" si="467"/>
        <v>0</v>
      </c>
      <c r="H1946" s="47">
        <f t="shared" si="468"/>
        <v>0</v>
      </c>
      <c r="I1946" s="46">
        <f t="shared" si="469"/>
        <v>0</v>
      </c>
      <c r="J1946" s="47">
        <v>0</v>
      </c>
      <c r="K1946" s="46">
        <f t="shared" si="470"/>
        <v>0</v>
      </c>
      <c r="L1946" s="47">
        <v>0</v>
      </c>
      <c r="AX1946" s="46">
        <v>1</v>
      </c>
      <c r="AY1946" s="47">
        <v>5766733.6402624408</v>
      </c>
      <c r="AZ1946" s="70">
        <f>H1946-J1946</f>
        <v>0</v>
      </c>
      <c r="BC1946" s="50"/>
    </row>
    <row r="1947" spans="1:55" s="56" customFormat="1" ht="27" customHeight="1" x14ac:dyDescent="0.3">
      <c r="A1947" s="31">
        <v>16.2</v>
      </c>
      <c r="B1947" s="51" t="s">
        <v>1134</v>
      </c>
      <c r="C1947" s="52">
        <v>0</v>
      </c>
      <c r="D1947" s="53"/>
      <c r="E1947" s="53"/>
      <c r="F1947" s="53"/>
      <c r="G1947" s="54"/>
      <c r="H1947" s="55"/>
      <c r="I1947" s="54"/>
      <c r="J1947" s="55"/>
      <c r="K1947" s="54"/>
      <c r="L1947" s="55">
        <v>0</v>
      </c>
      <c r="AX1947" s="69">
        <v>1</v>
      </c>
      <c r="AY1947" s="71">
        <v>5766733.6402624408</v>
      </c>
      <c r="AZ1947" s="72">
        <f>H1947-J1947</f>
        <v>0</v>
      </c>
      <c r="BC1947" s="58"/>
    </row>
    <row r="1948" spans="1:55" s="48" customFormat="1" ht="27.75" customHeight="1" outlineLevel="1" x14ac:dyDescent="0.25">
      <c r="A1948" s="42">
        <v>1</v>
      </c>
      <c r="B1948" s="43" t="s">
        <v>1135</v>
      </c>
      <c r="C1948" s="44" t="s">
        <v>61</v>
      </c>
      <c r="D1948" s="45">
        <v>7</v>
      </c>
      <c r="E1948" s="45">
        <v>12.401199999999999</v>
      </c>
      <c r="F1948" s="45">
        <f>+E1948*D1948</f>
        <v>86.808399999999992</v>
      </c>
      <c r="G1948" s="46">
        <f t="shared" ref="G1948:H1952" si="471">I1948+K1948</f>
        <v>0</v>
      </c>
      <c r="H1948" s="47">
        <f t="shared" si="471"/>
        <v>0</v>
      </c>
      <c r="I1948" s="46">
        <f>J1948/F1948</f>
        <v>0</v>
      </c>
      <c r="J1948" s="47">
        <v>0</v>
      </c>
      <c r="K1948" s="46">
        <f>L1948/F1948</f>
        <v>0</v>
      </c>
      <c r="L1948" s="47">
        <v>0</v>
      </c>
      <c r="AX1948" s="46">
        <v>1</v>
      </c>
      <c r="AY1948" s="47">
        <v>5766733.6402624408</v>
      </c>
      <c r="AZ1948" s="70">
        <f>H1948-J1948</f>
        <v>0</v>
      </c>
      <c r="BC1948" s="50"/>
    </row>
    <row r="1949" spans="1:55" s="48" customFormat="1" ht="27.75" customHeight="1" outlineLevel="1" x14ac:dyDescent="0.25">
      <c r="A1949" s="42">
        <v>2</v>
      </c>
      <c r="B1949" s="43" t="s">
        <v>1114</v>
      </c>
      <c r="C1949" s="44" t="s">
        <v>61</v>
      </c>
      <c r="D1949" s="45">
        <v>7</v>
      </c>
      <c r="E1949" s="45">
        <v>0.9</v>
      </c>
      <c r="F1949" s="45">
        <f>+E1949*D1949</f>
        <v>6.3</v>
      </c>
      <c r="G1949" s="46">
        <f t="shared" si="471"/>
        <v>0</v>
      </c>
      <c r="H1949" s="47">
        <f t="shared" si="471"/>
        <v>0</v>
      </c>
      <c r="I1949" s="46">
        <f>J1949/F1949</f>
        <v>0</v>
      </c>
      <c r="J1949" s="47">
        <v>0</v>
      </c>
      <c r="K1949" s="46">
        <f>L1949/F1949</f>
        <v>0</v>
      </c>
      <c r="L1949" s="47">
        <v>0</v>
      </c>
      <c r="AX1949" s="46">
        <v>0</v>
      </c>
      <c r="AY1949" s="47">
        <v>0</v>
      </c>
      <c r="AZ1949" s="70">
        <f>H1949-J1949</f>
        <v>0</v>
      </c>
      <c r="BC1949" s="50"/>
    </row>
    <row r="1950" spans="1:55" s="48" customFormat="1" ht="27.75" customHeight="1" outlineLevel="1" x14ac:dyDescent="0.25">
      <c r="A1950" s="42">
        <v>3</v>
      </c>
      <c r="B1950" s="43" t="s">
        <v>1136</v>
      </c>
      <c r="C1950" s="44" t="s">
        <v>61</v>
      </c>
      <c r="D1950" s="45">
        <v>14</v>
      </c>
      <c r="E1950" s="45">
        <v>15.573399999999999</v>
      </c>
      <c r="F1950" s="45">
        <f>+E1950*D1950</f>
        <v>218.02760000000001</v>
      </c>
      <c r="G1950" s="46">
        <f t="shared" si="471"/>
        <v>0</v>
      </c>
      <c r="H1950" s="47">
        <f t="shared" si="471"/>
        <v>0</v>
      </c>
      <c r="I1950" s="46">
        <f>J1950/F1950</f>
        <v>0</v>
      </c>
      <c r="J1950" s="47">
        <v>0</v>
      </c>
      <c r="K1950" s="46">
        <f>L1950/F1950</f>
        <v>0</v>
      </c>
      <c r="L1950" s="47">
        <v>0</v>
      </c>
      <c r="AX1950" s="46">
        <v>0</v>
      </c>
      <c r="AY1950" s="47">
        <v>1038012.055247239</v>
      </c>
      <c r="AZ1950" s="70">
        <f>H1950-J1950</f>
        <v>0</v>
      </c>
      <c r="BC1950" s="50"/>
    </row>
    <row r="1951" spans="1:55" s="48" customFormat="1" ht="27.75" customHeight="1" outlineLevel="1" x14ac:dyDescent="0.25">
      <c r="A1951" s="42">
        <v>4</v>
      </c>
      <c r="B1951" s="43" t="s">
        <v>1137</v>
      </c>
      <c r="C1951" s="44" t="s">
        <v>61</v>
      </c>
      <c r="D1951" s="45">
        <v>14</v>
      </c>
      <c r="E1951" s="45">
        <v>0.9</v>
      </c>
      <c r="F1951" s="45">
        <f>+E1951*D1951</f>
        <v>12.6</v>
      </c>
      <c r="G1951" s="46">
        <f t="shared" si="471"/>
        <v>0</v>
      </c>
      <c r="H1951" s="47">
        <f t="shared" si="471"/>
        <v>0</v>
      </c>
      <c r="I1951" s="46">
        <f>J1951/F1951</f>
        <v>0</v>
      </c>
      <c r="J1951" s="47">
        <v>0</v>
      </c>
      <c r="K1951" s="46">
        <f>L1951/F1951</f>
        <v>0</v>
      </c>
      <c r="L1951" s="47">
        <v>0</v>
      </c>
      <c r="AX1951" s="46"/>
      <c r="AY1951" s="47"/>
      <c r="AZ1951" s="70"/>
      <c r="BC1951" s="50"/>
    </row>
    <row r="1952" spans="1:55" s="48" customFormat="1" ht="27.75" customHeight="1" outlineLevel="1" x14ac:dyDescent="0.25">
      <c r="A1952" s="42">
        <v>5</v>
      </c>
      <c r="B1952" s="43" t="s">
        <v>849</v>
      </c>
      <c r="C1952" s="44" t="s">
        <v>93</v>
      </c>
      <c r="D1952" s="45">
        <v>3</v>
      </c>
      <c r="E1952" s="45">
        <v>3.3212000000000002</v>
      </c>
      <c r="F1952" s="45">
        <f>+E1952*D1952</f>
        <v>9.9635999999999996</v>
      </c>
      <c r="G1952" s="46">
        <f t="shared" si="471"/>
        <v>0</v>
      </c>
      <c r="H1952" s="47">
        <f t="shared" si="471"/>
        <v>0</v>
      </c>
      <c r="I1952" s="46">
        <f>J1952/F1952</f>
        <v>0</v>
      </c>
      <c r="J1952" s="47">
        <v>0</v>
      </c>
      <c r="K1952" s="46">
        <f>L1952/F1952</f>
        <v>0</v>
      </c>
      <c r="L1952" s="47">
        <v>0</v>
      </c>
      <c r="AX1952" s="46"/>
      <c r="AY1952" s="47"/>
      <c r="AZ1952" s="70"/>
      <c r="BC1952" s="50"/>
    </row>
    <row r="1953" spans="1:55" s="56" customFormat="1" ht="27" customHeight="1" x14ac:dyDescent="0.3">
      <c r="A1953" s="31">
        <v>16.3</v>
      </c>
      <c r="B1953" s="51" t="s">
        <v>1138</v>
      </c>
      <c r="C1953" s="52">
        <v>0</v>
      </c>
      <c r="D1953" s="53"/>
      <c r="E1953" s="53"/>
      <c r="F1953" s="53"/>
      <c r="G1953" s="54"/>
      <c r="H1953" s="55"/>
      <c r="I1953" s="54"/>
      <c r="J1953" s="55"/>
      <c r="K1953" s="54"/>
      <c r="L1953" s="55">
        <v>0</v>
      </c>
      <c r="AX1953" s="69"/>
      <c r="AY1953" s="71"/>
      <c r="AZ1953" s="72"/>
      <c r="BC1953" s="58"/>
    </row>
    <row r="1954" spans="1:55" s="59" customFormat="1" ht="27.75" customHeight="1" outlineLevel="1" x14ac:dyDescent="0.35">
      <c r="A1954" s="42">
        <v>1</v>
      </c>
      <c r="B1954" s="43" t="s">
        <v>238</v>
      </c>
      <c r="C1954" s="44" t="s">
        <v>61</v>
      </c>
      <c r="D1954" s="45">
        <v>12</v>
      </c>
      <c r="E1954" s="45">
        <v>7.6276000000000002</v>
      </c>
      <c r="F1954" s="45">
        <f t="shared" ref="F1954:F1964" si="472">+E1954*D1954</f>
        <v>91.531199999999998</v>
      </c>
      <c r="G1954" s="46">
        <f t="shared" ref="G1954:G1964" si="473">I1954+K1954</f>
        <v>0</v>
      </c>
      <c r="H1954" s="47">
        <f t="shared" ref="H1954:H1964" si="474">J1954+L1954</f>
        <v>0</v>
      </c>
      <c r="I1954" s="46">
        <f t="shared" ref="I1954:I1964" si="475">J1954/F1954</f>
        <v>0</v>
      </c>
      <c r="J1954" s="47">
        <v>0</v>
      </c>
      <c r="K1954" s="46">
        <f t="shared" ref="K1954:K1964" si="476">L1954/F1954</f>
        <v>0</v>
      </c>
      <c r="L1954" s="47">
        <v>0</v>
      </c>
      <c r="AX1954" s="73"/>
      <c r="AY1954" s="74"/>
      <c r="AZ1954" s="75"/>
      <c r="BC1954" s="61"/>
    </row>
    <row r="1955" spans="1:55" s="48" customFormat="1" ht="27.75" customHeight="1" outlineLevel="1" x14ac:dyDescent="0.25">
      <c r="A1955" s="42">
        <v>2</v>
      </c>
      <c r="B1955" s="43" t="s">
        <v>1139</v>
      </c>
      <c r="C1955" s="44" t="s">
        <v>61</v>
      </c>
      <c r="D1955" s="45">
        <v>12</v>
      </c>
      <c r="E1955" s="45">
        <v>5.9222000000000001</v>
      </c>
      <c r="F1955" s="45">
        <f t="shared" si="472"/>
        <v>71.066400000000002</v>
      </c>
      <c r="G1955" s="46">
        <f t="shared" si="473"/>
        <v>0</v>
      </c>
      <c r="H1955" s="47">
        <f t="shared" si="474"/>
        <v>0</v>
      </c>
      <c r="I1955" s="46">
        <f t="shared" si="475"/>
        <v>0</v>
      </c>
      <c r="J1955" s="47">
        <v>0</v>
      </c>
      <c r="K1955" s="46">
        <f t="shared" si="476"/>
        <v>0</v>
      </c>
      <c r="L1955" s="47">
        <v>0</v>
      </c>
      <c r="AX1955" s="46"/>
      <c r="AY1955" s="47"/>
      <c r="AZ1955" s="70"/>
      <c r="BC1955" s="50"/>
    </row>
    <row r="1956" spans="1:55" s="48" customFormat="1" ht="27.75" customHeight="1" outlineLevel="1" x14ac:dyDescent="0.25">
      <c r="A1956" s="42">
        <v>3</v>
      </c>
      <c r="B1956" s="43" t="s">
        <v>240</v>
      </c>
      <c r="C1956" s="44" t="s">
        <v>61</v>
      </c>
      <c r="D1956" s="45">
        <v>4</v>
      </c>
      <c r="E1956" s="45">
        <v>8.0661999999999985</v>
      </c>
      <c r="F1956" s="45">
        <f t="shared" si="472"/>
        <v>32.264799999999994</v>
      </c>
      <c r="G1956" s="46">
        <f t="shared" si="473"/>
        <v>0</v>
      </c>
      <c r="H1956" s="47">
        <f t="shared" si="474"/>
        <v>0</v>
      </c>
      <c r="I1956" s="46">
        <f t="shared" si="475"/>
        <v>0</v>
      </c>
      <c r="J1956" s="47">
        <v>0</v>
      </c>
      <c r="K1956" s="46">
        <f t="shared" si="476"/>
        <v>0</v>
      </c>
      <c r="L1956" s="47">
        <v>0</v>
      </c>
      <c r="AX1956" s="46"/>
      <c r="AY1956" s="47"/>
      <c r="AZ1956" s="70"/>
      <c r="BC1956" s="50"/>
    </row>
    <row r="1957" spans="1:55" s="48" customFormat="1" ht="27.75" customHeight="1" outlineLevel="1" x14ac:dyDescent="0.25">
      <c r="A1957" s="42">
        <v>4</v>
      </c>
      <c r="B1957" s="43" t="s">
        <v>241</v>
      </c>
      <c r="C1957" s="44" t="s">
        <v>61</v>
      </c>
      <c r="D1957" s="45">
        <v>4</v>
      </c>
      <c r="E1957" s="45">
        <v>3.3212000000000002</v>
      </c>
      <c r="F1957" s="45">
        <f t="shared" si="472"/>
        <v>13.284800000000001</v>
      </c>
      <c r="G1957" s="46">
        <f t="shared" si="473"/>
        <v>0</v>
      </c>
      <c r="H1957" s="47">
        <f t="shared" si="474"/>
        <v>0</v>
      </c>
      <c r="I1957" s="46">
        <f t="shared" si="475"/>
        <v>0</v>
      </c>
      <c r="J1957" s="47">
        <v>0</v>
      </c>
      <c r="K1957" s="46">
        <f t="shared" si="476"/>
        <v>0</v>
      </c>
      <c r="L1957" s="47">
        <v>0</v>
      </c>
      <c r="AX1957" s="46"/>
      <c r="AY1957" s="47"/>
      <c r="AZ1957" s="70"/>
      <c r="BC1957" s="50"/>
    </row>
    <row r="1958" spans="1:55" s="59" customFormat="1" ht="27.75" customHeight="1" outlineLevel="1" x14ac:dyDescent="0.35">
      <c r="A1958" s="42">
        <v>5</v>
      </c>
      <c r="B1958" s="43" t="s">
        <v>1140</v>
      </c>
      <c r="C1958" s="44" t="s">
        <v>93</v>
      </c>
      <c r="D1958" s="45">
        <v>1</v>
      </c>
      <c r="E1958" s="45">
        <v>10.8916</v>
      </c>
      <c r="F1958" s="45">
        <f t="shared" si="472"/>
        <v>10.8916</v>
      </c>
      <c r="G1958" s="46">
        <f t="shared" si="473"/>
        <v>0</v>
      </c>
      <c r="H1958" s="47">
        <f t="shared" si="474"/>
        <v>0</v>
      </c>
      <c r="I1958" s="46">
        <f t="shared" si="475"/>
        <v>0</v>
      </c>
      <c r="J1958" s="47">
        <v>0</v>
      </c>
      <c r="K1958" s="46">
        <f t="shared" si="476"/>
        <v>0</v>
      </c>
      <c r="L1958" s="47">
        <v>0</v>
      </c>
      <c r="AX1958" s="73">
        <v>1</v>
      </c>
      <c r="AY1958" s="74">
        <v>5766733.6402624408</v>
      </c>
      <c r="AZ1958" s="75">
        <f>H1958-J1958</f>
        <v>0</v>
      </c>
      <c r="BC1958" s="61"/>
    </row>
    <row r="1959" spans="1:55" s="48" customFormat="1" ht="15.45" customHeight="1" outlineLevel="1" x14ac:dyDescent="0.25">
      <c r="A1959" s="42">
        <v>6</v>
      </c>
      <c r="B1959" s="43" t="s">
        <v>243</v>
      </c>
      <c r="C1959" s="44" t="s">
        <v>234</v>
      </c>
      <c r="D1959" s="45">
        <v>2</v>
      </c>
      <c r="E1959" s="45">
        <v>28.864000000000001</v>
      </c>
      <c r="F1959" s="45">
        <f t="shared" si="472"/>
        <v>57.728000000000002</v>
      </c>
      <c r="G1959" s="46">
        <f t="shared" si="473"/>
        <v>0</v>
      </c>
      <c r="H1959" s="47">
        <f t="shared" si="474"/>
        <v>0</v>
      </c>
      <c r="I1959" s="46">
        <f t="shared" si="475"/>
        <v>0</v>
      </c>
      <c r="J1959" s="47">
        <v>0</v>
      </c>
      <c r="K1959" s="46">
        <f t="shared" si="476"/>
        <v>0</v>
      </c>
      <c r="L1959" s="47">
        <v>0</v>
      </c>
      <c r="AX1959" s="46">
        <v>1</v>
      </c>
      <c r="AY1959" s="47">
        <v>5766733.6402624408</v>
      </c>
      <c r="AZ1959" s="70">
        <f>H1959-J1959</f>
        <v>0</v>
      </c>
      <c r="BC1959" s="50"/>
    </row>
    <row r="1960" spans="1:55" s="48" customFormat="1" ht="15.45" customHeight="1" outlineLevel="1" x14ac:dyDescent="0.25">
      <c r="A1960" s="42">
        <v>7</v>
      </c>
      <c r="B1960" s="43" t="s">
        <v>853</v>
      </c>
      <c r="C1960" s="44" t="s">
        <v>234</v>
      </c>
      <c r="D1960" s="45">
        <v>2</v>
      </c>
      <c r="E1960" s="45">
        <v>148.97720000000001</v>
      </c>
      <c r="F1960" s="45">
        <f t="shared" si="472"/>
        <v>297.95440000000002</v>
      </c>
      <c r="G1960" s="46">
        <f t="shared" si="473"/>
        <v>0</v>
      </c>
      <c r="H1960" s="47">
        <f t="shared" si="474"/>
        <v>0</v>
      </c>
      <c r="I1960" s="46">
        <f t="shared" si="475"/>
        <v>0</v>
      </c>
      <c r="J1960" s="47">
        <v>0</v>
      </c>
      <c r="K1960" s="46">
        <f t="shared" si="476"/>
        <v>0</v>
      </c>
      <c r="L1960" s="47">
        <v>0</v>
      </c>
      <c r="AX1960" s="46">
        <v>1</v>
      </c>
      <c r="AY1960" s="47">
        <v>5766733.6402624408</v>
      </c>
      <c r="AZ1960" s="70">
        <f>H1960-J1960</f>
        <v>0</v>
      </c>
      <c r="BC1960" s="50"/>
    </row>
    <row r="1961" spans="1:55" s="48" customFormat="1" ht="27.75" customHeight="1" outlineLevel="1" x14ac:dyDescent="0.25">
      <c r="A1961" s="42">
        <v>8</v>
      </c>
      <c r="B1961" s="43" t="s">
        <v>1141</v>
      </c>
      <c r="C1961" s="44" t="s">
        <v>234</v>
      </c>
      <c r="D1961" s="45">
        <v>2</v>
      </c>
      <c r="E1961" s="45">
        <v>77.415999999999997</v>
      </c>
      <c r="F1961" s="45">
        <f t="shared" si="472"/>
        <v>154.83199999999999</v>
      </c>
      <c r="G1961" s="46">
        <f t="shared" si="473"/>
        <v>0</v>
      </c>
      <c r="H1961" s="47">
        <f t="shared" si="474"/>
        <v>0</v>
      </c>
      <c r="I1961" s="46">
        <f t="shared" si="475"/>
        <v>0</v>
      </c>
      <c r="J1961" s="47">
        <v>0</v>
      </c>
      <c r="K1961" s="46">
        <f t="shared" si="476"/>
        <v>0</v>
      </c>
      <c r="L1961" s="47">
        <v>0</v>
      </c>
      <c r="AX1961" s="46">
        <v>0</v>
      </c>
      <c r="AY1961" s="47">
        <v>0</v>
      </c>
      <c r="AZ1961" s="70">
        <f>H1961-J1961</f>
        <v>0</v>
      </c>
      <c r="BC1961" s="50"/>
    </row>
    <row r="1962" spans="1:55" s="48" customFormat="1" ht="15.45" customHeight="1" outlineLevel="1" x14ac:dyDescent="0.25">
      <c r="A1962" s="42">
        <v>9</v>
      </c>
      <c r="B1962" s="43" t="s">
        <v>1142</v>
      </c>
      <c r="C1962" s="44" t="s">
        <v>93</v>
      </c>
      <c r="D1962" s="45">
        <v>2</v>
      </c>
      <c r="E1962" s="45">
        <v>50.139200000000002</v>
      </c>
      <c r="F1962" s="45">
        <f t="shared" si="472"/>
        <v>100.2784</v>
      </c>
      <c r="G1962" s="46">
        <f t="shared" si="473"/>
        <v>0</v>
      </c>
      <c r="H1962" s="47">
        <f t="shared" si="474"/>
        <v>0</v>
      </c>
      <c r="I1962" s="46">
        <f t="shared" si="475"/>
        <v>0</v>
      </c>
      <c r="J1962" s="47">
        <v>0</v>
      </c>
      <c r="K1962" s="46">
        <f t="shared" si="476"/>
        <v>0</v>
      </c>
      <c r="L1962" s="47">
        <v>0</v>
      </c>
      <c r="AX1962" s="46">
        <v>0</v>
      </c>
      <c r="AY1962" s="47">
        <v>1038012.055247239</v>
      </c>
      <c r="AZ1962" s="70">
        <f>H1962-J1962</f>
        <v>0</v>
      </c>
      <c r="BC1962" s="50"/>
    </row>
    <row r="1963" spans="1:55" s="48" customFormat="1" ht="15.45" customHeight="1" outlineLevel="1" x14ac:dyDescent="0.25">
      <c r="A1963" s="42">
        <v>10</v>
      </c>
      <c r="B1963" s="43" t="s">
        <v>1143</v>
      </c>
      <c r="C1963" s="44" t="s">
        <v>93</v>
      </c>
      <c r="D1963" s="45">
        <v>2</v>
      </c>
      <c r="E1963" s="45">
        <v>6.4423999999999992</v>
      </c>
      <c r="F1963" s="45">
        <f t="shared" si="472"/>
        <v>12.884799999999998</v>
      </c>
      <c r="G1963" s="46">
        <f t="shared" si="473"/>
        <v>0</v>
      </c>
      <c r="H1963" s="47">
        <f t="shared" si="474"/>
        <v>0</v>
      </c>
      <c r="I1963" s="46">
        <f t="shared" si="475"/>
        <v>0</v>
      </c>
      <c r="J1963" s="47">
        <v>0</v>
      </c>
      <c r="K1963" s="46">
        <f t="shared" si="476"/>
        <v>0</v>
      </c>
      <c r="L1963" s="47">
        <v>0</v>
      </c>
      <c r="AX1963" s="46"/>
      <c r="AY1963" s="47"/>
      <c r="AZ1963" s="70"/>
      <c r="BC1963" s="50"/>
    </row>
    <row r="1964" spans="1:55" s="48" customFormat="1" ht="15.45" customHeight="1" outlineLevel="1" x14ac:dyDescent="0.25">
      <c r="A1964" s="42">
        <v>11</v>
      </c>
      <c r="B1964" s="43" t="s">
        <v>251</v>
      </c>
      <c r="C1964" s="44" t="s">
        <v>234</v>
      </c>
      <c r="D1964" s="45">
        <v>2</v>
      </c>
      <c r="E1964" s="45">
        <v>13.972</v>
      </c>
      <c r="F1964" s="45">
        <f t="shared" si="472"/>
        <v>27.943999999999999</v>
      </c>
      <c r="G1964" s="46">
        <f t="shared" si="473"/>
        <v>0</v>
      </c>
      <c r="H1964" s="47">
        <f t="shared" si="474"/>
        <v>0</v>
      </c>
      <c r="I1964" s="46">
        <f t="shared" si="475"/>
        <v>0</v>
      </c>
      <c r="J1964" s="47">
        <v>0</v>
      </c>
      <c r="K1964" s="46">
        <f t="shared" si="476"/>
        <v>0</v>
      </c>
      <c r="L1964" s="47">
        <v>0</v>
      </c>
      <c r="AX1964" s="46"/>
      <c r="AY1964" s="47"/>
      <c r="AZ1964" s="70"/>
      <c r="BC1964" s="50"/>
    </row>
    <row r="1965" spans="1:55" s="56" customFormat="1" ht="17.25" customHeight="1" x14ac:dyDescent="0.3">
      <c r="A1965" s="31">
        <v>16.399999999999999</v>
      </c>
      <c r="B1965" s="51" t="s">
        <v>1144</v>
      </c>
      <c r="C1965" s="52">
        <v>0</v>
      </c>
      <c r="D1965" s="53"/>
      <c r="E1965" s="53"/>
      <c r="F1965" s="53"/>
      <c r="G1965" s="54"/>
      <c r="H1965" s="55"/>
      <c r="I1965" s="54"/>
      <c r="J1965" s="55"/>
      <c r="K1965" s="54"/>
      <c r="L1965" s="55">
        <v>0</v>
      </c>
      <c r="AX1965" s="69"/>
      <c r="AY1965" s="71"/>
      <c r="AZ1965" s="72"/>
      <c r="BC1965" s="58"/>
    </row>
    <row r="1966" spans="1:55" s="48" customFormat="1" ht="27.75" customHeight="1" outlineLevel="1" x14ac:dyDescent="0.25">
      <c r="A1966" s="42">
        <v>1</v>
      </c>
      <c r="B1966" s="43" t="s">
        <v>1145</v>
      </c>
      <c r="C1966" s="44" t="s">
        <v>93</v>
      </c>
      <c r="D1966" s="45">
        <v>2</v>
      </c>
      <c r="E1966" s="45">
        <v>7.3521999999999998</v>
      </c>
      <c r="F1966" s="45">
        <f>+E1966*D1966</f>
        <v>14.7044</v>
      </c>
      <c r="G1966" s="46">
        <f>I1966+K1966</f>
        <v>0</v>
      </c>
      <c r="H1966" s="47">
        <f>J1966+L1966</f>
        <v>0</v>
      </c>
      <c r="I1966" s="46">
        <f>J1966/F1966</f>
        <v>0</v>
      </c>
      <c r="J1966" s="47">
        <v>0</v>
      </c>
      <c r="K1966" s="46">
        <f>L1966/F1966</f>
        <v>0</v>
      </c>
      <c r="L1966" s="47">
        <v>0</v>
      </c>
      <c r="AX1966" s="46"/>
      <c r="AY1966" s="47"/>
      <c r="AZ1966" s="70"/>
      <c r="BC1966" s="50"/>
    </row>
    <row r="1967" spans="1:55" s="48" customFormat="1" ht="15.45" customHeight="1" outlineLevel="1" x14ac:dyDescent="0.25">
      <c r="A1967" s="42">
        <v>2</v>
      </c>
      <c r="B1967" s="43" t="s">
        <v>1146</v>
      </c>
      <c r="C1967" s="44" t="s">
        <v>98</v>
      </c>
      <c r="D1967" s="45">
        <v>1.4</v>
      </c>
      <c r="E1967" s="45">
        <v>22.252400000000009</v>
      </c>
      <c r="F1967" s="45">
        <f>+E1967*D1967</f>
        <v>31.15336000000001</v>
      </c>
      <c r="G1967" s="46">
        <f>I1967+K1967</f>
        <v>0</v>
      </c>
      <c r="H1967" s="47">
        <f>J1967+L1967</f>
        <v>0</v>
      </c>
      <c r="I1967" s="46">
        <f>J1967/F1967</f>
        <v>0</v>
      </c>
      <c r="J1967" s="47">
        <v>0</v>
      </c>
      <c r="K1967" s="46">
        <f>L1967/F1967</f>
        <v>0</v>
      </c>
      <c r="L1967" s="47">
        <v>0</v>
      </c>
      <c r="AX1967" s="46"/>
      <c r="AY1967" s="47"/>
      <c r="AZ1967" s="70"/>
      <c r="BC1967" s="50"/>
    </row>
    <row r="1968" spans="1:55" s="56" customFormat="1" ht="17.25" customHeight="1" x14ac:dyDescent="0.3">
      <c r="A1968" s="31">
        <v>16.5</v>
      </c>
      <c r="B1968" s="51" t="s">
        <v>1147</v>
      </c>
      <c r="C1968" s="52">
        <v>0</v>
      </c>
      <c r="D1968" s="53"/>
      <c r="E1968" s="53"/>
      <c r="F1968" s="53"/>
      <c r="G1968" s="54"/>
      <c r="H1968" s="55"/>
      <c r="I1968" s="54"/>
      <c r="J1968" s="55"/>
      <c r="K1968" s="54"/>
      <c r="L1968" s="55">
        <v>0</v>
      </c>
      <c r="AX1968" s="69">
        <v>1</v>
      </c>
      <c r="AY1968" s="71">
        <v>5766733.6402624408</v>
      </c>
      <c r="AZ1968" s="72">
        <f>H1968-J1968</f>
        <v>0</v>
      </c>
      <c r="BC1968" s="58"/>
    </row>
    <row r="1969" spans="1:55" s="48" customFormat="1" ht="15.45" customHeight="1" outlineLevel="1" x14ac:dyDescent="0.25">
      <c r="A1969" s="42">
        <v>1</v>
      </c>
      <c r="B1969" s="43" t="s">
        <v>1148</v>
      </c>
      <c r="C1969" s="44" t="s">
        <v>93</v>
      </c>
      <c r="D1969" s="45">
        <v>1</v>
      </c>
      <c r="E1969" s="45">
        <v>6.1976000000000004</v>
      </c>
      <c r="F1969" s="45">
        <f t="shared" ref="F1969:F1978" si="477">+E1969*D1969</f>
        <v>6.1976000000000004</v>
      </c>
      <c r="G1969" s="46">
        <f t="shared" ref="G1969:G1978" si="478">I1969+K1969</f>
        <v>0</v>
      </c>
      <c r="H1969" s="47">
        <f t="shared" ref="H1969:H1978" si="479">J1969+L1969</f>
        <v>0</v>
      </c>
      <c r="I1969" s="46">
        <f t="shared" ref="I1969:I1978" si="480">J1969/F1969</f>
        <v>0</v>
      </c>
      <c r="J1969" s="47">
        <v>0</v>
      </c>
      <c r="K1969" s="46">
        <f t="shared" ref="K1969:K1978" si="481">L1969/F1969</f>
        <v>0</v>
      </c>
      <c r="L1969" s="47">
        <v>0</v>
      </c>
      <c r="AX1969" s="46">
        <v>1</v>
      </c>
      <c r="AY1969" s="47">
        <v>5766733.6402624408</v>
      </c>
      <c r="AZ1969" s="70">
        <f>H1969-J1969</f>
        <v>0</v>
      </c>
      <c r="BC1969" s="50"/>
    </row>
    <row r="1970" spans="1:55" s="48" customFormat="1" ht="15.45" customHeight="1" outlineLevel="1" x14ac:dyDescent="0.25">
      <c r="A1970" s="42">
        <v>2</v>
      </c>
      <c r="B1970" s="43" t="s">
        <v>362</v>
      </c>
      <c r="C1970" s="44" t="s">
        <v>93</v>
      </c>
      <c r="D1970" s="45">
        <v>1</v>
      </c>
      <c r="E1970" s="45">
        <v>14.3698</v>
      </c>
      <c r="F1970" s="45">
        <f t="shared" si="477"/>
        <v>14.3698</v>
      </c>
      <c r="G1970" s="46">
        <f t="shared" si="478"/>
        <v>0</v>
      </c>
      <c r="H1970" s="47">
        <f t="shared" si="479"/>
        <v>0</v>
      </c>
      <c r="I1970" s="46">
        <f t="shared" si="480"/>
        <v>0</v>
      </c>
      <c r="J1970" s="47">
        <v>0</v>
      </c>
      <c r="K1970" s="46">
        <f t="shared" si="481"/>
        <v>0</v>
      </c>
      <c r="L1970" s="47">
        <v>0</v>
      </c>
      <c r="AX1970" s="46">
        <v>1</v>
      </c>
      <c r="AY1970" s="47">
        <v>5766733.6402624408</v>
      </c>
      <c r="AZ1970" s="70">
        <f>H1970-J1970</f>
        <v>0</v>
      </c>
      <c r="BC1970" s="50"/>
    </row>
    <row r="1971" spans="1:55" s="48" customFormat="1" ht="15.45" customHeight="1" outlineLevel="1" x14ac:dyDescent="0.25">
      <c r="A1971" s="42">
        <v>3</v>
      </c>
      <c r="B1971" s="43" t="s">
        <v>1149</v>
      </c>
      <c r="C1971" s="44" t="s">
        <v>93</v>
      </c>
      <c r="D1971" s="45">
        <v>5</v>
      </c>
      <c r="E1971" s="45">
        <v>16.122199999999999</v>
      </c>
      <c r="F1971" s="45">
        <f t="shared" si="477"/>
        <v>80.61099999999999</v>
      </c>
      <c r="G1971" s="46">
        <f t="shared" si="478"/>
        <v>0</v>
      </c>
      <c r="H1971" s="47">
        <f t="shared" si="479"/>
        <v>0</v>
      </c>
      <c r="I1971" s="46">
        <f t="shared" si="480"/>
        <v>0</v>
      </c>
      <c r="J1971" s="47">
        <v>0</v>
      </c>
      <c r="K1971" s="46">
        <f t="shared" si="481"/>
        <v>0</v>
      </c>
      <c r="L1971" s="47">
        <v>0</v>
      </c>
      <c r="AX1971" s="46">
        <v>0</v>
      </c>
      <c r="AY1971" s="47">
        <v>0</v>
      </c>
      <c r="AZ1971" s="70">
        <f>H1971-J1971</f>
        <v>0</v>
      </c>
      <c r="BC1971" s="50"/>
    </row>
    <row r="1972" spans="1:55" s="48" customFormat="1" ht="15.45" customHeight="1" outlineLevel="1" x14ac:dyDescent="0.25">
      <c r="A1972" s="42">
        <v>4</v>
      </c>
      <c r="B1972" s="43" t="s">
        <v>450</v>
      </c>
      <c r="C1972" s="44" t="s">
        <v>93</v>
      </c>
      <c r="D1972" s="45">
        <v>5</v>
      </c>
      <c r="E1972" s="45">
        <v>9.7186000000000003</v>
      </c>
      <c r="F1972" s="45">
        <f t="shared" si="477"/>
        <v>48.593000000000004</v>
      </c>
      <c r="G1972" s="46">
        <f t="shared" si="478"/>
        <v>0</v>
      </c>
      <c r="H1972" s="47">
        <f t="shared" si="479"/>
        <v>0</v>
      </c>
      <c r="I1972" s="46">
        <f t="shared" si="480"/>
        <v>0</v>
      </c>
      <c r="J1972" s="47">
        <v>0</v>
      </c>
      <c r="K1972" s="46">
        <f t="shared" si="481"/>
        <v>0</v>
      </c>
      <c r="L1972" s="47">
        <v>0</v>
      </c>
      <c r="AX1972" s="46">
        <v>0</v>
      </c>
      <c r="AY1972" s="47">
        <v>1038012.055247239</v>
      </c>
      <c r="AZ1972" s="70">
        <f>H1972-J1972</f>
        <v>0</v>
      </c>
      <c r="BC1972" s="50"/>
    </row>
    <row r="1973" spans="1:55" s="48" customFormat="1" ht="15.45" customHeight="1" outlineLevel="1" x14ac:dyDescent="0.25">
      <c r="A1973" s="42">
        <v>5</v>
      </c>
      <c r="B1973" s="43" t="s">
        <v>1150</v>
      </c>
      <c r="C1973" s="44" t="s">
        <v>93</v>
      </c>
      <c r="D1973" s="45">
        <v>5</v>
      </c>
      <c r="E1973" s="45">
        <v>0.9</v>
      </c>
      <c r="F1973" s="45">
        <f t="shared" si="477"/>
        <v>4.5</v>
      </c>
      <c r="G1973" s="46">
        <f t="shared" si="478"/>
        <v>0</v>
      </c>
      <c r="H1973" s="47">
        <f t="shared" si="479"/>
        <v>0</v>
      </c>
      <c r="I1973" s="46">
        <f t="shared" si="480"/>
        <v>0</v>
      </c>
      <c r="J1973" s="47">
        <v>0</v>
      </c>
      <c r="K1973" s="46">
        <f t="shared" si="481"/>
        <v>0</v>
      </c>
      <c r="L1973" s="47">
        <v>0</v>
      </c>
      <c r="AX1973" s="46"/>
      <c r="AY1973" s="47"/>
      <c r="AZ1973" s="70"/>
      <c r="BC1973" s="50"/>
    </row>
    <row r="1974" spans="1:55" s="48" customFormat="1" ht="27.75" customHeight="1" outlineLevel="1" x14ac:dyDescent="0.25">
      <c r="A1974" s="42">
        <v>6</v>
      </c>
      <c r="B1974" s="43" t="s">
        <v>1151</v>
      </c>
      <c r="C1974" s="44" t="s">
        <v>93</v>
      </c>
      <c r="D1974" s="45">
        <v>1</v>
      </c>
      <c r="E1974" s="45">
        <v>6.5444000000000004</v>
      </c>
      <c r="F1974" s="45">
        <f t="shared" si="477"/>
        <v>6.5444000000000004</v>
      </c>
      <c r="G1974" s="46">
        <f t="shared" si="478"/>
        <v>0</v>
      </c>
      <c r="H1974" s="47">
        <f t="shared" si="479"/>
        <v>0</v>
      </c>
      <c r="I1974" s="46">
        <f t="shared" si="480"/>
        <v>0</v>
      </c>
      <c r="J1974" s="47">
        <v>0</v>
      </c>
      <c r="K1974" s="46">
        <f t="shared" si="481"/>
        <v>0</v>
      </c>
      <c r="L1974" s="47">
        <v>0</v>
      </c>
      <c r="AX1974" s="46"/>
      <c r="AY1974" s="47"/>
      <c r="AZ1974" s="70"/>
      <c r="BC1974" s="50"/>
    </row>
    <row r="1975" spans="1:55" s="48" customFormat="1" ht="27.75" customHeight="1" outlineLevel="1" x14ac:dyDescent="0.25">
      <c r="A1975" s="42">
        <v>7</v>
      </c>
      <c r="B1975" s="43" t="s">
        <v>1152</v>
      </c>
      <c r="C1975" s="44" t="s">
        <v>93</v>
      </c>
      <c r="D1975" s="45">
        <v>2</v>
      </c>
      <c r="E1975" s="45">
        <v>7.0135999999999994</v>
      </c>
      <c r="F1975" s="45">
        <f t="shared" si="477"/>
        <v>14.027199999999999</v>
      </c>
      <c r="G1975" s="46">
        <f t="shared" si="478"/>
        <v>0</v>
      </c>
      <c r="H1975" s="47">
        <f t="shared" si="479"/>
        <v>0</v>
      </c>
      <c r="I1975" s="46">
        <f t="shared" si="480"/>
        <v>0</v>
      </c>
      <c r="J1975" s="47">
        <v>0</v>
      </c>
      <c r="K1975" s="46">
        <f t="shared" si="481"/>
        <v>0</v>
      </c>
      <c r="L1975" s="47">
        <v>0</v>
      </c>
      <c r="AX1975" s="46"/>
      <c r="AY1975" s="47"/>
      <c r="AZ1975" s="70"/>
      <c r="BC1975" s="50"/>
    </row>
    <row r="1976" spans="1:55" s="48" customFormat="1" ht="15.45" customHeight="1" outlineLevel="1" x14ac:dyDescent="0.25">
      <c r="A1976" s="42">
        <v>8</v>
      </c>
      <c r="B1976" s="43" t="s">
        <v>464</v>
      </c>
      <c r="C1976" s="44" t="s">
        <v>93</v>
      </c>
      <c r="D1976" s="45">
        <v>3</v>
      </c>
      <c r="E1976" s="45">
        <v>8.882200000000001</v>
      </c>
      <c r="F1976" s="45">
        <f t="shared" si="477"/>
        <v>26.646600000000003</v>
      </c>
      <c r="G1976" s="46">
        <f t="shared" si="478"/>
        <v>0</v>
      </c>
      <c r="H1976" s="47">
        <f t="shared" si="479"/>
        <v>0</v>
      </c>
      <c r="I1976" s="46">
        <f t="shared" si="480"/>
        <v>0</v>
      </c>
      <c r="J1976" s="47">
        <v>0</v>
      </c>
      <c r="K1976" s="46">
        <f t="shared" si="481"/>
        <v>0</v>
      </c>
      <c r="L1976" s="47">
        <v>0</v>
      </c>
      <c r="AX1976" s="46"/>
      <c r="AY1976" s="47"/>
      <c r="AZ1976" s="70"/>
      <c r="BC1976" s="50"/>
    </row>
    <row r="1977" spans="1:55" s="48" customFormat="1" ht="15.45" customHeight="1" outlineLevel="1" x14ac:dyDescent="0.25">
      <c r="A1977" s="42">
        <v>9</v>
      </c>
      <c r="B1977" s="43" t="s">
        <v>1153</v>
      </c>
      <c r="C1977" s="44" t="s">
        <v>61</v>
      </c>
      <c r="D1977" s="45">
        <v>30</v>
      </c>
      <c r="E1977" s="45">
        <v>2.5099999999999998</v>
      </c>
      <c r="F1977" s="45">
        <f t="shared" si="477"/>
        <v>75.3</v>
      </c>
      <c r="G1977" s="46">
        <f t="shared" si="478"/>
        <v>0</v>
      </c>
      <c r="H1977" s="47">
        <f t="shared" si="479"/>
        <v>0</v>
      </c>
      <c r="I1977" s="46">
        <f t="shared" si="480"/>
        <v>0</v>
      </c>
      <c r="J1977" s="47">
        <v>0</v>
      </c>
      <c r="K1977" s="46">
        <f t="shared" si="481"/>
        <v>0</v>
      </c>
      <c r="L1977" s="47">
        <v>0</v>
      </c>
      <c r="AX1977" s="46"/>
      <c r="AY1977" s="47"/>
      <c r="AZ1977" s="70"/>
      <c r="BC1977" s="50"/>
    </row>
    <row r="1978" spans="1:55" s="48" customFormat="1" ht="27.75" customHeight="1" outlineLevel="1" x14ac:dyDescent="0.25">
      <c r="A1978" s="42">
        <v>10</v>
      </c>
      <c r="B1978" s="43" t="s">
        <v>986</v>
      </c>
      <c r="C1978" s="44" t="s">
        <v>61</v>
      </c>
      <c r="D1978" s="45">
        <v>30</v>
      </c>
      <c r="E1978" s="45">
        <v>1.885</v>
      </c>
      <c r="F1978" s="45">
        <f t="shared" si="477"/>
        <v>56.55</v>
      </c>
      <c r="G1978" s="46">
        <f t="shared" si="478"/>
        <v>0</v>
      </c>
      <c r="H1978" s="47">
        <f t="shared" si="479"/>
        <v>0</v>
      </c>
      <c r="I1978" s="46">
        <f t="shared" si="480"/>
        <v>0</v>
      </c>
      <c r="J1978" s="47">
        <v>0</v>
      </c>
      <c r="K1978" s="46">
        <f t="shared" si="481"/>
        <v>0</v>
      </c>
      <c r="L1978" s="47">
        <v>0</v>
      </c>
      <c r="AX1978" s="46"/>
      <c r="AY1978" s="47"/>
      <c r="AZ1978" s="70"/>
      <c r="BC1978" s="50"/>
    </row>
    <row r="1979" spans="1:55" s="56" customFormat="1" ht="17.25" customHeight="1" x14ac:dyDescent="0.3">
      <c r="A1979" s="31">
        <v>17.100000000000001</v>
      </c>
      <c r="B1979" s="51" t="s">
        <v>1154</v>
      </c>
      <c r="C1979" s="52">
        <v>0</v>
      </c>
      <c r="D1979" s="53"/>
      <c r="E1979" s="53"/>
      <c r="F1979" s="53"/>
      <c r="G1979" s="54"/>
      <c r="H1979" s="55"/>
      <c r="I1979" s="54"/>
      <c r="J1979" s="55"/>
      <c r="K1979" s="54"/>
      <c r="L1979" s="55">
        <v>0</v>
      </c>
      <c r="AX1979" s="69"/>
      <c r="AY1979" s="71"/>
      <c r="AZ1979" s="72"/>
      <c r="BC1979" s="58"/>
    </row>
    <row r="1980" spans="1:55" s="48" customFormat="1" ht="27.75" customHeight="1" outlineLevel="1" x14ac:dyDescent="0.25">
      <c r="A1980" s="42">
        <v>1</v>
      </c>
      <c r="B1980" s="43" t="s">
        <v>1155</v>
      </c>
      <c r="C1980" s="44" t="s">
        <v>110</v>
      </c>
      <c r="D1980" s="45">
        <v>336</v>
      </c>
      <c r="E1980" s="45">
        <v>0.84182000000000001</v>
      </c>
      <c r="F1980" s="45">
        <f t="shared" ref="F1980:F2008" si="482">+E1980*D1980</f>
        <v>282.85151999999999</v>
      </c>
      <c r="G1980" s="46">
        <f t="shared" ref="G1980:G2008" si="483">I1980+K1980</f>
        <v>0</v>
      </c>
      <c r="H1980" s="47">
        <f t="shared" ref="H1980:H2008" si="484">J1980+L1980</f>
        <v>0</v>
      </c>
      <c r="I1980" s="46">
        <f t="shared" ref="I1980:I2008" si="485">J1980/F1980</f>
        <v>0</v>
      </c>
      <c r="J1980" s="47">
        <v>0</v>
      </c>
      <c r="K1980" s="46">
        <f t="shared" ref="K1980:K2008" si="486">L1980/F1980</f>
        <v>0</v>
      </c>
      <c r="L1980" s="47">
        <v>0</v>
      </c>
      <c r="AX1980" s="46"/>
      <c r="AY1980" s="47"/>
      <c r="AZ1980" s="70"/>
      <c r="BC1980" s="50"/>
    </row>
    <row r="1981" spans="1:55" s="48" customFormat="1" ht="27.75" customHeight="1" outlineLevel="1" x14ac:dyDescent="0.25">
      <c r="A1981" s="42">
        <v>2</v>
      </c>
      <c r="B1981" s="43" t="s">
        <v>788</v>
      </c>
      <c r="C1981" s="44" t="s">
        <v>110</v>
      </c>
      <c r="D1981" s="45">
        <v>14</v>
      </c>
      <c r="E1981" s="45">
        <v>22.948</v>
      </c>
      <c r="F1981" s="45">
        <f t="shared" si="482"/>
        <v>321.27199999999999</v>
      </c>
      <c r="G1981" s="46">
        <f t="shared" si="483"/>
        <v>0</v>
      </c>
      <c r="H1981" s="47">
        <f t="shared" si="484"/>
        <v>0</v>
      </c>
      <c r="I1981" s="46">
        <f t="shared" si="485"/>
        <v>0</v>
      </c>
      <c r="J1981" s="47">
        <v>0</v>
      </c>
      <c r="K1981" s="46">
        <f t="shared" si="486"/>
        <v>0</v>
      </c>
      <c r="L1981" s="47">
        <v>0</v>
      </c>
      <c r="AX1981" s="46"/>
      <c r="AY1981" s="47"/>
      <c r="AZ1981" s="70"/>
      <c r="BC1981" s="50"/>
    </row>
    <row r="1982" spans="1:55" s="48" customFormat="1" ht="27.75" customHeight="1" outlineLevel="1" x14ac:dyDescent="0.25">
      <c r="A1982" s="42">
        <v>3</v>
      </c>
      <c r="B1982" s="43" t="s">
        <v>649</v>
      </c>
      <c r="C1982" s="44" t="s">
        <v>110</v>
      </c>
      <c r="D1982" s="45">
        <v>279</v>
      </c>
      <c r="E1982" s="45">
        <v>0.9</v>
      </c>
      <c r="F1982" s="45">
        <f t="shared" si="482"/>
        <v>251.1</v>
      </c>
      <c r="G1982" s="46">
        <f t="shared" si="483"/>
        <v>0</v>
      </c>
      <c r="H1982" s="47">
        <f t="shared" si="484"/>
        <v>0</v>
      </c>
      <c r="I1982" s="46">
        <f t="shared" si="485"/>
        <v>0</v>
      </c>
      <c r="J1982" s="47">
        <v>0</v>
      </c>
      <c r="K1982" s="46">
        <f t="shared" si="486"/>
        <v>0</v>
      </c>
      <c r="L1982" s="47">
        <v>0</v>
      </c>
      <c r="AX1982" s="46">
        <v>1</v>
      </c>
      <c r="AY1982" s="47">
        <v>5766733.6402624408</v>
      </c>
      <c r="AZ1982" s="70">
        <f t="shared" ref="AZ1982:AZ2023" si="487">H1982-J1982</f>
        <v>0</v>
      </c>
      <c r="BC1982" s="50"/>
    </row>
    <row r="1983" spans="1:55" s="48" customFormat="1" ht="15.45" customHeight="1" outlineLevel="1" x14ac:dyDescent="0.25">
      <c r="A1983" s="42">
        <v>4</v>
      </c>
      <c r="B1983" s="43" t="s">
        <v>166</v>
      </c>
      <c r="C1983" s="44" t="s">
        <v>110</v>
      </c>
      <c r="D1983" s="45">
        <v>21</v>
      </c>
      <c r="E1983" s="45">
        <v>8.16</v>
      </c>
      <c r="F1983" s="45">
        <f t="shared" si="482"/>
        <v>171.36</v>
      </c>
      <c r="G1983" s="46">
        <f t="shared" si="483"/>
        <v>0</v>
      </c>
      <c r="H1983" s="47">
        <f t="shared" si="484"/>
        <v>0</v>
      </c>
      <c r="I1983" s="46">
        <f t="shared" si="485"/>
        <v>0</v>
      </c>
      <c r="J1983" s="47">
        <v>0</v>
      </c>
      <c r="K1983" s="46">
        <f t="shared" si="486"/>
        <v>0</v>
      </c>
      <c r="L1983" s="47">
        <v>0</v>
      </c>
      <c r="AX1983" s="46">
        <v>1</v>
      </c>
      <c r="AY1983" s="47">
        <v>5766733.6402624408</v>
      </c>
      <c r="AZ1983" s="70">
        <f t="shared" si="487"/>
        <v>0</v>
      </c>
      <c r="BC1983" s="50"/>
    </row>
    <row r="1984" spans="1:55" s="48" customFormat="1" ht="15.45" customHeight="1" outlineLevel="1" x14ac:dyDescent="0.25">
      <c r="A1984" s="42">
        <v>5</v>
      </c>
      <c r="B1984" s="43" t="s">
        <v>37</v>
      </c>
      <c r="C1984" s="44" t="s">
        <v>110</v>
      </c>
      <c r="D1984" s="45">
        <v>300</v>
      </c>
      <c r="E1984" s="45">
        <v>2</v>
      </c>
      <c r="F1984" s="45">
        <f t="shared" si="482"/>
        <v>600</v>
      </c>
      <c r="G1984" s="46">
        <f t="shared" si="483"/>
        <v>0</v>
      </c>
      <c r="H1984" s="47">
        <f t="shared" si="484"/>
        <v>0</v>
      </c>
      <c r="I1984" s="46">
        <f t="shared" si="485"/>
        <v>0</v>
      </c>
      <c r="J1984" s="47">
        <v>0</v>
      </c>
      <c r="K1984" s="46">
        <f t="shared" si="486"/>
        <v>0</v>
      </c>
      <c r="L1984" s="47">
        <v>0</v>
      </c>
      <c r="AX1984" s="46">
        <v>1</v>
      </c>
      <c r="AY1984" s="47">
        <v>5766733.6402624408</v>
      </c>
      <c r="AZ1984" s="70">
        <f t="shared" si="487"/>
        <v>0</v>
      </c>
      <c r="BC1984" s="50"/>
    </row>
    <row r="1985" spans="1:55" s="48" customFormat="1" ht="27.75" customHeight="1" outlineLevel="1" x14ac:dyDescent="0.25">
      <c r="A1985" s="42">
        <v>6</v>
      </c>
      <c r="B1985" s="43" t="s">
        <v>803</v>
      </c>
      <c r="C1985" s="44" t="s">
        <v>110</v>
      </c>
      <c r="D1985" s="45">
        <v>50</v>
      </c>
      <c r="E1985" s="45">
        <v>0.86834000000000011</v>
      </c>
      <c r="F1985" s="45">
        <f t="shared" si="482"/>
        <v>43.417000000000009</v>
      </c>
      <c r="G1985" s="46">
        <f t="shared" si="483"/>
        <v>0</v>
      </c>
      <c r="H1985" s="47">
        <f t="shared" si="484"/>
        <v>0</v>
      </c>
      <c r="I1985" s="46">
        <f t="shared" si="485"/>
        <v>0</v>
      </c>
      <c r="J1985" s="47">
        <v>0</v>
      </c>
      <c r="K1985" s="46">
        <f t="shared" si="486"/>
        <v>0</v>
      </c>
      <c r="L1985" s="47">
        <v>0</v>
      </c>
      <c r="AX1985" s="46">
        <v>0</v>
      </c>
      <c r="AY1985" s="47">
        <v>0</v>
      </c>
      <c r="AZ1985" s="70">
        <f t="shared" si="487"/>
        <v>0</v>
      </c>
      <c r="BC1985" s="50"/>
    </row>
    <row r="1986" spans="1:55" s="48" customFormat="1" ht="15.45" customHeight="1" outlineLevel="1" x14ac:dyDescent="0.25">
      <c r="A1986" s="42">
        <v>7</v>
      </c>
      <c r="B1986" s="43" t="s">
        <v>29</v>
      </c>
      <c r="C1986" s="44" t="s">
        <v>28</v>
      </c>
      <c r="D1986" s="45">
        <v>87.5</v>
      </c>
      <c r="E1986" s="45">
        <v>1.63</v>
      </c>
      <c r="F1986" s="45">
        <f t="shared" si="482"/>
        <v>142.625</v>
      </c>
      <c r="G1986" s="46">
        <f t="shared" si="483"/>
        <v>0</v>
      </c>
      <c r="H1986" s="47">
        <f t="shared" si="484"/>
        <v>0</v>
      </c>
      <c r="I1986" s="46">
        <f t="shared" si="485"/>
        <v>0</v>
      </c>
      <c r="J1986" s="47">
        <v>0</v>
      </c>
      <c r="K1986" s="46">
        <f t="shared" si="486"/>
        <v>0</v>
      </c>
      <c r="L1986" s="47">
        <v>0</v>
      </c>
      <c r="AX1986" s="46">
        <v>0</v>
      </c>
      <c r="AY1986" s="47">
        <v>1038012.055247239</v>
      </c>
      <c r="AZ1986" s="70">
        <f t="shared" si="487"/>
        <v>0</v>
      </c>
      <c r="BC1986" s="50"/>
    </row>
    <row r="1987" spans="1:55" s="59" customFormat="1" ht="27.75" customHeight="1" outlineLevel="1" x14ac:dyDescent="0.35">
      <c r="A1987" s="42">
        <v>8</v>
      </c>
      <c r="B1987" s="43" t="s">
        <v>1156</v>
      </c>
      <c r="C1987" s="44" t="s">
        <v>992</v>
      </c>
      <c r="D1987" s="45">
        <v>4.0000000000000001E-3</v>
      </c>
      <c r="E1987" s="45">
        <v>8881.0462000000007</v>
      </c>
      <c r="F1987" s="45">
        <f t="shared" si="482"/>
        <v>35.5241848</v>
      </c>
      <c r="G1987" s="46">
        <f t="shared" si="483"/>
        <v>0</v>
      </c>
      <c r="H1987" s="47">
        <f t="shared" si="484"/>
        <v>0</v>
      </c>
      <c r="I1987" s="46">
        <f t="shared" si="485"/>
        <v>0</v>
      </c>
      <c r="J1987" s="47">
        <v>0</v>
      </c>
      <c r="K1987" s="46">
        <f t="shared" si="486"/>
        <v>0</v>
      </c>
      <c r="L1987" s="47">
        <v>0</v>
      </c>
      <c r="AX1987" s="73">
        <v>1</v>
      </c>
      <c r="AY1987" s="74">
        <v>1308.3047999999999</v>
      </c>
      <c r="AZ1987" s="75">
        <f t="shared" si="487"/>
        <v>0</v>
      </c>
      <c r="BC1987" s="61"/>
    </row>
    <row r="1988" spans="1:55" s="48" customFormat="1" ht="27.75" customHeight="1" outlineLevel="1" x14ac:dyDescent="0.25">
      <c r="A1988" s="42">
        <v>9</v>
      </c>
      <c r="B1988" s="43" t="s">
        <v>1036</v>
      </c>
      <c r="C1988" s="44" t="s">
        <v>61</v>
      </c>
      <c r="D1988" s="45">
        <v>4</v>
      </c>
      <c r="E1988" s="45">
        <v>53.780600000000007</v>
      </c>
      <c r="F1988" s="45">
        <f t="shared" si="482"/>
        <v>215.12240000000003</v>
      </c>
      <c r="G1988" s="46">
        <f t="shared" si="483"/>
        <v>0</v>
      </c>
      <c r="H1988" s="47">
        <f t="shared" si="484"/>
        <v>0</v>
      </c>
      <c r="I1988" s="46">
        <f t="shared" si="485"/>
        <v>0</v>
      </c>
      <c r="J1988" s="47">
        <v>0</v>
      </c>
      <c r="K1988" s="46">
        <f t="shared" si="486"/>
        <v>0</v>
      </c>
      <c r="L1988" s="47">
        <v>0</v>
      </c>
      <c r="AX1988" s="46">
        <v>1.000034090134315</v>
      </c>
      <c r="AY1988" s="47">
        <v>1100.6492000000001</v>
      </c>
      <c r="AZ1988" s="70">
        <f t="shared" si="487"/>
        <v>0</v>
      </c>
      <c r="BC1988" s="50"/>
    </row>
    <row r="1989" spans="1:55" s="48" customFormat="1" ht="27.75" customHeight="1" outlineLevel="1" x14ac:dyDescent="0.25">
      <c r="A1989" s="42">
        <v>10</v>
      </c>
      <c r="B1989" s="43" t="s">
        <v>1157</v>
      </c>
      <c r="C1989" s="44" t="s">
        <v>992</v>
      </c>
      <c r="D1989" s="45">
        <v>2.7E-2</v>
      </c>
      <c r="E1989" s="45">
        <v>4932.8301999999994</v>
      </c>
      <c r="F1989" s="45">
        <f t="shared" si="482"/>
        <v>133.18641539999999</v>
      </c>
      <c r="G1989" s="46">
        <f t="shared" si="483"/>
        <v>0</v>
      </c>
      <c r="H1989" s="47">
        <f t="shared" si="484"/>
        <v>0</v>
      </c>
      <c r="I1989" s="46">
        <f t="shared" si="485"/>
        <v>0</v>
      </c>
      <c r="J1989" s="47">
        <v>0</v>
      </c>
      <c r="K1989" s="46">
        <f t="shared" si="486"/>
        <v>0</v>
      </c>
      <c r="L1989" s="47">
        <v>0</v>
      </c>
      <c r="AX1989" s="46">
        <v>0</v>
      </c>
      <c r="AY1989" s="47">
        <v>0</v>
      </c>
      <c r="AZ1989" s="70">
        <f t="shared" si="487"/>
        <v>0</v>
      </c>
      <c r="BC1989" s="50"/>
    </row>
    <row r="1990" spans="1:55" s="48" customFormat="1" ht="27.75" customHeight="1" outlineLevel="1" x14ac:dyDescent="0.25">
      <c r="A1990" s="42">
        <v>11</v>
      </c>
      <c r="B1990" s="43" t="s">
        <v>1032</v>
      </c>
      <c r="C1990" s="44" t="s">
        <v>61</v>
      </c>
      <c r="D1990" s="45">
        <v>27</v>
      </c>
      <c r="E1990" s="45">
        <v>17.846</v>
      </c>
      <c r="F1990" s="45">
        <f t="shared" si="482"/>
        <v>481.84199999999998</v>
      </c>
      <c r="G1990" s="46">
        <f t="shared" si="483"/>
        <v>0</v>
      </c>
      <c r="H1990" s="47">
        <f t="shared" si="484"/>
        <v>0</v>
      </c>
      <c r="I1990" s="46">
        <f t="shared" si="485"/>
        <v>0</v>
      </c>
      <c r="J1990" s="47">
        <v>0</v>
      </c>
      <c r="K1990" s="46">
        <f t="shared" si="486"/>
        <v>0</v>
      </c>
      <c r="L1990" s="47">
        <v>0</v>
      </c>
      <c r="AX1990" s="46">
        <v>0</v>
      </c>
      <c r="AY1990" s="47">
        <v>0</v>
      </c>
      <c r="AZ1990" s="70">
        <f t="shared" si="487"/>
        <v>0</v>
      </c>
      <c r="BC1990" s="50"/>
    </row>
    <row r="1991" spans="1:55" s="48" customFormat="1" ht="27.75" customHeight="1" outlineLevel="1" x14ac:dyDescent="0.25">
      <c r="A1991" s="42">
        <v>12</v>
      </c>
      <c r="B1991" s="43" t="s">
        <v>1158</v>
      </c>
      <c r="C1991" s="44" t="s">
        <v>992</v>
      </c>
      <c r="D1991" s="45">
        <v>8.8999999999999996E-2</v>
      </c>
      <c r="E1991" s="45">
        <v>3403.8501999999999</v>
      </c>
      <c r="F1991" s="45">
        <f t="shared" si="482"/>
        <v>302.94266779999998</v>
      </c>
      <c r="G1991" s="46">
        <f t="shared" si="483"/>
        <v>0</v>
      </c>
      <c r="H1991" s="47">
        <f t="shared" si="484"/>
        <v>0</v>
      </c>
      <c r="I1991" s="46">
        <f t="shared" si="485"/>
        <v>0</v>
      </c>
      <c r="J1991" s="47">
        <v>0</v>
      </c>
      <c r="K1991" s="46">
        <f t="shared" si="486"/>
        <v>0</v>
      </c>
      <c r="L1991" s="47">
        <v>0</v>
      </c>
      <c r="AX1991" s="46">
        <v>0.42205242687875311</v>
      </c>
      <c r="AY1991" s="47">
        <v>1049.7370794998681</v>
      </c>
      <c r="AZ1991" s="70">
        <f t="shared" si="487"/>
        <v>0</v>
      </c>
      <c r="BC1991" s="50"/>
    </row>
    <row r="1992" spans="1:55" s="48" customFormat="1" ht="27.75" customHeight="1" outlineLevel="1" x14ac:dyDescent="0.25">
      <c r="A1992" s="42">
        <v>13</v>
      </c>
      <c r="B1992" s="43" t="s">
        <v>1159</v>
      </c>
      <c r="C1992" s="44" t="s">
        <v>61</v>
      </c>
      <c r="D1992" s="45">
        <v>89</v>
      </c>
      <c r="E1992" s="45">
        <v>3.9842</v>
      </c>
      <c r="F1992" s="45">
        <f t="shared" si="482"/>
        <v>354.59379999999999</v>
      </c>
      <c r="G1992" s="46">
        <f t="shared" si="483"/>
        <v>0</v>
      </c>
      <c r="H1992" s="47">
        <f t="shared" si="484"/>
        <v>0</v>
      </c>
      <c r="I1992" s="46">
        <f t="shared" si="485"/>
        <v>0</v>
      </c>
      <c r="J1992" s="47">
        <v>0</v>
      </c>
      <c r="K1992" s="46">
        <f t="shared" si="486"/>
        <v>0</v>
      </c>
      <c r="L1992" s="47">
        <v>0</v>
      </c>
      <c r="AX1992" s="46">
        <v>0</v>
      </c>
      <c r="AY1992" s="47">
        <v>0</v>
      </c>
      <c r="AZ1992" s="70">
        <f t="shared" si="487"/>
        <v>0</v>
      </c>
      <c r="BC1992" s="50"/>
    </row>
    <row r="1993" spans="1:55" s="48" customFormat="1" ht="27.75" customHeight="1" outlineLevel="1" x14ac:dyDescent="0.25">
      <c r="A1993" s="42">
        <v>14</v>
      </c>
      <c r="B1993" s="43" t="s">
        <v>1160</v>
      </c>
      <c r="C1993" s="44" t="s">
        <v>992</v>
      </c>
      <c r="D1993" s="45">
        <v>0.05</v>
      </c>
      <c r="E1993" s="45">
        <v>3403.8501999999999</v>
      </c>
      <c r="F1993" s="45">
        <f t="shared" si="482"/>
        <v>170.19251</v>
      </c>
      <c r="G1993" s="46">
        <f t="shared" si="483"/>
        <v>0</v>
      </c>
      <c r="H1993" s="47">
        <f t="shared" si="484"/>
        <v>0</v>
      </c>
      <c r="I1993" s="46">
        <f t="shared" si="485"/>
        <v>0</v>
      </c>
      <c r="J1993" s="47">
        <v>0</v>
      </c>
      <c r="K1993" s="46">
        <f t="shared" si="486"/>
        <v>0</v>
      </c>
      <c r="L1993" s="47">
        <v>0</v>
      </c>
      <c r="AX1993" s="46">
        <v>0</v>
      </c>
      <c r="AY1993" s="47">
        <v>0</v>
      </c>
      <c r="AZ1993" s="70">
        <f t="shared" si="487"/>
        <v>0</v>
      </c>
      <c r="BC1993" s="50"/>
    </row>
    <row r="1994" spans="1:55" s="48" customFormat="1" ht="27.75" customHeight="1" outlineLevel="1" x14ac:dyDescent="0.25">
      <c r="A1994" s="42">
        <v>15</v>
      </c>
      <c r="B1994" s="43" t="s">
        <v>1161</v>
      </c>
      <c r="C1994" s="44" t="s">
        <v>61</v>
      </c>
      <c r="D1994" s="45">
        <v>50</v>
      </c>
      <c r="E1994" s="45">
        <v>2.8723999999999998</v>
      </c>
      <c r="F1994" s="45">
        <f t="shared" si="482"/>
        <v>143.62</v>
      </c>
      <c r="G1994" s="46">
        <f t="shared" si="483"/>
        <v>0</v>
      </c>
      <c r="H1994" s="47">
        <f t="shared" si="484"/>
        <v>0</v>
      </c>
      <c r="I1994" s="46">
        <f t="shared" si="485"/>
        <v>0</v>
      </c>
      <c r="J1994" s="47">
        <v>0</v>
      </c>
      <c r="K1994" s="46">
        <f t="shared" si="486"/>
        <v>0</v>
      </c>
      <c r="L1994" s="47">
        <v>0</v>
      </c>
      <c r="AX1994" s="46">
        <v>0</v>
      </c>
      <c r="AY1994" s="47">
        <v>0</v>
      </c>
      <c r="AZ1994" s="70">
        <f t="shared" si="487"/>
        <v>0</v>
      </c>
      <c r="BC1994" s="50"/>
    </row>
    <row r="1995" spans="1:55" s="48" customFormat="1" ht="27.75" customHeight="1" outlineLevel="1" x14ac:dyDescent="0.25">
      <c r="A1995" s="42">
        <v>16</v>
      </c>
      <c r="B1995" s="43" t="s">
        <v>1162</v>
      </c>
      <c r="C1995" s="44" t="s">
        <v>992</v>
      </c>
      <c r="D1995" s="45">
        <v>5.7000000000000002E-2</v>
      </c>
      <c r="E1995" s="45">
        <v>3259.9281999999998</v>
      </c>
      <c r="F1995" s="45">
        <f t="shared" si="482"/>
        <v>185.81590739999999</v>
      </c>
      <c r="G1995" s="46">
        <f t="shared" si="483"/>
        <v>0</v>
      </c>
      <c r="H1995" s="47">
        <f t="shared" si="484"/>
        <v>0</v>
      </c>
      <c r="I1995" s="46">
        <f t="shared" si="485"/>
        <v>0</v>
      </c>
      <c r="J1995" s="47">
        <v>0</v>
      </c>
      <c r="K1995" s="46">
        <f t="shared" si="486"/>
        <v>0</v>
      </c>
      <c r="L1995" s="47">
        <v>0</v>
      </c>
      <c r="AX1995" s="46">
        <v>8.55363520794237E-2</v>
      </c>
      <c r="AY1995" s="47">
        <v>345.048495</v>
      </c>
      <c r="AZ1995" s="70">
        <f t="shared" si="487"/>
        <v>0</v>
      </c>
      <c r="BC1995" s="50"/>
    </row>
    <row r="1996" spans="1:55" s="48" customFormat="1" ht="27.75" customHeight="1" outlineLevel="1" x14ac:dyDescent="0.25">
      <c r="A1996" s="42">
        <v>17</v>
      </c>
      <c r="B1996" s="43" t="s">
        <v>1114</v>
      </c>
      <c r="C1996" s="44" t="s">
        <v>61</v>
      </c>
      <c r="D1996" s="45">
        <v>57</v>
      </c>
      <c r="E1996" s="45">
        <v>0.9</v>
      </c>
      <c r="F1996" s="45">
        <f t="shared" si="482"/>
        <v>51.300000000000004</v>
      </c>
      <c r="G1996" s="46">
        <f t="shared" si="483"/>
        <v>0</v>
      </c>
      <c r="H1996" s="47">
        <f t="shared" si="484"/>
        <v>0</v>
      </c>
      <c r="I1996" s="46">
        <f t="shared" si="485"/>
        <v>0</v>
      </c>
      <c r="J1996" s="47">
        <v>0</v>
      </c>
      <c r="K1996" s="46">
        <f t="shared" si="486"/>
        <v>0</v>
      </c>
      <c r="L1996" s="47">
        <v>0</v>
      </c>
      <c r="AX1996" s="46">
        <v>8.4536352079423699E-2</v>
      </c>
      <c r="AY1996" s="47">
        <v>55.299657600000003</v>
      </c>
      <c r="AZ1996" s="70">
        <f t="shared" si="487"/>
        <v>0</v>
      </c>
      <c r="BC1996" s="50"/>
    </row>
    <row r="1997" spans="1:55" s="48" customFormat="1" ht="27.75" customHeight="1" outlineLevel="1" x14ac:dyDescent="0.25">
      <c r="A1997" s="42">
        <v>18</v>
      </c>
      <c r="B1997" s="43" t="s">
        <v>1163</v>
      </c>
      <c r="C1997" s="44" t="s">
        <v>992</v>
      </c>
      <c r="D1997" s="45">
        <v>0.19600000000000001</v>
      </c>
      <c r="E1997" s="45">
        <v>651.78820000000007</v>
      </c>
      <c r="F1997" s="45">
        <f t="shared" si="482"/>
        <v>127.75048720000002</v>
      </c>
      <c r="G1997" s="46">
        <f t="shared" si="483"/>
        <v>0</v>
      </c>
      <c r="H1997" s="47">
        <f t="shared" si="484"/>
        <v>0</v>
      </c>
      <c r="I1997" s="46">
        <f t="shared" si="485"/>
        <v>0</v>
      </c>
      <c r="J1997" s="47">
        <v>0</v>
      </c>
      <c r="K1997" s="46">
        <f t="shared" si="486"/>
        <v>0</v>
      </c>
      <c r="L1997" s="47">
        <v>0</v>
      </c>
      <c r="AX1997" s="46">
        <v>0</v>
      </c>
      <c r="AY1997" s="47">
        <v>0</v>
      </c>
      <c r="AZ1997" s="70">
        <f t="shared" si="487"/>
        <v>0</v>
      </c>
      <c r="BC1997" s="50"/>
    </row>
    <row r="1998" spans="1:55" s="48" customFormat="1" ht="27.75" customHeight="1" outlineLevel="1" x14ac:dyDescent="0.25">
      <c r="A1998" s="42">
        <v>19</v>
      </c>
      <c r="B1998" s="43" t="s">
        <v>1164</v>
      </c>
      <c r="C1998" s="44" t="s">
        <v>93</v>
      </c>
      <c r="D1998" s="45">
        <v>2</v>
      </c>
      <c r="E1998" s="45">
        <v>53.721400000000003</v>
      </c>
      <c r="F1998" s="45">
        <f t="shared" si="482"/>
        <v>107.44280000000001</v>
      </c>
      <c r="G1998" s="46">
        <f t="shared" si="483"/>
        <v>0</v>
      </c>
      <c r="H1998" s="47">
        <f t="shared" si="484"/>
        <v>0</v>
      </c>
      <c r="I1998" s="46">
        <f t="shared" si="485"/>
        <v>0</v>
      </c>
      <c r="J1998" s="47">
        <v>0</v>
      </c>
      <c r="K1998" s="46">
        <f t="shared" si="486"/>
        <v>0</v>
      </c>
      <c r="L1998" s="47">
        <v>0</v>
      </c>
      <c r="AX1998" s="46">
        <v>0</v>
      </c>
      <c r="AY1998" s="47">
        <v>0</v>
      </c>
      <c r="AZ1998" s="70">
        <f t="shared" si="487"/>
        <v>0</v>
      </c>
      <c r="BC1998" s="50"/>
    </row>
    <row r="1999" spans="1:55" s="48" customFormat="1" ht="15.45" customHeight="1" outlineLevel="1" x14ac:dyDescent="0.25">
      <c r="A1999" s="42">
        <v>20</v>
      </c>
      <c r="B1999" s="43" t="s">
        <v>1165</v>
      </c>
      <c r="C1999" s="44" t="s">
        <v>93</v>
      </c>
      <c r="D1999" s="45">
        <v>2</v>
      </c>
      <c r="E1999" s="45">
        <v>169.98920000000001</v>
      </c>
      <c r="F1999" s="45">
        <f t="shared" si="482"/>
        <v>339.97840000000002</v>
      </c>
      <c r="G1999" s="46">
        <f t="shared" si="483"/>
        <v>0</v>
      </c>
      <c r="H1999" s="47">
        <f t="shared" si="484"/>
        <v>0</v>
      </c>
      <c r="I1999" s="46">
        <f t="shared" si="485"/>
        <v>0</v>
      </c>
      <c r="J1999" s="47">
        <v>0</v>
      </c>
      <c r="K1999" s="46">
        <f t="shared" si="486"/>
        <v>0</v>
      </c>
      <c r="L1999" s="47">
        <v>0</v>
      </c>
      <c r="AX1999" s="46">
        <v>0</v>
      </c>
      <c r="AY1999" s="47">
        <v>0</v>
      </c>
      <c r="AZ1999" s="70">
        <f t="shared" si="487"/>
        <v>0</v>
      </c>
      <c r="BC1999" s="50"/>
    </row>
    <row r="2000" spans="1:55" s="48" customFormat="1" ht="27.75" customHeight="1" outlineLevel="1" x14ac:dyDescent="0.25">
      <c r="A2000" s="42">
        <v>21</v>
      </c>
      <c r="B2000" s="43" t="s">
        <v>1166</v>
      </c>
      <c r="C2000" s="44" t="s">
        <v>93</v>
      </c>
      <c r="D2000" s="45">
        <v>4</v>
      </c>
      <c r="E2000" s="45">
        <v>22.2544</v>
      </c>
      <c r="F2000" s="45">
        <f t="shared" si="482"/>
        <v>89.017600000000002</v>
      </c>
      <c r="G2000" s="46">
        <f t="shared" si="483"/>
        <v>0</v>
      </c>
      <c r="H2000" s="47">
        <f t="shared" si="484"/>
        <v>0</v>
      </c>
      <c r="I2000" s="46">
        <f t="shared" si="485"/>
        <v>0</v>
      </c>
      <c r="J2000" s="47">
        <v>0</v>
      </c>
      <c r="K2000" s="46">
        <f t="shared" si="486"/>
        <v>0</v>
      </c>
      <c r="L2000" s="47">
        <v>0</v>
      </c>
      <c r="AX2000" s="46">
        <v>0</v>
      </c>
      <c r="AY2000" s="47">
        <v>0</v>
      </c>
      <c r="AZ2000" s="70">
        <f t="shared" si="487"/>
        <v>0</v>
      </c>
      <c r="BC2000" s="50"/>
    </row>
    <row r="2001" spans="1:55" s="48" customFormat="1" ht="15.45" customHeight="1" outlineLevel="1" x14ac:dyDescent="0.25">
      <c r="A2001" s="42">
        <v>22</v>
      </c>
      <c r="B2001" s="43" t="s">
        <v>1167</v>
      </c>
      <c r="C2001" s="44" t="s">
        <v>93</v>
      </c>
      <c r="D2001" s="45">
        <v>4</v>
      </c>
      <c r="E2001" s="45">
        <v>42.6524</v>
      </c>
      <c r="F2001" s="45">
        <f t="shared" si="482"/>
        <v>170.6096</v>
      </c>
      <c r="G2001" s="46">
        <f t="shared" si="483"/>
        <v>0</v>
      </c>
      <c r="H2001" s="47">
        <f t="shared" si="484"/>
        <v>0</v>
      </c>
      <c r="I2001" s="46">
        <f t="shared" si="485"/>
        <v>0</v>
      </c>
      <c r="J2001" s="47">
        <v>0</v>
      </c>
      <c r="K2001" s="46">
        <f t="shared" si="486"/>
        <v>0</v>
      </c>
      <c r="L2001" s="47">
        <v>0</v>
      </c>
      <c r="AX2001" s="46">
        <v>0.30972358821269069</v>
      </c>
      <c r="AY2001" s="47">
        <v>22803.201150467241</v>
      </c>
      <c r="AZ2001" s="70">
        <f t="shared" si="487"/>
        <v>0</v>
      </c>
      <c r="BC2001" s="50"/>
    </row>
    <row r="2002" spans="1:55" s="48" customFormat="1" ht="27.75" customHeight="1" outlineLevel="1" x14ac:dyDescent="0.25">
      <c r="A2002" s="42">
        <v>23</v>
      </c>
      <c r="B2002" s="43" t="s">
        <v>1168</v>
      </c>
      <c r="C2002" s="44" t="s">
        <v>93</v>
      </c>
      <c r="D2002" s="45">
        <v>4</v>
      </c>
      <c r="E2002" s="45">
        <v>24.129200000000001</v>
      </c>
      <c r="F2002" s="45">
        <f t="shared" si="482"/>
        <v>96.516800000000003</v>
      </c>
      <c r="G2002" s="46">
        <f t="shared" si="483"/>
        <v>0</v>
      </c>
      <c r="H2002" s="47">
        <f t="shared" si="484"/>
        <v>0</v>
      </c>
      <c r="I2002" s="46">
        <f t="shared" si="485"/>
        <v>0</v>
      </c>
      <c r="J2002" s="47">
        <v>0</v>
      </c>
      <c r="K2002" s="46">
        <f t="shared" si="486"/>
        <v>0</v>
      </c>
      <c r="L2002" s="47">
        <v>0</v>
      </c>
      <c r="AX2002" s="46">
        <v>0.2449552084901363</v>
      </c>
      <c r="AY2002" s="47">
        <v>6773.6078914481104</v>
      </c>
      <c r="AZ2002" s="70">
        <f t="shared" si="487"/>
        <v>0</v>
      </c>
      <c r="BC2002" s="50"/>
    </row>
    <row r="2003" spans="1:55" s="48" customFormat="1" ht="27.75" customHeight="1" outlineLevel="1" x14ac:dyDescent="0.25">
      <c r="A2003" s="42">
        <v>24</v>
      </c>
      <c r="B2003" s="43" t="s">
        <v>203</v>
      </c>
      <c r="C2003" s="44" t="s">
        <v>93</v>
      </c>
      <c r="D2003" s="45">
        <v>8</v>
      </c>
      <c r="E2003" s="45">
        <v>6.4423999999999992</v>
      </c>
      <c r="F2003" s="45">
        <f t="shared" si="482"/>
        <v>51.539199999999994</v>
      </c>
      <c r="G2003" s="46">
        <f t="shared" si="483"/>
        <v>0</v>
      </c>
      <c r="H2003" s="47">
        <f t="shared" si="484"/>
        <v>0</v>
      </c>
      <c r="I2003" s="46">
        <f t="shared" si="485"/>
        <v>0</v>
      </c>
      <c r="J2003" s="47">
        <v>0</v>
      </c>
      <c r="K2003" s="46">
        <f t="shared" si="486"/>
        <v>0</v>
      </c>
      <c r="L2003" s="47">
        <v>0</v>
      </c>
      <c r="AX2003" s="46">
        <v>0.44645611890858689</v>
      </c>
      <c r="AY2003" s="47">
        <v>6859.5267351305883</v>
      </c>
      <c r="AZ2003" s="70">
        <f t="shared" si="487"/>
        <v>0</v>
      </c>
      <c r="BC2003" s="50"/>
    </row>
    <row r="2004" spans="1:55" s="48" customFormat="1" ht="15.45" customHeight="1" outlineLevel="1" x14ac:dyDescent="0.25">
      <c r="A2004" s="42">
        <v>25</v>
      </c>
      <c r="B2004" s="43" t="s">
        <v>1169</v>
      </c>
      <c r="C2004" s="44" t="s">
        <v>93</v>
      </c>
      <c r="D2004" s="45">
        <v>2</v>
      </c>
      <c r="E2004" s="45">
        <v>10.646800000000001</v>
      </c>
      <c r="F2004" s="45">
        <f t="shared" si="482"/>
        <v>21.293600000000001</v>
      </c>
      <c r="G2004" s="46">
        <f t="shared" si="483"/>
        <v>0</v>
      </c>
      <c r="H2004" s="47">
        <f t="shared" si="484"/>
        <v>0</v>
      </c>
      <c r="I2004" s="46">
        <f t="shared" si="485"/>
        <v>0</v>
      </c>
      <c r="J2004" s="47">
        <v>0</v>
      </c>
      <c r="K2004" s="46">
        <f t="shared" si="486"/>
        <v>0</v>
      </c>
      <c r="L2004" s="47">
        <v>0</v>
      </c>
      <c r="AX2004" s="46">
        <v>0</v>
      </c>
      <c r="AY2004" s="47">
        <v>0</v>
      </c>
      <c r="AZ2004" s="70">
        <f t="shared" si="487"/>
        <v>0</v>
      </c>
      <c r="BC2004" s="50"/>
    </row>
    <row r="2005" spans="1:55" s="48" customFormat="1" ht="15.45" customHeight="1" outlineLevel="1" x14ac:dyDescent="0.25">
      <c r="A2005" s="42">
        <v>26</v>
      </c>
      <c r="B2005" s="43" t="s">
        <v>1170</v>
      </c>
      <c r="C2005" s="44" t="s">
        <v>61</v>
      </c>
      <c r="D2005" s="45">
        <v>40</v>
      </c>
      <c r="E2005" s="45">
        <v>4.4431999999999992</v>
      </c>
      <c r="F2005" s="45">
        <f t="shared" si="482"/>
        <v>177.72799999999995</v>
      </c>
      <c r="G2005" s="46">
        <f t="shared" si="483"/>
        <v>0</v>
      </c>
      <c r="H2005" s="47">
        <f t="shared" si="484"/>
        <v>0</v>
      </c>
      <c r="I2005" s="46">
        <f t="shared" si="485"/>
        <v>0</v>
      </c>
      <c r="J2005" s="47">
        <v>0</v>
      </c>
      <c r="K2005" s="46">
        <f t="shared" si="486"/>
        <v>0</v>
      </c>
      <c r="L2005" s="47">
        <v>0</v>
      </c>
      <c r="AX2005" s="46">
        <v>0</v>
      </c>
      <c r="AY2005" s="47">
        <v>0</v>
      </c>
      <c r="AZ2005" s="70">
        <f t="shared" si="487"/>
        <v>0</v>
      </c>
      <c r="BC2005" s="50"/>
    </row>
    <row r="2006" spans="1:55" s="48" customFormat="1" ht="15.45" customHeight="1" outlineLevel="1" x14ac:dyDescent="0.25">
      <c r="A2006" s="42">
        <v>27</v>
      </c>
      <c r="B2006" s="43" t="s">
        <v>1171</v>
      </c>
      <c r="C2006" s="44" t="s">
        <v>110</v>
      </c>
      <c r="D2006" s="45">
        <v>10</v>
      </c>
      <c r="E2006" s="45">
        <v>173.602</v>
      </c>
      <c r="F2006" s="45">
        <f t="shared" si="482"/>
        <v>1736.02</v>
      </c>
      <c r="G2006" s="46">
        <f t="shared" si="483"/>
        <v>0</v>
      </c>
      <c r="H2006" s="47">
        <f t="shared" si="484"/>
        <v>0</v>
      </c>
      <c r="I2006" s="46">
        <f t="shared" si="485"/>
        <v>0</v>
      </c>
      <c r="J2006" s="47">
        <v>0</v>
      </c>
      <c r="K2006" s="46">
        <f t="shared" si="486"/>
        <v>0</v>
      </c>
      <c r="L2006" s="47">
        <v>0</v>
      </c>
      <c r="AX2006" s="46">
        <v>0</v>
      </c>
      <c r="AY2006" s="47">
        <v>0</v>
      </c>
      <c r="AZ2006" s="70">
        <f t="shared" si="487"/>
        <v>0</v>
      </c>
      <c r="BC2006" s="50"/>
    </row>
    <row r="2007" spans="1:55" s="48" customFormat="1" ht="15.45" customHeight="1" outlineLevel="1" x14ac:dyDescent="0.25">
      <c r="A2007" s="42">
        <v>28</v>
      </c>
      <c r="B2007" s="43" t="s">
        <v>1172</v>
      </c>
      <c r="C2007" s="44" t="s">
        <v>110</v>
      </c>
      <c r="D2007" s="45">
        <v>10</v>
      </c>
      <c r="E2007" s="45">
        <v>85.0946</v>
      </c>
      <c r="F2007" s="45">
        <f t="shared" si="482"/>
        <v>850.94600000000003</v>
      </c>
      <c r="G2007" s="46">
        <f t="shared" si="483"/>
        <v>0</v>
      </c>
      <c r="H2007" s="47">
        <f t="shared" si="484"/>
        <v>0</v>
      </c>
      <c r="I2007" s="46">
        <f t="shared" si="485"/>
        <v>0</v>
      </c>
      <c r="J2007" s="47">
        <v>0</v>
      </c>
      <c r="K2007" s="46">
        <f t="shared" si="486"/>
        <v>0</v>
      </c>
      <c r="L2007" s="47">
        <v>0</v>
      </c>
      <c r="AX2007" s="46">
        <v>0.30074574771976259</v>
      </c>
      <c r="AY2007" s="47">
        <v>1168.3312254350551</v>
      </c>
      <c r="AZ2007" s="70">
        <f t="shared" si="487"/>
        <v>0</v>
      </c>
      <c r="BC2007" s="50"/>
    </row>
    <row r="2008" spans="1:55" s="48" customFormat="1" ht="15.45" customHeight="1" outlineLevel="1" x14ac:dyDescent="0.25">
      <c r="A2008" s="42">
        <v>29</v>
      </c>
      <c r="B2008" s="43" t="s">
        <v>1173</v>
      </c>
      <c r="C2008" s="44" t="s">
        <v>93</v>
      </c>
      <c r="D2008" s="45">
        <v>5</v>
      </c>
      <c r="E2008" s="45">
        <v>187.47200000000001</v>
      </c>
      <c r="F2008" s="45">
        <f t="shared" si="482"/>
        <v>937.36</v>
      </c>
      <c r="G2008" s="46">
        <f t="shared" si="483"/>
        <v>0</v>
      </c>
      <c r="H2008" s="47">
        <f t="shared" si="484"/>
        <v>0</v>
      </c>
      <c r="I2008" s="46">
        <f t="shared" si="485"/>
        <v>0</v>
      </c>
      <c r="J2008" s="47">
        <v>0</v>
      </c>
      <c r="K2008" s="46">
        <f t="shared" si="486"/>
        <v>0</v>
      </c>
      <c r="L2008" s="47">
        <v>0</v>
      </c>
      <c r="AX2008" s="46">
        <v>0.2449552084901363</v>
      </c>
      <c r="AY2008" s="47">
        <v>12700.51479646521</v>
      </c>
      <c r="AZ2008" s="70">
        <f t="shared" si="487"/>
        <v>0</v>
      </c>
      <c r="BC2008" s="50"/>
    </row>
    <row r="2009" spans="1:55" s="56" customFormat="1" ht="17.25" customHeight="1" x14ac:dyDescent="0.3">
      <c r="A2009" s="31">
        <v>17.2</v>
      </c>
      <c r="B2009" s="51" t="s">
        <v>1174</v>
      </c>
      <c r="C2009" s="52">
        <v>0</v>
      </c>
      <c r="D2009" s="53"/>
      <c r="E2009" s="53"/>
      <c r="F2009" s="53"/>
      <c r="G2009" s="54"/>
      <c r="H2009" s="55"/>
      <c r="I2009" s="54"/>
      <c r="J2009" s="55"/>
      <c r="K2009" s="54"/>
      <c r="L2009" s="55">
        <v>0</v>
      </c>
      <c r="AX2009" s="69">
        <v>0.44643366439139198</v>
      </c>
      <c r="AY2009" s="71">
        <v>4260.3613261680666</v>
      </c>
      <c r="AZ2009" s="72">
        <f t="shared" si="487"/>
        <v>0</v>
      </c>
      <c r="BC2009" s="58"/>
    </row>
    <row r="2010" spans="1:55" s="48" customFormat="1" ht="27.75" customHeight="1" outlineLevel="1" x14ac:dyDescent="0.25">
      <c r="A2010" s="42">
        <v>1</v>
      </c>
      <c r="B2010" s="43" t="s">
        <v>1155</v>
      </c>
      <c r="C2010" s="44" t="s">
        <v>110</v>
      </c>
      <c r="D2010" s="45">
        <v>403</v>
      </c>
      <c r="E2010" s="45">
        <v>0.84182000000000001</v>
      </c>
      <c r="F2010" s="45">
        <f t="shared" ref="F2010:F2023" si="488">+E2010*D2010</f>
        <v>339.25346000000002</v>
      </c>
      <c r="G2010" s="46">
        <f t="shared" ref="G2010:G2023" si="489">I2010+K2010</f>
        <v>0</v>
      </c>
      <c r="H2010" s="47">
        <f t="shared" ref="H2010:H2023" si="490">J2010+L2010</f>
        <v>0</v>
      </c>
      <c r="I2010" s="46">
        <f t="shared" ref="I2010:I2023" si="491">J2010/F2010</f>
        <v>0</v>
      </c>
      <c r="J2010" s="47">
        <v>0</v>
      </c>
      <c r="K2010" s="46">
        <f t="shared" ref="K2010:K2023" si="492">L2010/F2010</f>
        <v>0</v>
      </c>
      <c r="L2010" s="47">
        <v>0</v>
      </c>
      <c r="AX2010" s="46">
        <v>0</v>
      </c>
      <c r="AY2010" s="47">
        <v>0</v>
      </c>
      <c r="AZ2010" s="70">
        <f t="shared" si="487"/>
        <v>0</v>
      </c>
      <c r="BC2010" s="50"/>
    </row>
    <row r="2011" spans="1:55" s="48" customFormat="1" ht="27.75" customHeight="1" outlineLevel="1" x14ac:dyDescent="0.25">
      <c r="A2011" s="42">
        <v>2</v>
      </c>
      <c r="B2011" s="43" t="s">
        <v>788</v>
      </c>
      <c r="C2011" s="44" t="s">
        <v>110</v>
      </c>
      <c r="D2011" s="45">
        <v>17</v>
      </c>
      <c r="E2011" s="45">
        <v>22.948</v>
      </c>
      <c r="F2011" s="45">
        <f t="shared" si="488"/>
        <v>390.11599999999999</v>
      </c>
      <c r="G2011" s="46">
        <f t="shared" si="489"/>
        <v>0</v>
      </c>
      <c r="H2011" s="47">
        <f t="shared" si="490"/>
        <v>0</v>
      </c>
      <c r="I2011" s="46">
        <f t="shared" si="491"/>
        <v>0</v>
      </c>
      <c r="J2011" s="47">
        <v>0</v>
      </c>
      <c r="K2011" s="46">
        <f t="shared" si="492"/>
        <v>0</v>
      </c>
      <c r="L2011" s="47">
        <v>0</v>
      </c>
      <c r="AX2011" s="46">
        <v>0</v>
      </c>
      <c r="AY2011" s="47">
        <v>0</v>
      </c>
      <c r="AZ2011" s="70">
        <f t="shared" si="487"/>
        <v>0</v>
      </c>
      <c r="BC2011" s="50"/>
    </row>
    <row r="2012" spans="1:55" s="48" customFormat="1" ht="27.75" customHeight="1" outlineLevel="1" x14ac:dyDescent="0.25">
      <c r="A2012" s="42">
        <v>3</v>
      </c>
      <c r="B2012" s="43" t="s">
        <v>649</v>
      </c>
      <c r="C2012" s="44" t="s">
        <v>110</v>
      </c>
      <c r="D2012" s="45">
        <v>312</v>
      </c>
      <c r="E2012" s="45">
        <v>1.4137999999999999</v>
      </c>
      <c r="F2012" s="45">
        <f t="shared" si="488"/>
        <v>441.10559999999998</v>
      </c>
      <c r="G2012" s="46">
        <f t="shared" si="489"/>
        <v>0</v>
      </c>
      <c r="H2012" s="47">
        <f t="shared" si="490"/>
        <v>0</v>
      </c>
      <c r="I2012" s="46">
        <f t="shared" si="491"/>
        <v>0</v>
      </c>
      <c r="J2012" s="47">
        <v>0</v>
      </c>
      <c r="K2012" s="46">
        <f t="shared" si="492"/>
        <v>0</v>
      </c>
      <c r="L2012" s="47">
        <v>0</v>
      </c>
      <c r="AX2012" s="46">
        <v>0</v>
      </c>
      <c r="AY2012" s="47">
        <v>0</v>
      </c>
      <c r="AZ2012" s="70">
        <f t="shared" si="487"/>
        <v>0</v>
      </c>
      <c r="BC2012" s="50"/>
    </row>
    <row r="2013" spans="1:55" s="48" customFormat="1" ht="15.45" customHeight="1" outlineLevel="1" x14ac:dyDescent="0.25">
      <c r="A2013" s="42">
        <v>4</v>
      </c>
      <c r="B2013" s="43" t="s">
        <v>166</v>
      </c>
      <c r="C2013" s="44" t="s">
        <v>110</v>
      </c>
      <c r="D2013" s="45">
        <v>24</v>
      </c>
      <c r="E2013" s="45">
        <v>8.16</v>
      </c>
      <c r="F2013" s="45">
        <f t="shared" si="488"/>
        <v>195.84</v>
      </c>
      <c r="G2013" s="46">
        <f t="shared" si="489"/>
        <v>0</v>
      </c>
      <c r="H2013" s="47">
        <f t="shared" si="490"/>
        <v>0</v>
      </c>
      <c r="I2013" s="46">
        <f t="shared" si="491"/>
        <v>0</v>
      </c>
      <c r="J2013" s="47">
        <v>0</v>
      </c>
      <c r="K2013" s="46">
        <f t="shared" si="492"/>
        <v>0</v>
      </c>
      <c r="L2013" s="47">
        <v>0</v>
      </c>
      <c r="AX2013" s="46">
        <v>0</v>
      </c>
      <c r="AY2013" s="47">
        <v>0</v>
      </c>
      <c r="AZ2013" s="70">
        <f t="shared" si="487"/>
        <v>0</v>
      </c>
      <c r="BC2013" s="50"/>
    </row>
    <row r="2014" spans="1:55" s="48" customFormat="1" ht="15.45" customHeight="1" outlineLevel="1" x14ac:dyDescent="0.25">
      <c r="A2014" s="42">
        <v>5</v>
      </c>
      <c r="B2014" s="43" t="s">
        <v>37</v>
      </c>
      <c r="C2014" s="44" t="s">
        <v>110</v>
      </c>
      <c r="D2014" s="45">
        <v>336</v>
      </c>
      <c r="E2014" s="45">
        <v>2</v>
      </c>
      <c r="F2014" s="45">
        <f t="shared" si="488"/>
        <v>672</v>
      </c>
      <c r="G2014" s="46">
        <f t="shared" si="489"/>
        <v>0</v>
      </c>
      <c r="H2014" s="47">
        <f t="shared" si="490"/>
        <v>0</v>
      </c>
      <c r="I2014" s="46">
        <f t="shared" si="491"/>
        <v>0</v>
      </c>
      <c r="J2014" s="47">
        <v>0</v>
      </c>
      <c r="K2014" s="46">
        <f t="shared" si="492"/>
        <v>0</v>
      </c>
      <c r="L2014" s="47">
        <v>0</v>
      </c>
      <c r="AX2014" s="46">
        <v>0</v>
      </c>
      <c r="AY2014" s="47">
        <v>0</v>
      </c>
      <c r="AZ2014" s="70">
        <f t="shared" si="487"/>
        <v>0</v>
      </c>
      <c r="BC2014" s="50"/>
    </row>
    <row r="2015" spans="1:55" s="48" customFormat="1" ht="27.75" customHeight="1" outlineLevel="1" x14ac:dyDescent="0.25">
      <c r="A2015" s="42">
        <v>6</v>
      </c>
      <c r="B2015" s="43" t="s">
        <v>803</v>
      </c>
      <c r="C2015" s="44" t="s">
        <v>110</v>
      </c>
      <c r="D2015" s="45">
        <v>84</v>
      </c>
      <c r="E2015" s="45">
        <v>7.5255999999999998</v>
      </c>
      <c r="F2015" s="45">
        <f t="shared" si="488"/>
        <v>632.15039999999999</v>
      </c>
      <c r="G2015" s="46">
        <f t="shared" si="489"/>
        <v>0</v>
      </c>
      <c r="H2015" s="47">
        <f t="shared" si="490"/>
        <v>0</v>
      </c>
      <c r="I2015" s="46">
        <f t="shared" si="491"/>
        <v>0</v>
      </c>
      <c r="J2015" s="47">
        <v>0</v>
      </c>
      <c r="K2015" s="46">
        <f t="shared" si="492"/>
        <v>0</v>
      </c>
      <c r="L2015" s="47">
        <v>0</v>
      </c>
      <c r="AX2015" s="46">
        <v>0</v>
      </c>
      <c r="AY2015" s="47">
        <v>0</v>
      </c>
      <c r="AZ2015" s="70">
        <f t="shared" si="487"/>
        <v>0</v>
      </c>
      <c r="BC2015" s="50"/>
    </row>
    <row r="2016" spans="1:55" s="48" customFormat="1" ht="15.45" customHeight="1" outlineLevel="1" x14ac:dyDescent="0.25">
      <c r="A2016" s="42">
        <v>7</v>
      </c>
      <c r="B2016" s="43" t="s">
        <v>29</v>
      </c>
      <c r="C2016" s="44" t="s">
        <v>28</v>
      </c>
      <c r="D2016" s="45">
        <v>147</v>
      </c>
      <c r="E2016" s="45">
        <v>1.63</v>
      </c>
      <c r="F2016" s="45">
        <f t="shared" si="488"/>
        <v>239.60999999999999</v>
      </c>
      <c r="G2016" s="46">
        <f t="shared" si="489"/>
        <v>0</v>
      </c>
      <c r="H2016" s="47">
        <f t="shared" si="490"/>
        <v>0</v>
      </c>
      <c r="I2016" s="46">
        <f t="shared" si="491"/>
        <v>0</v>
      </c>
      <c r="J2016" s="47">
        <v>0</v>
      </c>
      <c r="K2016" s="46">
        <f t="shared" si="492"/>
        <v>0</v>
      </c>
      <c r="L2016" s="47">
        <v>0</v>
      </c>
      <c r="AX2016" s="46">
        <v>0.62017288711832197</v>
      </c>
      <c r="AY2016" s="47">
        <v>2404.8000000000002</v>
      </c>
      <c r="AZ2016" s="70">
        <f t="shared" si="487"/>
        <v>0</v>
      </c>
      <c r="BC2016" s="50"/>
    </row>
    <row r="2017" spans="1:55" s="48" customFormat="1" ht="27.75" customHeight="1" outlineLevel="1" x14ac:dyDescent="0.25">
      <c r="A2017" s="42">
        <v>8</v>
      </c>
      <c r="B2017" s="43" t="s">
        <v>1175</v>
      </c>
      <c r="C2017" s="44" t="s">
        <v>992</v>
      </c>
      <c r="D2017" s="45">
        <v>0.23</v>
      </c>
      <c r="E2017" s="45">
        <v>5021.0704000000014</v>
      </c>
      <c r="F2017" s="45">
        <f t="shared" si="488"/>
        <v>1154.8461920000004</v>
      </c>
      <c r="G2017" s="46">
        <f t="shared" si="489"/>
        <v>0</v>
      </c>
      <c r="H2017" s="47">
        <f t="shared" si="490"/>
        <v>0</v>
      </c>
      <c r="I2017" s="46">
        <f t="shared" si="491"/>
        <v>0</v>
      </c>
      <c r="J2017" s="47">
        <v>0</v>
      </c>
      <c r="K2017" s="46">
        <f t="shared" si="492"/>
        <v>0</v>
      </c>
      <c r="L2017" s="47">
        <v>0</v>
      </c>
      <c r="AX2017" s="46">
        <v>0.50198481879540013</v>
      </c>
      <c r="AY2017" s="47">
        <v>1349.6524312639999</v>
      </c>
      <c r="AZ2017" s="70">
        <f t="shared" si="487"/>
        <v>0</v>
      </c>
      <c r="BC2017" s="50"/>
    </row>
    <row r="2018" spans="1:55" s="48" customFormat="1" ht="43.2" customHeight="1" outlineLevel="1" x14ac:dyDescent="0.25">
      <c r="A2018" s="42">
        <v>9</v>
      </c>
      <c r="B2018" s="43" t="s">
        <v>1176</v>
      </c>
      <c r="C2018" s="44" t="s">
        <v>61</v>
      </c>
      <c r="D2018" s="45">
        <v>230</v>
      </c>
      <c r="E2018" s="45">
        <v>7.3807999999999998</v>
      </c>
      <c r="F2018" s="45">
        <f t="shared" si="488"/>
        <v>1697.5840000000001</v>
      </c>
      <c r="G2018" s="46">
        <f t="shared" si="489"/>
        <v>0</v>
      </c>
      <c r="H2018" s="47">
        <f t="shared" si="490"/>
        <v>0</v>
      </c>
      <c r="I2018" s="46">
        <f t="shared" si="491"/>
        <v>0</v>
      </c>
      <c r="J2018" s="47">
        <v>0</v>
      </c>
      <c r="K2018" s="46">
        <f t="shared" si="492"/>
        <v>0</v>
      </c>
      <c r="L2018" s="47">
        <v>0</v>
      </c>
      <c r="AX2018" s="46">
        <v>0</v>
      </c>
      <c r="AY2018" s="47">
        <v>0</v>
      </c>
      <c r="AZ2018" s="70">
        <f t="shared" si="487"/>
        <v>0</v>
      </c>
      <c r="BC2018" s="50"/>
    </row>
    <row r="2019" spans="1:55" s="48" customFormat="1" ht="27.75" customHeight="1" outlineLevel="1" x14ac:dyDescent="0.25">
      <c r="A2019" s="42">
        <v>10</v>
      </c>
      <c r="B2019" s="43" t="s">
        <v>1177</v>
      </c>
      <c r="C2019" s="44" t="s">
        <v>110</v>
      </c>
      <c r="D2019" s="45">
        <v>3.65</v>
      </c>
      <c r="E2019" s="45">
        <v>224.5</v>
      </c>
      <c r="F2019" s="45">
        <f t="shared" si="488"/>
        <v>819.42499999999995</v>
      </c>
      <c r="G2019" s="46">
        <f t="shared" si="489"/>
        <v>0</v>
      </c>
      <c r="H2019" s="47">
        <f t="shared" si="490"/>
        <v>0</v>
      </c>
      <c r="I2019" s="46">
        <f t="shared" si="491"/>
        <v>0</v>
      </c>
      <c r="J2019" s="47">
        <v>0</v>
      </c>
      <c r="K2019" s="46">
        <f t="shared" si="492"/>
        <v>0</v>
      </c>
      <c r="L2019" s="47">
        <v>0</v>
      </c>
      <c r="AX2019" s="46">
        <v>0</v>
      </c>
      <c r="AY2019" s="47">
        <v>0</v>
      </c>
      <c r="AZ2019" s="70">
        <f t="shared" si="487"/>
        <v>0</v>
      </c>
      <c r="BC2019" s="50"/>
    </row>
    <row r="2020" spans="1:55" s="48" customFormat="1" ht="27.75" customHeight="1" outlineLevel="1" x14ac:dyDescent="0.25">
      <c r="A2020" s="42">
        <v>11</v>
      </c>
      <c r="B2020" s="43" t="s">
        <v>1178</v>
      </c>
      <c r="C2020" s="44" t="s">
        <v>110</v>
      </c>
      <c r="D2020" s="45">
        <v>19.77</v>
      </c>
      <c r="E2020" s="45">
        <v>282.53800000000001</v>
      </c>
      <c r="F2020" s="45">
        <f t="shared" si="488"/>
        <v>5585.7762600000005</v>
      </c>
      <c r="G2020" s="46">
        <f t="shared" si="489"/>
        <v>0</v>
      </c>
      <c r="H2020" s="47">
        <f t="shared" si="490"/>
        <v>0</v>
      </c>
      <c r="I2020" s="46">
        <f t="shared" si="491"/>
        <v>0</v>
      </c>
      <c r="J2020" s="47">
        <v>0</v>
      </c>
      <c r="K2020" s="46">
        <f t="shared" si="492"/>
        <v>0</v>
      </c>
      <c r="L2020" s="47">
        <v>0</v>
      </c>
      <c r="AX2020" s="46">
        <v>0.49528185486995763</v>
      </c>
      <c r="AY2020" s="47">
        <v>830.85016999999993</v>
      </c>
      <c r="AZ2020" s="70">
        <f t="shared" si="487"/>
        <v>0</v>
      </c>
      <c r="BC2020" s="50"/>
    </row>
    <row r="2021" spans="1:55" s="48" customFormat="1" ht="15.45" customHeight="1" outlineLevel="1" x14ac:dyDescent="0.25">
      <c r="A2021" s="42">
        <v>12</v>
      </c>
      <c r="B2021" s="43" t="s">
        <v>1172</v>
      </c>
      <c r="C2021" s="44" t="s">
        <v>110</v>
      </c>
      <c r="D2021" s="45">
        <v>23.42</v>
      </c>
      <c r="E2021" s="45">
        <v>85.0946</v>
      </c>
      <c r="F2021" s="45">
        <f t="shared" si="488"/>
        <v>1992.9155320000002</v>
      </c>
      <c r="G2021" s="46">
        <f t="shared" si="489"/>
        <v>0</v>
      </c>
      <c r="H2021" s="47">
        <f t="shared" si="490"/>
        <v>0</v>
      </c>
      <c r="I2021" s="46">
        <f t="shared" si="491"/>
        <v>0</v>
      </c>
      <c r="J2021" s="47">
        <v>0</v>
      </c>
      <c r="K2021" s="46">
        <f t="shared" si="492"/>
        <v>0</v>
      </c>
      <c r="L2021" s="47">
        <v>0</v>
      </c>
      <c r="AX2021" s="46">
        <v>0.6202058969858999</v>
      </c>
      <c r="AY2021" s="47">
        <v>283.60000000000002</v>
      </c>
      <c r="AZ2021" s="70">
        <f t="shared" si="487"/>
        <v>0</v>
      </c>
      <c r="BC2021" s="50"/>
    </row>
    <row r="2022" spans="1:55" s="59" customFormat="1" ht="17.7" customHeight="1" outlineLevel="1" x14ac:dyDescent="0.35">
      <c r="A2022" s="42">
        <v>13</v>
      </c>
      <c r="B2022" s="43" t="s">
        <v>1173</v>
      </c>
      <c r="C2022" s="44" t="s">
        <v>93</v>
      </c>
      <c r="D2022" s="45">
        <v>19</v>
      </c>
      <c r="E2022" s="45">
        <v>187.47200000000001</v>
      </c>
      <c r="F2022" s="45">
        <f t="shared" si="488"/>
        <v>3561.9680000000003</v>
      </c>
      <c r="G2022" s="46">
        <f t="shared" si="489"/>
        <v>0</v>
      </c>
      <c r="H2022" s="47">
        <f t="shared" si="490"/>
        <v>0</v>
      </c>
      <c r="I2022" s="46">
        <f t="shared" si="491"/>
        <v>0</v>
      </c>
      <c r="J2022" s="47">
        <v>0</v>
      </c>
      <c r="K2022" s="46">
        <f t="shared" si="492"/>
        <v>0</v>
      </c>
      <c r="L2022" s="47">
        <v>0</v>
      </c>
      <c r="AX2022" s="73">
        <v>0.49997244819191239</v>
      </c>
      <c r="AY2022" s="74">
        <v>315.24614783999988</v>
      </c>
      <c r="AZ2022" s="75">
        <f t="shared" si="487"/>
        <v>0</v>
      </c>
      <c r="BC2022" s="61"/>
    </row>
    <row r="2023" spans="1:55" s="59" customFormat="1" ht="17.7" customHeight="1" outlineLevel="1" x14ac:dyDescent="0.35">
      <c r="A2023" s="42">
        <v>14</v>
      </c>
      <c r="B2023" s="43" t="s">
        <v>1179</v>
      </c>
      <c r="C2023" s="44" t="s">
        <v>93</v>
      </c>
      <c r="D2023" s="45">
        <v>1</v>
      </c>
      <c r="E2023" s="45">
        <v>3736.9088000000002</v>
      </c>
      <c r="F2023" s="45">
        <f t="shared" si="488"/>
        <v>3736.9088000000002</v>
      </c>
      <c r="G2023" s="46">
        <f t="shared" si="489"/>
        <v>0</v>
      </c>
      <c r="H2023" s="47">
        <f t="shared" si="490"/>
        <v>0</v>
      </c>
      <c r="I2023" s="46">
        <f t="shared" si="491"/>
        <v>0</v>
      </c>
      <c r="J2023" s="47">
        <v>0</v>
      </c>
      <c r="K2023" s="46">
        <f t="shared" si="492"/>
        <v>0</v>
      </c>
      <c r="L2023" s="47">
        <v>0</v>
      </c>
      <c r="AX2023" s="73">
        <v>0</v>
      </c>
      <c r="AY2023" s="74">
        <v>0</v>
      </c>
      <c r="AZ2023" s="75">
        <f t="shared" si="487"/>
        <v>0</v>
      </c>
      <c r="BC2023" s="61"/>
    </row>
    <row r="2024" spans="1:55" s="56" customFormat="1" ht="17.25" customHeight="1" x14ac:dyDescent="0.3">
      <c r="A2024" s="31">
        <v>18.100000000000001</v>
      </c>
      <c r="B2024" s="51" t="s">
        <v>1180</v>
      </c>
      <c r="C2024" s="52">
        <v>0</v>
      </c>
      <c r="D2024" s="53"/>
      <c r="E2024" s="53"/>
      <c r="F2024" s="53"/>
      <c r="G2024" s="54"/>
      <c r="H2024" s="55"/>
      <c r="I2024" s="54"/>
      <c r="J2024" s="55"/>
      <c r="K2024" s="54"/>
      <c r="L2024" s="55">
        <v>0</v>
      </c>
      <c r="AX2024" s="69"/>
      <c r="AY2024" s="71"/>
      <c r="AZ2024" s="72"/>
      <c r="BC2024" s="58"/>
    </row>
    <row r="2025" spans="1:55" s="48" customFormat="1" ht="27.75" customHeight="1" outlineLevel="1" x14ac:dyDescent="0.25">
      <c r="A2025" s="42">
        <v>1</v>
      </c>
      <c r="B2025" s="43" t="s">
        <v>789</v>
      </c>
      <c r="C2025" s="44" t="s">
        <v>110</v>
      </c>
      <c r="D2025" s="45">
        <v>4313</v>
      </c>
      <c r="E2025" s="45">
        <v>0.9</v>
      </c>
      <c r="F2025" s="45">
        <f t="shared" ref="F2025:F2034" si="493">+E2025*D2025</f>
        <v>3881.7000000000003</v>
      </c>
      <c r="G2025" s="46">
        <f t="shared" ref="G2025:G2034" si="494">I2025+K2025</f>
        <v>0</v>
      </c>
      <c r="H2025" s="47">
        <f t="shared" ref="H2025:H2034" si="495">J2025+L2025</f>
        <v>0</v>
      </c>
      <c r="I2025" s="46">
        <f t="shared" ref="I2025:I2034" si="496">J2025/F2025</f>
        <v>0</v>
      </c>
      <c r="J2025" s="47">
        <v>0</v>
      </c>
      <c r="K2025" s="46">
        <f t="shared" ref="K2025:K2034" si="497">L2025/F2025</f>
        <v>0</v>
      </c>
      <c r="L2025" s="47">
        <v>0</v>
      </c>
      <c r="AX2025" s="46"/>
      <c r="AY2025" s="47"/>
      <c r="AZ2025" s="70"/>
      <c r="BC2025" s="50"/>
    </row>
    <row r="2026" spans="1:55" s="48" customFormat="1" ht="15.45" customHeight="1" outlineLevel="1" x14ac:dyDescent="0.25">
      <c r="A2026" s="42">
        <v>2</v>
      </c>
      <c r="B2026" s="43" t="s">
        <v>1181</v>
      </c>
      <c r="C2026" s="44" t="s">
        <v>110</v>
      </c>
      <c r="D2026" s="45">
        <v>4313</v>
      </c>
      <c r="E2026" s="45">
        <v>0.9</v>
      </c>
      <c r="F2026" s="45">
        <f t="shared" si="493"/>
        <v>3881.7000000000003</v>
      </c>
      <c r="G2026" s="46">
        <f t="shared" si="494"/>
        <v>0</v>
      </c>
      <c r="H2026" s="47">
        <f t="shared" si="495"/>
        <v>0</v>
      </c>
      <c r="I2026" s="46">
        <f t="shared" si="496"/>
        <v>0</v>
      </c>
      <c r="J2026" s="47">
        <v>0</v>
      </c>
      <c r="K2026" s="46">
        <f t="shared" si="497"/>
        <v>0</v>
      </c>
      <c r="L2026" s="47">
        <v>0</v>
      </c>
      <c r="AX2026" s="46"/>
      <c r="AY2026" s="47"/>
      <c r="AZ2026" s="70"/>
      <c r="BC2026" s="50"/>
    </row>
    <row r="2027" spans="1:55" s="48" customFormat="1" ht="27.75" customHeight="1" outlineLevel="1" x14ac:dyDescent="0.25">
      <c r="A2027" s="42">
        <v>3</v>
      </c>
      <c r="B2027" s="43" t="s">
        <v>1182</v>
      </c>
      <c r="C2027" s="44" t="s">
        <v>110</v>
      </c>
      <c r="D2027" s="45">
        <v>8683</v>
      </c>
      <c r="E2027" s="45">
        <v>0.9</v>
      </c>
      <c r="F2027" s="45">
        <f t="shared" si="493"/>
        <v>7814.7</v>
      </c>
      <c r="G2027" s="46">
        <f t="shared" si="494"/>
        <v>0</v>
      </c>
      <c r="H2027" s="47">
        <f t="shared" si="495"/>
        <v>0</v>
      </c>
      <c r="I2027" s="46">
        <f t="shared" si="496"/>
        <v>0</v>
      </c>
      <c r="J2027" s="47">
        <v>0</v>
      </c>
      <c r="K2027" s="46">
        <f t="shared" si="497"/>
        <v>0</v>
      </c>
      <c r="L2027" s="47">
        <v>0</v>
      </c>
      <c r="AX2027" s="46"/>
      <c r="AY2027" s="47"/>
      <c r="AZ2027" s="70"/>
      <c r="BC2027" s="50"/>
    </row>
    <row r="2028" spans="1:55" s="48" customFormat="1" ht="15.45" customHeight="1" outlineLevel="1" x14ac:dyDescent="0.25">
      <c r="A2028" s="42">
        <v>4</v>
      </c>
      <c r="B2028" s="43" t="s">
        <v>29</v>
      </c>
      <c r="C2028" s="44" t="s">
        <v>28</v>
      </c>
      <c r="D2028" s="45">
        <v>15195.25</v>
      </c>
      <c r="E2028" s="45">
        <v>1.63</v>
      </c>
      <c r="F2028" s="45">
        <f t="shared" si="493"/>
        <v>24768.2575</v>
      </c>
      <c r="G2028" s="46">
        <f t="shared" si="494"/>
        <v>0</v>
      </c>
      <c r="H2028" s="47">
        <f t="shared" si="495"/>
        <v>0</v>
      </c>
      <c r="I2028" s="46">
        <f t="shared" si="496"/>
        <v>0</v>
      </c>
      <c r="J2028" s="47">
        <v>0</v>
      </c>
      <c r="K2028" s="46">
        <f t="shared" si="497"/>
        <v>0</v>
      </c>
      <c r="L2028" s="47">
        <v>0</v>
      </c>
      <c r="AX2028" s="46">
        <v>1</v>
      </c>
      <c r="AY2028" s="47">
        <v>5766733.6402624408</v>
      </c>
      <c r="AZ2028" s="70">
        <f>H2028-J2028</f>
        <v>0</v>
      </c>
      <c r="BC2028" s="50"/>
    </row>
    <row r="2029" spans="1:55" s="48" customFormat="1" ht="27.75" customHeight="1" outlineLevel="1" x14ac:dyDescent="0.25">
      <c r="A2029" s="42">
        <v>5</v>
      </c>
      <c r="B2029" s="43" t="s">
        <v>649</v>
      </c>
      <c r="C2029" s="44" t="s">
        <v>110</v>
      </c>
      <c r="D2029" s="45">
        <v>12996</v>
      </c>
      <c r="E2029" s="45">
        <v>0.9</v>
      </c>
      <c r="F2029" s="45">
        <f t="shared" si="493"/>
        <v>11696.4</v>
      </c>
      <c r="G2029" s="46">
        <f t="shared" si="494"/>
        <v>0</v>
      </c>
      <c r="H2029" s="47">
        <f t="shared" si="495"/>
        <v>0</v>
      </c>
      <c r="I2029" s="46">
        <f t="shared" si="496"/>
        <v>0</v>
      </c>
      <c r="J2029" s="47">
        <v>0</v>
      </c>
      <c r="K2029" s="46">
        <f t="shared" si="497"/>
        <v>0</v>
      </c>
      <c r="L2029" s="47">
        <v>0</v>
      </c>
      <c r="AX2029" s="46">
        <v>1</v>
      </c>
      <c r="AY2029" s="47">
        <v>5766733.6402624408</v>
      </c>
      <c r="AZ2029" s="70">
        <f>H2029-J2029</f>
        <v>0</v>
      </c>
      <c r="BC2029" s="50"/>
    </row>
    <row r="2030" spans="1:55" s="48" customFormat="1" ht="15.45" customHeight="1" outlineLevel="1" x14ac:dyDescent="0.25">
      <c r="A2030" s="42">
        <v>6</v>
      </c>
      <c r="B2030" s="43" t="s">
        <v>1183</v>
      </c>
      <c r="C2030" s="44" t="s">
        <v>110</v>
      </c>
      <c r="D2030" s="45">
        <v>12996</v>
      </c>
      <c r="E2030" s="45">
        <v>0.9</v>
      </c>
      <c r="F2030" s="45">
        <f t="shared" si="493"/>
        <v>11696.4</v>
      </c>
      <c r="G2030" s="46">
        <f t="shared" si="494"/>
        <v>0</v>
      </c>
      <c r="H2030" s="47">
        <f t="shared" si="495"/>
        <v>0</v>
      </c>
      <c r="I2030" s="46">
        <f t="shared" si="496"/>
        <v>0</v>
      </c>
      <c r="J2030" s="47">
        <v>0</v>
      </c>
      <c r="K2030" s="46">
        <f t="shared" si="497"/>
        <v>0</v>
      </c>
      <c r="L2030" s="47">
        <v>0</v>
      </c>
      <c r="AX2030" s="46">
        <v>1</v>
      </c>
      <c r="AY2030" s="47">
        <v>5766733.6402624408</v>
      </c>
      <c r="AZ2030" s="70">
        <f>H2030-J2030</f>
        <v>0</v>
      </c>
      <c r="BC2030" s="50"/>
    </row>
    <row r="2031" spans="1:55" s="48" customFormat="1" ht="27.75" customHeight="1" outlineLevel="1" x14ac:dyDescent="0.25">
      <c r="A2031" s="42">
        <v>7</v>
      </c>
      <c r="B2031" s="43" t="s">
        <v>1184</v>
      </c>
      <c r="C2031" s="44" t="s">
        <v>110</v>
      </c>
      <c r="D2031" s="45">
        <v>12996</v>
      </c>
      <c r="E2031" s="45">
        <v>0.9</v>
      </c>
      <c r="F2031" s="45">
        <f t="shared" si="493"/>
        <v>11696.4</v>
      </c>
      <c r="G2031" s="46">
        <f t="shared" si="494"/>
        <v>0</v>
      </c>
      <c r="H2031" s="47">
        <f t="shared" si="495"/>
        <v>0</v>
      </c>
      <c r="I2031" s="46">
        <f t="shared" si="496"/>
        <v>0</v>
      </c>
      <c r="J2031" s="47">
        <v>0</v>
      </c>
      <c r="K2031" s="46">
        <f t="shared" si="497"/>
        <v>0</v>
      </c>
      <c r="L2031" s="47">
        <v>0</v>
      </c>
      <c r="AX2031" s="46">
        <v>0</v>
      </c>
      <c r="AY2031" s="47">
        <v>0</v>
      </c>
      <c r="AZ2031" s="70">
        <f>H2031-J2031</f>
        <v>0</v>
      </c>
      <c r="BC2031" s="50"/>
    </row>
    <row r="2032" spans="1:55" s="48" customFormat="1" ht="15.45" customHeight="1" outlineLevel="1" x14ac:dyDescent="0.25">
      <c r="A2032" s="42">
        <v>8</v>
      </c>
      <c r="B2032" s="43" t="s">
        <v>1185</v>
      </c>
      <c r="C2032" s="44" t="s">
        <v>110</v>
      </c>
      <c r="D2032" s="45">
        <v>12996</v>
      </c>
      <c r="E2032" s="45">
        <v>0.9</v>
      </c>
      <c r="F2032" s="45">
        <f t="shared" si="493"/>
        <v>11696.4</v>
      </c>
      <c r="G2032" s="46">
        <f t="shared" si="494"/>
        <v>0</v>
      </c>
      <c r="H2032" s="47">
        <f t="shared" si="495"/>
        <v>0</v>
      </c>
      <c r="I2032" s="46">
        <f t="shared" si="496"/>
        <v>0</v>
      </c>
      <c r="J2032" s="47">
        <v>0</v>
      </c>
      <c r="K2032" s="46">
        <f t="shared" si="497"/>
        <v>0</v>
      </c>
      <c r="L2032" s="47">
        <v>0</v>
      </c>
      <c r="AX2032" s="46">
        <v>0</v>
      </c>
      <c r="AY2032" s="47">
        <v>1038012.055247239</v>
      </c>
      <c r="AZ2032" s="70">
        <f>H2032-J2032</f>
        <v>0</v>
      </c>
      <c r="BC2032" s="50"/>
    </row>
    <row r="2033" spans="1:55" s="48" customFormat="1" ht="41.7" customHeight="1" outlineLevel="1" x14ac:dyDescent="0.25">
      <c r="A2033" s="42">
        <v>9</v>
      </c>
      <c r="B2033" s="43" t="s">
        <v>1186</v>
      </c>
      <c r="C2033" s="44" t="s">
        <v>110</v>
      </c>
      <c r="D2033" s="45">
        <v>522</v>
      </c>
      <c r="E2033" s="45">
        <v>0.9</v>
      </c>
      <c r="F2033" s="45">
        <f t="shared" si="493"/>
        <v>469.8</v>
      </c>
      <c r="G2033" s="46">
        <f t="shared" si="494"/>
        <v>0</v>
      </c>
      <c r="H2033" s="47">
        <f t="shared" si="495"/>
        <v>0</v>
      </c>
      <c r="I2033" s="46">
        <f t="shared" si="496"/>
        <v>0</v>
      </c>
      <c r="J2033" s="47">
        <v>0</v>
      </c>
      <c r="K2033" s="46">
        <f t="shared" si="497"/>
        <v>0</v>
      </c>
      <c r="L2033" s="47">
        <v>0</v>
      </c>
      <c r="AX2033" s="46"/>
      <c r="AY2033" s="47"/>
      <c r="AZ2033" s="70"/>
      <c r="BC2033" s="50"/>
    </row>
    <row r="2034" spans="1:55" s="48" customFormat="1" ht="15.45" customHeight="1" outlineLevel="1" x14ac:dyDescent="0.25">
      <c r="A2034" s="42">
        <v>10</v>
      </c>
      <c r="B2034" s="43" t="s">
        <v>29</v>
      </c>
      <c r="C2034" s="44" t="s">
        <v>28</v>
      </c>
      <c r="D2034" s="45">
        <v>626.4</v>
      </c>
      <c r="E2034" s="45">
        <v>1.63</v>
      </c>
      <c r="F2034" s="45">
        <f t="shared" si="493"/>
        <v>1021.0319999999999</v>
      </c>
      <c r="G2034" s="46">
        <f t="shared" si="494"/>
        <v>0</v>
      </c>
      <c r="H2034" s="47">
        <f t="shared" si="495"/>
        <v>0</v>
      </c>
      <c r="I2034" s="46">
        <f t="shared" si="496"/>
        <v>0</v>
      </c>
      <c r="J2034" s="47">
        <v>0</v>
      </c>
      <c r="K2034" s="46">
        <f t="shared" si="497"/>
        <v>0</v>
      </c>
      <c r="L2034" s="47">
        <v>0</v>
      </c>
      <c r="AX2034" s="46"/>
      <c r="AY2034" s="47"/>
      <c r="AZ2034" s="70"/>
      <c r="BC2034" s="50"/>
    </row>
    <row r="2035" spans="1:55" s="56" customFormat="1" ht="17.25" customHeight="1" x14ac:dyDescent="0.3">
      <c r="A2035" s="31">
        <v>19.100000000000001</v>
      </c>
      <c r="B2035" s="51" t="s">
        <v>1187</v>
      </c>
      <c r="C2035" s="52">
        <v>0</v>
      </c>
      <c r="D2035" s="53"/>
      <c r="E2035" s="53"/>
      <c r="F2035" s="53"/>
      <c r="G2035" s="54"/>
      <c r="H2035" s="55"/>
      <c r="I2035" s="54"/>
      <c r="J2035" s="55"/>
      <c r="K2035" s="54"/>
      <c r="L2035" s="55">
        <v>0</v>
      </c>
      <c r="AX2035" s="69"/>
      <c r="AY2035" s="71"/>
      <c r="AZ2035" s="72"/>
      <c r="BC2035" s="58"/>
    </row>
    <row r="2036" spans="1:55" s="59" customFormat="1" ht="27.75" customHeight="1" outlineLevel="1" x14ac:dyDescent="0.35">
      <c r="A2036" s="42">
        <v>1</v>
      </c>
      <c r="B2036" s="43" t="s">
        <v>1188</v>
      </c>
      <c r="C2036" s="44" t="s">
        <v>110</v>
      </c>
      <c r="D2036" s="45">
        <v>96</v>
      </c>
      <c r="E2036" s="45">
        <v>4.4108000000000001</v>
      </c>
      <c r="F2036" s="45">
        <f t="shared" ref="F2036:F2044" si="498">+E2036*D2036</f>
        <v>423.43680000000001</v>
      </c>
      <c r="G2036" s="46">
        <f t="shared" ref="G2036:G2044" si="499">I2036+K2036</f>
        <v>0</v>
      </c>
      <c r="H2036" s="47">
        <f t="shared" ref="H2036:H2044" si="500">J2036+L2036</f>
        <v>0</v>
      </c>
      <c r="I2036" s="46">
        <f t="shared" ref="I2036:I2044" si="501">J2036/F2036</f>
        <v>0</v>
      </c>
      <c r="J2036" s="47">
        <v>0</v>
      </c>
      <c r="K2036" s="46">
        <f t="shared" ref="K2036:K2044" si="502">L2036/F2036</f>
        <v>0</v>
      </c>
      <c r="L2036" s="47">
        <v>0</v>
      </c>
      <c r="AX2036" s="73"/>
      <c r="AY2036" s="74"/>
      <c r="AZ2036" s="75"/>
      <c r="BC2036" s="61"/>
    </row>
    <row r="2037" spans="1:55" s="48" customFormat="1" ht="15.45" customHeight="1" outlineLevel="1" x14ac:dyDescent="0.25">
      <c r="A2037" s="42">
        <v>2</v>
      </c>
      <c r="B2037" s="43" t="s">
        <v>1189</v>
      </c>
      <c r="C2037" s="44" t="s">
        <v>110</v>
      </c>
      <c r="D2037" s="45">
        <v>96</v>
      </c>
      <c r="E2037" s="45">
        <v>22.048400000000001</v>
      </c>
      <c r="F2037" s="45">
        <f t="shared" si="498"/>
        <v>2116.6464000000001</v>
      </c>
      <c r="G2037" s="46">
        <f t="shared" si="499"/>
        <v>0</v>
      </c>
      <c r="H2037" s="47">
        <f t="shared" si="500"/>
        <v>0</v>
      </c>
      <c r="I2037" s="46">
        <f t="shared" si="501"/>
        <v>0</v>
      </c>
      <c r="J2037" s="47">
        <v>0</v>
      </c>
      <c r="K2037" s="46">
        <f t="shared" si="502"/>
        <v>0</v>
      </c>
      <c r="L2037" s="47">
        <v>0</v>
      </c>
      <c r="AX2037" s="46"/>
      <c r="AY2037" s="47"/>
      <c r="AZ2037" s="70"/>
      <c r="BC2037" s="50"/>
    </row>
    <row r="2038" spans="1:55" s="48" customFormat="1" ht="15.45" customHeight="1" outlineLevel="1" x14ac:dyDescent="0.25">
      <c r="A2038" s="42">
        <v>3</v>
      </c>
      <c r="B2038" s="43" t="s">
        <v>1190</v>
      </c>
      <c r="C2038" s="44" t="s">
        <v>98</v>
      </c>
      <c r="D2038" s="45">
        <v>383.7</v>
      </c>
      <c r="E2038" s="45">
        <v>4.1891800000000003</v>
      </c>
      <c r="F2038" s="45">
        <f t="shared" si="498"/>
        <v>1607.3883660000001</v>
      </c>
      <c r="G2038" s="46">
        <f t="shared" si="499"/>
        <v>0</v>
      </c>
      <c r="H2038" s="47">
        <f t="shared" si="500"/>
        <v>0</v>
      </c>
      <c r="I2038" s="46">
        <f t="shared" si="501"/>
        <v>0</v>
      </c>
      <c r="J2038" s="47">
        <v>0</v>
      </c>
      <c r="K2038" s="46">
        <f t="shared" si="502"/>
        <v>0</v>
      </c>
      <c r="L2038" s="47">
        <v>0</v>
      </c>
      <c r="AX2038" s="46"/>
      <c r="AY2038" s="47"/>
      <c r="AZ2038" s="70"/>
      <c r="BC2038" s="50"/>
    </row>
    <row r="2039" spans="1:55" s="48" customFormat="1" ht="15.45" customHeight="1" outlineLevel="1" x14ac:dyDescent="0.25">
      <c r="A2039" s="42">
        <v>4</v>
      </c>
      <c r="B2039" s="43" t="s">
        <v>1191</v>
      </c>
      <c r="C2039" s="44" t="s">
        <v>98</v>
      </c>
      <c r="D2039" s="45">
        <v>383.7</v>
      </c>
      <c r="E2039" s="45">
        <v>0.81122000000000005</v>
      </c>
      <c r="F2039" s="45">
        <f t="shared" si="498"/>
        <v>311.26511399999998</v>
      </c>
      <c r="G2039" s="46">
        <f t="shared" si="499"/>
        <v>0</v>
      </c>
      <c r="H2039" s="47">
        <f t="shared" si="500"/>
        <v>0</v>
      </c>
      <c r="I2039" s="46">
        <f t="shared" si="501"/>
        <v>0</v>
      </c>
      <c r="J2039" s="47">
        <v>0</v>
      </c>
      <c r="K2039" s="46">
        <f t="shared" si="502"/>
        <v>0</v>
      </c>
      <c r="L2039" s="47">
        <v>0</v>
      </c>
      <c r="AX2039" s="46"/>
      <c r="AY2039" s="47"/>
      <c r="AZ2039" s="70"/>
      <c r="BC2039" s="50"/>
    </row>
    <row r="2040" spans="1:55" s="59" customFormat="1" ht="27.75" customHeight="1" outlineLevel="1" x14ac:dyDescent="0.35">
      <c r="A2040" s="42">
        <v>5</v>
      </c>
      <c r="B2040" s="43" t="s">
        <v>1192</v>
      </c>
      <c r="C2040" s="44" t="s">
        <v>98</v>
      </c>
      <c r="D2040" s="45">
        <v>383.7</v>
      </c>
      <c r="E2040" s="45">
        <v>7.0788399999999996</v>
      </c>
      <c r="F2040" s="45">
        <f t="shared" si="498"/>
        <v>2716.1509079999996</v>
      </c>
      <c r="G2040" s="46">
        <f t="shared" si="499"/>
        <v>0</v>
      </c>
      <c r="H2040" s="47">
        <f t="shared" si="500"/>
        <v>0</v>
      </c>
      <c r="I2040" s="46">
        <f t="shared" si="501"/>
        <v>0</v>
      </c>
      <c r="J2040" s="47">
        <v>0</v>
      </c>
      <c r="K2040" s="46">
        <f t="shared" si="502"/>
        <v>0</v>
      </c>
      <c r="L2040" s="47">
        <v>0</v>
      </c>
      <c r="AX2040" s="73">
        <v>1</v>
      </c>
      <c r="AY2040" s="74">
        <v>5766733.6402624408</v>
      </c>
      <c r="AZ2040" s="75">
        <f>H2040-J2040</f>
        <v>0</v>
      </c>
      <c r="BC2040" s="61"/>
    </row>
    <row r="2041" spans="1:55" s="48" customFormat="1" ht="15.45" customHeight="1" outlineLevel="1" x14ac:dyDescent="0.25">
      <c r="A2041" s="42">
        <v>6</v>
      </c>
      <c r="B2041" s="43" t="s">
        <v>1193</v>
      </c>
      <c r="C2041" s="44" t="s">
        <v>98</v>
      </c>
      <c r="D2041" s="45">
        <v>383.7</v>
      </c>
      <c r="E2041" s="45">
        <v>4.6726599999999996</v>
      </c>
      <c r="F2041" s="45">
        <f t="shared" si="498"/>
        <v>1792.8996419999999</v>
      </c>
      <c r="G2041" s="46">
        <f t="shared" si="499"/>
        <v>0</v>
      </c>
      <c r="H2041" s="47">
        <f t="shared" si="500"/>
        <v>0</v>
      </c>
      <c r="I2041" s="46">
        <f t="shared" si="501"/>
        <v>0</v>
      </c>
      <c r="J2041" s="47">
        <v>0</v>
      </c>
      <c r="K2041" s="46">
        <f t="shared" si="502"/>
        <v>0</v>
      </c>
      <c r="L2041" s="47">
        <v>0</v>
      </c>
      <c r="AX2041" s="46">
        <v>1</v>
      </c>
      <c r="AY2041" s="47">
        <v>5766733.6402624408</v>
      </c>
      <c r="AZ2041" s="70">
        <f>H2041-J2041</f>
        <v>0</v>
      </c>
      <c r="BC2041" s="50"/>
    </row>
    <row r="2042" spans="1:55" s="48" customFormat="1" ht="27.75" customHeight="1" outlineLevel="1" x14ac:dyDescent="0.25">
      <c r="A2042" s="42">
        <v>7</v>
      </c>
      <c r="B2042" s="43" t="s">
        <v>1194</v>
      </c>
      <c r="C2042" s="44" t="s">
        <v>98</v>
      </c>
      <c r="D2042" s="45">
        <v>383.7</v>
      </c>
      <c r="E2042" s="45">
        <v>7.1288199999999993</v>
      </c>
      <c r="F2042" s="45">
        <f t="shared" si="498"/>
        <v>2735.3282339999996</v>
      </c>
      <c r="G2042" s="46">
        <f t="shared" si="499"/>
        <v>0</v>
      </c>
      <c r="H2042" s="47">
        <f t="shared" si="500"/>
        <v>0</v>
      </c>
      <c r="I2042" s="46">
        <f t="shared" si="501"/>
        <v>0</v>
      </c>
      <c r="J2042" s="47">
        <v>0</v>
      </c>
      <c r="K2042" s="46">
        <f t="shared" si="502"/>
        <v>0</v>
      </c>
      <c r="L2042" s="47">
        <v>0</v>
      </c>
      <c r="AX2042" s="46">
        <v>1</v>
      </c>
      <c r="AY2042" s="47">
        <v>5766733.6402624408</v>
      </c>
      <c r="AZ2042" s="70">
        <f>H2042-J2042</f>
        <v>0</v>
      </c>
      <c r="BC2042" s="50"/>
    </row>
    <row r="2043" spans="1:55" s="48" customFormat="1" ht="15.45" customHeight="1" outlineLevel="1" x14ac:dyDescent="0.25">
      <c r="A2043" s="42">
        <v>8</v>
      </c>
      <c r="B2043" s="43" t="s">
        <v>1195</v>
      </c>
      <c r="C2043" s="44" t="s">
        <v>98</v>
      </c>
      <c r="D2043" s="45">
        <v>383.7</v>
      </c>
      <c r="E2043" s="45">
        <v>1.7259199999999999</v>
      </c>
      <c r="F2043" s="45">
        <f t="shared" si="498"/>
        <v>662.23550399999999</v>
      </c>
      <c r="G2043" s="46">
        <f t="shared" si="499"/>
        <v>0</v>
      </c>
      <c r="H2043" s="47">
        <f t="shared" si="500"/>
        <v>0</v>
      </c>
      <c r="I2043" s="46">
        <f t="shared" si="501"/>
        <v>0</v>
      </c>
      <c r="J2043" s="47">
        <v>0</v>
      </c>
      <c r="K2043" s="46">
        <f t="shared" si="502"/>
        <v>0</v>
      </c>
      <c r="L2043" s="47">
        <v>0</v>
      </c>
      <c r="AX2043" s="46">
        <v>0</v>
      </c>
      <c r="AY2043" s="47">
        <v>0</v>
      </c>
      <c r="AZ2043" s="70">
        <f>H2043-J2043</f>
        <v>0</v>
      </c>
      <c r="BC2043" s="50"/>
    </row>
    <row r="2044" spans="1:55" s="48" customFormat="1" ht="15.45" customHeight="1" outlineLevel="1" x14ac:dyDescent="0.25">
      <c r="A2044" s="42">
        <v>9</v>
      </c>
      <c r="B2044" s="43" t="s">
        <v>1196</v>
      </c>
      <c r="C2044" s="44" t="s">
        <v>61</v>
      </c>
      <c r="D2044" s="45">
        <v>242</v>
      </c>
      <c r="E2044" s="45">
        <v>20.0716</v>
      </c>
      <c r="F2044" s="45">
        <f t="shared" si="498"/>
        <v>4857.3271999999997</v>
      </c>
      <c r="G2044" s="46">
        <f t="shared" si="499"/>
        <v>0</v>
      </c>
      <c r="H2044" s="47">
        <f t="shared" si="500"/>
        <v>0</v>
      </c>
      <c r="I2044" s="46">
        <f t="shared" si="501"/>
        <v>0</v>
      </c>
      <c r="J2044" s="47">
        <v>0</v>
      </c>
      <c r="K2044" s="46">
        <f t="shared" si="502"/>
        <v>0</v>
      </c>
      <c r="L2044" s="47">
        <v>0</v>
      </c>
      <c r="AX2044" s="46">
        <v>0</v>
      </c>
      <c r="AY2044" s="47">
        <v>1038012.055247239</v>
      </c>
      <c r="AZ2044" s="70">
        <f>H2044-J2044</f>
        <v>0</v>
      </c>
      <c r="BC2044" s="50"/>
    </row>
    <row r="2045" spans="1:55" s="56" customFormat="1" ht="17.25" customHeight="1" x14ac:dyDescent="0.3">
      <c r="A2045" s="31">
        <v>20.100000000000001</v>
      </c>
      <c r="B2045" s="51" t="s">
        <v>1197</v>
      </c>
      <c r="C2045" s="52">
        <v>0</v>
      </c>
      <c r="D2045" s="53"/>
      <c r="E2045" s="53"/>
      <c r="F2045" s="53"/>
      <c r="G2045" s="54"/>
      <c r="H2045" s="55"/>
      <c r="I2045" s="54"/>
      <c r="J2045" s="55"/>
      <c r="K2045" s="54"/>
      <c r="L2045" s="55">
        <v>0</v>
      </c>
      <c r="AX2045" s="69"/>
      <c r="AY2045" s="71"/>
      <c r="AZ2045" s="72"/>
      <c r="BC2045" s="58"/>
    </row>
    <row r="2046" spans="1:55" s="48" customFormat="1" ht="27.75" customHeight="1" outlineLevel="1" x14ac:dyDescent="0.25">
      <c r="A2046" s="42">
        <v>1</v>
      </c>
      <c r="B2046" s="43" t="s">
        <v>1188</v>
      </c>
      <c r="C2046" s="44" t="s">
        <v>110</v>
      </c>
      <c r="D2046" s="45">
        <v>54</v>
      </c>
      <c r="E2046" s="45">
        <v>5.3632</v>
      </c>
      <c r="F2046" s="45">
        <f t="shared" ref="F2046:F2054" si="503">+E2046*D2046</f>
        <v>289.61279999999999</v>
      </c>
      <c r="G2046" s="46">
        <f t="shared" ref="G2046:G2054" si="504">I2046+K2046</f>
        <v>0</v>
      </c>
      <c r="H2046" s="47">
        <f t="shared" ref="H2046:H2054" si="505">J2046+L2046</f>
        <v>0</v>
      </c>
      <c r="I2046" s="46">
        <f t="shared" ref="I2046:I2054" si="506">J2046/F2046</f>
        <v>0</v>
      </c>
      <c r="J2046" s="47">
        <v>0</v>
      </c>
      <c r="K2046" s="46">
        <f t="shared" ref="K2046:K2054" si="507">L2046/F2046</f>
        <v>0</v>
      </c>
      <c r="L2046" s="47">
        <v>0</v>
      </c>
      <c r="AX2046" s="46"/>
      <c r="AY2046" s="47"/>
      <c r="AZ2046" s="70"/>
      <c r="BC2046" s="50"/>
    </row>
    <row r="2047" spans="1:55" s="48" customFormat="1" ht="15.45" customHeight="1" outlineLevel="1" x14ac:dyDescent="0.25">
      <c r="A2047" s="42">
        <v>2</v>
      </c>
      <c r="B2047" s="43" t="s">
        <v>1189</v>
      </c>
      <c r="C2047" s="44" t="s">
        <v>110</v>
      </c>
      <c r="D2047" s="45">
        <v>54</v>
      </c>
      <c r="E2047" s="45">
        <v>22.048400000000001</v>
      </c>
      <c r="F2047" s="45">
        <f t="shared" si="503"/>
        <v>1190.6136000000001</v>
      </c>
      <c r="G2047" s="46">
        <f t="shared" si="504"/>
        <v>0</v>
      </c>
      <c r="H2047" s="47">
        <f t="shared" si="505"/>
        <v>0</v>
      </c>
      <c r="I2047" s="46">
        <f t="shared" si="506"/>
        <v>0</v>
      </c>
      <c r="J2047" s="47">
        <v>0</v>
      </c>
      <c r="K2047" s="46">
        <f t="shared" si="507"/>
        <v>0</v>
      </c>
      <c r="L2047" s="47">
        <v>0</v>
      </c>
      <c r="AX2047" s="46"/>
      <c r="AY2047" s="47"/>
      <c r="AZ2047" s="70"/>
      <c r="BC2047" s="50"/>
    </row>
    <row r="2048" spans="1:55" s="48" customFormat="1" ht="15.45" customHeight="1" outlineLevel="1" x14ac:dyDescent="0.25">
      <c r="A2048" s="42">
        <v>3</v>
      </c>
      <c r="B2048" s="43" t="s">
        <v>1190</v>
      </c>
      <c r="C2048" s="44" t="s">
        <v>98</v>
      </c>
      <c r="D2048" s="45">
        <v>216</v>
      </c>
      <c r="E2048" s="45">
        <v>4.1891800000000003</v>
      </c>
      <c r="F2048" s="45">
        <f t="shared" si="503"/>
        <v>904.86288000000013</v>
      </c>
      <c r="G2048" s="46">
        <f t="shared" si="504"/>
        <v>0</v>
      </c>
      <c r="H2048" s="47">
        <f t="shared" si="505"/>
        <v>0</v>
      </c>
      <c r="I2048" s="46">
        <f t="shared" si="506"/>
        <v>0</v>
      </c>
      <c r="J2048" s="47">
        <v>0</v>
      </c>
      <c r="K2048" s="46">
        <f t="shared" si="507"/>
        <v>0</v>
      </c>
      <c r="L2048" s="47">
        <v>0</v>
      </c>
      <c r="AX2048" s="46"/>
      <c r="AY2048" s="47"/>
      <c r="AZ2048" s="70"/>
      <c r="BC2048" s="50"/>
    </row>
    <row r="2049" spans="1:55" s="48" customFormat="1" ht="15.45" customHeight="1" outlineLevel="1" x14ac:dyDescent="0.25">
      <c r="A2049" s="42">
        <v>4</v>
      </c>
      <c r="B2049" s="43" t="s">
        <v>1191</v>
      </c>
      <c r="C2049" s="44" t="s">
        <v>98</v>
      </c>
      <c r="D2049" s="45">
        <v>216</v>
      </c>
      <c r="E2049" s="45">
        <v>0.9</v>
      </c>
      <c r="F2049" s="45">
        <f t="shared" si="503"/>
        <v>194.4</v>
      </c>
      <c r="G2049" s="46">
        <f t="shared" si="504"/>
        <v>0</v>
      </c>
      <c r="H2049" s="47">
        <f t="shared" si="505"/>
        <v>0</v>
      </c>
      <c r="I2049" s="46">
        <f t="shared" si="506"/>
        <v>0</v>
      </c>
      <c r="J2049" s="47">
        <v>0</v>
      </c>
      <c r="K2049" s="46">
        <f t="shared" si="507"/>
        <v>0</v>
      </c>
      <c r="L2049" s="47">
        <v>0</v>
      </c>
      <c r="AX2049" s="46"/>
      <c r="AY2049" s="47"/>
      <c r="AZ2049" s="70"/>
      <c r="BC2049" s="50"/>
    </row>
    <row r="2050" spans="1:55" s="48" customFormat="1" ht="27.75" customHeight="1" outlineLevel="1" x14ac:dyDescent="0.25">
      <c r="A2050" s="42">
        <v>5</v>
      </c>
      <c r="B2050" s="43" t="s">
        <v>1192</v>
      </c>
      <c r="C2050" s="44" t="s">
        <v>98</v>
      </c>
      <c r="D2050" s="45">
        <v>216</v>
      </c>
      <c r="E2050" s="45">
        <v>7.0768000000000004</v>
      </c>
      <c r="F2050" s="45">
        <f t="shared" si="503"/>
        <v>1528.5888</v>
      </c>
      <c r="G2050" s="46">
        <f t="shared" si="504"/>
        <v>0</v>
      </c>
      <c r="H2050" s="47">
        <f t="shared" si="505"/>
        <v>0</v>
      </c>
      <c r="I2050" s="46">
        <f t="shared" si="506"/>
        <v>0</v>
      </c>
      <c r="J2050" s="47">
        <v>0</v>
      </c>
      <c r="K2050" s="46">
        <f t="shared" si="507"/>
        <v>0</v>
      </c>
      <c r="L2050" s="47">
        <v>0</v>
      </c>
      <c r="AX2050" s="46">
        <v>1</v>
      </c>
      <c r="AY2050" s="47">
        <v>5766733.6402624408</v>
      </c>
      <c r="AZ2050" s="70">
        <f>H2050-J2050</f>
        <v>0</v>
      </c>
      <c r="BC2050" s="50"/>
    </row>
    <row r="2051" spans="1:55" s="48" customFormat="1" ht="15.45" customHeight="1" outlineLevel="1" x14ac:dyDescent="0.25">
      <c r="A2051" s="42">
        <v>6</v>
      </c>
      <c r="B2051" s="43" t="s">
        <v>1193</v>
      </c>
      <c r="C2051" s="44" t="s">
        <v>98</v>
      </c>
      <c r="D2051" s="45">
        <v>216</v>
      </c>
      <c r="E2051" s="45">
        <v>4.6185999999999998</v>
      </c>
      <c r="F2051" s="45">
        <f t="shared" si="503"/>
        <v>997.61759999999992</v>
      </c>
      <c r="G2051" s="46">
        <f t="shared" si="504"/>
        <v>0</v>
      </c>
      <c r="H2051" s="47">
        <f t="shared" si="505"/>
        <v>0</v>
      </c>
      <c r="I2051" s="46">
        <f t="shared" si="506"/>
        <v>0</v>
      </c>
      <c r="J2051" s="47">
        <v>0</v>
      </c>
      <c r="K2051" s="46">
        <f t="shared" si="507"/>
        <v>0</v>
      </c>
      <c r="L2051" s="47">
        <v>0</v>
      </c>
      <c r="AX2051" s="46">
        <v>1</v>
      </c>
      <c r="AY2051" s="47">
        <v>5766733.6402624408</v>
      </c>
      <c r="AZ2051" s="70">
        <f>H2051-J2051</f>
        <v>0</v>
      </c>
      <c r="BC2051" s="50"/>
    </row>
    <row r="2052" spans="1:55" s="48" customFormat="1" ht="27.75" customHeight="1" outlineLevel="1" x14ac:dyDescent="0.25">
      <c r="A2052" s="42">
        <v>7</v>
      </c>
      <c r="B2052" s="43" t="s">
        <v>1194</v>
      </c>
      <c r="C2052" s="44" t="s">
        <v>98</v>
      </c>
      <c r="D2052" s="45">
        <v>216</v>
      </c>
      <c r="E2052" s="45">
        <v>7.1176000000000004</v>
      </c>
      <c r="F2052" s="45">
        <f t="shared" si="503"/>
        <v>1537.4016000000001</v>
      </c>
      <c r="G2052" s="46">
        <f t="shared" si="504"/>
        <v>0</v>
      </c>
      <c r="H2052" s="47">
        <f t="shared" si="505"/>
        <v>0</v>
      </c>
      <c r="I2052" s="46">
        <f t="shared" si="506"/>
        <v>0</v>
      </c>
      <c r="J2052" s="47">
        <v>0</v>
      </c>
      <c r="K2052" s="46">
        <f t="shared" si="507"/>
        <v>0</v>
      </c>
      <c r="L2052" s="47">
        <v>0</v>
      </c>
      <c r="AX2052" s="46">
        <v>1</v>
      </c>
      <c r="AY2052" s="47">
        <v>5766733.6402624408</v>
      </c>
      <c r="AZ2052" s="70">
        <f>H2052-J2052</f>
        <v>0</v>
      </c>
      <c r="BC2052" s="50"/>
    </row>
    <row r="2053" spans="1:55" s="48" customFormat="1" ht="15.45" customHeight="1" outlineLevel="1" x14ac:dyDescent="0.25">
      <c r="A2053" s="42">
        <v>8</v>
      </c>
      <c r="B2053" s="43" t="s">
        <v>1195</v>
      </c>
      <c r="C2053" s="44" t="s">
        <v>98</v>
      </c>
      <c r="D2053" s="45">
        <v>216</v>
      </c>
      <c r="E2053" s="45">
        <v>1.7259199999999999</v>
      </c>
      <c r="F2053" s="45">
        <f t="shared" si="503"/>
        <v>372.79872</v>
      </c>
      <c r="G2053" s="46">
        <f t="shared" si="504"/>
        <v>0</v>
      </c>
      <c r="H2053" s="47">
        <f t="shared" si="505"/>
        <v>0</v>
      </c>
      <c r="I2053" s="46">
        <f t="shared" si="506"/>
        <v>0</v>
      </c>
      <c r="J2053" s="47">
        <v>0</v>
      </c>
      <c r="K2053" s="46">
        <f t="shared" si="507"/>
        <v>0</v>
      </c>
      <c r="L2053" s="47">
        <v>0</v>
      </c>
      <c r="AX2053" s="46">
        <v>0</v>
      </c>
      <c r="AY2053" s="47">
        <v>0</v>
      </c>
      <c r="AZ2053" s="70">
        <f>H2053-J2053</f>
        <v>0</v>
      </c>
      <c r="BC2053" s="50"/>
    </row>
    <row r="2054" spans="1:55" s="48" customFormat="1" ht="15.45" customHeight="1" outlineLevel="1" x14ac:dyDescent="0.25">
      <c r="A2054" s="42">
        <v>9</v>
      </c>
      <c r="B2054" s="43" t="s">
        <v>1196</v>
      </c>
      <c r="C2054" s="44" t="s">
        <v>61</v>
      </c>
      <c r="D2054" s="45">
        <v>39</v>
      </c>
      <c r="E2054" s="45">
        <v>20.0716</v>
      </c>
      <c r="F2054" s="45">
        <f t="shared" si="503"/>
        <v>782.79240000000004</v>
      </c>
      <c r="G2054" s="46">
        <f t="shared" si="504"/>
        <v>0</v>
      </c>
      <c r="H2054" s="47">
        <f t="shared" si="505"/>
        <v>0</v>
      </c>
      <c r="I2054" s="46">
        <f t="shared" si="506"/>
        <v>0</v>
      </c>
      <c r="J2054" s="47">
        <v>0</v>
      </c>
      <c r="K2054" s="46">
        <f t="shared" si="507"/>
        <v>0</v>
      </c>
      <c r="L2054" s="47">
        <v>0</v>
      </c>
      <c r="AX2054" s="46">
        <v>0</v>
      </c>
      <c r="AY2054" s="47">
        <v>1038012.055247239</v>
      </c>
      <c r="AZ2054" s="70">
        <f>H2054-J2054</f>
        <v>0</v>
      </c>
      <c r="BC2054" s="50"/>
    </row>
    <row r="2055" spans="1:55" s="56" customFormat="1" ht="17.25" customHeight="1" x14ac:dyDescent="0.3">
      <c r="A2055" s="31">
        <v>21.1</v>
      </c>
      <c r="B2055" s="51" t="s">
        <v>1198</v>
      </c>
      <c r="C2055" s="52">
        <v>0</v>
      </c>
      <c r="D2055" s="53"/>
      <c r="E2055" s="53"/>
      <c r="F2055" s="53"/>
      <c r="G2055" s="54"/>
      <c r="H2055" s="55"/>
      <c r="I2055" s="54"/>
      <c r="J2055" s="55"/>
      <c r="K2055" s="54"/>
      <c r="L2055" s="55">
        <v>0</v>
      </c>
      <c r="AX2055" s="69"/>
      <c r="AY2055" s="71"/>
      <c r="AZ2055" s="72"/>
      <c r="BC2055" s="58"/>
    </row>
    <row r="2056" spans="1:55" s="48" customFormat="1" ht="27.75" customHeight="1" outlineLevel="1" x14ac:dyDescent="0.25">
      <c r="A2056" s="42">
        <v>1</v>
      </c>
      <c r="B2056" s="43" t="s">
        <v>1188</v>
      </c>
      <c r="C2056" s="44" t="s">
        <v>110</v>
      </c>
      <c r="D2056" s="45">
        <v>255.25</v>
      </c>
      <c r="E2056" s="45">
        <v>5.2815999999999992</v>
      </c>
      <c r="F2056" s="45">
        <f t="shared" ref="F2056:F2066" si="508">+E2056*D2056</f>
        <v>1348.1283999999998</v>
      </c>
      <c r="G2056" s="46">
        <f t="shared" ref="G2056:G2066" si="509">I2056+K2056</f>
        <v>0</v>
      </c>
      <c r="H2056" s="47">
        <f t="shared" ref="H2056:H2066" si="510">J2056+L2056</f>
        <v>0</v>
      </c>
      <c r="I2056" s="46">
        <f t="shared" ref="I2056:I2066" si="511">J2056/F2056</f>
        <v>0</v>
      </c>
      <c r="J2056" s="47">
        <v>0</v>
      </c>
      <c r="K2056" s="46">
        <f t="shared" ref="K2056:K2066" si="512">L2056/F2056</f>
        <v>0</v>
      </c>
      <c r="L2056" s="47">
        <v>0</v>
      </c>
      <c r="AX2056" s="46"/>
      <c r="AY2056" s="47"/>
      <c r="AZ2056" s="70"/>
      <c r="BC2056" s="50"/>
    </row>
    <row r="2057" spans="1:55" s="48" customFormat="1" ht="15.45" customHeight="1" outlineLevel="1" x14ac:dyDescent="0.25">
      <c r="A2057" s="42">
        <v>2</v>
      </c>
      <c r="B2057" s="43" t="s">
        <v>1189</v>
      </c>
      <c r="C2057" s="44" t="s">
        <v>110</v>
      </c>
      <c r="D2057" s="45">
        <v>255.25</v>
      </c>
      <c r="E2057" s="45">
        <v>22.048400000000001</v>
      </c>
      <c r="F2057" s="45">
        <f t="shared" si="508"/>
        <v>5627.8541000000005</v>
      </c>
      <c r="G2057" s="46">
        <f t="shared" si="509"/>
        <v>0</v>
      </c>
      <c r="H2057" s="47">
        <f t="shared" si="510"/>
        <v>0</v>
      </c>
      <c r="I2057" s="46">
        <f t="shared" si="511"/>
        <v>0</v>
      </c>
      <c r="J2057" s="47">
        <v>0</v>
      </c>
      <c r="K2057" s="46">
        <f t="shared" si="512"/>
        <v>0</v>
      </c>
      <c r="L2057" s="47">
        <v>0</v>
      </c>
      <c r="AX2057" s="46"/>
      <c r="AY2057" s="47"/>
      <c r="AZ2057" s="70"/>
      <c r="BC2057" s="50"/>
    </row>
    <row r="2058" spans="1:55" s="48" customFormat="1" ht="33.75" customHeight="1" outlineLevel="1" x14ac:dyDescent="0.25">
      <c r="A2058" s="42">
        <v>3</v>
      </c>
      <c r="B2058" s="43" t="s">
        <v>1190</v>
      </c>
      <c r="C2058" s="44" t="s">
        <v>98</v>
      </c>
      <c r="D2058" s="45">
        <v>1021</v>
      </c>
      <c r="E2058" s="45">
        <v>4.1891800000000003</v>
      </c>
      <c r="F2058" s="45">
        <f t="shared" si="508"/>
        <v>4277.1527800000003</v>
      </c>
      <c r="G2058" s="46">
        <f t="shared" si="509"/>
        <v>0</v>
      </c>
      <c r="H2058" s="47">
        <f t="shared" si="510"/>
        <v>0</v>
      </c>
      <c r="I2058" s="46">
        <f t="shared" si="511"/>
        <v>0</v>
      </c>
      <c r="J2058" s="47">
        <v>0</v>
      </c>
      <c r="K2058" s="46">
        <f t="shared" si="512"/>
        <v>0</v>
      </c>
      <c r="L2058" s="47">
        <v>0</v>
      </c>
      <c r="AX2058" s="46"/>
      <c r="AY2058" s="47"/>
      <c r="AZ2058" s="70"/>
      <c r="BC2058" s="50"/>
    </row>
    <row r="2059" spans="1:55" s="48" customFormat="1" ht="15.45" customHeight="1" outlineLevel="1" x14ac:dyDescent="0.25">
      <c r="A2059" s="42">
        <v>4</v>
      </c>
      <c r="B2059" s="43" t="s">
        <v>1191</v>
      </c>
      <c r="C2059" s="44" t="s">
        <v>98</v>
      </c>
      <c r="D2059" s="45">
        <v>1021</v>
      </c>
      <c r="E2059" s="45">
        <v>0.9</v>
      </c>
      <c r="F2059" s="45">
        <f t="shared" si="508"/>
        <v>918.9</v>
      </c>
      <c r="G2059" s="46">
        <f t="shared" si="509"/>
        <v>0</v>
      </c>
      <c r="H2059" s="47">
        <f t="shared" si="510"/>
        <v>0</v>
      </c>
      <c r="I2059" s="46">
        <f t="shared" si="511"/>
        <v>0</v>
      </c>
      <c r="J2059" s="47">
        <v>0</v>
      </c>
      <c r="K2059" s="46">
        <f t="shared" si="512"/>
        <v>0</v>
      </c>
      <c r="L2059" s="47">
        <v>0</v>
      </c>
      <c r="AX2059" s="46"/>
      <c r="AY2059" s="47"/>
      <c r="AZ2059" s="70"/>
      <c r="BC2059" s="50"/>
    </row>
    <row r="2060" spans="1:55" s="48" customFormat="1" ht="27.75" customHeight="1" outlineLevel="1" x14ac:dyDescent="0.25">
      <c r="A2060" s="42">
        <v>5</v>
      </c>
      <c r="B2060" s="43" t="s">
        <v>115</v>
      </c>
      <c r="C2060" s="44" t="s">
        <v>28</v>
      </c>
      <c r="D2060" s="45">
        <v>18.132999999999999</v>
      </c>
      <c r="E2060" s="45">
        <v>447.25</v>
      </c>
      <c r="F2060" s="45">
        <f t="shared" si="508"/>
        <v>8109.9842499999995</v>
      </c>
      <c r="G2060" s="46">
        <f t="shared" si="509"/>
        <v>0</v>
      </c>
      <c r="H2060" s="47">
        <f t="shared" si="510"/>
        <v>0</v>
      </c>
      <c r="I2060" s="46">
        <f t="shared" si="511"/>
        <v>0</v>
      </c>
      <c r="J2060" s="47">
        <v>0</v>
      </c>
      <c r="K2060" s="46">
        <f t="shared" si="512"/>
        <v>0</v>
      </c>
      <c r="L2060" s="47">
        <v>0</v>
      </c>
      <c r="AX2060" s="46"/>
      <c r="AY2060" s="47"/>
      <c r="AZ2060" s="70"/>
      <c r="BC2060" s="50"/>
    </row>
    <row r="2061" spans="1:55" s="48" customFormat="1" ht="15.45" customHeight="1" outlineLevel="1" x14ac:dyDescent="0.25">
      <c r="A2061" s="42">
        <v>6</v>
      </c>
      <c r="B2061" s="43" t="s">
        <v>43</v>
      </c>
      <c r="C2061" s="44" t="s">
        <v>28</v>
      </c>
      <c r="D2061" s="45">
        <v>18.132999999999999</v>
      </c>
      <c r="E2061" s="45">
        <v>1200.0999999999999</v>
      </c>
      <c r="F2061" s="45">
        <f t="shared" si="508"/>
        <v>21761.413299999997</v>
      </c>
      <c r="G2061" s="46">
        <f t="shared" si="509"/>
        <v>0</v>
      </c>
      <c r="H2061" s="47">
        <f t="shared" si="510"/>
        <v>0</v>
      </c>
      <c r="I2061" s="46">
        <f t="shared" si="511"/>
        <v>0</v>
      </c>
      <c r="J2061" s="47">
        <v>0</v>
      </c>
      <c r="K2061" s="46">
        <f t="shared" si="512"/>
        <v>0</v>
      </c>
      <c r="L2061" s="47">
        <v>0</v>
      </c>
      <c r="AX2061" s="46"/>
      <c r="AY2061" s="47"/>
      <c r="AZ2061" s="70"/>
      <c r="BC2061" s="50"/>
    </row>
    <row r="2062" spans="1:55" s="48" customFormat="1" ht="15.45" customHeight="1" outlineLevel="1" x14ac:dyDescent="0.25">
      <c r="A2062" s="42">
        <v>7</v>
      </c>
      <c r="B2062" s="43" t="s">
        <v>1199</v>
      </c>
      <c r="C2062" s="44" t="s">
        <v>110</v>
      </c>
      <c r="D2062" s="45">
        <v>102.1</v>
      </c>
      <c r="E2062" s="45">
        <v>140.99260000000001</v>
      </c>
      <c r="F2062" s="45">
        <f t="shared" si="508"/>
        <v>14395.34446</v>
      </c>
      <c r="G2062" s="46">
        <f t="shared" si="509"/>
        <v>0</v>
      </c>
      <c r="H2062" s="47">
        <f t="shared" si="510"/>
        <v>0</v>
      </c>
      <c r="I2062" s="46">
        <f t="shared" si="511"/>
        <v>0</v>
      </c>
      <c r="J2062" s="47">
        <v>0</v>
      </c>
      <c r="K2062" s="46">
        <f t="shared" si="512"/>
        <v>0</v>
      </c>
      <c r="L2062" s="47">
        <v>0</v>
      </c>
      <c r="AX2062" s="46">
        <v>0</v>
      </c>
      <c r="AY2062" s="47">
        <v>0</v>
      </c>
      <c r="AZ2062" s="70">
        <f>H2062-J2062</f>
        <v>0</v>
      </c>
      <c r="BC2062" s="50"/>
    </row>
    <row r="2063" spans="1:55" s="48" customFormat="1" ht="27.75" customHeight="1" outlineLevel="1" x14ac:dyDescent="0.25">
      <c r="A2063" s="42">
        <v>8</v>
      </c>
      <c r="B2063" s="43" t="s">
        <v>1192</v>
      </c>
      <c r="C2063" s="44" t="s">
        <v>98</v>
      </c>
      <c r="D2063" s="45">
        <v>1021</v>
      </c>
      <c r="E2063" s="45">
        <v>7.0768000000000004</v>
      </c>
      <c r="F2063" s="45">
        <f t="shared" si="508"/>
        <v>7225.4128000000001</v>
      </c>
      <c r="G2063" s="46">
        <f t="shared" si="509"/>
        <v>0</v>
      </c>
      <c r="H2063" s="47">
        <f t="shared" si="510"/>
        <v>0</v>
      </c>
      <c r="I2063" s="46">
        <f t="shared" si="511"/>
        <v>0</v>
      </c>
      <c r="J2063" s="47">
        <v>0</v>
      </c>
      <c r="K2063" s="46">
        <f t="shared" si="512"/>
        <v>0</v>
      </c>
      <c r="L2063" s="47">
        <v>0</v>
      </c>
      <c r="AX2063" s="46">
        <v>0</v>
      </c>
      <c r="AY2063" s="47">
        <v>0</v>
      </c>
      <c r="AZ2063" s="70">
        <f>H2063-J2063</f>
        <v>0</v>
      </c>
      <c r="BC2063" s="50"/>
    </row>
    <row r="2064" spans="1:55" s="48" customFormat="1" ht="15.45" customHeight="1" outlineLevel="1" x14ac:dyDescent="0.25">
      <c r="A2064" s="42">
        <v>9</v>
      </c>
      <c r="B2064" s="43" t="s">
        <v>1193</v>
      </c>
      <c r="C2064" s="44" t="s">
        <v>98</v>
      </c>
      <c r="D2064" s="45">
        <v>1021</v>
      </c>
      <c r="E2064" s="45">
        <v>4.7420599999999986</v>
      </c>
      <c r="F2064" s="45">
        <f t="shared" si="508"/>
        <v>4841.6432599999989</v>
      </c>
      <c r="G2064" s="46">
        <f t="shared" si="509"/>
        <v>0</v>
      </c>
      <c r="H2064" s="47">
        <f t="shared" si="510"/>
        <v>0</v>
      </c>
      <c r="I2064" s="46">
        <f t="shared" si="511"/>
        <v>0</v>
      </c>
      <c r="J2064" s="47">
        <v>0</v>
      </c>
      <c r="K2064" s="46">
        <f t="shared" si="512"/>
        <v>0</v>
      </c>
      <c r="L2064" s="47">
        <v>0</v>
      </c>
      <c r="AX2064" s="46"/>
      <c r="AY2064" s="47"/>
      <c r="AZ2064" s="70"/>
      <c r="BC2064" s="50"/>
    </row>
    <row r="2065" spans="1:55" s="48" customFormat="1" ht="27.75" customHeight="1" outlineLevel="1" x14ac:dyDescent="0.25">
      <c r="A2065" s="42">
        <v>10</v>
      </c>
      <c r="B2065" s="43" t="s">
        <v>1194</v>
      </c>
      <c r="C2065" s="44" t="s">
        <v>98</v>
      </c>
      <c r="D2065" s="45">
        <v>1021</v>
      </c>
      <c r="E2065" s="45">
        <v>7.1267799999999992</v>
      </c>
      <c r="F2065" s="45">
        <f t="shared" si="508"/>
        <v>7276.4423799999995</v>
      </c>
      <c r="G2065" s="46">
        <f t="shared" si="509"/>
        <v>0</v>
      </c>
      <c r="H2065" s="47">
        <f t="shared" si="510"/>
        <v>0</v>
      </c>
      <c r="I2065" s="46">
        <f t="shared" si="511"/>
        <v>0</v>
      </c>
      <c r="J2065" s="47">
        <v>0</v>
      </c>
      <c r="K2065" s="46">
        <f t="shared" si="512"/>
        <v>0</v>
      </c>
      <c r="L2065" s="47">
        <v>0</v>
      </c>
      <c r="AX2065" s="46"/>
      <c r="AY2065" s="47"/>
      <c r="AZ2065" s="70"/>
      <c r="BC2065" s="50"/>
    </row>
    <row r="2066" spans="1:55" s="48" customFormat="1" ht="15.45" customHeight="1" outlineLevel="1" x14ac:dyDescent="0.25">
      <c r="A2066" s="42">
        <v>0</v>
      </c>
      <c r="B2066" s="43" t="s">
        <v>1195</v>
      </c>
      <c r="C2066" s="44" t="s">
        <v>98</v>
      </c>
      <c r="D2066" s="45">
        <v>1021</v>
      </c>
      <c r="E2066" s="45">
        <v>1.7259199999999999</v>
      </c>
      <c r="F2066" s="45">
        <f t="shared" si="508"/>
        <v>1762.1643199999999</v>
      </c>
      <c r="G2066" s="46">
        <f t="shared" si="509"/>
        <v>0</v>
      </c>
      <c r="H2066" s="47">
        <f t="shared" si="510"/>
        <v>0</v>
      </c>
      <c r="I2066" s="46">
        <f t="shared" si="511"/>
        <v>0</v>
      </c>
      <c r="J2066" s="47">
        <v>0</v>
      </c>
      <c r="K2066" s="46">
        <f t="shared" si="512"/>
        <v>0</v>
      </c>
      <c r="L2066" s="47">
        <v>0</v>
      </c>
      <c r="AX2066" s="46"/>
      <c r="AY2066" s="47"/>
      <c r="AZ2066" s="70"/>
      <c r="BC2066" s="50"/>
    </row>
    <row r="2067" spans="1:55" s="56" customFormat="1" ht="17.25" customHeight="1" x14ac:dyDescent="0.3">
      <c r="A2067" s="31">
        <v>22.1</v>
      </c>
      <c r="B2067" s="51" t="s">
        <v>1200</v>
      </c>
      <c r="C2067" s="52">
        <v>0</v>
      </c>
      <c r="D2067" s="53"/>
      <c r="E2067" s="53"/>
      <c r="F2067" s="53"/>
      <c r="G2067" s="54"/>
      <c r="H2067" s="55"/>
      <c r="I2067" s="54"/>
      <c r="J2067" s="55"/>
      <c r="K2067" s="54"/>
      <c r="L2067" s="55">
        <v>0</v>
      </c>
      <c r="AX2067" s="69"/>
      <c r="AY2067" s="71"/>
      <c r="AZ2067" s="72"/>
      <c r="BC2067" s="58"/>
    </row>
    <row r="2068" spans="1:55" s="48" customFormat="1" ht="27.75" customHeight="1" outlineLevel="1" x14ac:dyDescent="0.25">
      <c r="A2068" s="42">
        <v>1</v>
      </c>
      <c r="B2068" s="43" t="s">
        <v>1201</v>
      </c>
      <c r="C2068" s="44" t="s">
        <v>110</v>
      </c>
      <c r="D2068" s="45">
        <v>143.78</v>
      </c>
      <c r="E2068" s="45">
        <v>5.3632</v>
      </c>
      <c r="F2068" s="45">
        <f>+E2068*D2068</f>
        <v>771.12089600000002</v>
      </c>
      <c r="G2068" s="46">
        <f t="shared" ref="G2068:H2072" si="513">I2068+K2068</f>
        <v>0</v>
      </c>
      <c r="H2068" s="47">
        <f t="shared" si="513"/>
        <v>0</v>
      </c>
      <c r="I2068" s="46">
        <f>J2068/F2068</f>
        <v>0</v>
      </c>
      <c r="J2068" s="47">
        <v>0</v>
      </c>
      <c r="K2068" s="46">
        <f>L2068/F2068</f>
        <v>0</v>
      </c>
      <c r="L2068" s="47">
        <v>0</v>
      </c>
      <c r="AX2068" s="46"/>
      <c r="AY2068" s="47"/>
      <c r="AZ2068" s="70"/>
      <c r="BC2068" s="50"/>
    </row>
    <row r="2069" spans="1:55" s="48" customFormat="1" ht="15.45" customHeight="1" outlineLevel="1" x14ac:dyDescent="0.25">
      <c r="A2069" s="42">
        <v>2</v>
      </c>
      <c r="B2069" s="43" t="s">
        <v>1189</v>
      </c>
      <c r="C2069" s="44" t="s">
        <v>110</v>
      </c>
      <c r="D2069" s="45">
        <v>143.78</v>
      </c>
      <c r="E2069" s="45">
        <v>22.048400000000001</v>
      </c>
      <c r="F2069" s="45">
        <f>+E2069*D2069</f>
        <v>3170.1189520000003</v>
      </c>
      <c r="G2069" s="46">
        <f t="shared" si="513"/>
        <v>0</v>
      </c>
      <c r="H2069" s="47">
        <f t="shared" si="513"/>
        <v>0</v>
      </c>
      <c r="I2069" s="46">
        <f>J2069/F2069</f>
        <v>0</v>
      </c>
      <c r="J2069" s="47">
        <v>0</v>
      </c>
      <c r="K2069" s="46">
        <f>L2069/F2069</f>
        <v>0</v>
      </c>
      <c r="L2069" s="47">
        <v>0</v>
      </c>
      <c r="AX2069" s="46"/>
      <c r="AY2069" s="47"/>
      <c r="AZ2069" s="70"/>
      <c r="BC2069" s="50"/>
    </row>
    <row r="2070" spans="1:55" s="48" customFormat="1" ht="27.75" customHeight="1" outlineLevel="1" x14ac:dyDescent="0.25">
      <c r="A2070" s="42">
        <v>3</v>
      </c>
      <c r="B2070" s="43" t="s">
        <v>1202</v>
      </c>
      <c r="C2070" s="44" t="s">
        <v>98</v>
      </c>
      <c r="D2070" s="45">
        <v>1437.8</v>
      </c>
      <c r="E2070" s="45">
        <v>6.9748000000000001</v>
      </c>
      <c r="F2070" s="45">
        <f>+E2070*D2070</f>
        <v>10028.36744</v>
      </c>
      <c r="G2070" s="46">
        <f t="shared" si="513"/>
        <v>0</v>
      </c>
      <c r="H2070" s="47">
        <f t="shared" si="513"/>
        <v>0</v>
      </c>
      <c r="I2070" s="46">
        <f>J2070/F2070</f>
        <v>0</v>
      </c>
      <c r="J2070" s="47">
        <v>0</v>
      </c>
      <c r="K2070" s="46">
        <f>L2070/F2070</f>
        <v>0</v>
      </c>
      <c r="L2070" s="47">
        <v>0</v>
      </c>
      <c r="AX2070" s="46"/>
      <c r="AY2070" s="47"/>
      <c r="AZ2070" s="70"/>
      <c r="BC2070" s="50"/>
    </row>
    <row r="2071" spans="1:55" s="48" customFormat="1" ht="15.45" customHeight="1" outlineLevel="1" x14ac:dyDescent="0.25">
      <c r="A2071" s="42">
        <v>4</v>
      </c>
      <c r="B2071" s="43" t="s">
        <v>1203</v>
      </c>
      <c r="C2071" s="44" t="s">
        <v>98</v>
      </c>
      <c r="D2071" s="45">
        <v>1437.8</v>
      </c>
      <c r="E2071" s="45">
        <v>2.2624</v>
      </c>
      <c r="F2071" s="45">
        <f>+E2071*D2071</f>
        <v>3252.8787199999997</v>
      </c>
      <c r="G2071" s="46">
        <f t="shared" si="513"/>
        <v>0</v>
      </c>
      <c r="H2071" s="47">
        <f t="shared" si="513"/>
        <v>0</v>
      </c>
      <c r="I2071" s="46">
        <f>J2071/F2071</f>
        <v>0</v>
      </c>
      <c r="J2071" s="47">
        <v>0</v>
      </c>
      <c r="K2071" s="46">
        <f>L2071/F2071</f>
        <v>0</v>
      </c>
      <c r="L2071" s="47">
        <v>0</v>
      </c>
      <c r="AX2071" s="46"/>
      <c r="AY2071" s="47"/>
      <c r="AZ2071" s="70"/>
      <c r="BC2071" s="50"/>
    </row>
    <row r="2072" spans="1:55" s="48" customFormat="1" ht="15.45" customHeight="1" outlineLevel="1" x14ac:dyDescent="0.25">
      <c r="A2072" s="42">
        <v>5</v>
      </c>
      <c r="B2072" s="43" t="s">
        <v>1196</v>
      </c>
      <c r="C2072" s="44" t="s">
        <v>61</v>
      </c>
      <c r="D2072" s="45">
        <v>726</v>
      </c>
      <c r="E2072" s="45">
        <v>16.266999999999999</v>
      </c>
      <c r="F2072" s="45">
        <f>+E2072*D2072</f>
        <v>11809.841999999999</v>
      </c>
      <c r="G2072" s="46">
        <f t="shared" si="513"/>
        <v>0</v>
      </c>
      <c r="H2072" s="47">
        <f t="shared" si="513"/>
        <v>0</v>
      </c>
      <c r="I2072" s="46">
        <f>J2072/F2072</f>
        <v>0</v>
      </c>
      <c r="J2072" s="47">
        <v>0</v>
      </c>
      <c r="K2072" s="46">
        <f>L2072/F2072</f>
        <v>0</v>
      </c>
      <c r="L2072" s="47">
        <v>0</v>
      </c>
      <c r="AX2072" s="46"/>
      <c r="AY2072" s="47"/>
      <c r="AZ2072" s="70"/>
      <c r="BC2072" s="50"/>
    </row>
    <row r="2073" spans="1:55" s="56" customFormat="1" ht="17.25" customHeight="1" x14ac:dyDescent="0.3">
      <c r="A2073" s="31">
        <v>23.1</v>
      </c>
      <c r="B2073" s="51" t="s">
        <v>1204</v>
      </c>
      <c r="C2073" s="52">
        <v>0</v>
      </c>
      <c r="D2073" s="53"/>
      <c r="E2073" s="53"/>
      <c r="F2073" s="53"/>
      <c r="G2073" s="54"/>
      <c r="H2073" s="55"/>
      <c r="I2073" s="54"/>
      <c r="J2073" s="55"/>
      <c r="K2073" s="54"/>
      <c r="L2073" s="55">
        <v>0</v>
      </c>
      <c r="AX2073" s="69"/>
      <c r="AY2073" s="71"/>
      <c r="AZ2073" s="72"/>
      <c r="BC2073" s="58"/>
    </row>
    <row r="2074" spans="1:55" s="48" customFormat="1" ht="15.45" customHeight="1" outlineLevel="1" x14ac:dyDescent="0.25">
      <c r="A2074" s="42">
        <v>1</v>
      </c>
      <c r="B2074" s="43" t="s">
        <v>1205</v>
      </c>
      <c r="C2074" s="44" t="s">
        <v>98</v>
      </c>
      <c r="D2074" s="45">
        <v>3482.3</v>
      </c>
      <c r="E2074" s="45">
        <v>0.9</v>
      </c>
      <c r="F2074" s="45">
        <f t="shared" ref="F2074:F2081" si="514">+E2074*D2074</f>
        <v>3134.07</v>
      </c>
      <c r="G2074" s="46">
        <f t="shared" ref="G2074:H2081" si="515">I2074+K2074</f>
        <v>0</v>
      </c>
      <c r="H2074" s="47">
        <f t="shared" si="515"/>
        <v>0</v>
      </c>
      <c r="I2074" s="46">
        <f t="shared" ref="I2074:I2081" si="516">J2074/F2074</f>
        <v>0</v>
      </c>
      <c r="J2074" s="47">
        <v>0</v>
      </c>
      <c r="K2074" s="46">
        <f t="shared" ref="K2074:K2081" si="517">L2074/F2074</f>
        <v>0</v>
      </c>
      <c r="L2074" s="47">
        <v>0</v>
      </c>
      <c r="AX2074" s="46"/>
      <c r="AY2074" s="47"/>
      <c r="AZ2074" s="70"/>
      <c r="BC2074" s="50"/>
    </row>
    <row r="2075" spans="1:55" s="48" customFormat="1" ht="15.45" customHeight="1" outlineLevel="1" x14ac:dyDescent="0.25">
      <c r="A2075" s="42">
        <v>2</v>
      </c>
      <c r="B2075" s="43" t="s">
        <v>1206</v>
      </c>
      <c r="C2075" s="44" t="s">
        <v>98</v>
      </c>
      <c r="D2075" s="45">
        <v>3482.3</v>
      </c>
      <c r="E2075" s="45">
        <v>1.2692000000000001</v>
      </c>
      <c r="F2075" s="45">
        <f t="shared" si="514"/>
        <v>4419.7351600000002</v>
      </c>
      <c r="G2075" s="46">
        <f t="shared" si="515"/>
        <v>0</v>
      </c>
      <c r="H2075" s="47">
        <f t="shared" si="515"/>
        <v>0</v>
      </c>
      <c r="I2075" s="46">
        <f t="shared" si="516"/>
        <v>0</v>
      </c>
      <c r="J2075" s="47">
        <v>0</v>
      </c>
      <c r="K2075" s="46">
        <f t="shared" si="517"/>
        <v>0</v>
      </c>
      <c r="L2075" s="47">
        <v>0</v>
      </c>
      <c r="AX2075" s="46"/>
      <c r="AY2075" s="47"/>
      <c r="AZ2075" s="70"/>
      <c r="BC2075" s="50"/>
    </row>
    <row r="2076" spans="1:55" s="48" customFormat="1" ht="27.75" customHeight="1" outlineLevel="1" x14ac:dyDescent="0.25">
      <c r="A2076" s="42">
        <v>3</v>
      </c>
      <c r="B2076" s="43" t="s">
        <v>1207</v>
      </c>
      <c r="C2076" s="44" t="s">
        <v>93</v>
      </c>
      <c r="D2076" s="45">
        <v>55</v>
      </c>
      <c r="E2076" s="45">
        <v>76.599999999999994</v>
      </c>
      <c r="F2076" s="45">
        <f t="shared" si="514"/>
        <v>4213</v>
      </c>
      <c r="G2076" s="46">
        <f t="shared" si="515"/>
        <v>0</v>
      </c>
      <c r="H2076" s="47">
        <f t="shared" si="515"/>
        <v>0</v>
      </c>
      <c r="I2076" s="46">
        <f t="shared" si="516"/>
        <v>0</v>
      </c>
      <c r="J2076" s="47">
        <v>0</v>
      </c>
      <c r="K2076" s="46">
        <f t="shared" si="517"/>
        <v>0</v>
      </c>
      <c r="L2076" s="47">
        <v>0</v>
      </c>
      <c r="AX2076" s="46">
        <v>1</v>
      </c>
      <c r="AY2076" s="47">
        <v>5766733.6402624408</v>
      </c>
      <c r="AZ2076" s="70">
        <f>H2076-J2076</f>
        <v>0</v>
      </c>
      <c r="BC2076" s="50"/>
    </row>
    <row r="2077" spans="1:55" s="48" customFormat="1" ht="15.45" customHeight="1" outlineLevel="1" x14ac:dyDescent="0.25">
      <c r="A2077" s="42">
        <v>4</v>
      </c>
      <c r="B2077" s="43" t="s">
        <v>1208</v>
      </c>
      <c r="C2077" s="44" t="s">
        <v>93</v>
      </c>
      <c r="D2077" s="45">
        <v>55</v>
      </c>
      <c r="E2077" s="45">
        <v>85.4</v>
      </c>
      <c r="F2077" s="45">
        <f t="shared" si="514"/>
        <v>4697</v>
      </c>
      <c r="G2077" s="46">
        <f t="shared" si="515"/>
        <v>0</v>
      </c>
      <c r="H2077" s="47">
        <f t="shared" si="515"/>
        <v>0</v>
      </c>
      <c r="I2077" s="46">
        <f t="shared" si="516"/>
        <v>0</v>
      </c>
      <c r="J2077" s="47">
        <v>0</v>
      </c>
      <c r="K2077" s="46">
        <f t="shared" si="517"/>
        <v>0</v>
      </c>
      <c r="L2077" s="47">
        <v>0</v>
      </c>
      <c r="AX2077" s="46">
        <v>1</v>
      </c>
      <c r="AY2077" s="47">
        <v>5766733.6402624408</v>
      </c>
      <c r="AZ2077" s="70">
        <f>H2077-J2077</f>
        <v>0</v>
      </c>
      <c r="BC2077" s="50"/>
    </row>
    <row r="2078" spans="1:55" s="48" customFormat="1" ht="27.75" customHeight="1" outlineLevel="1" x14ac:dyDescent="0.25">
      <c r="A2078" s="42">
        <v>5</v>
      </c>
      <c r="B2078" s="43" t="s">
        <v>1209</v>
      </c>
      <c r="C2078" s="44" t="s">
        <v>93</v>
      </c>
      <c r="D2078" s="45">
        <v>400</v>
      </c>
      <c r="E2078" s="45">
        <v>43.552000000000007</v>
      </c>
      <c r="F2078" s="45">
        <f t="shared" si="514"/>
        <v>17420.800000000003</v>
      </c>
      <c r="G2078" s="46">
        <f t="shared" si="515"/>
        <v>0</v>
      </c>
      <c r="H2078" s="47">
        <f t="shared" si="515"/>
        <v>0</v>
      </c>
      <c r="I2078" s="46">
        <f t="shared" si="516"/>
        <v>0</v>
      </c>
      <c r="J2078" s="47">
        <v>0</v>
      </c>
      <c r="K2078" s="46">
        <f t="shared" si="517"/>
        <v>0</v>
      </c>
      <c r="L2078" s="47">
        <v>0</v>
      </c>
      <c r="AX2078" s="46">
        <v>1</v>
      </c>
      <c r="AY2078" s="47">
        <v>5766733.6402624408</v>
      </c>
      <c r="AZ2078" s="70">
        <f>H2078-J2078</f>
        <v>0</v>
      </c>
      <c r="BC2078" s="50"/>
    </row>
    <row r="2079" spans="1:55" s="48" customFormat="1" ht="15.45" customHeight="1" outlineLevel="1" x14ac:dyDescent="0.25">
      <c r="A2079" s="42">
        <v>6</v>
      </c>
      <c r="B2079" s="43" t="s">
        <v>1210</v>
      </c>
      <c r="C2079" s="44" t="s">
        <v>93</v>
      </c>
      <c r="D2079" s="45">
        <v>400</v>
      </c>
      <c r="E2079" s="45">
        <v>42.634</v>
      </c>
      <c r="F2079" s="45">
        <f t="shared" si="514"/>
        <v>17053.599999999999</v>
      </c>
      <c r="G2079" s="46">
        <f t="shared" si="515"/>
        <v>0</v>
      </c>
      <c r="H2079" s="47">
        <f t="shared" si="515"/>
        <v>0</v>
      </c>
      <c r="I2079" s="46">
        <f t="shared" si="516"/>
        <v>0</v>
      </c>
      <c r="J2079" s="47">
        <v>0</v>
      </c>
      <c r="K2079" s="46">
        <f t="shared" si="517"/>
        <v>0</v>
      </c>
      <c r="L2079" s="47">
        <v>0</v>
      </c>
      <c r="AX2079" s="46">
        <v>0</v>
      </c>
      <c r="AY2079" s="47">
        <v>0</v>
      </c>
      <c r="AZ2079" s="70">
        <f>H2079-J2079</f>
        <v>0</v>
      </c>
      <c r="BC2079" s="50"/>
    </row>
    <row r="2080" spans="1:55" s="48" customFormat="1" ht="27.75" customHeight="1" outlineLevel="1" x14ac:dyDescent="0.25">
      <c r="A2080" s="42">
        <v>7</v>
      </c>
      <c r="B2080" s="43" t="s">
        <v>1211</v>
      </c>
      <c r="C2080" s="44" t="s">
        <v>98</v>
      </c>
      <c r="D2080" s="45">
        <v>200</v>
      </c>
      <c r="E2080" s="45">
        <v>3.0478000000000001</v>
      </c>
      <c r="F2080" s="45">
        <f t="shared" si="514"/>
        <v>609.56000000000006</v>
      </c>
      <c r="G2080" s="46">
        <f t="shared" si="515"/>
        <v>0</v>
      </c>
      <c r="H2080" s="47">
        <f t="shared" si="515"/>
        <v>0</v>
      </c>
      <c r="I2080" s="46">
        <f t="shared" si="516"/>
        <v>0</v>
      </c>
      <c r="J2080" s="47">
        <v>0</v>
      </c>
      <c r="K2080" s="46">
        <f t="shared" si="517"/>
        <v>0</v>
      </c>
      <c r="L2080" s="47">
        <v>0</v>
      </c>
      <c r="AX2080" s="46">
        <v>0</v>
      </c>
      <c r="AY2080" s="47">
        <v>1038012.055247239</v>
      </c>
      <c r="AZ2080" s="70">
        <f>H2080-J2080</f>
        <v>0</v>
      </c>
      <c r="BC2080" s="50"/>
    </row>
    <row r="2081" spans="1:55" s="48" customFormat="1" ht="15.45" customHeight="1" outlineLevel="1" x14ac:dyDescent="0.25">
      <c r="A2081" s="42">
        <v>8</v>
      </c>
      <c r="B2081" s="43" t="s">
        <v>1212</v>
      </c>
      <c r="C2081" s="44" t="s">
        <v>98</v>
      </c>
      <c r="D2081" s="45">
        <v>200</v>
      </c>
      <c r="E2081" s="45">
        <v>1.7116</v>
      </c>
      <c r="F2081" s="45">
        <f t="shared" si="514"/>
        <v>342.32</v>
      </c>
      <c r="G2081" s="46">
        <f t="shared" si="515"/>
        <v>0</v>
      </c>
      <c r="H2081" s="47">
        <f t="shared" si="515"/>
        <v>0</v>
      </c>
      <c r="I2081" s="46">
        <f t="shared" si="516"/>
        <v>0</v>
      </c>
      <c r="J2081" s="47">
        <v>0</v>
      </c>
      <c r="K2081" s="46">
        <f t="shared" si="517"/>
        <v>0</v>
      </c>
      <c r="L2081" s="47">
        <v>0</v>
      </c>
      <c r="AX2081" s="46"/>
      <c r="AY2081" s="47"/>
      <c r="AZ2081" s="70"/>
      <c r="BC2081" s="50"/>
    </row>
    <row r="2082" spans="1:55" s="56" customFormat="1" ht="17.25" customHeight="1" x14ac:dyDescent="0.3">
      <c r="A2082" s="31">
        <v>24.1</v>
      </c>
      <c r="B2082" s="51" t="s">
        <v>1213</v>
      </c>
      <c r="C2082" s="52">
        <v>0</v>
      </c>
      <c r="D2082" s="53"/>
      <c r="E2082" s="53"/>
      <c r="F2082" s="53"/>
      <c r="G2082" s="54"/>
      <c r="H2082" s="55"/>
      <c r="I2082" s="54"/>
      <c r="J2082" s="55"/>
      <c r="K2082" s="54"/>
      <c r="L2082" s="55">
        <v>0</v>
      </c>
      <c r="AX2082" s="69"/>
      <c r="AY2082" s="71"/>
      <c r="AZ2082" s="72"/>
      <c r="BC2082" s="58"/>
    </row>
    <row r="2083" spans="1:55" s="48" customFormat="1" ht="27.75" customHeight="1" outlineLevel="1" x14ac:dyDescent="0.25">
      <c r="A2083" s="42">
        <v>1</v>
      </c>
      <c r="B2083" s="43" t="s">
        <v>34</v>
      </c>
      <c r="C2083" s="44" t="s">
        <v>110</v>
      </c>
      <c r="D2083" s="45">
        <v>24</v>
      </c>
      <c r="E2083" s="45">
        <v>8.9600000000000009</v>
      </c>
      <c r="F2083" s="45">
        <f t="shared" ref="F2083:F2092" si="518">+E2083*D2083</f>
        <v>215.04000000000002</v>
      </c>
      <c r="G2083" s="46">
        <f t="shared" ref="G2083:G2092" si="519">I2083+K2083</f>
        <v>0</v>
      </c>
      <c r="H2083" s="47">
        <f t="shared" ref="H2083:H2092" si="520">J2083+L2083</f>
        <v>0</v>
      </c>
      <c r="I2083" s="46">
        <f t="shared" ref="I2083:I2092" si="521">J2083/F2083</f>
        <v>0</v>
      </c>
      <c r="J2083" s="47">
        <v>0</v>
      </c>
      <c r="K2083" s="46">
        <f t="shared" ref="K2083:K2092" si="522">L2083/F2083</f>
        <v>0</v>
      </c>
      <c r="L2083" s="47">
        <v>0</v>
      </c>
      <c r="AX2083" s="46"/>
      <c r="AY2083" s="47"/>
      <c r="AZ2083" s="70"/>
      <c r="BC2083" s="50"/>
    </row>
    <row r="2084" spans="1:55" s="48" customFormat="1" ht="15.45" customHeight="1" outlineLevel="1" x14ac:dyDescent="0.25">
      <c r="A2084" s="42">
        <v>2</v>
      </c>
      <c r="B2084" s="43" t="s">
        <v>29</v>
      </c>
      <c r="C2084" s="44" t="s">
        <v>28</v>
      </c>
      <c r="D2084" s="45">
        <v>46</v>
      </c>
      <c r="E2084" s="45">
        <v>1.63</v>
      </c>
      <c r="F2084" s="45">
        <f t="shared" si="518"/>
        <v>74.97999999999999</v>
      </c>
      <c r="G2084" s="46">
        <f t="shared" si="519"/>
        <v>0</v>
      </c>
      <c r="H2084" s="47">
        <f t="shared" si="520"/>
        <v>0</v>
      </c>
      <c r="I2084" s="46">
        <f t="shared" si="521"/>
        <v>0</v>
      </c>
      <c r="J2084" s="47">
        <v>0</v>
      </c>
      <c r="K2084" s="46">
        <f t="shared" si="522"/>
        <v>0</v>
      </c>
      <c r="L2084" s="47">
        <v>0</v>
      </c>
      <c r="AX2084" s="46"/>
      <c r="AY2084" s="47"/>
      <c r="AZ2084" s="70"/>
      <c r="BC2084" s="50"/>
    </row>
    <row r="2085" spans="1:55" s="48" customFormat="1" ht="15.45" customHeight="1" outlineLevel="1" x14ac:dyDescent="0.25">
      <c r="A2085" s="42">
        <v>3</v>
      </c>
      <c r="B2085" s="43" t="s">
        <v>39</v>
      </c>
      <c r="C2085" s="44" t="s">
        <v>110</v>
      </c>
      <c r="D2085" s="45">
        <v>1</v>
      </c>
      <c r="E2085" s="45">
        <v>36.5</v>
      </c>
      <c r="F2085" s="45">
        <f t="shared" si="518"/>
        <v>36.5</v>
      </c>
      <c r="G2085" s="46">
        <f t="shared" si="519"/>
        <v>0</v>
      </c>
      <c r="H2085" s="47">
        <f t="shared" si="520"/>
        <v>0</v>
      </c>
      <c r="I2085" s="46">
        <f t="shared" si="521"/>
        <v>0</v>
      </c>
      <c r="J2085" s="47">
        <v>0</v>
      </c>
      <c r="K2085" s="46">
        <f t="shared" si="522"/>
        <v>0</v>
      </c>
      <c r="L2085" s="47">
        <v>0</v>
      </c>
      <c r="AX2085" s="46"/>
      <c r="AY2085" s="47"/>
      <c r="AZ2085" s="70"/>
      <c r="BC2085" s="50"/>
    </row>
    <row r="2086" spans="1:55" s="48" customFormat="1" ht="15.45" customHeight="1" outlineLevel="1" x14ac:dyDescent="0.25">
      <c r="A2086" s="42">
        <v>4</v>
      </c>
      <c r="B2086" s="43" t="s">
        <v>40</v>
      </c>
      <c r="C2086" s="44" t="s">
        <v>110</v>
      </c>
      <c r="D2086" s="45">
        <v>0.7</v>
      </c>
      <c r="E2086" s="45">
        <v>124.1</v>
      </c>
      <c r="F2086" s="45">
        <f t="shared" si="518"/>
        <v>86.86999999999999</v>
      </c>
      <c r="G2086" s="46">
        <f t="shared" si="519"/>
        <v>0</v>
      </c>
      <c r="H2086" s="47">
        <f t="shared" si="520"/>
        <v>0</v>
      </c>
      <c r="I2086" s="46">
        <f t="shared" si="521"/>
        <v>0</v>
      </c>
      <c r="J2086" s="47">
        <v>0</v>
      </c>
      <c r="K2086" s="46">
        <f t="shared" si="522"/>
        <v>0</v>
      </c>
      <c r="L2086" s="47">
        <v>0</v>
      </c>
      <c r="AX2086" s="46"/>
      <c r="AY2086" s="47"/>
      <c r="AZ2086" s="70"/>
      <c r="BC2086" s="50"/>
    </row>
    <row r="2087" spans="1:55" s="48" customFormat="1" ht="27.75" customHeight="1" outlineLevel="1" x14ac:dyDescent="0.25">
      <c r="A2087" s="42">
        <v>5</v>
      </c>
      <c r="B2087" s="43" t="s">
        <v>653</v>
      </c>
      <c r="C2087" s="44" t="s">
        <v>98</v>
      </c>
      <c r="D2087" s="45">
        <v>10.5</v>
      </c>
      <c r="E2087" s="45">
        <v>52.936000000000007</v>
      </c>
      <c r="F2087" s="45">
        <f t="shared" si="518"/>
        <v>555.82800000000009</v>
      </c>
      <c r="G2087" s="46">
        <f t="shared" si="519"/>
        <v>0</v>
      </c>
      <c r="H2087" s="47">
        <f t="shared" si="520"/>
        <v>0</v>
      </c>
      <c r="I2087" s="46">
        <f t="shared" si="521"/>
        <v>0</v>
      </c>
      <c r="J2087" s="47">
        <v>0</v>
      </c>
      <c r="K2087" s="46">
        <f t="shared" si="522"/>
        <v>0</v>
      </c>
      <c r="L2087" s="47">
        <v>0</v>
      </c>
      <c r="AX2087" s="46"/>
      <c r="AY2087" s="47"/>
      <c r="AZ2087" s="70"/>
      <c r="BC2087" s="50"/>
    </row>
    <row r="2088" spans="1:55" s="48" customFormat="1" ht="27.75" customHeight="1" outlineLevel="1" x14ac:dyDescent="0.25">
      <c r="A2088" s="42">
        <v>6</v>
      </c>
      <c r="B2088" s="43" t="s">
        <v>158</v>
      </c>
      <c r="C2088" s="44" t="s">
        <v>98</v>
      </c>
      <c r="D2088" s="45">
        <v>26</v>
      </c>
      <c r="E2088" s="45">
        <v>10.8202</v>
      </c>
      <c r="F2088" s="45">
        <f t="shared" si="518"/>
        <v>281.3252</v>
      </c>
      <c r="G2088" s="46">
        <f t="shared" si="519"/>
        <v>0</v>
      </c>
      <c r="H2088" s="47">
        <f t="shared" si="520"/>
        <v>0</v>
      </c>
      <c r="I2088" s="46">
        <f t="shared" si="521"/>
        <v>0</v>
      </c>
      <c r="J2088" s="47">
        <v>0</v>
      </c>
      <c r="K2088" s="46">
        <f t="shared" si="522"/>
        <v>0</v>
      </c>
      <c r="L2088" s="47">
        <v>0</v>
      </c>
      <c r="AX2088" s="46"/>
      <c r="AY2088" s="47"/>
      <c r="AZ2088" s="70"/>
      <c r="BC2088" s="50"/>
    </row>
    <row r="2089" spans="1:55" s="48" customFormat="1" ht="27.75" customHeight="1" outlineLevel="1" x14ac:dyDescent="0.25">
      <c r="A2089" s="42">
        <v>7</v>
      </c>
      <c r="B2089" s="43" t="s">
        <v>827</v>
      </c>
      <c r="C2089" s="44" t="s">
        <v>98</v>
      </c>
      <c r="D2089" s="45">
        <v>21</v>
      </c>
      <c r="E2089" s="45">
        <v>12.115600000000001</v>
      </c>
      <c r="F2089" s="45">
        <f t="shared" si="518"/>
        <v>254.42760000000001</v>
      </c>
      <c r="G2089" s="46">
        <f t="shared" si="519"/>
        <v>0</v>
      </c>
      <c r="H2089" s="47">
        <f t="shared" si="520"/>
        <v>0</v>
      </c>
      <c r="I2089" s="46">
        <f t="shared" si="521"/>
        <v>0</v>
      </c>
      <c r="J2089" s="47">
        <v>0</v>
      </c>
      <c r="K2089" s="46">
        <f t="shared" si="522"/>
        <v>0</v>
      </c>
      <c r="L2089" s="47">
        <v>0</v>
      </c>
      <c r="AX2089" s="46">
        <v>1</v>
      </c>
      <c r="AY2089" s="47">
        <v>5766733.6402624408</v>
      </c>
      <c r="AZ2089" s="70">
        <f>H2089-J2089</f>
        <v>0</v>
      </c>
      <c r="BC2089" s="50"/>
    </row>
    <row r="2090" spans="1:55" s="48" customFormat="1" ht="15.45" customHeight="1" outlineLevel="1" x14ac:dyDescent="0.25">
      <c r="A2090" s="42">
        <v>8</v>
      </c>
      <c r="B2090" s="43" t="s">
        <v>1214</v>
      </c>
      <c r="C2090" s="44" t="s">
        <v>98</v>
      </c>
      <c r="D2090" s="45">
        <v>21</v>
      </c>
      <c r="E2090" s="45">
        <v>5.6794000000000011</v>
      </c>
      <c r="F2090" s="45">
        <f t="shared" si="518"/>
        <v>119.26740000000002</v>
      </c>
      <c r="G2090" s="46">
        <f t="shared" si="519"/>
        <v>0</v>
      </c>
      <c r="H2090" s="47">
        <f t="shared" si="520"/>
        <v>0</v>
      </c>
      <c r="I2090" s="46">
        <f t="shared" si="521"/>
        <v>0</v>
      </c>
      <c r="J2090" s="47">
        <v>0</v>
      </c>
      <c r="K2090" s="46">
        <f t="shared" si="522"/>
        <v>0</v>
      </c>
      <c r="L2090" s="47">
        <v>0</v>
      </c>
      <c r="AX2090" s="46">
        <v>1</v>
      </c>
      <c r="AY2090" s="47">
        <v>5766733.6402624408</v>
      </c>
      <c r="AZ2090" s="70">
        <f>H2090-J2090</f>
        <v>0</v>
      </c>
      <c r="BC2090" s="50"/>
    </row>
    <row r="2091" spans="1:55" s="48" customFormat="1" ht="15.45" customHeight="1" outlineLevel="1" x14ac:dyDescent="0.25">
      <c r="A2091" s="42">
        <v>9</v>
      </c>
      <c r="B2091" s="43" t="s">
        <v>1215</v>
      </c>
      <c r="C2091" s="44" t="s">
        <v>110</v>
      </c>
      <c r="D2091" s="45">
        <v>0.378</v>
      </c>
      <c r="E2091" s="45">
        <v>529.19240000000002</v>
      </c>
      <c r="F2091" s="45">
        <f t="shared" si="518"/>
        <v>200.03472720000002</v>
      </c>
      <c r="G2091" s="46">
        <f t="shared" si="519"/>
        <v>0</v>
      </c>
      <c r="H2091" s="47">
        <f t="shared" si="520"/>
        <v>0</v>
      </c>
      <c r="I2091" s="46">
        <f t="shared" si="521"/>
        <v>0</v>
      </c>
      <c r="J2091" s="47">
        <v>0</v>
      </c>
      <c r="K2091" s="46">
        <f t="shared" si="522"/>
        <v>0</v>
      </c>
      <c r="L2091" s="47">
        <v>0</v>
      </c>
      <c r="AX2091" s="46">
        <v>1</v>
      </c>
      <c r="AY2091" s="47">
        <v>5766733.6402624408</v>
      </c>
      <c r="AZ2091" s="70">
        <f>H2091-J2091</f>
        <v>0</v>
      </c>
      <c r="BC2091" s="50"/>
    </row>
    <row r="2092" spans="1:55" s="48" customFormat="1" ht="15.45" customHeight="1" outlineLevel="1" x14ac:dyDescent="0.25">
      <c r="A2092" s="42">
        <v>10</v>
      </c>
      <c r="B2092" s="43" t="s">
        <v>1216</v>
      </c>
      <c r="C2092" s="44" t="s">
        <v>110</v>
      </c>
      <c r="D2092" s="45">
        <v>20</v>
      </c>
      <c r="E2092" s="45">
        <v>61.259200000000007</v>
      </c>
      <c r="F2092" s="45">
        <f t="shared" si="518"/>
        <v>1225.1840000000002</v>
      </c>
      <c r="G2092" s="46">
        <f t="shared" si="519"/>
        <v>0</v>
      </c>
      <c r="H2092" s="47">
        <f t="shared" si="520"/>
        <v>0</v>
      </c>
      <c r="I2092" s="46">
        <f t="shared" si="521"/>
        <v>0</v>
      </c>
      <c r="J2092" s="47">
        <v>0</v>
      </c>
      <c r="K2092" s="46">
        <f t="shared" si="522"/>
        <v>0</v>
      </c>
      <c r="L2092" s="47">
        <v>0</v>
      </c>
      <c r="AX2092" s="46">
        <v>0</v>
      </c>
      <c r="AY2092" s="47">
        <v>0</v>
      </c>
      <c r="AZ2092" s="70">
        <f>H2092-J2092</f>
        <v>0</v>
      </c>
      <c r="BC2092" s="50"/>
    </row>
    <row r="2093" spans="1:55" s="56" customFormat="1" ht="17.25" customHeight="1" x14ac:dyDescent="0.3">
      <c r="A2093" s="31">
        <v>25.1</v>
      </c>
      <c r="B2093" s="51" t="s">
        <v>1217</v>
      </c>
      <c r="C2093" s="52">
        <v>0</v>
      </c>
      <c r="D2093" s="53"/>
      <c r="E2093" s="53"/>
      <c r="F2093" s="53"/>
      <c r="G2093" s="54"/>
      <c r="H2093" s="55"/>
      <c r="I2093" s="54"/>
      <c r="J2093" s="55"/>
      <c r="K2093" s="54"/>
      <c r="L2093" s="55">
        <v>0</v>
      </c>
      <c r="AX2093" s="69">
        <v>0</v>
      </c>
      <c r="AY2093" s="71">
        <v>1038012.055247239</v>
      </c>
      <c r="AZ2093" s="72">
        <f>H2093-J2093</f>
        <v>0</v>
      </c>
      <c r="BC2093" s="58"/>
    </row>
    <row r="2094" spans="1:55" s="48" customFormat="1" ht="27.75" customHeight="1" outlineLevel="1" x14ac:dyDescent="0.25">
      <c r="A2094" s="42">
        <v>1</v>
      </c>
      <c r="B2094" s="43" t="s">
        <v>647</v>
      </c>
      <c r="C2094" s="44" t="s">
        <v>110</v>
      </c>
      <c r="D2094" s="45">
        <v>1658</v>
      </c>
      <c r="E2094" s="45">
        <v>0.9</v>
      </c>
      <c r="F2094" s="45">
        <f>+E2094*D2094</f>
        <v>1492.2</v>
      </c>
      <c r="G2094" s="46">
        <f t="shared" ref="G2094:H2098" si="523">I2094+K2094</f>
        <v>0</v>
      </c>
      <c r="H2094" s="47">
        <f t="shared" si="523"/>
        <v>0</v>
      </c>
      <c r="I2094" s="46">
        <f>J2094/F2094</f>
        <v>0</v>
      </c>
      <c r="J2094" s="47">
        <v>0</v>
      </c>
      <c r="K2094" s="46">
        <f>L2094/F2094</f>
        <v>0</v>
      </c>
      <c r="L2094" s="47">
        <v>0</v>
      </c>
      <c r="AX2094" s="46"/>
      <c r="AY2094" s="47"/>
      <c r="AZ2094" s="70"/>
      <c r="BC2094" s="50"/>
    </row>
    <row r="2095" spans="1:55" s="48" customFormat="1" ht="27.75" customHeight="1" outlineLevel="1" x14ac:dyDescent="0.25">
      <c r="A2095" s="42">
        <v>2</v>
      </c>
      <c r="B2095" s="43" t="s">
        <v>648</v>
      </c>
      <c r="C2095" s="44" t="s">
        <v>110</v>
      </c>
      <c r="D2095" s="45">
        <v>51</v>
      </c>
      <c r="E2095" s="45">
        <v>8.9600000000000009</v>
      </c>
      <c r="F2095" s="45">
        <f>+E2095*D2095</f>
        <v>456.96000000000004</v>
      </c>
      <c r="G2095" s="46">
        <f t="shared" si="523"/>
        <v>0</v>
      </c>
      <c r="H2095" s="47">
        <f t="shared" si="523"/>
        <v>0</v>
      </c>
      <c r="I2095" s="46">
        <f>J2095/F2095</f>
        <v>0</v>
      </c>
      <c r="J2095" s="47">
        <v>0</v>
      </c>
      <c r="K2095" s="46">
        <f>L2095/F2095</f>
        <v>0</v>
      </c>
      <c r="L2095" s="47">
        <v>0</v>
      </c>
      <c r="AX2095" s="46"/>
      <c r="AY2095" s="47"/>
      <c r="AZ2095" s="70"/>
      <c r="BC2095" s="50"/>
    </row>
    <row r="2096" spans="1:55" s="48" customFormat="1" ht="27.75" customHeight="1" outlineLevel="1" x14ac:dyDescent="0.25">
      <c r="A2096" s="42">
        <v>3</v>
      </c>
      <c r="B2096" s="43" t="s">
        <v>649</v>
      </c>
      <c r="C2096" s="44" t="s">
        <v>110</v>
      </c>
      <c r="D2096" s="45">
        <v>885</v>
      </c>
      <c r="E2096" s="45">
        <v>0.9</v>
      </c>
      <c r="F2096" s="45">
        <f>+E2096*D2096</f>
        <v>796.5</v>
      </c>
      <c r="G2096" s="46">
        <f t="shared" si="523"/>
        <v>0</v>
      </c>
      <c r="H2096" s="47">
        <f t="shared" si="523"/>
        <v>0</v>
      </c>
      <c r="I2096" s="46">
        <f>J2096/F2096</f>
        <v>0</v>
      </c>
      <c r="J2096" s="47">
        <v>0</v>
      </c>
      <c r="K2096" s="46">
        <f>L2096/F2096</f>
        <v>0</v>
      </c>
      <c r="L2096" s="47">
        <v>0</v>
      </c>
      <c r="AX2096" s="46"/>
      <c r="AY2096" s="47"/>
      <c r="AZ2096" s="70"/>
      <c r="BC2096" s="50"/>
    </row>
    <row r="2097" spans="1:55" s="48" customFormat="1" ht="15.45" customHeight="1" outlineLevel="1" x14ac:dyDescent="0.25">
      <c r="A2097" s="42">
        <v>4</v>
      </c>
      <c r="B2097" s="43" t="s">
        <v>37</v>
      </c>
      <c r="C2097" s="44" t="s">
        <v>110</v>
      </c>
      <c r="D2097" s="45">
        <v>885</v>
      </c>
      <c r="E2097" s="45">
        <v>2</v>
      </c>
      <c r="F2097" s="45">
        <f>+E2097*D2097</f>
        <v>1770</v>
      </c>
      <c r="G2097" s="46">
        <f t="shared" si="523"/>
        <v>0</v>
      </c>
      <c r="H2097" s="47">
        <f t="shared" si="523"/>
        <v>0</v>
      </c>
      <c r="I2097" s="46">
        <f>J2097/F2097</f>
        <v>0</v>
      </c>
      <c r="J2097" s="47">
        <v>0</v>
      </c>
      <c r="K2097" s="46">
        <f>L2097/F2097</f>
        <v>0</v>
      </c>
      <c r="L2097" s="47">
        <v>0</v>
      </c>
      <c r="AX2097" s="46"/>
      <c r="AY2097" s="47"/>
      <c r="AZ2097" s="70"/>
      <c r="BC2097" s="50"/>
    </row>
    <row r="2098" spans="1:55" s="48" customFormat="1" ht="15.45" customHeight="1" outlineLevel="1" x14ac:dyDescent="0.25">
      <c r="A2098" s="42">
        <v>5</v>
      </c>
      <c r="B2098" s="43" t="s">
        <v>166</v>
      </c>
      <c r="C2098" s="44" t="s">
        <v>110</v>
      </c>
      <c r="D2098" s="45">
        <v>221</v>
      </c>
      <c r="E2098" s="45">
        <v>8.16</v>
      </c>
      <c r="F2098" s="45">
        <f>+E2098*D2098</f>
        <v>1803.3600000000001</v>
      </c>
      <c r="G2098" s="46">
        <f t="shared" si="523"/>
        <v>0</v>
      </c>
      <c r="H2098" s="47">
        <f t="shared" si="523"/>
        <v>0</v>
      </c>
      <c r="I2098" s="46">
        <f>J2098/F2098</f>
        <v>0</v>
      </c>
      <c r="J2098" s="47">
        <v>0</v>
      </c>
      <c r="K2098" s="46">
        <f>L2098/F2098</f>
        <v>0</v>
      </c>
      <c r="L2098" s="47">
        <v>0</v>
      </c>
      <c r="AX2098" s="46"/>
      <c r="AY2098" s="47"/>
      <c r="AZ2098" s="70"/>
      <c r="BC2098" s="50"/>
    </row>
    <row r="2099" spans="1:55" s="56" customFormat="1" ht="17.25" customHeight="1" x14ac:dyDescent="0.3">
      <c r="A2099" s="62" t="s">
        <v>1218</v>
      </c>
      <c r="B2099" s="51" t="s">
        <v>1219</v>
      </c>
      <c r="C2099" s="52">
        <v>0</v>
      </c>
      <c r="D2099" s="53"/>
      <c r="E2099" s="53"/>
      <c r="F2099" s="53"/>
      <c r="G2099" s="54"/>
      <c r="H2099" s="55"/>
      <c r="I2099" s="54"/>
      <c r="J2099" s="55"/>
      <c r="K2099" s="54"/>
      <c r="L2099" s="55">
        <v>0</v>
      </c>
      <c r="AX2099" s="69">
        <v>1</v>
      </c>
      <c r="AY2099" s="71">
        <v>5766733.6402624408</v>
      </c>
      <c r="AZ2099" s="72">
        <f>H2099-J2099</f>
        <v>0</v>
      </c>
      <c r="BC2099" s="58"/>
    </row>
    <row r="2100" spans="1:55" s="48" customFormat="1" ht="15.45" customHeight="1" outlineLevel="1" x14ac:dyDescent="0.25">
      <c r="A2100" s="42">
        <v>1</v>
      </c>
      <c r="B2100" s="43" t="s">
        <v>167</v>
      </c>
      <c r="C2100" s="44" t="s">
        <v>110</v>
      </c>
      <c r="D2100" s="45">
        <v>5.44</v>
      </c>
      <c r="E2100" s="45">
        <v>36.616</v>
      </c>
      <c r="F2100" s="45">
        <f t="shared" ref="F2100:F2106" si="524">+E2100*D2100</f>
        <v>199.19104000000002</v>
      </c>
      <c r="G2100" s="46">
        <f t="shared" ref="G2100:H2106" si="525">I2100+K2100</f>
        <v>0</v>
      </c>
      <c r="H2100" s="47">
        <f t="shared" si="525"/>
        <v>0</v>
      </c>
      <c r="I2100" s="46">
        <f t="shared" ref="I2100:I2106" si="526">J2100/F2100</f>
        <v>0</v>
      </c>
      <c r="J2100" s="47">
        <v>0</v>
      </c>
      <c r="K2100" s="46">
        <f t="shared" ref="K2100:K2106" si="527">L2100/F2100</f>
        <v>0</v>
      </c>
      <c r="L2100" s="47">
        <v>0</v>
      </c>
      <c r="AX2100" s="46">
        <v>0</v>
      </c>
      <c r="AY2100" s="47">
        <v>0</v>
      </c>
      <c r="AZ2100" s="70">
        <f>H2100-J2100</f>
        <v>0</v>
      </c>
      <c r="BC2100" s="50"/>
    </row>
    <row r="2101" spans="1:55" s="48" customFormat="1" ht="15.45" customHeight="1" outlineLevel="1" x14ac:dyDescent="0.25">
      <c r="A2101" s="42">
        <v>2</v>
      </c>
      <c r="B2101" s="43" t="s">
        <v>1220</v>
      </c>
      <c r="C2101" s="44" t="s">
        <v>110</v>
      </c>
      <c r="D2101" s="45">
        <v>2.56</v>
      </c>
      <c r="E2101" s="45">
        <v>124.1</v>
      </c>
      <c r="F2101" s="45">
        <f t="shared" si="524"/>
        <v>317.69599999999997</v>
      </c>
      <c r="G2101" s="46">
        <f t="shared" si="525"/>
        <v>0</v>
      </c>
      <c r="H2101" s="47">
        <f t="shared" si="525"/>
        <v>0</v>
      </c>
      <c r="I2101" s="46">
        <f t="shared" si="526"/>
        <v>0</v>
      </c>
      <c r="J2101" s="47">
        <v>0</v>
      </c>
      <c r="K2101" s="46">
        <f t="shared" si="527"/>
        <v>0</v>
      </c>
      <c r="L2101" s="47">
        <v>0</v>
      </c>
      <c r="AX2101" s="46">
        <v>0</v>
      </c>
      <c r="AY2101" s="47">
        <v>1038012.055247239</v>
      </c>
      <c r="AZ2101" s="70">
        <f>H2101-J2101</f>
        <v>0</v>
      </c>
      <c r="BC2101" s="50"/>
    </row>
    <row r="2102" spans="1:55" s="48" customFormat="1" ht="27.75" customHeight="1" outlineLevel="1" x14ac:dyDescent="0.25">
      <c r="A2102" s="42">
        <v>3</v>
      </c>
      <c r="B2102" s="43" t="s">
        <v>1221</v>
      </c>
      <c r="C2102" s="44" t="s">
        <v>110</v>
      </c>
      <c r="D2102" s="45">
        <v>14.4</v>
      </c>
      <c r="E2102" s="45">
        <v>177.81</v>
      </c>
      <c r="F2102" s="45">
        <f t="shared" si="524"/>
        <v>2560.4639999999999</v>
      </c>
      <c r="G2102" s="46">
        <f t="shared" si="525"/>
        <v>0</v>
      </c>
      <c r="H2102" s="47">
        <f t="shared" si="525"/>
        <v>0</v>
      </c>
      <c r="I2102" s="46">
        <f t="shared" si="526"/>
        <v>0</v>
      </c>
      <c r="J2102" s="47">
        <v>0</v>
      </c>
      <c r="K2102" s="46">
        <f t="shared" si="527"/>
        <v>0</v>
      </c>
      <c r="L2102" s="47">
        <v>0</v>
      </c>
      <c r="AX2102" s="46"/>
      <c r="AY2102" s="47"/>
      <c r="AZ2102" s="70"/>
      <c r="BC2102" s="50"/>
    </row>
    <row r="2103" spans="1:55" s="48" customFormat="1" ht="15.45" customHeight="1" outlineLevel="1" x14ac:dyDescent="0.25">
      <c r="A2103" s="42">
        <v>4</v>
      </c>
      <c r="B2103" s="43" t="s">
        <v>43</v>
      </c>
      <c r="C2103" s="44" t="s">
        <v>28</v>
      </c>
      <c r="D2103" s="45">
        <v>1.2689999999999999</v>
      </c>
      <c r="E2103" s="45">
        <v>1200.0999999999999</v>
      </c>
      <c r="F2103" s="45">
        <f t="shared" si="524"/>
        <v>1522.9268999999997</v>
      </c>
      <c r="G2103" s="46">
        <f t="shared" si="525"/>
        <v>0</v>
      </c>
      <c r="H2103" s="47">
        <f t="shared" si="525"/>
        <v>0</v>
      </c>
      <c r="I2103" s="46">
        <f t="shared" si="526"/>
        <v>0</v>
      </c>
      <c r="J2103" s="47">
        <v>0</v>
      </c>
      <c r="K2103" s="46">
        <f t="shared" si="527"/>
        <v>0</v>
      </c>
      <c r="L2103" s="47">
        <v>0</v>
      </c>
      <c r="AX2103" s="46"/>
      <c r="AY2103" s="47"/>
      <c r="AZ2103" s="70"/>
      <c r="BC2103" s="50"/>
    </row>
    <row r="2104" spans="1:55" s="48" customFormat="1" ht="27.75" customHeight="1" outlineLevel="1" x14ac:dyDescent="0.25">
      <c r="A2104" s="42">
        <v>5</v>
      </c>
      <c r="B2104" s="43" t="s">
        <v>1222</v>
      </c>
      <c r="C2104" s="44" t="s">
        <v>110</v>
      </c>
      <c r="D2104" s="45">
        <v>15.71</v>
      </c>
      <c r="E2104" s="45">
        <v>203.66139999999999</v>
      </c>
      <c r="F2104" s="45">
        <f t="shared" si="524"/>
        <v>3199.5205940000001</v>
      </c>
      <c r="G2104" s="46">
        <f t="shared" si="525"/>
        <v>0</v>
      </c>
      <c r="H2104" s="47">
        <f t="shared" si="525"/>
        <v>0</v>
      </c>
      <c r="I2104" s="46">
        <f t="shared" si="526"/>
        <v>0</v>
      </c>
      <c r="J2104" s="47">
        <v>0</v>
      </c>
      <c r="K2104" s="46">
        <f t="shared" si="527"/>
        <v>0</v>
      </c>
      <c r="L2104" s="47">
        <v>0</v>
      </c>
      <c r="AX2104" s="46"/>
      <c r="AY2104" s="47"/>
      <c r="AZ2104" s="70"/>
      <c r="BC2104" s="50"/>
    </row>
    <row r="2105" spans="1:55" s="48" customFormat="1" ht="15.45" customHeight="1" outlineLevel="1" x14ac:dyDescent="0.25">
      <c r="A2105" s="42">
        <v>6</v>
      </c>
      <c r="B2105" s="43" t="s">
        <v>42</v>
      </c>
      <c r="C2105" s="44" t="s">
        <v>28</v>
      </c>
      <c r="D2105" s="45">
        <v>3.9E-2</v>
      </c>
      <c r="E2105" s="45">
        <v>1325.1</v>
      </c>
      <c r="F2105" s="45">
        <f t="shared" si="524"/>
        <v>51.678899999999999</v>
      </c>
      <c r="G2105" s="46">
        <f t="shared" si="525"/>
        <v>0</v>
      </c>
      <c r="H2105" s="47">
        <f t="shared" si="525"/>
        <v>0</v>
      </c>
      <c r="I2105" s="46">
        <f t="shared" si="526"/>
        <v>0</v>
      </c>
      <c r="J2105" s="47">
        <v>0</v>
      </c>
      <c r="K2105" s="46">
        <f t="shared" si="527"/>
        <v>0</v>
      </c>
      <c r="L2105" s="47">
        <v>0</v>
      </c>
      <c r="AX2105" s="46"/>
      <c r="AY2105" s="47"/>
      <c r="AZ2105" s="70"/>
      <c r="BC2105" s="50"/>
    </row>
    <row r="2106" spans="1:55" s="48" customFormat="1" ht="15.45" customHeight="1" outlineLevel="1" x14ac:dyDescent="0.25">
      <c r="A2106" s="42">
        <v>7</v>
      </c>
      <c r="B2106" s="43" t="s">
        <v>43</v>
      </c>
      <c r="C2106" s="44" t="s">
        <v>28</v>
      </c>
      <c r="D2106" s="45">
        <v>1.736</v>
      </c>
      <c r="E2106" s="45">
        <v>1200.0999999999999</v>
      </c>
      <c r="F2106" s="45">
        <f t="shared" si="524"/>
        <v>2083.3735999999999</v>
      </c>
      <c r="G2106" s="46">
        <f t="shared" si="525"/>
        <v>0</v>
      </c>
      <c r="H2106" s="47">
        <f t="shared" si="525"/>
        <v>0</v>
      </c>
      <c r="I2106" s="46">
        <f t="shared" si="526"/>
        <v>0</v>
      </c>
      <c r="J2106" s="47">
        <v>0</v>
      </c>
      <c r="K2106" s="46">
        <f t="shared" si="527"/>
        <v>0</v>
      </c>
      <c r="L2106" s="47">
        <v>0</v>
      </c>
      <c r="AX2106" s="46"/>
      <c r="AY2106" s="47"/>
      <c r="AZ2106" s="70"/>
      <c r="BC2106" s="50"/>
    </row>
    <row r="2107" spans="1:55" s="56" customFormat="1" ht="17.25" customHeight="1" x14ac:dyDescent="0.3">
      <c r="A2107" s="62" t="s">
        <v>1223</v>
      </c>
      <c r="B2107" s="51" t="s">
        <v>1224</v>
      </c>
      <c r="C2107" s="52">
        <v>0</v>
      </c>
      <c r="D2107" s="53"/>
      <c r="E2107" s="53"/>
      <c r="F2107" s="53"/>
      <c r="G2107" s="54"/>
      <c r="H2107" s="55"/>
      <c r="I2107" s="54"/>
      <c r="J2107" s="55"/>
      <c r="K2107" s="54"/>
      <c r="L2107" s="55">
        <v>0</v>
      </c>
      <c r="AX2107" s="69"/>
      <c r="AY2107" s="71"/>
      <c r="AZ2107" s="72"/>
      <c r="BC2107" s="58"/>
    </row>
    <row r="2108" spans="1:55" s="48" customFormat="1" ht="15.45" customHeight="1" outlineLevel="1" x14ac:dyDescent="0.25">
      <c r="A2108" s="42">
        <v>1</v>
      </c>
      <c r="B2108" s="43" t="s">
        <v>167</v>
      </c>
      <c r="C2108" s="44" t="s">
        <v>110</v>
      </c>
      <c r="D2108" s="45">
        <v>20.399999999999999</v>
      </c>
      <c r="E2108" s="45">
        <v>36.616</v>
      </c>
      <c r="F2108" s="45">
        <f t="shared" ref="F2108:F2114" si="528">+E2108*D2108</f>
        <v>746.96639999999991</v>
      </c>
      <c r="G2108" s="46">
        <f t="shared" ref="G2108:H2114" si="529">I2108+K2108</f>
        <v>0</v>
      </c>
      <c r="H2108" s="47">
        <f t="shared" si="529"/>
        <v>0</v>
      </c>
      <c r="I2108" s="46">
        <f t="shared" ref="I2108:I2114" si="530">J2108/F2108</f>
        <v>0</v>
      </c>
      <c r="J2108" s="47">
        <v>0</v>
      </c>
      <c r="K2108" s="46">
        <f t="shared" ref="K2108:K2114" si="531">L2108/F2108</f>
        <v>0</v>
      </c>
      <c r="L2108" s="47">
        <v>0</v>
      </c>
      <c r="AX2108" s="46"/>
      <c r="AY2108" s="47"/>
      <c r="AZ2108" s="70"/>
      <c r="BC2108" s="50"/>
    </row>
    <row r="2109" spans="1:55" s="48" customFormat="1" ht="15.45" customHeight="1" outlineLevel="1" x14ac:dyDescent="0.25">
      <c r="A2109" s="42">
        <v>2</v>
      </c>
      <c r="B2109" s="43" t="s">
        <v>1220</v>
      </c>
      <c r="C2109" s="44" t="s">
        <v>110</v>
      </c>
      <c r="D2109" s="45">
        <v>9.6</v>
      </c>
      <c r="E2109" s="45">
        <v>124.1</v>
      </c>
      <c r="F2109" s="45">
        <f t="shared" si="528"/>
        <v>1191.3599999999999</v>
      </c>
      <c r="G2109" s="46">
        <f t="shared" si="529"/>
        <v>0</v>
      </c>
      <c r="H2109" s="47">
        <f t="shared" si="529"/>
        <v>0</v>
      </c>
      <c r="I2109" s="46">
        <f t="shared" si="530"/>
        <v>0</v>
      </c>
      <c r="J2109" s="47">
        <v>0</v>
      </c>
      <c r="K2109" s="46">
        <f t="shared" si="531"/>
        <v>0</v>
      </c>
      <c r="L2109" s="47">
        <v>0</v>
      </c>
      <c r="AX2109" s="46"/>
      <c r="AY2109" s="47"/>
      <c r="AZ2109" s="70"/>
      <c r="BC2109" s="50"/>
    </row>
    <row r="2110" spans="1:55" s="48" customFormat="1" ht="27.75" customHeight="1" outlineLevel="1" x14ac:dyDescent="0.25">
      <c r="A2110" s="42">
        <v>3</v>
      </c>
      <c r="B2110" s="43" t="s">
        <v>1221</v>
      </c>
      <c r="C2110" s="44" t="s">
        <v>110</v>
      </c>
      <c r="D2110" s="45">
        <v>54</v>
      </c>
      <c r="E2110" s="45">
        <v>177.81</v>
      </c>
      <c r="F2110" s="45">
        <f t="shared" si="528"/>
        <v>9601.74</v>
      </c>
      <c r="G2110" s="46">
        <f t="shared" si="529"/>
        <v>0</v>
      </c>
      <c r="H2110" s="47">
        <f t="shared" si="529"/>
        <v>0</v>
      </c>
      <c r="I2110" s="46">
        <f t="shared" si="530"/>
        <v>0</v>
      </c>
      <c r="J2110" s="47">
        <v>0</v>
      </c>
      <c r="K2110" s="46">
        <f t="shared" si="531"/>
        <v>0</v>
      </c>
      <c r="L2110" s="47">
        <v>0</v>
      </c>
      <c r="AX2110" s="46"/>
      <c r="AY2110" s="47"/>
      <c r="AZ2110" s="70"/>
      <c r="BC2110" s="50"/>
    </row>
    <row r="2111" spans="1:55" s="48" customFormat="1" ht="15.45" customHeight="1" outlineLevel="1" x14ac:dyDescent="0.25">
      <c r="A2111" s="42">
        <v>4</v>
      </c>
      <c r="B2111" s="43" t="s">
        <v>43</v>
      </c>
      <c r="C2111" s="44" t="s">
        <v>28</v>
      </c>
      <c r="D2111" s="45">
        <v>4.8780000000000001</v>
      </c>
      <c r="E2111" s="45">
        <v>1200.0999999999999</v>
      </c>
      <c r="F2111" s="45">
        <f t="shared" si="528"/>
        <v>5854.0877999999993</v>
      </c>
      <c r="G2111" s="46">
        <f t="shared" si="529"/>
        <v>0</v>
      </c>
      <c r="H2111" s="47">
        <f t="shared" si="529"/>
        <v>0</v>
      </c>
      <c r="I2111" s="46">
        <f t="shared" si="530"/>
        <v>0</v>
      </c>
      <c r="J2111" s="47">
        <v>0</v>
      </c>
      <c r="K2111" s="46">
        <f t="shared" si="531"/>
        <v>0</v>
      </c>
      <c r="L2111" s="47">
        <v>0</v>
      </c>
      <c r="AX2111" s="46"/>
      <c r="AY2111" s="47"/>
      <c r="AZ2111" s="70"/>
      <c r="BC2111" s="50"/>
    </row>
    <row r="2112" spans="1:55" s="48" customFormat="1" ht="27.75" customHeight="1" outlineLevel="1" x14ac:dyDescent="0.25">
      <c r="A2112" s="42">
        <v>5</v>
      </c>
      <c r="B2112" s="43" t="s">
        <v>1222</v>
      </c>
      <c r="C2112" s="44" t="s">
        <v>110</v>
      </c>
      <c r="D2112" s="45">
        <v>67.5</v>
      </c>
      <c r="E2112" s="45">
        <v>203.66139999999999</v>
      </c>
      <c r="F2112" s="45">
        <f t="shared" si="528"/>
        <v>13747.144499999999</v>
      </c>
      <c r="G2112" s="46">
        <f t="shared" si="529"/>
        <v>0</v>
      </c>
      <c r="H2112" s="47">
        <f t="shared" si="529"/>
        <v>0</v>
      </c>
      <c r="I2112" s="46">
        <f t="shared" si="530"/>
        <v>0</v>
      </c>
      <c r="J2112" s="47">
        <v>0</v>
      </c>
      <c r="K2112" s="46">
        <f t="shared" si="531"/>
        <v>0</v>
      </c>
      <c r="L2112" s="47">
        <v>0</v>
      </c>
      <c r="AX2112" s="46">
        <v>1</v>
      </c>
      <c r="AY2112" s="47">
        <v>5766733.6402624408</v>
      </c>
      <c r="AZ2112" s="70">
        <f t="shared" ref="AZ2112:AZ2135" si="532">H2112-J2112</f>
        <v>0</v>
      </c>
      <c r="BC2112" s="50"/>
    </row>
    <row r="2113" spans="1:55" s="48" customFormat="1" ht="15.45" customHeight="1" outlineLevel="1" x14ac:dyDescent="0.25">
      <c r="A2113" s="42">
        <v>6</v>
      </c>
      <c r="B2113" s="43" t="s">
        <v>42</v>
      </c>
      <c r="C2113" s="44" t="s">
        <v>28</v>
      </c>
      <c r="D2113" s="45">
        <v>0.16800000000000001</v>
      </c>
      <c r="E2113" s="45">
        <v>1325.1</v>
      </c>
      <c r="F2113" s="45">
        <f t="shared" si="528"/>
        <v>222.61680000000001</v>
      </c>
      <c r="G2113" s="46">
        <f t="shared" si="529"/>
        <v>0</v>
      </c>
      <c r="H2113" s="47">
        <f t="shared" si="529"/>
        <v>0</v>
      </c>
      <c r="I2113" s="46">
        <f t="shared" si="530"/>
        <v>0</v>
      </c>
      <c r="J2113" s="47">
        <v>0</v>
      </c>
      <c r="K2113" s="46">
        <f t="shared" si="531"/>
        <v>0</v>
      </c>
      <c r="L2113" s="47">
        <v>0</v>
      </c>
      <c r="AX2113" s="46">
        <v>1</v>
      </c>
      <c r="AY2113" s="47">
        <v>5766733.6402624408</v>
      </c>
      <c r="AZ2113" s="70">
        <f t="shared" si="532"/>
        <v>0</v>
      </c>
      <c r="BC2113" s="50"/>
    </row>
    <row r="2114" spans="1:55" s="48" customFormat="1" ht="15.45" customHeight="1" outlineLevel="1" x14ac:dyDescent="0.25">
      <c r="A2114" s="42">
        <v>7</v>
      </c>
      <c r="B2114" s="43" t="s">
        <v>43</v>
      </c>
      <c r="C2114" s="44" t="s">
        <v>28</v>
      </c>
      <c r="D2114" s="45">
        <v>5.18</v>
      </c>
      <c r="E2114" s="45">
        <v>1200.0999999999999</v>
      </c>
      <c r="F2114" s="45">
        <f t="shared" si="528"/>
        <v>6216.5179999999991</v>
      </c>
      <c r="G2114" s="46">
        <f t="shared" si="529"/>
        <v>0</v>
      </c>
      <c r="H2114" s="47">
        <f t="shared" si="529"/>
        <v>0</v>
      </c>
      <c r="I2114" s="46">
        <f t="shared" si="530"/>
        <v>0</v>
      </c>
      <c r="J2114" s="47">
        <v>0</v>
      </c>
      <c r="K2114" s="46">
        <f t="shared" si="531"/>
        <v>0</v>
      </c>
      <c r="L2114" s="47">
        <v>0</v>
      </c>
      <c r="AX2114" s="46">
        <v>1</v>
      </c>
      <c r="AY2114" s="47">
        <v>5766733.6402624408</v>
      </c>
      <c r="AZ2114" s="70">
        <f t="shared" si="532"/>
        <v>0</v>
      </c>
      <c r="BC2114" s="50"/>
    </row>
    <row r="2115" spans="1:55" s="56" customFormat="1" ht="17.25" customHeight="1" x14ac:dyDescent="0.3">
      <c r="A2115" s="62" t="s">
        <v>1225</v>
      </c>
      <c r="B2115" s="51" t="s">
        <v>1226</v>
      </c>
      <c r="C2115" s="52">
        <v>0</v>
      </c>
      <c r="D2115" s="53"/>
      <c r="E2115" s="53"/>
      <c r="F2115" s="53"/>
      <c r="G2115" s="54"/>
      <c r="H2115" s="55"/>
      <c r="I2115" s="54"/>
      <c r="J2115" s="55"/>
      <c r="K2115" s="54"/>
      <c r="L2115" s="55">
        <v>0</v>
      </c>
      <c r="AX2115" s="69">
        <v>0</v>
      </c>
      <c r="AY2115" s="71">
        <v>0</v>
      </c>
      <c r="AZ2115" s="72">
        <f t="shared" si="532"/>
        <v>0</v>
      </c>
      <c r="BC2115" s="58"/>
    </row>
    <row r="2116" spans="1:55" s="48" customFormat="1" ht="15.45" customHeight="1" outlineLevel="1" x14ac:dyDescent="0.25">
      <c r="A2116" s="42">
        <v>1</v>
      </c>
      <c r="B2116" s="43" t="s">
        <v>167</v>
      </c>
      <c r="C2116" s="44" t="s">
        <v>110</v>
      </c>
      <c r="D2116" s="45">
        <v>10.199999999999999</v>
      </c>
      <c r="E2116" s="45">
        <v>36.616</v>
      </c>
      <c r="F2116" s="45">
        <f t="shared" ref="F2116:F2122" si="533">+E2116*D2116</f>
        <v>373.48319999999995</v>
      </c>
      <c r="G2116" s="46">
        <f t="shared" ref="G2116:H2122" si="534">I2116+K2116</f>
        <v>0</v>
      </c>
      <c r="H2116" s="47">
        <f t="shared" si="534"/>
        <v>0</v>
      </c>
      <c r="I2116" s="46">
        <f t="shared" ref="I2116:I2122" si="535">J2116/F2116</f>
        <v>0</v>
      </c>
      <c r="J2116" s="47">
        <v>0</v>
      </c>
      <c r="K2116" s="46">
        <f t="shared" ref="K2116:K2122" si="536">L2116/F2116</f>
        <v>0</v>
      </c>
      <c r="L2116" s="47">
        <v>0</v>
      </c>
      <c r="AX2116" s="46">
        <v>0</v>
      </c>
      <c r="AY2116" s="47">
        <v>1038012.055247239</v>
      </c>
      <c r="AZ2116" s="70">
        <f t="shared" si="532"/>
        <v>0</v>
      </c>
      <c r="BC2116" s="50"/>
    </row>
    <row r="2117" spans="1:55" s="48" customFormat="1" ht="15.45" customHeight="1" outlineLevel="1" x14ac:dyDescent="0.25">
      <c r="A2117" s="42">
        <v>2</v>
      </c>
      <c r="B2117" s="43" t="s">
        <v>1220</v>
      </c>
      <c r="C2117" s="44" t="s">
        <v>110</v>
      </c>
      <c r="D2117" s="45">
        <v>4.8</v>
      </c>
      <c r="E2117" s="45">
        <v>124.1</v>
      </c>
      <c r="F2117" s="45">
        <f t="shared" si="533"/>
        <v>595.67999999999995</v>
      </c>
      <c r="G2117" s="46">
        <f t="shared" si="534"/>
        <v>0</v>
      </c>
      <c r="H2117" s="47">
        <f t="shared" si="534"/>
        <v>0</v>
      </c>
      <c r="I2117" s="46">
        <f t="shared" si="535"/>
        <v>0</v>
      </c>
      <c r="J2117" s="47">
        <v>0</v>
      </c>
      <c r="K2117" s="46">
        <f t="shared" si="536"/>
        <v>0</v>
      </c>
      <c r="L2117" s="47">
        <v>0</v>
      </c>
      <c r="AX2117" s="46">
        <v>0</v>
      </c>
      <c r="AY2117" s="47">
        <v>0</v>
      </c>
      <c r="AZ2117" s="70">
        <f t="shared" si="532"/>
        <v>0</v>
      </c>
      <c r="BC2117" s="50"/>
    </row>
    <row r="2118" spans="1:55" s="48" customFormat="1" ht="27.75" customHeight="1" outlineLevel="1" x14ac:dyDescent="0.25">
      <c r="A2118" s="42">
        <v>3</v>
      </c>
      <c r="B2118" s="43" t="s">
        <v>1221</v>
      </c>
      <c r="C2118" s="44" t="s">
        <v>110</v>
      </c>
      <c r="D2118" s="45">
        <v>26.4</v>
      </c>
      <c r="E2118" s="45">
        <v>177.81</v>
      </c>
      <c r="F2118" s="45">
        <f t="shared" si="533"/>
        <v>4694.1840000000002</v>
      </c>
      <c r="G2118" s="46">
        <f t="shared" si="534"/>
        <v>0</v>
      </c>
      <c r="H2118" s="47">
        <f t="shared" si="534"/>
        <v>0</v>
      </c>
      <c r="I2118" s="46">
        <f t="shared" si="535"/>
        <v>0</v>
      </c>
      <c r="J2118" s="47">
        <v>0</v>
      </c>
      <c r="K2118" s="46">
        <f t="shared" si="536"/>
        <v>0</v>
      </c>
      <c r="L2118" s="47">
        <v>0</v>
      </c>
      <c r="AX2118" s="46">
        <v>0</v>
      </c>
      <c r="AY2118" s="47">
        <v>0</v>
      </c>
      <c r="AZ2118" s="70">
        <f t="shared" si="532"/>
        <v>0</v>
      </c>
      <c r="BC2118" s="50"/>
    </row>
    <row r="2119" spans="1:55" s="48" customFormat="1" ht="15.45" customHeight="1" outlineLevel="1" x14ac:dyDescent="0.25">
      <c r="A2119" s="42">
        <v>4</v>
      </c>
      <c r="B2119" s="43" t="s">
        <v>43</v>
      </c>
      <c r="C2119" s="44" t="s">
        <v>28</v>
      </c>
      <c r="D2119" s="45">
        <v>2.56</v>
      </c>
      <c r="E2119" s="45">
        <v>1200.0999999999999</v>
      </c>
      <c r="F2119" s="45">
        <f t="shared" si="533"/>
        <v>3072.2559999999999</v>
      </c>
      <c r="G2119" s="46">
        <f t="shared" si="534"/>
        <v>0</v>
      </c>
      <c r="H2119" s="47">
        <f t="shared" si="534"/>
        <v>0</v>
      </c>
      <c r="I2119" s="46">
        <f t="shared" si="535"/>
        <v>0</v>
      </c>
      <c r="J2119" s="47">
        <v>0</v>
      </c>
      <c r="K2119" s="46">
        <f t="shared" si="536"/>
        <v>0</v>
      </c>
      <c r="L2119" s="47">
        <v>0</v>
      </c>
      <c r="AX2119" s="46">
        <v>0</v>
      </c>
      <c r="AY2119" s="47">
        <v>0</v>
      </c>
      <c r="AZ2119" s="70">
        <f t="shared" si="532"/>
        <v>0</v>
      </c>
      <c r="BC2119" s="50"/>
    </row>
    <row r="2120" spans="1:55" s="48" customFormat="1" ht="27.75" customHeight="1" outlineLevel="1" x14ac:dyDescent="0.25">
      <c r="A2120" s="42">
        <v>5</v>
      </c>
      <c r="B2120" s="43" t="s">
        <v>1222</v>
      </c>
      <c r="C2120" s="44" t="s">
        <v>110</v>
      </c>
      <c r="D2120" s="45">
        <v>30.38</v>
      </c>
      <c r="E2120" s="45">
        <v>203.66139999999999</v>
      </c>
      <c r="F2120" s="45">
        <f t="shared" si="533"/>
        <v>6187.2333319999998</v>
      </c>
      <c r="G2120" s="46">
        <f t="shared" si="534"/>
        <v>0</v>
      </c>
      <c r="H2120" s="47">
        <f t="shared" si="534"/>
        <v>0</v>
      </c>
      <c r="I2120" s="46">
        <f t="shared" si="535"/>
        <v>0</v>
      </c>
      <c r="J2120" s="47">
        <v>0</v>
      </c>
      <c r="K2120" s="46">
        <f t="shared" si="536"/>
        <v>0</v>
      </c>
      <c r="L2120" s="47">
        <v>0</v>
      </c>
      <c r="AX2120" s="46">
        <v>0</v>
      </c>
      <c r="AY2120" s="47">
        <v>0</v>
      </c>
      <c r="AZ2120" s="70">
        <f t="shared" si="532"/>
        <v>0</v>
      </c>
      <c r="BC2120" s="50"/>
    </row>
    <row r="2121" spans="1:55" s="48" customFormat="1" ht="15.45" customHeight="1" outlineLevel="1" x14ac:dyDescent="0.25">
      <c r="A2121" s="42">
        <v>6</v>
      </c>
      <c r="B2121" s="43" t="s">
        <v>42</v>
      </c>
      <c r="C2121" s="44" t="s">
        <v>28</v>
      </c>
      <c r="D2121" s="45">
        <v>7.5999999999999998E-2</v>
      </c>
      <c r="E2121" s="45">
        <v>1325.1</v>
      </c>
      <c r="F2121" s="45">
        <f t="shared" si="533"/>
        <v>100.70759999999999</v>
      </c>
      <c r="G2121" s="46">
        <f t="shared" si="534"/>
        <v>0</v>
      </c>
      <c r="H2121" s="47">
        <f t="shared" si="534"/>
        <v>0</v>
      </c>
      <c r="I2121" s="46">
        <f t="shared" si="535"/>
        <v>0</v>
      </c>
      <c r="J2121" s="47">
        <v>0</v>
      </c>
      <c r="K2121" s="46">
        <f t="shared" si="536"/>
        <v>0</v>
      </c>
      <c r="L2121" s="47">
        <v>0</v>
      </c>
      <c r="AX2121" s="46">
        <v>0</v>
      </c>
      <c r="AY2121" s="47">
        <v>0</v>
      </c>
      <c r="AZ2121" s="70">
        <f t="shared" si="532"/>
        <v>0</v>
      </c>
      <c r="BC2121" s="50"/>
    </row>
    <row r="2122" spans="1:55" s="48" customFormat="1" ht="15.45" customHeight="1" outlineLevel="1" x14ac:dyDescent="0.25">
      <c r="A2122" s="42">
        <v>7</v>
      </c>
      <c r="B2122" s="43" t="s">
        <v>43</v>
      </c>
      <c r="C2122" s="44" t="s">
        <v>28</v>
      </c>
      <c r="D2122" s="45">
        <v>3.5019999999999998</v>
      </c>
      <c r="E2122" s="45">
        <v>1200.0999999999999</v>
      </c>
      <c r="F2122" s="45">
        <f t="shared" si="533"/>
        <v>4202.7501999999995</v>
      </c>
      <c r="G2122" s="46">
        <f t="shared" si="534"/>
        <v>0</v>
      </c>
      <c r="H2122" s="47">
        <f t="shared" si="534"/>
        <v>0</v>
      </c>
      <c r="I2122" s="46">
        <f t="shared" si="535"/>
        <v>0</v>
      </c>
      <c r="J2122" s="47">
        <v>0</v>
      </c>
      <c r="K2122" s="46">
        <f t="shared" si="536"/>
        <v>0</v>
      </c>
      <c r="L2122" s="47">
        <v>0</v>
      </c>
      <c r="AX2122" s="46">
        <v>0</v>
      </c>
      <c r="AY2122" s="47">
        <v>0</v>
      </c>
      <c r="AZ2122" s="70">
        <f t="shared" si="532"/>
        <v>0</v>
      </c>
      <c r="BC2122" s="50"/>
    </row>
    <row r="2123" spans="1:55" s="56" customFormat="1" ht="17.25" customHeight="1" x14ac:dyDescent="0.3">
      <c r="A2123" s="62" t="s">
        <v>1227</v>
      </c>
      <c r="B2123" s="51" t="s">
        <v>1228</v>
      </c>
      <c r="C2123" s="52">
        <v>0</v>
      </c>
      <c r="D2123" s="53"/>
      <c r="E2123" s="53"/>
      <c r="F2123" s="53"/>
      <c r="G2123" s="54"/>
      <c r="H2123" s="55"/>
      <c r="I2123" s="54"/>
      <c r="J2123" s="55"/>
      <c r="K2123" s="54"/>
      <c r="L2123" s="55">
        <v>0</v>
      </c>
      <c r="AX2123" s="69">
        <v>0</v>
      </c>
      <c r="AY2123" s="71">
        <v>0</v>
      </c>
      <c r="AZ2123" s="72">
        <f t="shared" si="532"/>
        <v>0</v>
      </c>
      <c r="BC2123" s="58"/>
    </row>
    <row r="2124" spans="1:55" s="48" customFormat="1" ht="15.45" customHeight="1" outlineLevel="1" x14ac:dyDescent="0.25">
      <c r="A2124" s="42">
        <v>1</v>
      </c>
      <c r="B2124" s="43" t="s">
        <v>167</v>
      </c>
      <c r="C2124" s="44" t="s">
        <v>110</v>
      </c>
      <c r="D2124" s="45">
        <v>10.641999999999999</v>
      </c>
      <c r="E2124" s="45">
        <v>36.616</v>
      </c>
      <c r="F2124" s="45">
        <f t="shared" ref="F2124:F2130" si="537">+E2124*D2124</f>
        <v>389.66747199999998</v>
      </c>
      <c r="G2124" s="46">
        <f t="shared" ref="G2124:H2130" si="538">I2124+K2124</f>
        <v>0</v>
      </c>
      <c r="H2124" s="47">
        <f t="shared" si="538"/>
        <v>0</v>
      </c>
      <c r="I2124" s="46">
        <f t="shared" ref="I2124:I2130" si="539">J2124/F2124</f>
        <v>0</v>
      </c>
      <c r="J2124" s="47">
        <v>0</v>
      </c>
      <c r="K2124" s="46">
        <f t="shared" ref="K2124:K2130" si="540">L2124/F2124</f>
        <v>0</v>
      </c>
      <c r="L2124" s="47">
        <v>0</v>
      </c>
      <c r="AX2124" s="46">
        <v>0</v>
      </c>
      <c r="AY2124" s="47">
        <v>0</v>
      </c>
      <c r="AZ2124" s="70">
        <f t="shared" si="532"/>
        <v>0</v>
      </c>
      <c r="BC2124" s="50"/>
    </row>
    <row r="2125" spans="1:55" s="48" customFormat="1" ht="15.45" customHeight="1" outlineLevel="1" x14ac:dyDescent="0.25">
      <c r="A2125" s="42">
        <v>2</v>
      </c>
      <c r="B2125" s="43" t="s">
        <v>1220</v>
      </c>
      <c r="C2125" s="44" t="s">
        <v>110</v>
      </c>
      <c r="D2125" s="45">
        <v>5.01</v>
      </c>
      <c r="E2125" s="45">
        <v>124.1</v>
      </c>
      <c r="F2125" s="45">
        <f t="shared" si="537"/>
        <v>621.74099999999999</v>
      </c>
      <c r="G2125" s="46">
        <f t="shared" si="538"/>
        <v>0</v>
      </c>
      <c r="H2125" s="47">
        <f t="shared" si="538"/>
        <v>0</v>
      </c>
      <c r="I2125" s="46">
        <f t="shared" si="539"/>
        <v>0</v>
      </c>
      <c r="J2125" s="47">
        <v>0</v>
      </c>
      <c r="K2125" s="46">
        <f t="shared" si="540"/>
        <v>0</v>
      </c>
      <c r="L2125" s="47">
        <v>0</v>
      </c>
      <c r="AX2125" s="46">
        <v>0</v>
      </c>
      <c r="AY2125" s="47">
        <v>0</v>
      </c>
      <c r="AZ2125" s="70">
        <f t="shared" si="532"/>
        <v>0</v>
      </c>
      <c r="BC2125" s="50"/>
    </row>
    <row r="2126" spans="1:55" s="48" customFormat="1" ht="27.75" customHeight="1" outlineLevel="1" x14ac:dyDescent="0.25">
      <c r="A2126" s="42">
        <v>3</v>
      </c>
      <c r="B2126" s="43" t="s">
        <v>1221</v>
      </c>
      <c r="C2126" s="44" t="s">
        <v>110</v>
      </c>
      <c r="D2126" s="45">
        <v>29.25</v>
      </c>
      <c r="E2126" s="45">
        <v>177.81</v>
      </c>
      <c r="F2126" s="45">
        <f t="shared" si="537"/>
        <v>5200.9425000000001</v>
      </c>
      <c r="G2126" s="46">
        <f t="shared" si="538"/>
        <v>0</v>
      </c>
      <c r="H2126" s="47">
        <f t="shared" si="538"/>
        <v>0</v>
      </c>
      <c r="I2126" s="46">
        <f t="shared" si="539"/>
        <v>0</v>
      </c>
      <c r="J2126" s="47">
        <v>0</v>
      </c>
      <c r="K2126" s="46">
        <f t="shared" si="540"/>
        <v>0</v>
      </c>
      <c r="L2126" s="47">
        <v>0</v>
      </c>
      <c r="AX2126" s="46">
        <v>0</v>
      </c>
      <c r="AY2126" s="47">
        <v>0</v>
      </c>
      <c r="AZ2126" s="70">
        <f t="shared" si="532"/>
        <v>0</v>
      </c>
      <c r="BC2126" s="50"/>
    </row>
    <row r="2127" spans="1:55" s="48" customFormat="1" ht="15.45" customHeight="1" outlineLevel="1" x14ac:dyDescent="0.25">
      <c r="A2127" s="42">
        <v>4</v>
      </c>
      <c r="B2127" s="43" t="s">
        <v>43</v>
      </c>
      <c r="C2127" s="44" t="s">
        <v>28</v>
      </c>
      <c r="D2127" s="45">
        <v>2.6829999999999998</v>
      </c>
      <c r="E2127" s="45">
        <v>1200.0999999999999</v>
      </c>
      <c r="F2127" s="45">
        <f t="shared" si="537"/>
        <v>3219.8682999999996</v>
      </c>
      <c r="G2127" s="46">
        <f t="shared" si="538"/>
        <v>0</v>
      </c>
      <c r="H2127" s="47">
        <f t="shared" si="538"/>
        <v>0</v>
      </c>
      <c r="I2127" s="46">
        <f t="shared" si="539"/>
        <v>0</v>
      </c>
      <c r="J2127" s="47">
        <v>0</v>
      </c>
      <c r="K2127" s="46">
        <f t="shared" si="540"/>
        <v>0</v>
      </c>
      <c r="L2127" s="47">
        <v>0</v>
      </c>
      <c r="AX2127" s="46">
        <v>0</v>
      </c>
      <c r="AY2127" s="47">
        <v>0</v>
      </c>
      <c r="AZ2127" s="70">
        <f t="shared" si="532"/>
        <v>0</v>
      </c>
      <c r="BC2127" s="50"/>
    </row>
    <row r="2128" spans="1:55" s="48" customFormat="1" ht="27.75" customHeight="1" outlineLevel="1" x14ac:dyDescent="0.25">
      <c r="A2128" s="42">
        <v>5</v>
      </c>
      <c r="B2128" s="43" t="s">
        <v>1222</v>
      </c>
      <c r="C2128" s="44" t="s">
        <v>110</v>
      </c>
      <c r="D2128" s="45">
        <v>28.17</v>
      </c>
      <c r="E2128" s="45">
        <v>203.66139999999999</v>
      </c>
      <c r="F2128" s="45">
        <f t="shared" si="537"/>
        <v>5737.1416380000001</v>
      </c>
      <c r="G2128" s="46">
        <f t="shared" si="538"/>
        <v>0</v>
      </c>
      <c r="H2128" s="47">
        <f t="shared" si="538"/>
        <v>0</v>
      </c>
      <c r="I2128" s="46">
        <f t="shared" si="539"/>
        <v>0</v>
      </c>
      <c r="J2128" s="47">
        <v>0</v>
      </c>
      <c r="K2128" s="46">
        <f t="shared" si="540"/>
        <v>0</v>
      </c>
      <c r="L2128" s="47">
        <v>0</v>
      </c>
      <c r="AX2128" s="46">
        <v>0</v>
      </c>
      <c r="AY2128" s="47">
        <v>0</v>
      </c>
      <c r="AZ2128" s="70">
        <f t="shared" si="532"/>
        <v>0</v>
      </c>
      <c r="BC2128" s="50"/>
    </row>
    <row r="2129" spans="1:55" s="48" customFormat="1" ht="15.45" customHeight="1" outlineLevel="1" x14ac:dyDescent="0.25">
      <c r="A2129" s="42">
        <v>6</v>
      </c>
      <c r="B2129" s="43" t="s">
        <v>42</v>
      </c>
      <c r="C2129" s="44" t="s">
        <v>28</v>
      </c>
      <c r="D2129" s="45">
        <v>7.0000000000000007E-2</v>
      </c>
      <c r="E2129" s="45">
        <v>1325.1</v>
      </c>
      <c r="F2129" s="45">
        <f t="shared" si="537"/>
        <v>92.757000000000005</v>
      </c>
      <c r="G2129" s="46">
        <f t="shared" si="538"/>
        <v>0</v>
      </c>
      <c r="H2129" s="47">
        <f t="shared" si="538"/>
        <v>0</v>
      </c>
      <c r="I2129" s="46">
        <f t="shared" si="539"/>
        <v>0</v>
      </c>
      <c r="J2129" s="47">
        <v>0</v>
      </c>
      <c r="K2129" s="46">
        <f t="shared" si="540"/>
        <v>0</v>
      </c>
      <c r="L2129" s="47">
        <v>0</v>
      </c>
      <c r="AX2129" s="46">
        <v>0</v>
      </c>
      <c r="AY2129" s="47">
        <v>0</v>
      </c>
      <c r="AZ2129" s="70">
        <f t="shared" si="532"/>
        <v>0</v>
      </c>
      <c r="BC2129" s="50"/>
    </row>
    <row r="2130" spans="1:55" s="48" customFormat="1" ht="15.45" customHeight="1" outlineLevel="1" x14ac:dyDescent="0.25">
      <c r="A2130" s="42">
        <v>7</v>
      </c>
      <c r="B2130" s="43" t="s">
        <v>43</v>
      </c>
      <c r="C2130" s="44" t="s">
        <v>28</v>
      </c>
      <c r="D2130" s="45">
        <v>3.3079999999999998</v>
      </c>
      <c r="E2130" s="45">
        <v>1200.0999999999999</v>
      </c>
      <c r="F2130" s="45">
        <f t="shared" si="537"/>
        <v>3969.9307999999996</v>
      </c>
      <c r="G2130" s="46">
        <f t="shared" si="538"/>
        <v>0</v>
      </c>
      <c r="H2130" s="47">
        <f t="shared" si="538"/>
        <v>0</v>
      </c>
      <c r="I2130" s="46">
        <f t="shared" si="539"/>
        <v>0</v>
      </c>
      <c r="J2130" s="47">
        <v>0</v>
      </c>
      <c r="K2130" s="46">
        <f t="shared" si="540"/>
        <v>0</v>
      </c>
      <c r="L2130" s="47">
        <v>0</v>
      </c>
      <c r="AX2130" s="46">
        <v>0</v>
      </c>
      <c r="AY2130" s="47">
        <v>0</v>
      </c>
      <c r="AZ2130" s="70">
        <f t="shared" si="532"/>
        <v>0</v>
      </c>
      <c r="BC2130" s="50"/>
    </row>
    <row r="2131" spans="1:55" s="56" customFormat="1" ht="17.25" customHeight="1" x14ac:dyDescent="0.3">
      <c r="A2131" s="62" t="s">
        <v>1229</v>
      </c>
      <c r="B2131" s="51" t="s">
        <v>1230</v>
      </c>
      <c r="C2131" s="52">
        <v>0</v>
      </c>
      <c r="D2131" s="53"/>
      <c r="E2131" s="53"/>
      <c r="F2131" s="53"/>
      <c r="G2131" s="54"/>
      <c r="H2131" s="55"/>
      <c r="I2131" s="54"/>
      <c r="J2131" s="55"/>
      <c r="K2131" s="54"/>
      <c r="L2131" s="55">
        <v>0</v>
      </c>
      <c r="AX2131" s="69">
        <v>0</v>
      </c>
      <c r="AY2131" s="71">
        <v>0</v>
      </c>
      <c r="AZ2131" s="72">
        <f t="shared" si="532"/>
        <v>0</v>
      </c>
      <c r="BC2131" s="58"/>
    </row>
    <row r="2132" spans="1:55" s="48" customFormat="1" ht="15.45" customHeight="1" outlineLevel="1" x14ac:dyDescent="0.25">
      <c r="A2132" s="42">
        <v>1</v>
      </c>
      <c r="B2132" s="43" t="s">
        <v>167</v>
      </c>
      <c r="C2132" s="44" t="s">
        <v>110</v>
      </c>
      <c r="D2132" s="45">
        <v>10.199999999999999</v>
      </c>
      <c r="E2132" s="45">
        <v>36.616</v>
      </c>
      <c r="F2132" s="45">
        <f t="shared" ref="F2132:F2138" si="541">+E2132*D2132</f>
        <v>373.48319999999995</v>
      </c>
      <c r="G2132" s="46">
        <f t="shared" ref="G2132:H2138" si="542">I2132+K2132</f>
        <v>0</v>
      </c>
      <c r="H2132" s="47">
        <f t="shared" si="542"/>
        <v>0</v>
      </c>
      <c r="I2132" s="46">
        <f t="shared" ref="I2132:I2138" si="543">J2132/F2132</f>
        <v>0</v>
      </c>
      <c r="J2132" s="47">
        <v>0</v>
      </c>
      <c r="K2132" s="46">
        <f t="shared" ref="K2132:K2138" si="544">L2132/F2132</f>
        <v>0</v>
      </c>
      <c r="L2132" s="47">
        <v>0</v>
      </c>
      <c r="AX2132" s="46">
        <v>0</v>
      </c>
      <c r="AY2132" s="47">
        <v>0</v>
      </c>
      <c r="AZ2132" s="70">
        <f t="shared" si="532"/>
        <v>0</v>
      </c>
      <c r="BC2132" s="50"/>
    </row>
    <row r="2133" spans="1:55" s="48" customFormat="1" ht="48.75" customHeight="1" outlineLevel="1" x14ac:dyDescent="0.25">
      <c r="A2133" s="42">
        <v>2</v>
      </c>
      <c r="B2133" s="43" t="s">
        <v>1220</v>
      </c>
      <c r="C2133" s="44" t="s">
        <v>110</v>
      </c>
      <c r="D2133" s="45">
        <v>4.8</v>
      </c>
      <c r="E2133" s="45">
        <v>124.1</v>
      </c>
      <c r="F2133" s="45">
        <f t="shared" si="541"/>
        <v>595.67999999999995</v>
      </c>
      <c r="G2133" s="46">
        <f t="shared" si="542"/>
        <v>0</v>
      </c>
      <c r="H2133" s="47">
        <f t="shared" si="542"/>
        <v>0</v>
      </c>
      <c r="I2133" s="46">
        <f t="shared" si="543"/>
        <v>0</v>
      </c>
      <c r="J2133" s="47">
        <v>0</v>
      </c>
      <c r="K2133" s="46">
        <f t="shared" si="544"/>
        <v>0</v>
      </c>
      <c r="L2133" s="47">
        <v>0</v>
      </c>
      <c r="AX2133" s="46">
        <v>0.75757585000000005</v>
      </c>
      <c r="AY2133" s="47">
        <v>50000.006099999999</v>
      </c>
      <c r="AZ2133" s="70">
        <f t="shared" si="532"/>
        <v>0</v>
      </c>
      <c r="BC2133" s="50"/>
    </row>
    <row r="2134" spans="1:55" s="48" customFormat="1" ht="27.75" customHeight="1" outlineLevel="1" x14ac:dyDescent="0.25">
      <c r="A2134" s="42">
        <v>3</v>
      </c>
      <c r="B2134" s="43" t="s">
        <v>1221</v>
      </c>
      <c r="C2134" s="44" t="s">
        <v>110</v>
      </c>
      <c r="D2134" s="45">
        <v>29.16</v>
      </c>
      <c r="E2134" s="45">
        <v>177.81</v>
      </c>
      <c r="F2134" s="45">
        <f t="shared" si="541"/>
        <v>5184.9395999999997</v>
      </c>
      <c r="G2134" s="46">
        <f t="shared" si="542"/>
        <v>0</v>
      </c>
      <c r="H2134" s="47">
        <f t="shared" si="542"/>
        <v>0</v>
      </c>
      <c r="I2134" s="46">
        <f t="shared" si="543"/>
        <v>0</v>
      </c>
      <c r="J2134" s="47">
        <v>0</v>
      </c>
      <c r="K2134" s="46">
        <f t="shared" si="544"/>
        <v>0</v>
      </c>
      <c r="L2134" s="47">
        <v>0</v>
      </c>
      <c r="AX2134" s="46">
        <v>0</v>
      </c>
      <c r="AY2134" s="47">
        <v>0</v>
      </c>
      <c r="AZ2134" s="70">
        <f t="shared" si="532"/>
        <v>0</v>
      </c>
      <c r="BC2134" s="50"/>
    </row>
    <row r="2135" spans="1:55" s="48" customFormat="1" ht="15.45" customHeight="1" outlineLevel="1" x14ac:dyDescent="0.25">
      <c r="A2135" s="42">
        <v>4</v>
      </c>
      <c r="B2135" s="43" t="s">
        <v>43</v>
      </c>
      <c r="C2135" s="44" t="s">
        <v>28</v>
      </c>
      <c r="D2135" s="45">
        <v>2.5960000000000001</v>
      </c>
      <c r="E2135" s="45">
        <v>1200.0999999999999</v>
      </c>
      <c r="F2135" s="45">
        <f t="shared" si="541"/>
        <v>3115.4595999999997</v>
      </c>
      <c r="G2135" s="46">
        <f t="shared" si="542"/>
        <v>0</v>
      </c>
      <c r="H2135" s="47">
        <f t="shared" si="542"/>
        <v>0</v>
      </c>
      <c r="I2135" s="46">
        <f t="shared" si="543"/>
        <v>0</v>
      </c>
      <c r="J2135" s="47">
        <v>0</v>
      </c>
      <c r="K2135" s="46">
        <f t="shared" si="544"/>
        <v>0</v>
      </c>
      <c r="L2135" s="47">
        <v>0</v>
      </c>
      <c r="AX2135" s="46">
        <v>0</v>
      </c>
      <c r="AY2135" s="47">
        <v>0</v>
      </c>
      <c r="AZ2135" s="70">
        <f t="shared" si="532"/>
        <v>0</v>
      </c>
      <c r="BC2135" s="50"/>
    </row>
    <row r="2136" spans="1:55" s="48" customFormat="1" ht="27.75" customHeight="1" outlineLevel="1" x14ac:dyDescent="0.25">
      <c r="A2136" s="42">
        <v>5</v>
      </c>
      <c r="B2136" s="43" t="s">
        <v>1222</v>
      </c>
      <c r="C2136" s="44" t="s">
        <v>110</v>
      </c>
      <c r="D2136" s="45">
        <v>31.32</v>
      </c>
      <c r="E2136" s="45">
        <v>203.66139999999999</v>
      </c>
      <c r="F2136" s="45">
        <f t="shared" si="541"/>
        <v>6378.6750480000001</v>
      </c>
      <c r="G2136" s="46">
        <f t="shared" si="542"/>
        <v>0</v>
      </c>
      <c r="H2136" s="47">
        <f t="shared" si="542"/>
        <v>0</v>
      </c>
      <c r="I2136" s="46">
        <f t="shared" si="543"/>
        <v>0</v>
      </c>
      <c r="J2136" s="47">
        <v>0</v>
      </c>
      <c r="K2136" s="46">
        <f t="shared" si="544"/>
        <v>0</v>
      </c>
      <c r="L2136" s="47">
        <v>0</v>
      </c>
      <c r="AX2136" s="46"/>
      <c r="AY2136" s="47"/>
      <c r="AZ2136" s="70"/>
      <c r="BC2136" s="50"/>
    </row>
    <row r="2137" spans="1:55" s="48" customFormat="1" ht="15.45" customHeight="1" outlineLevel="1" x14ac:dyDescent="0.25">
      <c r="A2137" s="42">
        <v>6</v>
      </c>
      <c r="B2137" s="43" t="s">
        <v>42</v>
      </c>
      <c r="C2137" s="44" t="s">
        <v>28</v>
      </c>
      <c r="D2137" s="45">
        <v>0.22</v>
      </c>
      <c r="E2137" s="45">
        <v>1325.1</v>
      </c>
      <c r="F2137" s="45">
        <f t="shared" si="541"/>
        <v>291.52199999999999</v>
      </c>
      <c r="G2137" s="46">
        <f t="shared" si="542"/>
        <v>0</v>
      </c>
      <c r="H2137" s="47">
        <f t="shared" si="542"/>
        <v>0</v>
      </c>
      <c r="I2137" s="46">
        <f t="shared" si="543"/>
        <v>0</v>
      </c>
      <c r="J2137" s="47">
        <v>0</v>
      </c>
      <c r="K2137" s="46">
        <f t="shared" si="544"/>
        <v>0</v>
      </c>
      <c r="L2137" s="47">
        <v>0</v>
      </c>
      <c r="AX2137" s="46"/>
      <c r="AY2137" s="47"/>
      <c r="AZ2137" s="70"/>
      <c r="BC2137" s="50"/>
    </row>
    <row r="2138" spans="1:55" s="48" customFormat="1" ht="15.45" customHeight="1" outlineLevel="1" x14ac:dyDescent="0.25">
      <c r="A2138" s="42">
        <v>7</v>
      </c>
      <c r="B2138" s="43" t="s">
        <v>43</v>
      </c>
      <c r="C2138" s="44" t="s">
        <v>28</v>
      </c>
      <c r="D2138" s="45">
        <v>3.3719999999999999</v>
      </c>
      <c r="E2138" s="45">
        <v>1200.0999999999999</v>
      </c>
      <c r="F2138" s="45">
        <f t="shared" si="541"/>
        <v>4046.7371999999996</v>
      </c>
      <c r="G2138" s="46">
        <f t="shared" si="542"/>
        <v>0</v>
      </c>
      <c r="H2138" s="47">
        <f t="shared" si="542"/>
        <v>0</v>
      </c>
      <c r="I2138" s="46">
        <f t="shared" si="543"/>
        <v>0</v>
      </c>
      <c r="J2138" s="47">
        <v>0</v>
      </c>
      <c r="K2138" s="46">
        <f t="shared" si="544"/>
        <v>0</v>
      </c>
      <c r="L2138" s="47">
        <v>0</v>
      </c>
      <c r="AX2138" s="46"/>
      <c r="AY2138" s="47"/>
      <c r="AZ2138" s="70"/>
      <c r="BC2138" s="50"/>
    </row>
    <row r="2139" spans="1:55" s="56" customFormat="1" ht="17.25" customHeight="1" x14ac:dyDescent="0.3">
      <c r="A2139" s="62" t="s">
        <v>1231</v>
      </c>
      <c r="B2139" s="51" t="s">
        <v>1232</v>
      </c>
      <c r="C2139" s="52">
        <v>0</v>
      </c>
      <c r="D2139" s="53"/>
      <c r="E2139" s="53"/>
      <c r="F2139" s="53"/>
      <c r="G2139" s="54"/>
      <c r="H2139" s="55"/>
      <c r="I2139" s="54"/>
      <c r="J2139" s="55"/>
      <c r="K2139" s="54"/>
      <c r="L2139" s="55">
        <v>0</v>
      </c>
      <c r="AX2139" s="69"/>
      <c r="AY2139" s="71"/>
      <c r="AZ2139" s="72"/>
      <c r="BC2139" s="58"/>
    </row>
    <row r="2140" spans="1:55" s="48" customFormat="1" ht="15.45" customHeight="1" outlineLevel="1" x14ac:dyDescent="0.25">
      <c r="A2140" s="42">
        <v>1</v>
      </c>
      <c r="B2140" s="43" t="s">
        <v>167</v>
      </c>
      <c r="C2140" s="44" t="s">
        <v>110</v>
      </c>
      <c r="D2140" s="45">
        <v>11.3</v>
      </c>
      <c r="E2140" s="45">
        <v>36.616</v>
      </c>
      <c r="F2140" s="45">
        <f t="shared" ref="F2140:F2146" si="545">+E2140*D2140</f>
        <v>413.76080000000002</v>
      </c>
      <c r="G2140" s="46">
        <f t="shared" ref="G2140:H2146" si="546">I2140+K2140</f>
        <v>0</v>
      </c>
      <c r="H2140" s="47">
        <f t="shared" si="546"/>
        <v>0</v>
      </c>
      <c r="I2140" s="46">
        <f t="shared" ref="I2140:I2146" si="547">J2140/F2140</f>
        <v>0</v>
      </c>
      <c r="J2140" s="47">
        <v>0</v>
      </c>
      <c r="K2140" s="46">
        <f t="shared" ref="K2140:K2146" si="548">L2140/F2140</f>
        <v>0</v>
      </c>
      <c r="L2140" s="47">
        <v>0</v>
      </c>
      <c r="AX2140" s="46"/>
      <c r="AY2140" s="47"/>
      <c r="AZ2140" s="70"/>
      <c r="BC2140" s="50"/>
    </row>
    <row r="2141" spans="1:55" s="48" customFormat="1" ht="15.45" customHeight="1" outlineLevel="1" x14ac:dyDescent="0.25">
      <c r="A2141" s="42">
        <v>2</v>
      </c>
      <c r="B2141" s="43" t="s">
        <v>1220</v>
      </c>
      <c r="C2141" s="44" t="s">
        <v>110</v>
      </c>
      <c r="D2141" s="45">
        <v>5.3</v>
      </c>
      <c r="E2141" s="45">
        <v>124.1</v>
      </c>
      <c r="F2141" s="45">
        <f t="shared" si="545"/>
        <v>657.7299999999999</v>
      </c>
      <c r="G2141" s="46">
        <f t="shared" si="546"/>
        <v>0</v>
      </c>
      <c r="H2141" s="47">
        <f t="shared" si="546"/>
        <v>0</v>
      </c>
      <c r="I2141" s="46">
        <f t="shared" si="547"/>
        <v>0</v>
      </c>
      <c r="J2141" s="47">
        <v>0</v>
      </c>
      <c r="K2141" s="46">
        <f t="shared" si="548"/>
        <v>0</v>
      </c>
      <c r="L2141" s="47">
        <v>0</v>
      </c>
      <c r="AX2141" s="46"/>
      <c r="AY2141" s="47"/>
      <c r="AZ2141" s="70"/>
      <c r="BC2141" s="50"/>
    </row>
    <row r="2142" spans="1:55" s="48" customFormat="1" ht="27.75" customHeight="1" outlineLevel="1" x14ac:dyDescent="0.25">
      <c r="A2142" s="42">
        <v>3</v>
      </c>
      <c r="B2142" s="43" t="s">
        <v>1221</v>
      </c>
      <c r="C2142" s="44" t="s">
        <v>110</v>
      </c>
      <c r="D2142" s="45">
        <v>51.84</v>
      </c>
      <c r="E2142" s="45">
        <v>177.81</v>
      </c>
      <c r="F2142" s="45">
        <f t="shared" si="545"/>
        <v>9217.6704000000009</v>
      </c>
      <c r="G2142" s="46">
        <f t="shared" si="546"/>
        <v>0</v>
      </c>
      <c r="H2142" s="47">
        <f t="shared" si="546"/>
        <v>0</v>
      </c>
      <c r="I2142" s="46">
        <f t="shared" si="547"/>
        <v>0</v>
      </c>
      <c r="J2142" s="47">
        <v>0</v>
      </c>
      <c r="K2142" s="46">
        <f t="shared" si="548"/>
        <v>0</v>
      </c>
      <c r="L2142" s="47">
        <v>0</v>
      </c>
      <c r="AX2142" s="46"/>
      <c r="AY2142" s="47"/>
      <c r="AZ2142" s="70"/>
      <c r="BC2142" s="50"/>
    </row>
    <row r="2143" spans="1:55" s="59" customFormat="1" ht="17.7" customHeight="1" outlineLevel="1" x14ac:dyDescent="0.35">
      <c r="A2143" s="42">
        <v>4</v>
      </c>
      <c r="B2143" s="43" t="s">
        <v>43</v>
      </c>
      <c r="C2143" s="44" t="s">
        <v>28</v>
      </c>
      <c r="D2143" s="45">
        <v>3.7130000000000001</v>
      </c>
      <c r="E2143" s="45">
        <v>1200.0999999999999</v>
      </c>
      <c r="F2143" s="45">
        <f t="shared" si="545"/>
        <v>4455.9713000000002</v>
      </c>
      <c r="G2143" s="46">
        <f t="shared" si="546"/>
        <v>0</v>
      </c>
      <c r="H2143" s="47">
        <f t="shared" si="546"/>
        <v>0</v>
      </c>
      <c r="I2143" s="46">
        <f t="shared" si="547"/>
        <v>0</v>
      </c>
      <c r="J2143" s="47">
        <v>0</v>
      </c>
      <c r="K2143" s="46">
        <f t="shared" si="548"/>
        <v>0</v>
      </c>
      <c r="L2143" s="47">
        <v>0</v>
      </c>
      <c r="AX2143" s="73"/>
      <c r="AY2143" s="74"/>
      <c r="AZ2143" s="75"/>
      <c r="BC2143" s="61"/>
    </row>
    <row r="2144" spans="1:55" s="48" customFormat="1" ht="27.75" customHeight="1" outlineLevel="1" x14ac:dyDescent="0.25">
      <c r="A2144" s="42">
        <v>5</v>
      </c>
      <c r="B2144" s="43" t="s">
        <v>1222</v>
      </c>
      <c r="C2144" s="44" t="s">
        <v>110</v>
      </c>
      <c r="D2144" s="45">
        <v>49.68</v>
      </c>
      <c r="E2144" s="45">
        <v>203.66139999999999</v>
      </c>
      <c r="F2144" s="45">
        <f t="shared" si="545"/>
        <v>10117.898352</v>
      </c>
      <c r="G2144" s="46">
        <f t="shared" si="546"/>
        <v>0</v>
      </c>
      <c r="H2144" s="47">
        <f t="shared" si="546"/>
        <v>0</v>
      </c>
      <c r="I2144" s="46">
        <f t="shared" si="547"/>
        <v>0</v>
      </c>
      <c r="J2144" s="47">
        <v>0</v>
      </c>
      <c r="K2144" s="46">
        <f t="shared" si="548"/>
        <v>0</v>
      </c>
      <c r="L2144" s="47">
        <v>0</v>
      </c>
      <c r="AX2144" s="46"/>
      <c r="AY2144" s="47"/>
      <c r="AZ2144" s="70"/>
      <c r="BC2144" s="50"/>
    </row>
    <row r="2145" spans="1:55" s="48" customFormat="1" ht="15.45" customHeight="1" outlineLevel="1" x14ac:dyDescent="0.25">
      <c r="A2145" s="42">
        <v>6</v>
      </c>
      <c r="B2145" s="43" t="s">
        <v>42</v>
      </c>
      <c r="C2145" s="44" t="s">
        <v>28</v>
      </c>
      <c r="D2145" s="45">
        <v>0.11799999999999999</v>
      </c>
      <c r="E2145" s="45">
        <v>1325.1</v>
      </c>
      <c r="F2145" s="45">
        <f t="shared" si="545"/>
        <v>156.36179999999999</v>
      </c>
      <c r="G2145" s="46">
        <f t="shared" si="546"/>
        <v>0</v>
      </c>
      <c r="H2145" s="47">
        <f t="shared" si="546"/>
        <v>0</v>
      </c>
      <c r="I2145" s="46">
        <f t="shared" si="547"/>
        <v>0</v>
      </c>
      <c r="J2145" s="47">
        <v>0</v>
      </c>
      <c r="K2145" s="46">
        <f t="shared" si="548"/>
        <v>0</v>
      </c>
      <c r="L2145" s="47">
        <v>0</v>
      </c>
      <c r="AX2145" s="46"/>
      <c r="AY2145" s="47"/>
      <c r="AZ2145" s="70"/>
      <c r="BC2145" s="50"/>
    </row>
    <row r="2146" spans="1:55" s="48" customFormat="1" ht="15.45" customHeight="1" outlineLevel="1" x14ac:dyDescent="0.25">
      <c r="A2146" s="42">
        <v>7</v>
      </c>
      <c r="B2146" s="43" t="s">
        <v>43</v>
      </c>
      <c r="C2146" s="44" t="s">
        <v>28</v>
      </c>
      <c r="D2146" s="45">
        <v>3.992</v>
      </c>
      <c r="E2146" s="45">
        <v>1200.0999999999999</v>
      </c>
      <c r="F2146" s="45">
        <f t="shared" si="545"/>
        <v>4790.7991999999995</v>
      </c>
      <c r="G2146" s="46">
        <f t="shared" si="546"/>
        <v>0</v>
      </c>
      <c r="H2146" s="47">
        <f t="shared" si="546"/>
        <v>0</v>
      </c>
      <c r="I2146" s="46">
        <f t="shared" si="547"/>
        <v>0</v>
      </c>
      <c r="J2146" s="47">
        <v>0</v>
      </c>
      <c r="K2146" s="46">
        <f t="shared" si="548"/>
        <v>0</v>
      </c>
      <c r="L2146" s="47">
        <v>0</v>
      </c>
      <c r="AX2146" s="46"/>
      <c r="AY2146" s="47"/>
      <c r="AZ2146" s="70"/>
      <c r="BC2146" s="50"/>
    </row>
    <row r="2147" spans="1:55" s="56" customFormat="1" ht="17.25" customHeight="1" x14ac:dyDescent="0.3">
      <c r="A2147" s="62" t="s">
        <v>1233</v>
      </c>
      <c r="B2147" s="51" t="s">
        <v>1234</v>
      </c>
      <c r="C2147" s="52">
        <v>0</v>
      </c>
      <c r="D2147" s="53"/>
      <c r="E2147" s="53"/>
      <c r="F2147" s="53"/>
      <c r="G2147" s="54"/>
      <c r="H2147" s="55"/>
      <c r="I2147" s="54"/>
      <c r="J2147" s="55"/>
      <c r="K2147" s="54"/>
      <c r="L2147" s="55">
        <v>0</v>
      </c>
      <c r="AX2147" s="69">
        <v>1</v>
      </c>
      <c r="AY2147" s="71">
        <v>5766733.6402624408</v>
      </c>
      <c r="AZ2147" s="72">
        <f>H2147-J2147</f>
        <v>0</v>
      </c>
      <c r="BC2147" s="58"/>
    </row>
    <row r="2148" spans="1:55" s="48" customFormat="1" ht="15.45" customHeight="1" outlineLevel="1" x14ac:dyDescent="0.25">
      <c r="A2148" s="42">
        <v>1</v>
      </c>
      <c r="B2148" s="43" t="s">
        <v>167</v>
      </c>
      <c r="C2148" s="44" t="s">
        <v>110</v>
      </c>
      <c r="D2148" s="45">
        <v>10.199999999999999</v>
      </c>
      <c r="E2148" s="45">
        <v>36.616</v>
      </c>
      <c r="F2148" s="45">
        <f t="shared" ref="F2148:F2154" si="549">+E2148*D2148</f>
        <v>373.48319999999995</v>
      </c>
      <c r="G2148" s="46">
        <f t="shared" ref="G2148:H2154" si="550">I2148+K2148</f>
        <v>0</v>
      </c>
      <c r="H2148" s="47">
        <f t="shared" si="550"/>
        <v>0</v>
      </c>
      <c r="I2148" s="46">
        <f t="shared" ref="I2148:I2154" si="551">J2148/F2148</f>
        <v>0</v>
      </c>
      <c r="J2148" s="47">
        <v>0</v>
      </c>
      <c r="K2148" s="46">
        <f t="shared" ref="K2148:K2154" si="552">L2148/F2148</f>
        <v>0</v>
      </c>
      <c r="L2148" s="47">
        <v>0</v>
      </c>
      <c r="AX2148" s="46">
        <v>1</v>
      </c>
      <c r="AY2148" s="47">
        <v>5766733.6402624408</v>
      </c>
      <c r="AZ2148" s="70">
        <f>H2148-J2148</f>
        <v>0</v>
      </c>
      <c r="BC2148" s="50"/>
    </row>
    <row r="2149" spans="1:55" s="48" customFormat="1" ht="15.45" customHeight="1" outlineLevel="1" x14ac:dyDescent="0.25">
      <c r="A2149" s="42">
        <v>2</v>
      </c>
      <c r="B2149" s="43" t="s">
        <v>1220</v>
      </c>
      <c r="C2149" s="44" t="s">
        <v>110</v>
      </c>
      <c r="D2149" s="45">
        <v>4.8</v>
      </c>
      <c r="E2149" s="45">
        <v>124.1</v>
      </c>
      <c r="F2149" s="45">
        <f t="shared" si="549"/>
        <v>595.67999999999995</v>
      </c>
      <c r="G2149" s="46">
        <f t="shared" si="550"/>
        <v>0</v>
      </c>
      <c r="H2149" s="47">
        <f t="shared" si="550"/>
        <v>0</v>
      </c>
      <c r="I2149" s="46">
        <f t="shared" si="551"/>
        <v>0</v>
      </c>
      <c r="J2149" s="47">
        <v>0</v>
      </c>
      <c r="K2149" s="46">
        <f t="shared" si="552"/>
        <v>0</v>
      </c>
      <c r="L2149" s="47">
        <v>0</v>
      </c>
      <c r="AX2149" s="46">
        <v>1</v>
      </c>
      <c r="AY2149" s="47">
        <v>5766733.6402624408</v>
      </c>
      <c r="AZ2149" s="70">
        <f>H2149-J2149</f>
        <v>0</v>
      </c>
      <c r="BC2149" s="50"/>
    </row>
    <row r="2150" spans="1:55" s="48" customFormat="1" ht="27.75" customHeight="1" outlineLevel="1" x14ac:dyDescent="0.25">
      <c r="A2150" s="42">
        <v>3</v>
      </c>
      <c r="B2150" s="43" t="s">
        <v>1221</v>
      </c>
      <c r="C2150" s="44" t="s">
        <v>110</v>
      </c>
      <c r="D2150" s="45">
        <v>59.36</v>
      </c>
      <c r="E2150" s="45">
        <v>177.81</v>
      </c>
      <c r="F2150" s="45">
        <f t="shared" si="549"/>
        <v>10554.801600000001</v>
      </c>
      <c r="G2150" s="46">
        <f t="shared" si="550"/>
        <v>0</v>
      </c>
      <c r="H2150" s="47">
        <f t="shared" si="550"/>
        <v>0</v>
      </c>
      <c r="I2150" s="46">
        <f t="shared" si="551"/>
        <v>0</v>
      </c>
      <c r="J2150" s="47">
        <v>0</v>
      </c>
      <c r="K2150" s="46">
        <f t="shared" si="552"/>
        <v>0</v>
      </c>
      <c r="L2150" s="47">
        <v>0</v>
      </c>
      <c r="AX2150" s="46">
        <v>0</v>
      </c>
      <c r="AY2150" s="47">
        <v>0</v>
      </c>
      <c r="AZ2150" s="70">
        <f>H2150-J2150</f>
        <v>0</v>
      </c>
      <c r="BC2150" s="50"/>
    </row>
    <row r="2151" spans="1:55" s="48" customFormat="1" ht="15.45" customHeight="1" outlineLevel="1" x14ac:dyDescent="0.25">
      <c r="A2151" s="42">
        <v>4</v>
      </c>
      <c r="B2151" s="43" t="s">
        <v>43</v>
      </c>
      <c r="C2151" s="44" t="s">
        <v>28</v>
      </c>
      <c r="D2151" s="45">
        <v>2.44</v>
      </c>
      <c r="E2151" s="45">
        <v>1200.0999999999999</v>
      </c>
      <c r="F2151" s="45">
        <f t="shared" si="549"/>
        <v>2928.2439999999997</v>
      </c>
      <c r="G2151" s="46">
        <f t="shared" si="550"/>
        <v>0</v>
      </c>
      <c r="H2151" s="47">
        <f t="shared" si="550"/>
        <v>0</v>
      </c>
      <c r="I2151" s="46">
        <f t="shared" si="551"/>
        <v>0</v>
      </c>
      <c r="J2151" s="47">
        <v>0</v>
      </c>
      <c r="K2151" s="46">
        <f t="shared" si="552"/>
        <v>0</v>
      </c>
      <c r="L2151" s="47">
        <v>0</v>
      </c>
      <c r="AX2151" s="46">
        <v>0</v>
      </c>
      <c r="AY2151" s="47">
        <v>1038012.055247239</v>
      </c>
      <c r="AZ2151" s="70">
        <f>H2151-J2151</f>
        <v>0</v>
      </c>
      <c r="BC2151" s="50"/>
    </row>
    <row r="2152" spans="1:55" s="48" customFormat="1" ht="27.75" customHeight="1" outlineLevel="1" x14ac:dyDescent="0.25">
      <c r="A2152" s="42">
        <v>5</v>
      </c>
      <c r="B2152" s="43" t="s">
        <v>1222</v>
      </c>
      <c r="C2152" s="44" t="s">
        <v>110</v>
      </c>
      <c r="D2152" s="45">
        <v>74.55</v>
      </c>
      <c r="E2152" s="45">
        <v>203.66139999999999</v>
      </c>
      <c r="F2152" s="45">
        <f t="shared" si="549"/>
        <v>15182.957369999998</v>
      </c>
      <c r="G2152" s="46">
        <f t="shared" si="550"/>
        <v>0</v>
      </c>
      <c r="H2152" s="47">
        <f t="shared" si="550"/>
        <v>0</v>
      </c>
      <c r="I2152" s="46">
        <f t="shared" si="551"/>
        <v>0</v>
      </c>
      <c r="J2152" s="47">
        <v>0</v>
      </c>
      <c r="K2152" s="46">
        <f t="shared" si="552"/>
        <v>0</v>
      </c>
      <c r="L2152" s="47">
        <v>0</v>
      </c>
      <c r="AX2152" s="46"/>
      <c r="AY2152" s="47"/>
      <c r="AZ2152" s="70"/>
      <c r="BC2152" s="50"/>
    </row>
    <row r="2153" spans="1:55" s="48" customFormat="1" ht="15.45" customHeight="1" outlineLevel="1" x14ac:dyDescent="0.25">
      <c r="A2153" s="42">
        <v>6</v>
      </c>
      <c r="B2153" s="43" t="s">
        <v>42</v>
      </c>
      <c r="C2153" s="44" t="s">
        <v>28</v>
      </c>
      <c r="D2153" s="45">
        <v>0.17699999999999999</v>
      </c>
      <c r="E2153" s="45">
        <v>1325.1</v>
      </c>
      <c r="F2153" s="45">
        <f t="shared" si="549"/>
        <v>234.54269999999997</v>
      </c>
      <c r="G2153" s="46">
        <f t="shared" si="550"/>
        <v>0</v>
      </c>
      <c r="H2153" s="47">
        <f t="shared" si="550"/>
        <v>0</v>
      </c>
      <c r="I2153" s="46">
        <f t="shared" si="551"/>
        <v>0</v>
      </c>
      <c r="J2153" s="47">
        <v>0</v>
      </c>
      <c r="K2153" s="46">
        <f t="shared" si="552"/>
        <v>0</v>
      </c>
      <c r="L2153" s="47">
        <v>0</v>
      </c>
      <c r="AX2153" s="46"/>
      <c r="AY2153" s="47"/>
      <c r="AZ2153" s="70"/>
      <c r="BC2153" s="50"/>
    </row>
    <row r="2154" spans="1:55" s="48" customFormat="1" ht="15.45" customHeight="1" outlineLevel="1" x14ac:dyDescent="0.25">
      <c r="A2154" s="42">
        <v>7</v>
      </c>
      <c r="B2154" s="43" t="s">
        <v>43</v>
      </c>
      <c r="C2154" s="44" t="s">
        <v>28</v>
      </c>
      <c r="D2154" s="45">
        <v>5.9649999999999999</v>
      </c>
      <c r="E2154" s="45">
        <v>1200.0999999999999</v>
      </c>
      <c r="F2154" s="45">
        <f t="shared" si="549"/>
        <v>7158.5964999999997</v>
      </c>
      <c r="G2154" s="46">
        <f t="shared" si="550"/>
        <v>0</v>
      </c>
      <c r="H2154" s="47">
        <f t="shared" si="550"/>
        <v>0</v>
      </c>
      <c r="I2154" s="46">
        <f t="shared" si="551"/>
        <v>0</v>
      </c>
      <c r="J2154" s="47">
        <v>0</v>
      </c>
      <c r="K2154" s="46">
        <f t="shared" si="552"/>
        <v>0</v>
      </c>
      <c r="L2154" s="47">
        <v>0</v>
      </c>
      <c r="AX2154" s="46"/>
      <c r="AY2154" s="47"/>
      <c r="AZ2154" s="70"/>
      <c r="BC2154" s="50"/>
    </row>
    <row r="2155" spans="1:55" s="56" customFormat="1" ht="17.25" customHeight="1" x14ac:dyDescent="0.3">
      <c r="A2155" s="62" t="s">
        <v>1235</v>
      </c>
      <c r="B2155" s="51" t="s">
        <v>1236</v>
      </c>
      <c r="C2155" s="52">
        <v>0</v>
      </c>
      <c r="D2155" s="53"/>
      <c r="E2155" s="53"/>
      <c r="F2155" s="53"/>
      <c r="G2155" s="54"/>
      <c r="H2155" s="55"/>
      <c r="I2155" s="54"/>
      <c r="J2155" s="55"/>
      <c r="K2155" s="54"/>
      <c r="L2155" s="55">
        <v>0</v>
      </c>
      <c r="AX2155" s="69"/>
      <c r="AY2155" s="71"/>
      <c r="AZ2155" s="72"/>
      <c r="BC2155" s="58"/>
    </row>
    <row r="2156" spans="1:55" s="48" customFormat="1" ht="15.45" customHeight="1" outlineLevel="1" x14ac:dyDescent="0.25">
      <c r="A2156" s="42">
        <v>1</v>
      </c>
      <c r="B2156" s="43" t="s">
        <v>167</v>
      </c>
      <c r="C2156" s="44" t="s">
        <v>110</v>
      </c>
      <c r="D2156" s="45">
        <v>30.6</v>
      </c>
      <c r="E2156" s="45">
        <v>36.616</v>
      </c>
      <c r="F2156" s="45">
        <f t="shared" ref="F2156:F2162" si="553">+E2156*D2156</f>
        <v>1120.4496000000001</v>
      </c>
      <c r="G2156" s="46">
        <f t="shared" ref="G2156:H2162" si="554">I2156+K2156</f>
        <v>0</v>
      </c>
      <c r="H2156" s="47">
        <f t="shared" si="554"/>
        <v>0</v>
      </c>
      <c r="I2156" s="46">
        <f t="shared" ref="I2156:I2162" si="555">J2156/F2156</f>
        <v>0</v>
      </c>
      <c r="J2156" s="47">
        <v>0</v>
      </c>
      <c r="K2156" s="46">
        <f t="shared" ref="K2156:K2162" si="556">L2156/F2156</f>
        <v>0</v>
      </c>
      <c r="L2156" s="47">
        <v>0</v>
      </c>
      <c r="AX2156" s="46"/>
      <c r="AY2156" s="47"/>
      <c r="AZ2156" s="70"/>
      <c r="BC2156" s="50"/>
    </row>
    <row r="2157" spans="1:55" s="48" customFormat="1" ht="15.45" customHeight="1" outlineLevel="1" x14ac:dyDescent="0.25">
      <c r="A2157" s="42">
        <v>2</v>
      </c>
      <c r="B2157" s="43" t="s">
        <v>1220</v>
      </c>
      <c r="C2157" s="44" t="s">
        <v>110</v>
      </c>
      <c r="D2157" s="45">
        <v>14.4</v>
      </c>
      <c r="E2157" s="45">
        <v>124.1</v>
      </c>
      <c r="F2157" s="45">
        <f t="shared" si="553"/>
        <v>1787.04</v>
      </c>
      <c r="G2157" s="46">
        <f t="shared" si="554"/>
        <v>0</v>
      </c>
      <c r="H2157" s="47">
        <f t="shared" si="554"/>
        <v>0</v>
      </c>
      <c r="I2157" s="46">
        <f t="shared" si="555"/>
        <v>0</v>
      </c>
      <c r="J2157" s="47">
        <v>0</v>
      </c>
      <c r="K2157" s="46">
        <f t="shared" si="556"/>
        <v>0</v>
      </c>
      <c r="L2157" s="47">
        <v>0</v>
      </c>
      <c r="AX2157" s="46"/>
      <c r="AY2157" s="47"/>
      <c r="AZ2157" s="70"/>
      <c r="BC2157" s="50"/>
    </row>
    <row r="2158" spans="1:55" s="48" customFormat="1" ht="27.75" customHeight="1" outlineLevel="1" x14ac:dyDescent="0.25">
      <c r="A2158" s="42">
        <v>3</v>
      </c>
      <c r="B2158" s="43" t="s">
        <v>1221</v>
      </c>
      <c r="C2158" s="44" t="s">
        <v>110</v>
      </c>
      <c r="D2158" s="45">
        <v>144</v>
      </c>
      <c r="E2158" s="45">
        <v>177.81</v>
      </c>
      <c r="F2158" s="45">
        <f t="shared" si="553"/>
        <v>25604.639999999999</v>
      </c>
      <c r="G2158" s="46">
        <f t="shared" si="554"/>
        <v>0</v>
      </c>
      <c r="H2158" s="47">
        <f t="shared" si="554"/>
        <v>0</v>
      </c>
      <c r="I2158" s="46">
        <f t="shared" si="555"/>
        <v>0</v>
      </c>
      <c r="J2158" s="47">
        <v>0</v>
      </c>
      <c r="K2158" s="46">
        <f t="shared" si="556"/>
        <v>0</v>
      </c>
      <c r="L2158" s="47">
        <v>0</v>
      </c>
      <c r="AX2158" s="46"/>
      <c r="AY2158" s="47"/>
      <c r="AZ2158" s="70"/>
      <c r="BC2158" s="50"/>
    </row>
    <row r="2159" spans="1:55" s="59" customFormat="1" ht="17.7" customHeight="1" outlineLevel="1" x14ac:dyDescent="0.35">
      <c r="A2159" s="42">
        <v>4</v>
      </c>
      <c r="B2159" s="43" t="s">
        <v>43</v>
      </c>
      <c r="C2159" s="44" t="s">
        <v>28</v>
      </c>
      <c r="D2159" s="45">
        <v>9.81</v>
      </c>
      <c r="E2159" s="45">
        <v>1200.0999999999999</v>
      </c>
      <c r="F2159" s="45">
        <f t="shared" si="553"/>
        <v>11772.981</v>
      </c>
      <c r="G2159" s="46">
        <f t="shared" si="554"/>
        <v>0</v>
      </c>
      <c r="H2159" s="47">
        <f t="shared" si="554"/>
        <v>0</v>
      </c>
      <c r="I2159" s="46">
        <f t="shared" si="555"/>
        <v>0</v>
      </c>
      <c r="J2159" s="47">
        <v>0</v>
      </c>
      <c r="K2159" s="46">
        <f t="shared" si="556"/>
        <v>0</v>
      </c>
      <c r="L2159" s="47">
        <v>0</v>
      </c>
      <c r="AX2159" s="73">
        <v>1</v>
      </c>
      <c r="AY2159" s="74">
        <v>5766733.6402624408</v>
      </c>
      <c r="AZ2159" s="75">
        <f>H2159-J2159</f>
        <v>0</v>
      </c>
      <c r="BC2159" s="61"/>
    </row>
    <row r="2160" spans="1:55" s="48" customFormat="1" ht="27.75" customHeight="1" outlineLevel="1" x14ac:dyDescent="0.25">
      <c r="A2160" s="42">
        <v>5</v>
      </c>
      <c r="B2160" s="43" t="s">
        <v>1222</v>
      </c>
      <c r="C2160" s="44" t="s">
        <v>110</v>
      </c>
      <c r="D2160" s="45">
        <v>189</v>
      </c>
      <c r="E2160" s="45">
        <v>203.66139999999999</v>
      </c>
      <c r="F2160" s="45">
        <f t="shared" si="553"/>
        <v>38492.0046</v>
      </c>
      <c r="G2160" s="46">
        <f t="shared" si="554"/>
        <v>0</v>
      </c>
      <c r="H2160" s="47">
        <f t="shared" si="554"/>
        <v>0</v>
      </c>
      <c r="I2160" s="46">
        <f t="shared" si="555"/>
        <v>0</v>
      </c>
      <c r="J2160" s="47">
        <v>0</v>
      </c>
      <c r="K2160" s="46">
        <f t="shared" si="556"/>
        <v>0</v>
      </c>
      <c r="L2160" s="47">
        <v>0</v>
      </c>
      <c r="AX2160" s="46">
        <v>1</v>
      </c>
      <c r="AY2160" s="47">
        <v>5766733.6402624408</v>
      </c>
      <c r="AZ2160" s="70">
        <f>H2160-J2160</f>
        <v>0</v>
      </c>
      <c r="BC2160" s="50"/>
    </row>
    <row r="2161" spans="1:55" s="48" customFormat="1" ht="15.45" customHeight="1" outlineLevel="1" x14ac:dyDescent="0.25">
      <c r="A2161" s="42">
        <v>6</v>
      </c>
      <c r="B2161" s="43" t="s">
        <v>42</v>
      </c>
      <c r="C2161" s="44" t="s">
        <v>28</v>
      </c>
      <c r="D2161" s="45">
        <v>0.44800000000000001</v>
      </c>
      <c r="E2161" s="45">
        <v>1325.1</v>
      </c>
      <c r="F2161" s="45">
        <f t="shared" si="553"/>
        <v>593.64479999999992</v>
      </c>
      <c r="G2161" s="46">
        <f t="shared" si="554"/>
        <v>0</v>
      </c>
      <c r="H2161" s="47">
        <f t="shared" si="554"/>
        <v>0</v>
      </c>
      <c r="I2161" s="46">
        <f t="shared" si="555"/>
        <v>0</v>
      </c>
      <c r="J2161" s="47">
        <v>0</v>
      </c>
      <c r="K2161" s="46">
        <f t="shared" si="556"/>
        <v>0</v>
      </c>
      <c r="L2161" s="47">
        <v>0</v>
      </c>
      <c r="AX2161" s="46">
        <v>1</v>
      </c>
      <c r="AY2161" s="47">
        <v>5766733.6402624408</v>
      </c>
      <c r="AZ2161" s="70">
        <f>H2161-J2161</f>
        <v>0</v>
      </c>
      <c r="BC2161" s="50"/>
    </row>
    <row r="2162" spans="1:55" s="48" customFormat="1" ht="15.45" customHeight="1" outlineLevel="1" x14ac:dyDescent="0.25">
      <c r="A2162" s="42">
        <v>7</v>
      </c>
      <c r="B2162" s="43" t="s">
        <v>43</v>
      </c>
      <c r="C2162" s="44" t="s">
        <v>28</v>
      </c>
      <c r="D2162" s="45">
        <v>14.976000000000001</v>
      </c>
      <c r="E2162" s="45">
        <v>1200.0999999999999</v>
      </c>
      <c r="F2162" s="45">
        <f t="shared" si="553"/>
        <v>17972.6976</v>
      </c>
      <c r="G2162" s="46">
        <f t="shared" si="554"/>
        <v>0</v>
      </c>
      <c r="H2162" s="47">
        <f t="shared" si="554"/>
        <v>0</v>
      </c>
      <c r="I2162" s="46">
        <f t="shared" si="555"/>
        <v>0</v>
      </c>
      <c r="J2162" s="47">
        <v>0</v>
      </c>
      <c r="K2162" s="46">
        <f t="shared" si="556"/>
        <v>0</v>
      </c>
      <c r="L2162" s="47">
        <v>0</v>
      </c>
      <c r="AX2162" s="46">
        <v>0</v>
      </c>
      <c r="AY2162" s="47">
        <v>0</v>
      </c>
      <c r="AZ2162" s="70">
        <f>H2162-J2162</f>
        <v>0</v>
      </c>
      <c r="BC2162" s="50"/>
    </row>
    <row r="2163" spans="1:55" s="56" customFormat="1" ht="17.25" customHeight="1" x14ac:dyDescent="0.3">
      <c r="A2163" s="62" t="s">
        <v>1237</v>
      </c>
      <c r="B2163" s="51" t="s">
        <v>1238</v>
      </c>
      <c r="C2163" s="52">
        <v>0</v>
      </c>
      <c r="D2163" s="53"/>
      <c r="E2163" s="53"/>
      <c r="F2163" s="53"/>
      <c r="G2163" s="54"/>
      <c r="H2163" s="55"/>
      <c r="I2163" s="54"/>
      <c r="J2163" s="55"/>
      <c r="K2163" s="54"/>
      <c r="L2163" s="55">
        <v>0</v>
      </c>
      <c r="AX2163" s="69">
        <v>0</v>
      </c>
      <c r="AY2163" s="71">
        <v>1038012.055247239</v>
      </c>
      <c r="AZ2163" s="72">
        <f>H2163-J2163</f>
        <v>0</v>
      </c>
      <c r="BC2163" s="58"/>
    </row>
    <row r="2164" spans="1:55" s="48" customFormat="1" ht="15.45" customHeight="1" outlineLevel="1" x14ac:dyDescent="0.25">
      <c r="A2164" s="42">
        <v>1</v>
      </c>
      <c r="B2164" s="43" t="s">
        <v>167</v>
      </c>
      <c r="C2164" s="44" t="s">
        <v>110</v>
      </c>
      <c r="D2164" s="45">
        <v>10.199999999999999</v>
      </c>
      <c r="E2164" s="45">
        <v>36.616</v>
      </c>
      <c r="F2164" s="45">
        <f t="shared" ref="F2164:F2170" si="557">+E2164*D2164</f>
        <v>373.48319999999995</v>
      </c>
      <c r="G2164" s="46">
        <f t="shared" ref="G2164:H2170" si="558">I2164+K2164</f>
        <v>0</v>
      </c>
      <c r="H2164" s="47">
        <f t="shared" si="558"/>
        <v>0</v>
      </c>
      <c r="I2164" s="46">
        <f t="shared" ref="I2164:I2170" si="559">J2164/F2164</f>
        <v>0</v>
      </c>
      <c r="J2164" s="47">
        <v>0</v>
      </c>
      <c r="K2164" s="46">
        <f t="shared" ref="K2164:K2170" si="560">L2164/F2164</f>
        <v>0</v>
      </c>
      <c r="L2164" s="47">
        <v>0</v>
      </c>
      <c r="AX2164" s="46"/>
      <c r="AY2164" s="47"/>
      <c r="AZ2164" s="70"/>
      <c r="BC2164" s="50"/>
    </row>
    <row r="2165" spans="1:55" s="48" customFormat="1" ht="15.45" customHeight="1" outlineLevel="1" x14ac:dyDescent="0.25">
      <c r="A2165" s="42">
        <v>2</v>
      </c>
      <c r="B2165" s="43" t="s">
        <v>1220</v>
      </c>
      <c r="C2165" s="44" t="s">
        <v>110</v>
      </c>
      <c r="D2165" s="45">
        <v>4.8</v>
      </c>
      <c r="E2165" s="45">
        <v>124.1</v>
      </c>
      <c r="F2165" s="45">
        <f t="shared" si="557"/>
        <v>595.67999999999995</v>
      </c>
      <c r="G2165" s="46">
        <f t="shared" si="558"/>
        <v>0</v>
      </c>
      <c r="H2165" s="47">
        <f t="shared" si="558"/>
        <v>0</v>
      </c>
      <c r="I2165" s="46">
        <f t="shared" si="559"/>
        <v>0</v>
      </c>
      <c r="J2165" s="47">
        <v>0</v>
      </c>
      <c r="K2165" s="46">
        <f t="shared" si="560"/>
        <v>0</v>
      </c>
      <c r="L2165" s="47">
        <v>0</v>
      </c>
      <c r="AX2165" s="46"/>
      <c r="AY2165" s="47"/>
      <c r="AZ2165" s="70"/>
      <c r="BC2165" s="50"/>
    </row>
    <row r="2166" spans="1:55" s="48" customFormat="1" ht="27.75" customHeight="1" outlineLevel="1" x14ac:dyDescent="0.25">
      <c r="A2166" s="42">
        <v>3</v>
      </c>
      <c r="B2166" s="43" t="s">
        <v>1221</v>
      </c>
      <c r="C2166" s="44" t="s">
        <v>110</v>
      </c>
      <c r="D2166" s="45">
        <v>50.56</v>
      </c>
      <c r="E2166" s="45">
        <v>177.81</v>
      </c>
      <c r="F2166" s="45">
        <f t="shared" si="557"/>
        <v>8990.0735999999997</v>
      </c>
      <c r="G2166" s="46">
        <f t="shared" si="558"/>
        <v>0</v>
      </c>
      <c r="H2166" s="47">
        <f t="shared" si="558"/>
        <v>0</v>
      </c>
      <c r="I2166" s="46">
        <f t="shared" si="559"/>
        <v>0</v>
      </c>
      <c r="J2166" s="47">
        <v>0</v>
      </c>
      <c r="K2166" s="46">
        <f t="shared" si="560"/>
        <v>0</v>
      </c>
      <c r="L2166" s="47">
        <v>0</v>
      </c>
      <c r="AX2166" s="46"/>
      <c r="AY2166" s="47"/>
      <c r="AZ2166" s="70"/>
      <c r="BC2166" s="50"/>
    </row>
    <row r="2167" spans="1:55" s="48" customFormat="1" ht="15.45" customHeight="1" outlineLevel="1" x14ac:dyDescent="0.25">
      <c r="A2167" s="42">
        <v>4</v>
      </c>
      <c r="B2167" s="43" t="s">
        <v>43</v>
      </c>
      <c r="C2167" s="44" t="s">
        <v>28</v>
      </c>
      <c r="D2167" s="45">
        <v>3.476</v>
      </c>
      <c r="E2167" s="45">
        <v>1200.0999999999999</v>
      </c>
      <c r="F2167" s="45">
        <f t="shared" si="557"/>
        <v>4171.5475999999999</v>
      </c>
      <c r="G2167" s="46">
        <f t="shared" si="558"/>
        <v>0</v>
      </c>
      <c r="H2167" s="47">
        <f t="shared" si="558"/>
        <v>0</v>
      </c>
      <c r="I2167" s="46">
        <f t="shared" si="559"/>
        <v>0</v>
      </c>
      <c r="J2167" s="47">
        <v>0</v>
      </c>
      <c r="K2167" s="46">
        <f t="shared" si="560"/>
        <v>0</v>
      </c>
      <c r="L2167" s="47">
        <v>0</v>
      </c>
      <c r="AX2167" s="46"/>
      <c r="AY2167" s="47"/>
      <c r="AZ2167" s="70"/>
      <c r="BC2167" s="50"/>
    </row>
    <row r="2168" spans="1:55" s="48" customFormat="1" ht="27.75" customHeight="1" outlineLevel="1" x14ac:dyDescent="0.25">
      <c r="A2168" s="42">
        <v>5</v>
      </c>
      <c r="B2168" s="43" t="s">
        <v>1222</v>
      </c>
      <c r="C2168" s="44" t="s">
        <v>110</v>
      </c>
      <c r="D2168" s="45">
        <v>63</v>
      </c>
      <c r="E2168" s="45">
        <v>203.66139999999999</v>
      </c>
      <c r="F2168" s="45">
        <f t="shared" si="557"/>
        <v>12830.668199999998</v>
      </c>
      <c r="G2168" s="46">
        <f t="shared" si="558"/>
        <v>0</v>
      </c>
      <c r="H2168" s="47">
        <f t="shared" si="558"/>
        <v>0</v>
      </c>
      <c r="I2168" s="46">
        <f t="shared" si="559"/>
        <v>0</v>
      </c>
      <c r="J2168" s="47">
        <v>0</v>
      </c>
      <c r="K2168" s="46">
        <f t="shared" si="560"/>
        <v>0</v>
      </c>
      <c r="L2168" s="47">
        <v>0</v>
      </c>
      <c r="AX2168" s="46"/>
      <c r="AY2168" s="47"/>
      <c r="AZ2168" s="70"/>
      <c r="BC2168" s="50"/>
    </row>
    <row r="2169" spans="1:55" s="48" customFormat="1" ht="15.45" customHeight="1" outlineLevel="1" x14ac:dyDescent="0.25">
      <c r="A2169" s="42">
        <v>6</v>
      </c>
      <c r="B2169" s="43" t="s">
        <v>42</v>
      </c>
      <c r="C2169" s="44" t="s">
        <v>28</v>
      </c>
      <c r="D2169" s="45">
        <v>0.14899999999999999</v>
      </c>
      <c r="E2169" s="45">
        <v>1325.1</v>
      </c>
      <c r="F2169" s="45">
        <f t="shared" si="557"/>
        <v>197.43989999999997</v>
      </c>
      <c r="G2169" s="46">
        <f t="shared" si="558"/>
        <v>0</v>
      </c>
      <c r="H2169" s="47">
        <f t="shared" si="558"/>
        <v>0</v>
      </c>
      <c r="I2169" s="46">
        <f t="shared" si="559"/>
        <v>0</v>
      </c>
      <c r="J2169" s="47">
        <v>0</v>
      </c>
      <c r="K2169" s="46">
        <f t="shared" si="560"/>
        <v>0</v>
      </c>
      <c r="L2169" s="47">
        <v>0</v>
      </c>
      <c r="AX2169" s="46">
        <v>1</v>
      </c>
      <c r="AY2169" s="47">
        <v>5766733.6402624408</v>
      </c>
      <c r="AZ2169" s="70">
        <f>H2169-J2169</f>
        <v>0</v>
      </c>
      <c r="BC2169" s="50"/>
    </row>
    <row r="2170" spans="1:55" s="48" customFormat="1" ht="15.45" customHeight="1" outlineLevel="1" x14ac:dyDescent="0.25">
      <c r="A2170" s="42">
        <v>7</v>
      </c>
      <c r="B2170" s="43" t="s">
        <v>43</v>
      </c>
      <c r="C2170" s="44" t="s">
        <v>28</v>
      </c>
      <c r="D2170" s="45">
        <v>4.9720000000000004</v>
      </c>
      <c r="E2170" s="45">
        <v>1200.0999999999999</v>
      </c>
      <c r="F2170" s="45">
        <f t="shared" si="557"/>
        <v>5966.8972000000003</v>
      </c>
      <c r="G2170" s="46">
        <f t="shared" si="558"/>
        <v>0</v>
      </c>
      <c r="H2170" s="47">
        <f t="shared" si="558"/>
        <v>0</v>
      </c>
      <c r="I2170" s="46">
        <f t="shared" si="559"/>
        <v>0</v>
      </c>
      <c r="J2170" s="47">
        <v>0</v>
      </c>
      <c r="K2170" s="46">
        <f t="shared" si="560"/>
        <v>0</v>
      </c>
      <c r="L2170" s="47">
        <v>0</v>
      </c>
      <c r="AX2170" s="46">
        <v>1</v>
      </c>
      <c r="AY2170" s="47">
        <v>5766733.6402624408</v>
      </c>
      <c r="AZ2170" s="70">
        <f>H2170-J2170</f>
        <v>0</v>
      </c>
      <c r="BC2170" s="50"/>
    </row>
    <row r="2171" spans="1:55" s="56" customFormat="1" ht="17.25" customHeight="1" x14ac:dyDescent="0.3">
      <c r="A2171" s="62" t="s">
        <v>1239</v>
      </c>
      <c r="B2171" s="51" t="s">
        <v>1240</v>
      </c>
      <c r="C2171" s="52">
        <v>0</v>
      </c>
      <c r="D2171" s="53"/>
      <c r="E2171" s="53"/>
      <c r="F2171" s="53"/>
      <c r="G2171" s="54"/>
      <c r="H2171" s="55"/>
      <c r="I2171" s="54"/>
      <c r="J2171" s="55"/>
      <c r="K2171" s="54"/>
      <c r="L2171" s="55">
        <v>0</v>
      </c>
      <c r="AX2171" s="69">
        <v>1</v>
      </c>
      <c r="AY2171" s="71">
        <v>5766733.6402624408</v>
      </c>
      <c r="AZ2171" s="72">
        <f>H2171-J2171</f>
        <v>0</v>
      </c>
      <c r="BC2171" s="58"/>
    </row>
    <row r="2172" spans="1:55" s="48" customFormat="1" ht="15.45" customHeight="1" outlineLevel="1" x14ac:dyDescent="0.25">
      <c r="A2172" s="42">
        <v>1</v>
      </c>
      <c r="B2172" s="43" t="s">
        <v>167</v>
      </c>
      <c r="C2172" s="44" t="s">
        <v>110</v>
      </c>
      <c r="D2172" s="45">
        <v>10.199999999999999</v>
      </c>
      <c r="E2172" s="45">
        <v>36.616</v>
      </c>
      <c r="F2172" s="45">
        <f t="shared" ref="F2172:F2178" si="561">+E2172*D2172</f>
        <v>373.48319999999995</v>
      </c>
      <c r="G2172" s="46">
        <f t="shared" ref="G2172:H2178" si="562">I2172+K2172</f>
        <v>0</v>
      </c>
      <c r="H2172" s="47">
        <f t="shared" si="562"/>
        <v>0</v>
      </c>
      <c r="I2172" s="46">
        <f t="shared" ref="I2172:I2178" si="563">J2172/F2172</f>
        <v>0</v>
      </c>
      <c r="J2172" s="47">
        <v>0</v>
      </c>
      <c r="K2172" s="46">
        <f t="shared" ref="K2172:K2178" si="564">L2172/F2172</f>
        <v>0</v>
      </c>
      <c r="L2172" s="47">
        <v>0</v>
      </c>
      <c r="AX2172" s="46">
        <v>0</v>
      </c>
      <c r="AY2172" s="47">
        <v>0</v>
      </c>
      <c r="AZ2172" s="70">
        <f>H2172-J2172</f>
        <v>0</v>
      </c>
      <c r="BC2172" s="50"/>
    </row>
    <row r="2173" spans="1:55" s="48" customFormat="1" ht="15.45" customHeight="1" outlineLevel="1" x14ac:dyDescent="0.25">
      <c r="A2173" s="42">
        <v>2</v>
      </c>
      <c r="B2173" s="43" t="s">
        <v>1220</v>
      </c>
      <c r="C2173" s="44" t="s">
        <v>110</v>
      </c>
      <c r="D2173" s="45">
        <v>4.8</v>
      </c>
      <c r="E2173" s="45">
        <v>124.1</v>
      </c>
      <c r="F2173" s="45">
        <f t="shared" si="561"/>
        <v>595.67999999999995</v>
      </c>
      <c r="G2173" s="46">
        <f t="shared" si="562"/>
        <v>0</v>
      </c>
      <c r="H2173" s="47">
        <f t="shared" si="562"/>
        <v>0</v>
      </c>
      <c r="I2173" s="46">
        <f t="shared" si="563"/>
        <v>0</v>
      </c>
      <c r="J2173" s="47">
        <v>0</v>
      </c>
      <c r="K2173" s="46">
        <f t="shared" si="564"/>
        <v>0</v>
      </c>
      <c r="L2173" s="47">
        <v>0</v>
      </c>
      <c r="AX2173" s="46">
        <v>0</v>
      </c>
      <c r="AY2173" s="47">
        <v>1038012.055247239</v>
      </c>
      <c r="AZ2173" s="70">
        <f>H2173-J2173</f>
        <v>0</v>
      </c>
      <c r="BC2173" s="50"/>
    </row>
    <row r="2174" spans="1:55" s="48" customFormat="1" ht="27.75" customHeight="1" outlineLevel="1" x14ac:dyDescent="0.25">
      <c r="A2174" s="42">
        <v>3</v>
      </c>
      <c r="B2174" s="43" t="s">
        <v>1221</v>
      </c>
      <c r="C2174" s="44" t="s">
        <v>110</v>
      </c>
      <c r="D2174" s="45">
        <v>53.12</v>
      </c>
      <c r="E2174" s="45">
        <v>177.81</v>
      </c>
      <c r="F2174" s="45">
        <f t="shared" si="561"/>
        <v>9445.2672000000002</v>
      </c>
      <c r="G2174" s="46">
        <f t="shared" si="562"/>
        <v>0</v>
      </c>
      <c r="H2174" s="47">
        <f t="shared" si="562"/>
        <v>0</v>
      </c>
      <c r="I2174" s="46">
        <f t="shared" si="563"/>
        <v>0</v>
      </c>
      <c r="J2174" s="47">
        <v>0</v>
      </c>
      <c r="K2174" s="46">
        <f t="shared" si="564"/>
        <v>0</v>
      </c>
      <c r="L2174" s="47">
        <v>0</v>
      </c>
      <c r="AX2174" s="46"/>
      <c r="AY2174" s="47"/>
      <c r="AZ2174" s="70"/>
      <c r="BC2174" s="50"/>
    </row>
    <row r="2175" spans="1:55" s="48" customFormat="1" ht="15.45" customHeight="1" outlineLevel="1" x14ac:dyDescent="0.25">
      <c r="A2175" s="42">
        <v>4</v>
      </c>
      <c r="B2175" s="43" t="s">
        <v>43</v>
      </c>
      <c r="C2175" s="44" t="s">
        <v>28</v>
      </c>
      <c r="D2175" s="45">
        <v>3.6909999999999998</v>
      </c>
      <c r="E2175" s="45">
        <v>1200.0999999999999</v>
      </c>
      <c r="F2175" s="45">
        <f t="shared" si="561"/>
        <v>4429.5690999999997</v>
      </c>
      <c r="G2175" s="46">
        <f t="shared" si="562"/>
        <v>0</v>
      </c>
      <c r="H2175" s="47">
        <f t="shared" si="562"/>
        <v>0</v>
      </c>
      <c r="I2175" s="46">
        <f t="shared" si="563"/>
        <v>0</v>
      </c>
      <c r="J2175" s="47">
        <v>0</v>
      </c>
      <c r="K2175" s="46">
        <f t="shared" si="564"/>
        <v>0</v>
      </c>
      <c r="L2175" s="47">
        <v>0</v>
      </c>
      <c r="AX2175" s="46"/>
      <c r="AY2175" s="47"/>
      <c r="AZ2175" s="70"/>
      <c r="BC2175" s="50"/>
    </row>
    <row r="2176" spans="1:55" s="48" customFormat="1" ht="27.75" customHeight="1" outlineLevel="1" x14ac:dyDescent="0.25">
      <c r="A2176" s="42">
        <v>5</v>
      </c>
      <c r="B2176" s="43" t="s">
        <v>1222</v>
      </c>
      <c r="C2176" s="44" t="s">
        <v>110</v>
      </c>
      <c r="D2176" s="45">
        <v>63</v>
      </c>
      <c r="E2176" s="45">
        <v>203.66139999999999</v>
      </c>
      <c r="F2176" s="45">
        <f t="shared" si="561"/>
        <v>12830.668199999998</v>
      </c>
      <c r="G2176" s="46">
        <f t="shared" si="562"/>
        <v>0</v>
      </c>
      <c r="H2176" s="47">
        <f t="shared" si="562"/>
        <v>0</v>
      </c>
      <c r="I2176" s="46">
        <f t="shared" si="563"/>
        <v>0</v>
      </c>
      <c r="J2176" s="47">
        <v>0</v>
      </c>
      <c r="K2176" s="46">
        <f t="shared" si="564"/>
        <v>0</v>
      </c>
      <c r="L2176" s="47">
        <v>0</v>
      </c>
      <c r="AX2176" s="46"/>
      <c r="AY2176" s="47"/>
      <c r="AZ2176" s="70"/>
      <c r="BC2176" s="50"/>
    </row>
    <row r="2177" spans="1:55" s="48" customFormat="1" ht="15.45" customHeight="1" outlineLevel="1" x14ac:dyDescent="0.25">
      <c r="A2177" s="42">
        <v>6</v>
      </c>
      <c r="B2177" s="43" t="s">
        <v>42</v>
      </c>
      <c r="C2177" s="44" t="s">
        <v>28</v>
      </c>
      <c r="D2177" s="45">
        <v>0.14899999999999999</v>
      </c>
      <c r="E2177" s="45">
        <v>1325.1</v>
      </c>
      <c r="F2177" s="45">
        <f t="shared" si="561"/>
        <v>197.43989999999997</v>
      </c>
      <c r="G2177" s="46">
        <f t="shared" si="562"/>
        <v>0</v>
      </c>
      <c r="H2177" s="47">
        <f t="shared" si="562"/>
        <v>0</v>
      </c>
      <c r="I2177" s="46">
        <f t="shared" si="563"/>
        <v>0</v>
      </c>
      <c r="J2177" s="47">
        <v>0</v>
      </c>
      <c r="K2177" s="46">
        <f t="shared" si="564"/>
        <v>0</v>
      </c>
      <c r="L2177" s="47">
        <v>0</v>
      </c>
      <c r="AX2177" s="46"/>
      <c r="AY2177" s="47"/>
      <c r="AZ2177" s="70"/>
      <c r="BC2177" s="50"/>
    </row>
    <row r="2178" spans="1:55" s="48" customFormat="1" ht="15.45" customHeight="1" outlineLevel="1" x14ac:dyDescent="0.25">
      <c r="A2178" s="42">
        <v>7</v>
      </c>
      <c r="B2178" s="43" t="s">
        <v>43</v>
      </c>
      <c r="C2178" s="44" t="s">
        <v>28</v>
      </c>
      <c r="D2178" s="45">
        <v>4.91</v>
      </c>
      <c r="E2178" s="45">
        <v>1200.0999999999999</v>
      </c>
      <c r="F2178" s="45">
        <f t="shared" si="561"/>
        <v>5892.491</v>
      </c>
      <c r="G2178" s="46">
        <f t="shared" si="562"/>
        <v>0</v>
      </c>
      <c r="H2178" s="47">
        <f t="shared" si="562"/>
        <v>0</v>
      </c>
      <c r="I2178" s="46">
        <f t="shared" si="563"/>
        <v>0</v>
      </c>
      <c r="J2178" s="47">
        <v>0</v>
      </c>
      <c r="K2178" s="46">
        <f t="shared" si="564"/>
        <v>0</v>
      </c>
      <c r="L2178" s="47">
        <v>0</v>
      </c>
      <c r="AX2178" s="46"/>
      <c r="AY2178" s="47"/>
      <c r="AZ2178" s="70"/>
      <c r="BC2178" s="50"/>
    </row>
    <row r="2179" spans="1:55" s="56" customFormat="1" ht="17.25" customHeight="1" x14ac:dyDescent="0.3">
      <c r="A2179" s="62" t="s">
        <v>1241</v>
      </c>
      <c r="B2179" s="51" t="s">
        <v>1242</v>
      </c>
      <c r="C2179" s="52">
        <v>0</v>
      </c>
      <c r="D2179" s="53"/>
      <c r="E2179" s="53"/>
      <c r="F2179" s="53"/>
      <c r="G2179" s="54"/>
      <c r="H2179" s="55"/>
      <c r="I2179" s="54"/>
      <c r="J2179" s="55"/>
      <c r="K2179" s="54"/>
      <c r="L2179" s="55">
        <v>0</v>
      </c>
      <c r="AX2179" s="69"/>
      <c r="AY2179" s="71"/>
      <c r="AZ2179" s="72"/>
      <c r="BC2179" s="58"/>
    </row>
    <row r="2180" spans="1:55" s="48" customFormat="1" ht="15.45" customHeight="1" outlineLevel="1" x14ac:dyDescent="0.25">
      <c r="A2180" s="42">
        <v>1</v>
      </c>
      <c r="B2180" s="43" t="s">
        <v>167</v>
      </c>
      <c r="C2180" s="44" t="s">
        <v>110</v>
      </c>
      <c r="D2180" s="45">
        <v>5.3719999999999999</v>
      </c>
      <c r="E2180" s="45">
        <v>36.616</v>
      </c>
      <c r="F2180" s="45">
        <f t="shared" ref="F2180:F2186" si="565">+E2180*D2180</f>
        <v>196.70115200000001</v>
      </c>
      <c r="G2180" s="46">
        <f t="shared" ref="G2180:H2186" si="566">I2180+K2180</f>
        <v>0</v>
      </c>
      <c r="H2180" s="47">
        <f t="shared" si="566"/>
        <v>0</v>
      </c>
      <c r="I2180" s="46">
        <f t="shared" ref="I2180:I2186" si="567">J2180/F2180</f>
        <v>0</v>
      </c>
      <c r="J2180" s="47">
        <v>0</v>
      </c>
      <c r="K2180" s="46">
        <f t="shared" ref="K2180:K2186" si="568">L2180/F2180</f>
        <v>0</v>
      </c>
      <c r="L2180" s="47">
        <v>0</v>
      </c>
      <c r="AX2180" s="46"/>
      <c r="AY2180" s="47"/>
      <c r="AZ2180" s="70"/>
      <c r="BC2180" s="50"/>
    </row>
    <row r="2181" spans="1:55" s="48" customFormat="1" ht="15.45" customHeight="1" outlineLevel="1" x14ac:dyDescent="0.25">
      <c r="A2181" s="42">
        <v>2</v>
      </c>
      <c r="B2181" s="43" t="s">
        <v>1220</v>
      </c>
      <c r="C2181" s="44" t="s">
        <v>110</v>
      </c>
      <c r="D2181" s="45">
        <v>2.528</v>
      </c>
      <c r="E2181" s="45">
        <v>124.1</v>
      </c>
      <c r="F2181" s="45">
        <f t="shared" si="565"/>
        <v>313.72480000000002</v>
      </c>
      <c r="G2181" s="46">
        <f t="shared" si="566"/>
        <v>0</v>
      </c>
      <c r="H2181" s="47">
        <f t="shared" si="566"/>
        <v>0</v>
      </c>
      <c r="I2181" s="46">
        <f t="shared" si="567"/>
        <v>0</v>
      </c>
      <c r="J2181" s="47">
        <v>0</v>
      </c>
      <c r="K2181" s="46">
        <f t="shared" si="568"/>
        <v>0</v>
      </c>
      <c r="L2181" s="47">
        <v>0</v>
      </c>
      <c r="AX2181" s="46"/>
      <c r="AY2181" s="47"/>
      <c r="AZ2181" s="70"/>
      <c r="BC2181" s="50"/>
    </row>
    <row r="2182" spans="1:55" s="48" customFormat="1" ht="27.75" customHeight="1" outlineLevel="1" x14ac:dyDescent="0.25">
      <c r="A2182" s="42">
        <v>3</v>
      </c>
      <c r="B2182" s="43" t="s">
        <v>1221</v>
      </c>
      <c r="C2182" s="44" t="s">
        <v>110</v>
      </c>
      <c r="D2182" s="45">
        <v>33.92</v>
      </c>
      <c r="E2182" s="45">
        <v>177.81</v>
      </c>
      <c r="F2182" s="45">
        <f t="shared" si="565"/>
        <v>6031.3152</v>
      </c>
      <c r="G2182" s="46">
        <f t="shared" si="566"/>
        <v>0</v>
      </c>
      <c r="H2182" s="47">
        <f t="shared" si="566"/>
        <v>0</v>
      </c>
      <c r="I2182" s="46">
        <f t="shared" si="567"/>
        <v>0</v>
      </c>
      <c r="J2182" s="47">
        <v>0</v>
      </c>
      <c r="K2182" s="46">
        <f t="shared" si="568"/>
        <v>0</v>
      </c>
      <c r="L2182" s="47">
        <v>0</v>
      </c>
      <c r="AX2182" s="46"/>
      <c r="AY2182" s="47"/>
      <c r="AZ2182" s="70"/>
      <c r="BC2182" s="50"/>
    </row>
    <row r="2183" spans="1:55" s="48" customFormat="1" ht="15.45" customHeight="1" outlineLevel="1" x14ac:dyDescent="0.25">
      <c r="A2183" s="42">
        <v>4</v>
      </c>
      <c r="B2183" s="43" t="s">
        <v>43</v>
      </c>
      <c r="C2183" s="44" t="s">
        <v>28</v>
      </c>
      <c r="D2183" s="45">
        <v>2.2690000000000001</v>
      </c>
      <c r="E2183" s="45">
        <v>1200.0999999999999</v>
      </c>
      <c r="F2183" s="45">
        <f t="shared" si="565"/>
        <v>2723.0268999999998</v>
      </c>
      <c r="G2183" s="46">
        <f t="shared" si="566"/>
        <v>0</v>
      </c>
      <c r="H2183" s="47">
        <f t="shared" si="566"/>
        <v>0</v>
      </c>
      <c r="I2183" s="46">
        <f t="shared" si="567"/>
        <v>0</v>
      </c>
      <c r="J2183" s="47">
        <v>0</v>
      </c>
      <c r="K2183" s="46">
        <f t="shared" si="568"/>
        <v>0</v>
      </c>
      <c r="L2183" s="47">
        <v>0</v>
      </c>
      <c r="AX2183" s="46">
        <v>1</v>
      </c>
      <c r="AY2183" s="47">
        <v>5766733.6402624408</v>
      </c>
      <c r="AZ2183" s="70">
        <f t="shared" ref="AZ2183:AZ2224" si="569">H2183-J2183</f>
        <v>0</v>
      </c>
      <c r="BC2183" s="50"/>
    </row>
    <row r="2184" spans="1:55" s="48" customFormat="1" ht="27.75" customHeight="1" outlineLevel="1" x14ac:dyDescent="0.25">
      <c r="A2184" s="42">
        <v>5</v>
      </c>
      <c r="B2184" s="43" t="s">
        <v>1222</v>
      </c>
      <c r="C2184" s="44" t="s">
        <v>110</v>
      </c>
      <c r="D2184" s="45">
        <v>44.52</v>
      </c>
      <c r="E2184" s="45">
        <v>203.66139999999999</v>
      </c>
      <c r="F2184" s="45">
        <f t="shared" si="565"/>
        <v>9067.0055279999997</v>
      </c>
      <c r="G2184" s="46">
        <f t="shared" si="566"/>
        <v>0</v>
      </c>
      <c r="H2184" s="47">
        <f t="shared" si="566"/>
        <v>0</v>
      </c>
      <c r="I2184" s="46">
        <f t="shared" si="567"/>
        <v>0</v>
      </c>
      <c r="J2184" s="47">
        <v>0</v>
      </c>
      <c r="K2184" s="46">
        <f t="shared" si="568"/>
        <v>0</v>
      </c>
      <c r="L2184" s="47">
        <v>0</v>
      </c>
      <c r="AX2184" s="46">
        <v>1</v>
      </c>
      <c r="AY2184" s="47">
        <v>5766733.6402624408</v>
      </c>
      <c r="AZ2184" s="70">
        <f t="shared" si="569"/>
        <v>0</v>
      </c>
      <c r="BC2184" s="50"/>
    </row>
    <row r="2185" spans="1:55" s="48" customFormat="1" ht="15.45" customHeight="1" outlineLevel="1" x14ac:dyDescent="0.25">
      <c r="A2185" s="42">
        <v>6</v>
      </c>
      <c r="B2185" s="43" t="s">
        <v>42</v>
      </c>
      <c r="C2185" s="44" t="s">
        <v>28</v>
      </c>
      <c r="D2185" s="45">
        <v>0.106</v>
      </c>
      <c r="E2185" s="45">
        <v>1325.1</v>
      </c>
      <c r="F2185" s="45">
        <f t="shared" si="565"/>
        <v>140.4606</v>
      </c>
      <c r="G2185" s="46">
        <f t="shared" si="566"/>
        <v>0</v>
      </c>
      <c r="H2185" s="47">
        <f t="shared" si="566"/>
        <v>0</v>
      </c>
      <c r="I2185" s="46">
        <f t="shared" si="567"/>
        <v>0</v>
      </c>
      <c r="J2185" s="47">
        <v>0</v>
      </c>
      <c r="K2185" s="46">
        <f t="shared" si="568"/>
        <v>0</v>
      </c>
      <c r="L2185" s="47">
        <v>0</v>
      </c>
      <c r="AX2185" s="46">
        <v>1</v>
      </c>
      <c r="AY2185" s="47">
        <v>5766733.6402624408</v>
      </c>
      <c r="AZ2185" s="70">
        <f t="shared" si="569"/>
        <v>0</v>
      </c>
      <c r="BC2185" s="50"/>
    </row>
    <row r="2186" spans="1:55" s="48" customFormat="1" ht="15.45" customHeight="1" outlineLevel="1" x14ac:dyDescent="0.25">
      <c r="A2186" s="42">
        <v>7</v>
      </c>
      <c r="B2186" s="43" t="s">
        <v>43</v>
      </c>
      <c r="C2186" s="44" t="s">
        <v>28</v>
      </c>
      <c r="D2186" s="45">
        <v>3.5270000000000001</v>
      </c>
      <c r="E2186" s="45">
        <v>1200.0999999999999</v>
      </c>
      <c r="F2186" s="45">
        <f t="shared" si="565"/>
        <v>4232.7527</v>
      </c>
      <c r="G2186" s="46">
        <f t="shared" si="566"/>
        <v>0</v>
      </c>
      <c r="H2186" s="47">
        <f t="shared" si="566"/>
        <v>0</v>
      </c>
      <c r="I2186" s="46">
        <f t="shared" si="567"/>
        <v>0</v>
      </c>
      <c r="J2186" s="47">
        <v>0</v>
      </c>
      <c r="K2186" s="46">
        <f t="shared" si="568"/>
        <v>0</v>
      </c>
      <c r="L2186" s="47">
        <v>0</v>
      </c>
      <c r="AX2186" s="46">
        <v>0</v>
      </c>
      <c r="AY2186" s="47">
        <v>0</v>
      </c>
      <c r="AZ2186" s="70">
        <f t="shared" si="569"/>
        <v>0</v>
      </c>
      <c r="BC2186" s="50"/>
    </row>
    <row r="2187" spans="1:55" s="56" customFormat="1" ht="17.25" customHeight="1" x14ac:dyDescent="0.3">
      <c r="A2187" s="62" t="s">
        <v>1243</v>
      </c>
      <c r="B2187" s="51" t="s">
        <v>1244</v>
      </c>
      <c r="C2187" s="52">
        <v>0</v>
      </c>
      <c r="D2187" s="53"/>
      <c r="E2187" s="53"/>
      <c r="F2187" s="53"/>
      <c r="G2187" s="54"/>
      <c r="H2187" s="55"/>
      <c r="I2187" s="54"/>
      <c r="J2187" s="55"/>
      <c r="K2187" s="54"/>
      <c r="L2187" s="55">
        <v>0</v>
      </c>
      <c r="AX2187" s="69">
        <v>0</v>
      </c>
      <c r="AY2187" s="71">
        <v>1038012.055247239</v>
      </c>
      <c r="AZ2187" s="72">
        <f t="shared" si="569"/>
        <v>0</v>
      </c>
      <c r="BC2187" s="58"/>
    </row>
    <row r="2188" spans="1:55" s="59" customFormat="1" ht="17.7" customHeight="1" outlineLevel="1" x14ac:dyDescent="0.35">
      <c r="A2188" s="42">
        <v>1</v>
      </c>
      <c r="B2188" s="43" t="s">
        <v>167</v>
      </c>
      <c r="C2188" s="44" t="s">
        <v>110</v>
      </c>
      <c r="D2188" s="45">
        <v>12.036</v>
      </c>
      <c r="E2188" s="45">
        <v>36.616</v>
      </c>
      <c r="F2188" s="45">
        <f t="shared" ref="F2188:F2194" si="570">+E2188*D2188</f>
        <v>440.71017599999999</v>
      </c>
      <c r="G2188" s="46">
        <f t="shared" ref="G2188:H2194" si="571">I2188+K2188</f>
        <v>0</v>
      </c>
      <c r="H2188" s="47">
        <f t="shared" si="571"/>
        <v>0</v>
      </c>
      <c r="I2188" s="46">
        <f t="shared" ref="I2188:I2194" si="572">J2188/F2188</f>
        <v>0</v>
      </c>
      <c r="J2188" s="47">
        <v>0</v>
      </c>
      <c r="K2188" s="46">
        <f t="shared" ref="K2188:K2194" si="573">L2188/F2188</f>
        <v>0</v>
      </c>
      <c r="L2188" s="47">
        <v>0</v>
      </c>
      <c r="AX2188" s="73">
        <v>1</v>
      </c>
      <c r="AY2188" s="74">
        <v>1308.3047999999999</v>
      </c>
      <c r="AZ2188" s="75">
        <f t="shared" si="569"/>
        <v>0</v>
      </c>
      <c r="BC2188" s="61"/>
    </row>
    <row r="2189" spans="1:55" s="48" customFormat="1" ht="15.45" customHeight="1" outlineLevel="1" x14ac:dyDescent="0.25">
      <c r="A2189" s="42">
        <v>2</v>
      </c>
      <c r="B2189" s="43" t="s">
        <v>1220</v>
      </c>
      <c r="C2189" s="44" t="s">
        <v>110</v>
      </c>
      <c r="D2189" s="45">
        <v>5.6639999999999997</v>
      </c>
      <c r="E2189" s="45">
        <v>124.1</v>
      </c>
      <c r="F2189" s="45">
        <f t="shared" si="570"/>
        <v>702.90239999999994</v>
      </c>
      <c r="G2189" s="46">
        <f t="shared" si="571"/>
        <v>0</v>
      </c>
      <c r="H2189" s="47">
        <f t="shared" si="571"/>
        <v>0</v>
      </c>
      <c r="I2189" s="46">
        <f t="shared" si="572"/>
        <v>0</v>
      </c>
      <c r="J2189" s="47">
        <v>0</v>
      </c>
      <c r="K2189" s="46">
        <f t="shared" si="573"/>
        <v>0</v>
      </c>
      <c r="L2189" s="47">
        <v>0</v>
      </c>
      <c r="AX2189" s="46">
        <v>1.000034090134315</v>
      </c>
      <c r="AY2189" s="47">
        <v>1100.6492000000001</v>
      </c>
      <c r="AZ2189" s="70">
        <f t="shared" si="569"/>
        <v>0</v>
      </c>
      <c r="BC2189" s="50"/>
    </row>
    <row r="2190" spans="1:55" s="48" customFormat="1" ht="27.75" customHeight="1" outlineLevel="1" x14ac:dyDescent="0.25">
      <c r="A2190" s="42">
        <v>3</v>
      </c>
      <c r="B2190" s="43" t="s">
        <v>1221</v>
      </c>
      <c r="C2190" s="44" t="s">
        <v>110</v>
      </c>
      <c r="D2190" s="45">
        <v>60.8</v>
      </c>
      <c r="E2190" s="45">
        <v>177.81</v>
      </c>
      <c r="F2190" s="45">
        <f t="shared" si="570"/>
        <v>10810.848</v>
      </c>
      <c r="G2190" s="46">
        <f t="shared" si="571"/>
        <v>0</v>
      </c>
      <c r="H2190" s="47">
        <f t="shared" si="571"/>
        <v>0</v>
      </c>
      <c r="I2190" s="46">
        <f t="shared" si="572"/>
        <v>0</v>
      </c>
      <c r="J2190" s="47">
        <v>0</v>
      </c>
      <c r="K2190" s="46">
        <f t="shared" si="573"/>
        <v>0</v>
      </c>
      <c r="L2190" s="47">
        <v>0</v>
      </c>
      <c r="AX2190" s="46">
        <v>0</v>
      </c>
      <c r="AY2190" s="47">
        <v>0</v>
      </c>
      <c r="AZ2190" s="70">
        <f t="shared" si="569"/>
        <v>0</v>
      </c>
      <c r="BC2190" s="50"/>
    </row>
    <row r="2191" spans="1:55" s="48" customFormat="1" ht="15.45" customHeight="1" outlineLevel="1" x14ac:dyDescent="0.25">
      <c r="A2191" s="42">
        <v>4</v>
      </c>
      <c r="B2191" s="43" t="s">
        <v>43</v>
      </c>
      <c r="C2191" s="44" t="s">
        <v>28</v>
      </c>
      <c r="D2191" s="45">
        <v>4.4189999999999996</v>
      </c>
      <c r="E2191" s="45">
        <v>1200.0999999999999</v>
      </c>
      <c r="F2191" s="45">
        <f t="shared" si="570"/>
        <v>5303.2418999999991</v>
      </c>
      <c r="G2191" s="46">
        <f t="shared" si="571"/>
        <v>0</v>
      </c>
      <c r="H2191" s="47">
        <f t="shared" si="571"/>
        <v>0</v>
      </c>
      <c r="I2191" s="46">
        <f t="shared" si="572"/>
        <v>0</v>
      </c>
      <c r="J2191" s="47">
        <v>0</v>
      </c>
      <c r="K2191" s="46">
        <f t="shared" si="573"/>
        <v>0</v>
      </c>
      <c r="L2191" s="47">
        <v>0</v>
      </c>
      <c r="AX2191" s="46">
        <v>0</v>
      </c>
      <c r="AY2191" s="47">
        <v>0</v>
      </c>
      <c r="AZ2191" s="70">
        <f t="shared" si="569"/>
        <v>0</v>
      </c>
      <c r="BC2191" s="50"/>
    </row>
    <row r="2192" spans="1:55" s="48" customFormat="1" ht="27.75" customHeight="1" outlineLevel="1" x14ac:dyDescent="0.25">
      <c r="A2192" s="42">
        <v>5</v>
      </c>
      <c r="B2192" s="43" t="s">
        <v>1222</v>
      </c>
      <c r="C2192" s="44" t="s">
        <v>110</v>
      </c>
      <c r="D2192" s="45">
        <v>59.4</v>
      </c>
      <c r="E2192" s="45">
        <v>203.66139999999999</v>
      </c>
      <c r="F2192" s="45">
        <f t="shared" si="570"/>
        <v>12097.487159999999</v>
      </c>
      <c r="G2192" s="46">
        <f t="shared" si="571"/>
        <v>0</v>
      </c>
      <c r="H2192" s="47">
        <f t="shared" si="571"/>
        <v>0</v>
      </c>
      <c r="I2192" s="46">
        <f t="shared" si="572"/>
        <v>0</v>
      </c>
      <c r="J2192" s="47">
        <v>0</v>
      </c>
      <c r="K2192" s="46">
        <f t="shared" si="573"/>
        <v>0</v>
      </c>
      <c r="L2192" s="47">
        <v>0</v>
      </c>
      <c r="AX2192" s="46">
        <v>0.42205242687875311</v>
      </c>
      <c r="AY2192" s="47">
        <v>1049.7370794998681</v>
      </c>
      <c r="AZ2192" s="70">
        <f t="shared" si="569"/>
        <v>0</v>
      </c>
      <c r="BC2192" s="50"/>
    </row>
    <row r="2193" spans="1:55" s="48" customFormat="1" ht="15.45" customHeight="1" outlineLevel="1" x14ac:dyDescent="0.25">
      <c r="A2193" s="42">
        <v>6</v>
      </c>
      <c r="B2193" s="43" t="s">
        <v>42</v>
      </c>
      <c r="C2193" s="44" t="s">
        <v>28</v>
      </c>
      <c r="D2193" s="45">
        <v>0.14099999999999999</v>
      </c>
      <c r="E2193" s="45">
        <v>1325.1</v>
      </c>
      <c r="F2193" s="45">
        <f t="shared" si="570"/>
        <v>186.83909999999997</v>
      </c>
      <c r="G2193" s="46">
        <f t="shared" si="571"/>
        <v>0</v>
      </c>
      <c r="H2193" s="47">
        <f t="shared" si="571"/>
        <v>0</v>
      </c>
      <c r="I2193" s="46">
        <f t="shared" si="572"/>
        <v>0</v>
      </c>
      <c r="J2193" s="47">
        <v>0</v>
      </c>
      <c r="K2193" s="46">
        <f t="shared" si="573"/>
        <v>0</v>
      </c>
      <c r="L2193" s="47">
        <v>0</v>
      </c>
      <c r="AX2193" s="46">
        <v>0</v>
      </c>
      <c r="AY2193" s="47">
        <v>0</v>
      </c>
      <c r="AZ2193" s="70">
        <f t="shared" si="569"/>
        <v>0</v>
      </c>
      <c r="BC2193" s="50"/>
    </row>
    <row r="2194" spans="1:55" s="48" customFormat="1" ht="15.45" customHeight="1" outlineLevel="1" x14ac:dyDescent="0.25">
      <c r="A2194" s="42">
        <v>7</v>
      </c>
      <c r="B2194" s="43" t="s">
        <v>43</v>
      </c>
      <c r="C2194" s="44" t="s">
        <v>28</v>
      </c>
      <c r="D2194" s="45">
        <v>4.6520000000000001</v>
      </c>
      <c r="E2194" s="45">
        <v>1200.0999999999999</v>
      </c>
      <c r="F2194" s="45">
        <f t="shared" si="570"/>
        <v>5582.8652000000002</v>
      </c>
      <c r="G2194" s="46">
        <f t="shared" si="571"/>
        <v>0</v>
      </c>
      <c r="H2194" s="47">
        <f t="shared" si="571"/>
        <v>0</v>
      </c>
      <c r="I2194" s="46">
        <f t="shared" si="572"/>
        <v>0</v>
      </c>
      <c r="J2194" s="47">
        <v>0</v>
      </c>
      <c r="K2194" s="46">
        <f t="shared" si="573"/>
        <v>0</v>
      </c>
      <c r="L2194" s="47">
        <v>0</v>
      </c>
      <c r="AX2194" s="46">
        <v>0</v>
      </c>
      <c r="AY2194" s="47">
        <v>0</v>
      </c>
      <c r="AZ2194" s="70">
        <f t="shared" si="569"/>
        <v>0</v>
      </c>
      <c r="BC2194" s="50"/>
    </row>
    <row r="2195" spans="1:55" s="56" customFormat="1" ht="17.25" customHeight="1" x14ac:dyDescent="0.3">
      <c r="A2195" s="62" t="s">
        <v>1245</v>
      </c>
      <c r="B2195" s="51" t="s">
        <v>1246</v>
      </c>
      <c r="C2195" s="52">
        <v>0</v>
      </c>
      <c r="D2195" s="53"/>
      <c r="E2195" s="53"/>
      <c r="F2195" s="53"/>
      <c r="G2195" s="54"/>
      <c r="H2195" s="55"/>
      <c r="I2195" s="54"/>
      <c r="J2195" s="55"/>
      <c r="K2195" s="54"/>
      <c r="L2195" s="55">
        <v>0</v>
      </c>
      <c r="AX2195" s="69">
        <v>0</v>
      </c>
      <c r="AY2195" s="71">
        <v>0</v>
      </c>
      <c r="AZ2195" s="72">
        <f t="shared" si="569"/>
        <v>0</v>
      </c>
      <c r="BC2195" s="58"/>
    </row>
    <row r="2196" spans="1:55" s="48" customFormat="1" ht="15.45" customHeight="1" outlineLevel="1" x14ac:dyDescent="0.25">
      <c r="A2196" s="42">
        <v>1</v>
      </c>
      <c r="B2196" s="43" t="s">
        <v>167</v>
      </c>
      <c r="C2196" s="44" t="s">
        <v>110</v>
      </c>
      <c r="D2196" s="45">
        <v>8.33</v>
      </c>
      <c r="E2196" s="45">
        <v>36.616</v>
      </c>
      <c r="F2196" s="45">
        <f t="shared" ref="F2196:F2202" si="574">+E2196*D2196</f>
        <v>305.01128</v>
      </c>
      <c r="G2196" s="46">
        <f t="shared" ref="G2196:H2202" si="575">I2196+K2196</f>
        <v>0</v>
      </c>
      <c r="H2196" s="47">
        <f t="shared" si="575"/>
        <v>0</v>
      </c>
      <c r="I2196" s="46">
        <f t="shared" ref="I2196:I2202" si="576">J2196/F2196</f>
        <v>0</v>
      </c>
      <c r="J2196" s="47">
        <v>0</v>
      </c>
      <c r="K2196" s="46">
        <f t="shared" ref="K2196:K2202" si="577">L2196/F2196</f>
        <v>0</v>
      </c>
      <c r="L2196" s="47">
        <v>0</v>
      </c>
      <c r="AX2196" s="46">
        <v>8.55363520794237E-2</v>
      </c>
      <c r="AY2196" s="47">
        <v>345.048495</v>
      </c>
      <c r="AZ2196" s="70">
        <f t="shared" si="569"/>
        <v>0</v>
      </c>
      <c r="BC2196" s="50"/>
    </row>
    <row r="2197" spans="1:55" s="48" customFormat="1" ht="15.45" customHeight="1" outlineLevel="1" x14ac:dyDescent="0.25">
      <c r="A2197" s="42">
        <v>2</v>
      </c>
      <c r="B2197" s="43" t="s">
        <v>1220</v>
      </c>
      <c r="C2197" s="44" t="s">
        <v>110</v>
      </c>
      <c r="D2197" s="45">
        <v>3.92</v>
      </c>
      <c r="E2197" s="45">
        <v>124.1</v>
      </c>
      <c r="F2197" s="45">
        <f t="shared" si="574"/>
        <v>486.47199999999998</v>
      </c>
      <c r="G2197" s="46">
        <f t="shared" si="575"/>
        <v>0</v>
      </c>
      <c r="H2197" s="47">
        <f t="shared" si="575"/>
        <v>0</v>
      </c>
      <c r="I2197" s="46">
        <f t="shared" si="576"/>
        <v>0</v>
      </c>
      <c r="J2197" s="47">
        <v>0</v>
      </c>
      <c r="K2197" s="46">
        <f t="shared" si="577"/>
        <v>0</v>
      </c>
      <c r="L2197" s="47">
        <v>0</v>
      </c>
      <c r="AX2197" s="46">
        <v>8.4536352079423699E-2</v>
      </c>
      <c r="AY2197" s="47">
        <v>55.299657600000003</v>
      </c>
      <c r="AZ2197" s="70">
        <f t="shared" si="569"/>
        <v>0</v>
      </c>
      <c r="BC2197" s="50"/>
    </row>
    <row r="2198" spans="1:55" s="48" customFormat="1" ht="27.75" customHeight="1" outlineLevel="1" x14ac:dyDescent="0.25">
      <c r="A2198" s="42">
        <v>3</v>
      </c>
      <c r="B2198" s="43" t="s">
        <v>1221</v>
      </c>
      <c r="C2198" s="44" t="s">
        <v>110</v>
      </c>
      <c r="D2198" s="45">
        <v>26.4</v>
      </c>
      <c r="E2198" s="45">
        <v>177.81</v>
      </c>
      <c r="F2198" s="45">
        <f t="shared" si="574"/>
        <v>4694.1840000000002</v>
      </c>
      <c r="G2198" s="46">
        <f t="shared" si="575"/>
        <v>0</v>
      </c>
      <c r="H2198" s="47">
        <f t="shared" si="575"/>
        <v>0</v>
      </c>
      <c r="I2198" s="46">
        <f t="shared" si="576"/>
        <v>0</v>
      </c>
      <c r="J2198" s="47">
        <v>0</v>
      </c>
      <c r="K2198" s="46">
        <f t="shared" si="577"/>
        <v>0</v>
      </c>
      <c r="L2198" s="47">
        <v>0</v>
      </c>
      <c r="AX2198" s="46">
        <v>0</v>
      </c>
      <c r="AY2198" s="47">
        <v>0</v>
      </c>
      <c r="AZ2198" s="70">
        <f t="shared" si="569"/>
        <v>0</v>
      </c>
      <c r="BC2198" s="50"/>
    </row>
    <row r="2199" spans="1:55" s="48" customFormat="1" ht="15.45" customHeight="1" outlineLevel="1" x14ac:dyDescent="0.25">
      <c r="A2199" s="42">
        <v>4</v>
      </c>
      <c r="B2199" s="43" t="s">
        <v>43</v>
      </c>
      <c r="C2199" s="44" t="s">
        <v>28</v>
      </c>
      <c r="D2199" s="45">
        <v>2.5579999999999998</v>
      </c>
      <c r="E2199" s="45">
        <v>1200.0999999999999</v>
      </c>
      <c r="F2199" s="45">
        <f t="shared" si="574"/>
        <v>3069.8557999999994</v>
      </c>
      <c r="G2199" s="46">
        <f t="shared" si="575"/>
        <v>0</v>
      </c>
      <c r="H2199" s="47">
        <f t="shared" si="575"/>
        <v>0</v>
      </c>
      <c r="I2199" s="46">
        <f t="shared" si="576"/>
        <v>0</v>
      </c>
      <c r="J2199" s="47">
        <v>0</v>
      </c>
      <c r="K2199" s="46">
        <f t="shared" si="577"/>
        <v>0</v>
      </c>
      <c r="L2199" s="47">
        <v>0</v>
      </c>
      <c r="AX2199" s="46">
        <v>0</v>
      </c>
      <c r="AY2199" s="47">
        <v>0</v>
      </c>
      <c r="AZ2199" s="70">
        <f t="shared" si="569"/>
        <v>0</v>
      </c>
      <c r="BC2199" s="50"/>
    </row>
    <row r="2200" spans="1:55" s="48" customFormat="1" ht="27.75" customHeight="1" outlineLevel="1" x14ac:dyDescent="0.25">
      <c r="A2200" s="42">
        <v>5</v>
      </c>
      <c r="B2200" s="43" t="s">
        <v>1222</v>
      </c>
      <c r="C2200" s="44" t="s">
        <v>110</v>
      </c>
      <c r="D2200" s="45">
        <v>25.23</v>
      </c>
      <c r="E2200" s="45">
        <v>203.66139999999999</v>
      </c>
      <c r="F2200" s="45">
        <f t="shared" si="574"/>
        <v>5138.3771219999999</v>
      </c>
      <c r="G2200" s="46">
        <f t="shared" si="575"/>
        <v>0</v>
      </c>
      <c r="H2200" s="47">
        <f t="shared" si="575"/>
        <v>0</v>
      </c>
      <c r="I2200" s="46">
        <f t="shared" si="576"/>
        <v>0</v>
      </c>
      <c r="J2200" s="47">
        <v>0</v>
      </c>
      <c r="K2200" s="46">
        <f t="shared" si="577"/>
        <v>0</v>
      </c>
      <c r="L2200" s="47">
        <v>0</v>
      </c>
      <c r="AX2200" s="46">
        <v>0</v>
      </c>
      <c r="AY2200" s="47">
        <v>0</v>
      </c>
      <c r="AZ2200" s="70">
        <f t="shared" si="569"/>
        <v>0</v>
      </c>
      <c r="BC2200" s="50"/>
    </row>
    <row r="2201" spans="1:55" s="48" customFormat="1" ht="15.45" customHeight="1" outlineLevel="1" x14ac:dyDescent="0.25">
      <c r="A2201" s="42">
        <v>6</v>
      </c>
      <c r="B2201" s="43" t="s">
        <v>42</v>
      </c>
      <c r="C2201" s="44" t="s">
        <v>28</v>
      </c>
      <c r="D2201" s="45">
        <v>6.3E-2</v>
      </c>
      <c r="E2201" s="45">
        <v>1325.1</v>
      </c>
      <c r="F2201" s="45">
        <f t="shared" si="574"/>
        <v>83.48129999999999</v>
      </c>
      <c r="G2201" s="46">
        <f t="shared" si="575"/>
        <v>0</v>
      </c>
      <c r="H2201" s="47">
        <f t="shared" si="575"/>
        <v>0</v>
      </c>
      <c r="I2201" s="46">
        <f t="shared" si="576"/>
        <v>0</v>
      </c>
      <c r="J2201" s="47">
        <v>0</v>
      </c>
      <c r="K2201" s="46">
        <f t="shared" si="577"/>
        <v>0</v>
      </c>
      <c r="L2201" s="47">
        <v>0</v>
      </c>
      <c r="AX2201" s="46">
        <v>0</v>
      </c>
      <c r="AY2201" s="47">
        <v>0</v>
      </c>
      <c r="AZ2201" s="70">
        <f t="shared" si="569"/>
        <v>0</v>
      </c>
      <c r="BC2201" s="50"/>
    </row>
    <row r="2202" spans="1:55" s="48" customFormat="1" ht="15.45" customHeight="1" outlineLevel="1" x14ac:dyDescent="0.25">
      <c r="A2202" s="42">
        <v>7</v>
      </c>
      <c r="B2202" s="43" t="s">
        <v>43</v>
      </c>
      <c r="C2202" s="44" t="s">
        <v>28</v>
      </c>
      <c r="D2202" s="45">
        <v>2.8420000000000001</v>
      </c>
      <c r="E2202" s="45">
        <v>1200.0999999999999</v>
      </c>
      <c r="F2202" s="45">
        <f t="shared" si="574"/>
        <v>3410.6841999999997</v>
      </c>
      <c r="G2202" s="46">
        <f t="shared" si="575"/>
        <v>0</v>
      </c>
      <c r="H2202" s="47">
        <f t="shared" si="575"/>
        <v>0</v>
      </c>
      <c r="I2202" s="46">
        <f t="shared" si="576"/>
        <v>0</v>
      </c>
      <c r="J2202" s="47">
        <v>0</v>
      </c>
      <c r="K2202" s="46">
        <f t="shared" si="577"/>
        <v>0</v>
      </c>
      <c r="L2202" s="47">
        <v>0</v>
      </c>
      <c r="AX2202" s="46">
        <v>0.30972358821269069</v>
      </c>
      <c r="AY2202" s="47">
        <v>22803.201150467241</v>
      </c>
      <c r="AZ2202" s="70">
        <f t="shared" si="569"/>
        <v>0</v>
      </c>
      <c r="BC2202" s="50"/>
    </row>
    <row r="2203" spans="1:55" s="56" customFormat="1" ht="17.25" customHeight="1" x14ac:dyDescent="0.3">
      <c r="A2203" s="31">
        <v>25.2</v>
      </c>
      <c r="B2203" s="51" t="s">
        <v>1247</v>
      </c>
      <c r="C2203" s="52">
        <v>0</v>
      </c>
      <c r="D2203" s="53"/>
      <c r="E2203" s="53"/>
      <c r="F2203" s="53"/>
      <c r="G2203" s="54"/>
      <c r="H2203" s="55"/>
      <c r="I2203" s="54"/>
      <c r="J2203" s="55"/>
      <c r="K2203" s="54"/>
      <c r="L2203" s="55">
        <v>0</v>
      </c>
      <c r="AX2203" s="69">
        <v>0.2449552084901363</v>
      </c>
      <c r="AY2203" s="71">
        <v>6773.6078914481104</v>
      </c>
      <c r="AZ2203" s="72">
        <f t="shared" si="569"/>
        <v>0</v>
      </c>
      <c r="BC2203" s="58"/>
    </row>
    <row r="2204" spans="1:55" s="48" customFormat="1" ht="15.45" customHeight="1" outlineLevel="1" x14ac:dyDescent="0.25">
      <c r="A2204" s="42">
        <v>1</v>
      </c>
      <c r="B2204" s="43" t="s">
        <v>167</v>
      </c>
      <c r="C2204" s="44" t="s">
        <v>110</v>
      </c>
      <c r="D2204" s="45">
        <v>7.8719999999999999</v>
      </c>
      <c r="E2204" s="45">
        <v>36.616</v>
      </c>
      <c r="F2204" s="45">
        <f t="shared" ref="F2204:F2220" si="578">+E2204*D2204</f>
        <v>288.241152</v>
      </c>
      <c r="G2204" s="46">
        <f t="shared" ref="G2204:G2220" si="579">I2204+K2204</f>
        <v>0</v>
      </c>
      <c r="H2204" s="47">
        <f t="shared" ref="H2204:H2220" si="580">J2204+L2204</f>
        <v>0</v>
      </c>
      <c r="I2204" s="46">
        <f t="shared" ref="I2204:I2220" si="581">J2204/F2204</f>
        <v>0</v>
      </c>
      <c r="J2204" s="47">
        <v>0</v>
      </c>
      <c r="K2204" s="46">
        <f t="shared" ref="K2204:K2220" si="582">L2204/F2204</f>
        <v>0</v>
      </c>
      <c r="L2204" s="47">
        <v>0</v>
      </c>
      <c r="AX2204" s="46">
        <v>0.44645611890858689</v>
      </c>
      <c r="AY2204" s="47">
        <v>6859.5267351305883</v>
      </c>
      <c r="AZ2204" s="70">
        <f t="shared" si="569"/>
        <v>0</v>
      </c>
      <c r="BC2204" s="50"/>
    </row>
    <row r="2205" spans="1:55" s="48" customFormat="1" ht="15.45" customHeight="1" outlineLevel="1" x14ac:dyDescent="0.25">
      <c r="A2205" s="42">
        <v>2</v>
      </c>
      <c r="B2205" s="43" t="s">
        <v>709</v>
      </c>
      <c r="C2205" s="44" t="s">
        <v>110</v>
      </c>
      <c r="D2205" s="45">
        <v>3.28</v>
      </c>
      <c r="E2205" s="45">
        <v>99.24</v>
      </c>
      <c r="F2205" s="45">
        <f t="shared" si="578"/>
        <v>325.50719999999995</v>
      </c>
      <c r="G2205" s="46">
        <f t="shared" si="579"/>
        <v>0</v>
      </c>
      <c r="H2205" s="47">
        <f t="shared" si="580"/>
        <v>0</v>
      </c>
      <c r="I2205" s="46">
        <f t="shared" si="581"/>
        <v>0</v>
      </c>
      <c r="J2205" s="47">
        <v>0</v>
      </c>
      <c r="K2205" s="46">
        <f t="shared" si="582"/>
        <v>0</v>
      </c>
      <c r="L2205" s="47">
        <v>0</v>
      </c>
      <c r="AX2205" s="46">
        <v>0</v>
      </c>
      <c r="AY2205" s="47">
        <v>0</v>
      </c>
      <c r="AZ2205" s="70">
        <f t="shared" si="569"/>
        <v>0</v>
      </c>
      <c r="BC2205" s="50"/>
    </row>
    <row r="2206" spans="1:55" s="48" customFormat="1" ht="27.75" customHeight="1" outlineLevel="1" x14ac:dyDescent="0.25">
      <c r="A2206" s="42">
        <v>3</v>
      </c>
      <c r="B2206" s="43" t="s">
        <v>1248</v>
      </c>
      <c r="C2206" s="44" t="s">
        <v>110</v>
      </c>
      <c r="D2206" s="45">
        <v>10.5</v>
      </c>
      <c r="E2206" s="45">
        <v>171.46</v>
      </c>
      <c r="F2206" s="45">
        <f t="shared" si="578"/>
        <v>1800.3300000000002</v>
      </c>
      <c r="G2206" s="46">
        <f t="shared" si="579"/>
        <v>0</v>
      </c>
      <c r="H2206" s="47">
        <f t="shared" si="580"/>
        <v>0</v>
      </c>
      <c r="I2206" s="46">
        <f t="shared" si="581"/>
        <v>0</v>
      </c>
      <c r="J2206" s="47">
        <v>0</v>
      </c>
      <c r="K2206" s="46">
        <f t="shared" si="582"/>
        <v>0</v>
      </c>
      <c r="L2206" s="47">
        <v>0</v>
      </c>
      <c r="AX2206" s="46">
        <v>0</v>
      </c>
      <c r="AY2206" s="47">
        <v>0</v>
      </c>
      <c r="AZ2206" s="70">
        <f t="shared" si="569"/>
        <v>0</v>
      </c>
      <c r="BC2206" s="50"/>
    </row>
    <row r="2207" spans="1:55" s="48" customFormat="1" ht="15.45" customHeight="1" outlineLevel="1" x14ac:dyDescent="0.25">
      <c r="A2207" s="42">
        <v>4</v>
      </c>
      <c r="B2207" s="43" t="s">
        <v>42</v>
      </c>
      <c r="C2207" s="44" t="s">
        <v>28</v>
      </c>
      <c r="D2207" s="45">
        <v>0.254</v>
      </c>
      <c r="E2207" s="45">
        <v>1325.1</v>
      </c>
      <c r="F2207" s="45">
        <f t="shared" si="578"/>
        <v>336.5754</v>
      </c>
      <c r="G2207" s="46">
        <f t="shared" si="579"/>
        <v>0</v>
      </c>
      <c r="H2207" s="47">
        <f t="shared" si="580"/>
        <v>0</v>
      </c>
      <c r="I2207" s="46">
        <f t="shared" si="581"/>
        <v>0</v>
      </c>
      <c r="J2207" s="47">
        <v>0</v>
      </c>
      <c r="K2207" s="46">
        <f t="shared" si="582"/>
        <v>0</v>
      </c>
      <c r="L2207" s="47">
        <v>0</v>
      </c>
      <c r="AX2207" s="46">
        <v>0</v>
      </c>
      <c r="AY2207" s="47">
        <v>0</v>
      </c>
      <c r="AZ2207" s="70">
        <f t="shared" si="569"/>
        <v>0</v>
      </c>
      <c r="BC2207" s="50"/>
    </row>
    <row r="2208" spans="1:55" s="48" customFormat="1" ht="15.45" customHeight="1" outlineLevel="1" x14ac:dyDescent="0.25">
      <c r="A2208" s="42">
        <v>5</v>
      </c>
      <c r="B2208" s="43" t="s">
        <v>43</v>
      </c>
      <c r="C2208" s="44" t="s">
        <v>28</v>
      </c>
      <c r="D2208" s="45">
        <v>0.435</v>
      </c>
      <c r="E2208" s="45">
        <v>1200.0999999999999</v>
      </c>
      <c r="F2208" s="45">
        <f t="shared" si="578"/>
        <v>522.04349999999999</v>
      </c>
      <c r="G2208" s="46">
        <f t="shared" si="579"/>
        <v>0</v>
      </c>
      <c r="H2208" s="47">
        <f t="shared" si="580"/>
        <v>0</v>
      </c>
      <c r="I2208" s="46">
        <f t="shared" si="581"/>
        <v>0</v>
      </c>
      <c r="J2208" s="47">
        <v>0</v>
      </c>
      <c r="K2208" s="46">
        <f t="shared" si="582"/>
        <v>0</v>
      </c>
      <c r="L2208" s="47">
        <v>0</v>
      </c>
      <c r="AX2208" s="46">
        <v>0.30074574771976259</v>
      </c>
      <c r="AY2208" s="47">
        <v>1168.3312254350551</v>
      </c>
      <c r="AZ2208" s="70">
        <f t="shared" si="569"/>
        <v>0</v>
      </c>
      <c r="BC2208" s="50"/>
    </row>
    <row r="2209" spans="1:55" s="48" customFormat="1" ht="27.75" customHeight="1" outlineLevel="1" x14ac:dyDescent="0.25">
      <c r="A2209" s="42">
        <v>6</v>
      </c>
      <c r="B2209" s="43" t="s">
        <v>1249</v>
      </c>
      <c r="C2209" s="44" t="s">
        <v>98</v>
      </c>
      <c r="D2209" s="45">
        <v>56.26</v>
      </c>
      <c r="E2209" s="45">
        <v>76.396000000000001</v>
      </c>
      <c r="F2209" s="45">
        <f t="shared" si="578"/>
        <v>4298.0389599999999</v>
      </c>
      <c r="G2209" s="46">
        <f t="shared" si="579"/>
        <v>0</v>
      </c>
      <c r="H2209" s="47">
        <f t="shared" si="580"/>
        <v>0</v>
      </c>
      <c r="I2209" s="46">
        <f t="shared" si="581"/>
        <v>0</v>
      </c>
      <c r="J2209" s="47">
        <v>0</v>
      </c>
      <c r="K2209" s="46">
        <f t="shared" si="582"/>
        <v>0</v>
      </c>
      <c r="L2209" s="47">
        <v>0</v>
      </c>
      <c r="AX2209" s="46">
        <v>0.2449552084901363</v>
      </c>
      <c r="AY2209" s="47">
        <v>12700.51479646521</v>
      </c>
      <c r="AZ2209" s="70">
        <f t="shared" si="569"/>
        <v>0</v>
      </c>
      <c r="BC2209" s="50"/>
    </row>
    <row r="2210" spans="1:55" s="48" customFormat="1" ht="27.75" customHeight="1" outlineLevel="1" x14ac:dyDescent="0.25">
      <c r="A2210" s="42">
        <v>7</v>
      </c>
      <c r="B2210" s="43" t="s">
        <v>1127</v>
      </c>
      <c r="C2210" s="44" t="s">
        <v>98</v>
      </c>
      <c r="D2210" s="45">
        <v>92.6</v>
      </c>
      <c r="E2210" s="45">
        <v>10.8202</v>
      </c>
      <c r="F2210" s="45">
        <f t="shared" si="578"/>
        <v>1001.9505199999999</v>
      </c>
      <c r="G2210" s="46">
        <f t="shared" si="579"/>
        <v>0</v>
      </c>
      <c r="H2210" s="47">
        <f t="shared" si="580"/>
        <v>0</v>
      </c>
      <c r="I2210" s="46">
        <f t="shared" si="581"/>
        <v>0</v>
      </c>
      <c r="J2210" s="47">
        <v>0</v>
      </c>
      <c r="K2210" s="46">
        <f t="shared" si="582"/>
        <v>0</v>
      </c>
      <c r="L2210" s="47">
        <v>0</v>
      </c>
      <c r="AX2210" s="46">
        <v>0.44643366439139198</v>
      </c>
      <c r="AY2210" s="47">
        <v>4260.3613261680666</v>
      </c>
      <c r="AZ2210" s="70">
        <f t="shared" si="569"/>
        <v>0</v>
      </c>
      <c r="BC2210" s="50"/>
    </row>
    <row r="2211" spans="1:55" s="48" customFormat="1" ht="27.75" customHeight="1" outlineLevel="1" x14ac:dyDescent="0.25">
      <c r="A2211" s="42">
        <v>8</v>
      </c>
      <c r="B2211" s="43" t="s">
        <v>49</v>
      </c>
      <c r="C2211" s="44" t="s">
        <v>98</v>
      </c>
      <c r="D2211" s="45">
        <v>192.2</v>
      </c>
      <c r="E2211" s="45">
        <v>3.67</v>
      </c>
      <c r="F2211" s="45">
        <f t="shared" si="578"/>
        <v>705.37399999999991</v>
      </c>
      <c r="G2211" s="46">
        <f t="shared" si="579"/>
        <v>0</v>
      </c>
      <c r="H2211" s="47">
        <f t="shared" si="580"/>
        <v>0</v>
      </c>
      <c r="I2211" s="46">
        <f t="shared" si="581"/>
        <v>0</v>
      </c>
      <c r="J2211" s="47">
        <v>0</v>
      </c>
      <c r="K2211" s="46">
        <f t="shared" si="582"/>
        <v>0</v>
      </c>
      <c r="L2211" s="47">
        <v>0</v>
      </c>
      <c r="AX2211" s="46">
        <v>0</v>
      </c>
      <c r="AY2211" s="47">
        <v>0</v>
      </c>
      <c r="AZ2211" s="70">
        <f t="shared" si="569"/>
        <v>0</v>
      </c>
      <c r="BC2211" s="50"/>
    </row>
    <row r="2212" spans="1:55" s="48" customFormat="1" ht="27.75" customHeight="1" outlineLevel="1" x14ac:dyDescent="0.25">
      <c r="A2212" s="42">
        <v>9</v>
      </c>
      <c r="B2212" s="43" t="s">
        <v>1250</v>
      </c>
      <c r="C2212" s="44" t="s">
        <v>110</v>
      </c>
      <c r="D2212" s="45">
        <v>7.31</v>
      </c>
      <c r="E2212" s="45">
        <v>281.11200000000002</v>
      </c>
      <c r="F2212" s="45">
        <f t="shared" si="578"/>
        <v>2054.9287199999999</v>
      </c>
      <c r="G2212" s="46">
        <f t="shared" si="579"/>
        <v>0</v>
      </c>
      <c r="H2212" s="47">
        <f t="shared" si="580"/>
        <v>0</v>
      </c>
      <c r="I2212" s="46">
        <f t="shared" si="581"/>
        <v>0</v>
      </c>
      <c r="J2212" s="47">
        <v>0</v>
      </c>
      <c r="K2212" s="46">
        <f t="shared" si="582"/>
        <v>0</v>
      </c>
      <c r="L2212" s="47">
        <v>0</v>
      </c>
      <c r="AX2212" s="46">
        <v>0</v>
      </c>
      <c r="AY2212" s="47">
        <v>0</v>
      </c>
      <c r="AZ2212" s="70">
        <f t="shared" si="569"/>
        <v>0</v>
      </c>
      <c r="BC2212" s="50"/>
    </row>
    <row r="2213" spans="1:55" s="48" customFormat="1" ht="15.45" customHeight="1" outlineLevel="1" x14ac:dyDescent="0.25">
      <c r="A2213" s="42">
        <v>10</v>
      </c>
      <c r="B2213" s="43" t="s">
        <v>42</v>
      </c>
      <c r="C2213" s="44" t="s">
        <v>28</v>
      </c>
      <c r="D2213" s="45">
        <v>0.32500000000000001</v>
      </c>
      <c r="E2213" s="45">
        <v>1325.1</v>
      </c>
      <c r="F2213" s="45">
        <f t="shared" si="578"/>
        <v>430.65749999999997</v>
      </c>
      <c r="G2213" s="46">
        <f t="shared" si="579"/>
        <v>0</v>
      </c>
      <c r="H2213" s="47">
        <f t="shared" si="580"/>
        <v>0</v>
      </c>
      <c r="I2213" s="46">
        <f t="shared" si="581"/>
        <v>0</v>
      </c>
      <c r="J2213" s="47">
        <v>0</v>
      </c>
      <c r="K2213" s="46">
        <f t="shared" si="582"/>
        <v>0</v>
      </c>
      <c r="L2213" s="47">
        <v>0</v>
      </c>
      <c r="AX2213" s="46">
        <v>0</v>
      </c>
      <c r="AY2213" s="47">
        <v>0</v>
      </c>
      <c r="AZ2213" s="70">
        <f t="shared" si="569"/>
        <v>0</v>
      </c>
      <c r="BC2213" s="50"/>
    </row>
    <row r="2214" spans="1:55" s="48" customFormat="1" ht="15.45" customHeight="1" outlineLevel="1" x14ac:dyDescent="0.25">
      <c r="A2214" s="42">
        <v>11</v>
      </c>
      <c r="B2214" s="43" t="s">
        <v>43</v>
      </c>
      <c r="C2214" s="44" t="s">
        <v>28</v>
      </c>
      <c r="D2214" s="45">
        <v>0.34300000000000003</v>
      </c>
      <c r="E2214" s="45">
        <v>1200.0999999999999</v>
      </c>
      <c r="F2214" s="45">
        <f t="shared" si="578"/>
        <v>411.6343</v>
      </c>
      <c r="G2214" s="46">
        <f t="shared" si="579"/>
        <v>0</v>
      </c>
      <c r="H2214" s="47">
        <f t="shared" si="580"/>
        <v>0</v>
      </c>
      <c r="I2214" s="46">
        <f t="shared" si="581"/>
        <v>0</v>
      </c>
      <c r="J2214" s="47">
        <v>0</v>
      </c>
      <c r="K2214" s="46">
        <f t="shared" si="582"/>
        <v>0</v>
      </c>
      <c r="L2214" s="47">
        <v>0</v>
      </c>
      <c r="AX2214" s="46">
        <v>0</v>
      </c>
      <c r="AY2214" s="47">
        <v>0</v>
      </c>
      <c r="AZ2214" s="70">
        <f t="shared" si="569"/>
        <v>0</v>
      </c>
      <c r="BC2214" s="50"/>
    </row>
    <row r="2215" spans="1:55" s="48" customFormat="1" ht="15.45" customHeight="1" outlineLevel="1" x14ac:dyDescent="0.25">
      <c r="A2215" s="42">
        <v>12</v>
      </c>
      <c r="B2215" s="43" t="s">
        <v>720</v>
      </c>
      <c r="C2215" s="44" t="s">
        <v>110</v>
      </c>
      <c r="D2215" s="45">
        <v>6.8</v>
      </c>
      <c r="E2215" s="45">
        <v>249.38800000000001</v>
      </c>
      <c r="F2215" s="45">
        <f t="shared" si="578"/>
        <v>1695.8384000000001</v>
      </c>
      <c r="G2215" s="46">
        <f t="shared" si="579"/>
        <v>0</v>
      </c>
      <c r="H2215" s="47">
        <f t="shared" si="580"/>
        <v>0</v>
      </c>
      <c r="I2215" s="46">
        <f t="shared" si="581"/>
        <v>0</v>
      </c>
      <c r="J2215" s="47">
        <v>0</v>
      </c>
      <c r="K2215" s="46">
        <f t="shared" si="582"/>
        <v>0</v>
      </c>
      <c r="L2215" s="47">
        <v>0</v>
      </c>
      <c r="AX2215" s="46">
        <v>0</v>
      </c>
      <c r="AY2215" s="47">
        <v>0</v>
      </c>
      <c r="AZ2215" s="70">
        <f t="shared" si="569"/>
        <v>0</v>
      </c>
      <c r="BC2215" s="50"/>
    </row>
    <row r="2216" spans="1:55" s="48" customFormat="1" ht="15.45" customHeight="1" outlineLevel="1" x14ac:dyDescent="0.25">
      <c r="A2216" s="42">
        <v>13</v>
      </c>
      <c r="B2216" s="43" t="s">
        <v>42</v>
      </c>
      <c r="C2216" s="44" t="s">
        <v>28</v>
      </c>
      <c r="D2216" s="45">
        <v>0.182</v>
      </c>
      <c r="E2216" s="45">
        <v>1325.1</v>
      </c>
      <c r="F2216" s="45">
        <f t="shared" si="578"/>
        <v>241.16819999999998</v>
      </c>
      <c r="G2216" s="46">
        <f t="shared" si="579"/>
        <v>0</v>
      </c>
      <c r="H2216" s="47">
        <f t="shared" si="580"/>
        <v>0</v>
      </c>
      <c r="I2216" s="46">
        <f t="shared" si="581"/>
        <v>0</v>
      </c>
      <c r="J2216" s="47">
        <v>0</v>
      </c>
      <c r="K2216" s="46">
        <f t="shared" si="582"/>
        <v>0</v>
      </c>
      <c r="L2216" s="47">
        <v>0</v>
      </c>
      <c r="AX2216" s="46">
        <v>0</v>
      </c>
      <c r="AY2216" s="47">
        <v>0</v>
      </c>
      <c r="AZ2216" s="70">
        <f t="shared" si="569"/>
        <v>0</v>
      </c>
      <c r="BC2216" s="50"/>
    </row>
    <row r="2217" spans="1:55" s="48" customFormat="1" ht="15.45" customHeight="1" outlineLevel="1" x14ac:dyDescent="0.25">
      <c r="A2217" s="42">
        <v>14</v>
      </c>
      <c r="B2217" s="43" t="s">
        <v>43</v>
      </c>
      <c r="C2217" s="44" t="s">
        <v>28</v>
      </c>
      <c r="D2217" s="45">
        <v>0.32</v>
      </c>
      <c r="E2217" s="45">
        <v>1200.0999999999999</v>
      </c>
      <c r="F2217" s="45">
        <f t="shared" si="578"/>
        <v>384.03199999999998</v>
      </c>
      <c r="G2217" s="46">
        <f t="shared" si="579"/>
        <v>0</v>
      </c>
      <c r="H2217" s="47">
        <f t="shared" si="580"/>
        <v>0</v>
      </c>
      <c r="I2217" s="46">
        <f t="shared" si="581"/>
        <v>0</v>
      </c>
      <c r="J2217" s="47">
        <v>0</v>
      </c>
      <c r="K2217" s="46">
        <f t="shared" si="582"/>
        <v>0</v>
      </c>
      <c r="L2217" s="47">
        <v>0</v>
      </c>
      <c r="AX2217" s="46">
        <v>0.62017288711832197</v>
      </c>
      <c r="AY2217" s="47">
        <v>2404.8000000000002</v>
      </c>
      <c r="AZ2217" s="70">
        <f t="shared" si="569"/>
        <v>0</v>
      </c>
      <c r="BC2217" s="50"/>
    </row>
    <row r="2218" spans="1:55" s="48" customFormat="1" ht="27.75" customHeight="1" outlineLevel="1" x14ac:dyDescent="0.25">
      <c r="A2218" s="42">
        <v>15</v>
      </c>
      <c r="B2218" s="43" t="s">
        <v>653</v>
      </c>
      <c r="C2218" s="44" t="s">
        <v>98</v>
      </c>
      <c r="D2218" s="45">
        <v>41.2</v>
      </c>
      <c r="E2218" s="45">
        <v>52.936000000000007</v>
      </c>
      <c r="F2218" s="45">
        <f t="shared" si="578"/>
        <v>2180.9632000000006</v>
      </c>
      <c r="G2218" s="46">
        <f t="shared" si="579"/>
        <v>0</v>
      </c>
      <c r="H2218" s="47">
        <f t="shared" si="580"/>
        <v>0</v>
      </c>
      <c r="I2218" s="46">
        <f t="shared" si="581"/>
        <v>0</v>
      </c>
      <c r="J2218" s="47">
        <v>0</v>
      </c>
      <c r="K2218" s="46">
        <f t="shared" si="582"/>
        <v>0</v>
      </c>
      <c r="L2218" s="47">
        <v>0</v>
      </c>
      <c r="AX2218" s="46">
        <v>0.50198481879540013</v>
      </c>
      <c r="AY2218" s="47">
        <v>1349.6524312639999</v>
      </c>
      <c r="AZ2218" s="70">
        <f t="shared" si="569"/>
        <v>0</v>
      </c>
      <c r="BC2218" s="50"/>
    </row>
    <row r="2219" spans="1:55" s="48" customFormat="1" ht="43.2" customHeight="1" outlineLevel="1" x14ac:dyDescent="0.25">
      <c r="A2219" s="42">
        <v>16</v>
      </c>
      <c r="B2219" s="43" t="s">
        <v>1251</v>
      </c>
      <c r="C2219" s="44" t="s">
        <v>98</v>
      </c>
      <c r="D2219" s="45">
        <v>82.4</v>
      </c>
      <c r="E2219" s="45">
        <v>10.320399999999999</v>
      </c>
      <c r="F2219" s="45">
        <f t="shared" si="578"/>
        <v>850.40096000000005</v>
      </c>
      <c r="G2219" s="46">
        <f t="shared" si="579"/>
        <v>0</v>
      </c>
      <c r="H2219" s="47">
        <f t="shared" si="580"/>
        <v>0</v>
      </c>
      <c r="I2219" s="46">
        <f t="shared" si="581"/>
        <v>0</v>
      </c>
      <c r="J2219" s="47">
        <v>0</v>
      </c>
      <c r="K2219" s="46">
        <f t="shared" si="582"/>
        <v>0</v>
      </c>
      <c r="L2219" s="47">
        <v>0</v>
      </c>
      <c r="AX2219" s="46">
        <v>0</v>
      </c>
      <c r="AY2219" s="47">
        <v>0</v>
      </c>
      <c r="AZ2219" s="70">
        <f t="shared" si="569"/>
        <v>0</v>
      </c>
      <c r="BC2219" s="50"/>
    </row>
    <row r="2220" spans="1:55" s="48" customFormat="1" ht="27.75" customHeight="1" outlineLevel="1" x14ac:dyDescent="0.25">
      <c r="A2220" s="42">
        <v>17</v>
      </c>
      <c r="B2220" s="43" t="s">
        <v>1252</v>
      </c>
      <c r="C2220" s="44" t="s">
        <v>98</v>
      </c>
      <c r="D2220" s="45">
        <v>142.69999999999999</v>
      </c>
      <c r="E2220" s="45">
        <v>2.2216</v>
      </c>
      <c r="F2220" s="45">
        <f t="shared" si="578"/>
        <v>317.02231999999998</v>
      </c>
      <c r="G2220" s="46">
        <f t="shared" si="579"/>
        <v>0</v>
      </c>
      <c r="H2220" s="47">
        <f t="shared" si="580"/>
        <v>0</v>
      </c>
      <c r="I2220" s="46">
        <f t="shared" si="581"/>
        <v>0</v>
      </c>
      <c r="J2220" s="47">
        <v>0</v>
      </c>
      <c r="K2220" s="46">
        <f t="shared" si="582"/>
        <v>0</v>
      </c>
      <c r="L2220" s="47">
        <v>0</v>
      </c>
      <c r="AX2220" s="46">
        <v>0</v>
      </c>
      <c r="AY2220" s="47">
        <v>0</v>
      </c>
      <c r="AZ2220" s="70">
        <f t="shared" si="569"/>
        <v>0</v>
      </c>
      <c r="BC2220" s="50"/>
    </row>
    <row r="2221" spans="1:55" s="56" customFormat="1" ht="17.25" customHeight="1" x14ac:dyDescent="0.3">
      <c r="A2221" s="31">
        <v>25.3</v>
      </c>
      <c r="B2221" s="51" t="s">
        <v>1253</v>
      </c>
      <c r="C2221" s="52">
        <v>0</v>
      </c>
      <c r="D2221" s="53"/>
      <c r="E2221" s="53"/>
      <c r="F2221" s="53"/>
      <c r="G2221" s="54"/>
      <c r="H2221" s="55"/>
      <c r="I2221" s="54"/>
      <c r="J2221" s="55"/>
      <c r="K2221" s="54"/>
      <c r="L2221" s="55">
        <v>0</v>
      </c>
      <c r="AX2221" s="69">
        <v>0.49528185486995763</v>
      </c>
      <c r="AY2221" s="71">
        <v>830.85016999999993</v>
      </c>
      <c r="AZ2221" s="72">
        <f t="shared" si="569"/>
        <v>0</v>
      </c>
      <c r="BC2221" s="58"/>
    </row>
    <row r="2222" spans="1:55" s="48" customFormat="1" ht="15.45" customHeight="1" outlineLevel="1" x14ac:dyDescent="0.25">
      <c r="A2222" s="42">
        <v>1</v>
      </c>
      <c r="B2222" s="43" t="s">
        <v>167</v>
      </c>
      <c r="C2222" s="44" t="s">
        <v>110</v>
      </c>
      <c r="D2222" s="45">
        <v>8.6999999999999993</v>
      </c>
      <c r="E2222" s="45">
        <v>36.616</v>
      </c>
      <c r="F2222" s="45">
        <f t="shared" ref="F2222:F2239" si="583">+E2222*D2222</f>
        <v>318.55919999999998</v>
      </c>
      <c r="G2222" s="46">
        <f t="shared" ref="G2222:G2239" si="584">I2222+K2222</f>
        <v>0</v>
      </c>
      <c r="H2222" s="47">
        <f t="shared" ref="H2222:H2239" si="585">J2222+L2222</f>
        <v>0</v>
      </c>
      <c r="I2222" s="46">
        <f t="shared" ref="I2222:I2239" si="586">J2222/F2222</f>
        <v>0</v>
      </c>
      <c r="J2222" s="47">
        <v>0</v>
      </c>
      <c r="K2222" s="46">
        <f t="shared" ref="K2222:K2239" si="587">L2222/F2222</f>
        <v>0</v>
      </c>
      <c r="L2222" s="47">
        <v>0</v>
      </c>
      <c r="AX2222" s="46">
        <v>0.6202058969858999</v>
      </c>
      <c r="AY2222" s="47">
        <v>283.60000000000002</v>
      </c>
      <c r="AZ2222" s="70">
        <f t="shared" si="569"/>
        <v>0</v>
      </c>
      <c r="BC2222" s="50"/>
    </row>
    <row r="2223" spans="1:55" s="59" customFormat="1" ht="17.7" customHeight="1" outlineLevel="1" x14ac:dyDescent="0.35">
      <c r="A2223" s="42">
        <v>2</v>
      </c>
      <c r="B2223" s="43" t="s">
        <v>709</v>
      </c>
      <c r="C2223" s="44" t="s">
        <v>110</v>
      </c>
      <c r="D2223" s="45">
        <v>3.625</v>
      </c>
      <c r="E2223" s="45">
        <v>99.24</v>
      </c>
      <c r="F2223" s="45">
        <f t="shared" si="583"/>
        <v>359.745</v>
      </c>
      <c r="G2223" s="46">
        <f t="shared" si="584"/>
        <v>0</v>
      </c>
      <c r="H2223" s="47">
        <f t="shared" si="585"/>
        <v>0</v>
      </c>
      <c r="I2223" s="46">
        <f t="shared" si="586"/>
        <v>0</v>
      </c>
      <c r="J2223" s="47">
        <v>0</v>
      </c>
      <c r="K2223" s="46">
        <f t="shared" si="587"/>
        <v>0</v>
      </c>
      <c r="L2223" s="47">
        <v>0</v>
      </c>
      <c r="AX2223" s="73">
        <v>0.49997244819191239</v>
      </c>
      <c r="AY2223" s="74">
        <v>315.24614783999988</v>
      </c>
      <c r="AZ2223" s="75">
        <f t="shared" si="569"/>
        <v>0</v>
      </c>
      <c r="BC2223" s="61"/>
    </row>
    <row r="2224" spans="1:55" s="59" customFormat="1" ht="27.75" customHeight="1" outlineLevel="1" x14ac:dyDescent="0.35">
      <c r="A2224" s="42">
        <v>3</v>
      </c>
      <c r="B2224" s="43" t="s">
        <v>1254</v>
      </c>
      <c r="C2224" s="44" t="s">
        <v>110</v>
      </c>
      <c r="D2224" s="45">
        <v>11.6</v>
      </c>
      <c r="E2224" s="45">
        <v>171.46</v>
      </c>
      <c r="F2224" s="45">
        <f t="shared" si="583"/>
        <v>1988.9359999999999</v>
      </c>
      <c r="G2224" s="46">
        <f t="shared" si="584"/>
        <v>0</v>
      </c>
      <c r="H2224" s="47">
        <f t="shared" si="585"/>
        <v>0</v>
      </c>
      <c r="I2224" s="46">
        <f t="shared" si="586"/>
        <v>0</v>
      </c>
      <c r="J2224" s="47">
        <v>0</v>
      </c>
      <c r="K2224" s="46">
        <f t="shared" si="587"/>
        <v>0</v>
      </c>
      <c r="L2224" s="47">
        <v>0</v>
      </c>
      <c r="AX2224" s="73">
        <v>0</v>
      </c>
      <c r="AY2224" s="74">
        <v>0</v>
      </c>
      <c r="AZ2224" s="75">
        <f t="shared" si="569"/>
        <v>0</v>
      </c>
      <c r="BC2224" s="61"/>
    </row>
    <row r="2225" spans="1:55" s="59" customFormat="1" ht="17.7" customHeight="1" outlineLevel="1" x14ac:dyDescent="0.35">
      <c r="A2225" s="42">
        <v>4</v>
      </c>
      <c r="B2225" s="43" t="s">
        <v>42</v>
      </c>
      <c r="C2225" s="44" t="s">
        <v>28</v>
      </c>
      <c r="D2225" s="45">
        <v>0.254</v>
      </c>
      <c r="E2225" s="45">
        <v>1325.1</v>
      </c>
      <c r="F2225" s="45">
        <f t="shared" si="583"/>
        <v>336.5754</v>
      </c>
      <c r="G2225" s="46">
        <f t="shared" si="584"/>
        <v>0</v>
      </c>
      <c r="H2225" s="47">
        <f t="shared" si="585"/>
        <v>0</v>
      </c>
      <c r="I2225" s="46">
        <f t="shared" si="586"/>
        <v>0</v>
      </c>
      <c r="J2225" s="47">
        <v>0</v>
      </c>
      <c r="K2225" s="46">
        <f t="shared" si="587"/>
        <v>0</v>
      </c>
      <c r="L2225" s="47">
        <v>0</v>
      </c>
      <c r="AX2225" s="73"/>
      <c r="AY2225" s="74"/>
      <c r="AZ2225" s="75"/>
      <c r="BC2225" s="61"/>
    </row>
    <row r="2226" spans="1:55" s="48" customFormat="1" ht="15.45" customHeight="1" outlineLevel="1" x14ac:dyDescent="0.25">
      <c r="A2226" s="42">
        <v>5</v>
      </c>
      <c r="B2226" s="43" t="s">
        <v>43</v>
      </c>
      <c r="C2226" s="44" t="s">
        <v>28</v>
      </c>
      <c r="D2226" s="45">
        <v>0.435</v>
      </c>
      <c r="E2226" s="45">
        <v>1200.0999999999999</v>
      </c>
      <c r="F2226" s="45">
        <f t="shared" si="583"/>
        <v>522.04349999999999</v>
      </c>
      <c r="G2226" s="46">
        <f t="shared" si="584"/>
        <v>0</v>
      </c>
      <c r="H2226" s="47">
        <f t="shared" si="585"/>
        <v>0</v>
      </c>
      <c r="I2226" s="46">
        <f t="shared" si="586"/>
        <v>0</v>
      </c>
      <c r="J2226" s="47">
        <v>0</v>
      </c>
      <c r="K2226" s="46">
        <f t="shared" si="587"/>
        <v>0</v>
      </c>
      <c r="L2226" s="47">
        <v>0</v>
      </c>
      <c r="AX2226" s="46"/>
      <c r="AY2226" s="47"/>
      <c r="AZ2226" s="70"/>
      <c r="BC2226" s="50"/>
    </row>
    <row r="2227" spans="1:55" s="48" customFormat="1" ht="27.75" customHeight="1" outlineLevel="1" x14ac:dyDescent="0.25">
      <c r="A2227" s="42">
        <v>6</v>
      </c>
      <c r="B2227" s="43" t="s">
        <v>1255</v>
      </c>
      <c r="C2227" s="44" t="s">
        <v>98</v>
      </c>
      <c r="D2227" s="45">
        <v>8.1999999999999993</v>
      </c>
      <c r="E2227" s="45">
        <v>73.335999999999999</v>
      </c>
      <c r="F2227" s="45">
        <f t="shared" si="583"/>
        <v>601.35519999999997</v>
      </c>
      <c r="G2227" s="46">
        <f t="shared" si="584"/>
        <v>0</v>
      </c>
      <c r="H2227" s="47">
        <f t="shared" si="585"/>
        <v>0</v>
      </c>
      <c r="I2227" s="46">
        <f t="shared" si="586"/>
        <v>0</v>
      </c>
      <c r="J2227" s="47">
        <v>0</v>
      </c>
      <c r="K2227" s="46">
        <f t="shared" si="587"/>
        <v>0</v>
      </c>
      <c r="L2227" s="47">
        <v>0</v>
      </c>
      <c r="AX2227" s="46"/>
      <c r="AY2227" s="47"/>
      <c r="AZ2227" s="70"/>
      <c r="BC2227" s="50"/>
    </row>
    <row r="2228" spans="1:55" s="48" customFormat="1" ht="27.75" customHeight="1" outlineLevel="1" x14ac:dyDescent="0.25">
      <c r="A2228" s="42">
        <v>7</v>
      </c>
      <c r="B2228" s="43" t="s">
        <v>1249</v>
      </c>
      <c r="C2228" s="44" t="s">
        <v>98</v>
      </c>
      <c r="D2228" s="45">
        <v>13.4</v>
      </c>
      <c r="E2228" s="45">
        <v>76.396000000000001</v>
      </c>
      <c r="F2228" s="45">
        <f t="shared" si="583"/>
        <v>1023.7064</v>
      </c>
      <c r="G2228" s="46">
        <f t="shared" si="584"/>
        <v>0</v>
      </c>
      <c r="H2228" s="47">
        <f t="shared" si="585"/>
        <v>0</v>
      </c>
      <c r="I2228" s="46">
        <f t="shared" si="586"/>
        <v>0</v>
      </c>
      <c r="J2228" s="47">
        <v>0</v>
      </c>
      <c r="K2228" s="46">
        <f t="shared" si="587"/>
        <v>0</v>
      </c>
      <c r="L2228" s="47">
        <v>0</v>
      </c>
      <c r="AX2228" s="46"/>
      <c r="AY2228" s="47"/>
      <c r="AZ2228" s="70"/>
      <c r="BC2228" s="50"/>
    </row>
    <row r="2229" spans="1:55" s="48" customFormat="1" ht="27.75" customHeight="1" outlineLevel="1" x14ac:dyDescent="0.25">
      <c r="A2229" s="42">
        <v>8</v>
      </c>
      <c r="B2229" s="43" t="s">
        <v>1127</v>
      </c>
      <c r="C2229" s="44" t="s">
        <v>98</v>
      </c>
      <c r="D2229" s="45">
        <v>51.6</v>
      </c>
      <c r="E2229" s="45">
        <v>10.8202</v>
      </c>
      <c r="F2229" s="45">
        <f t="shared" si="583"/>
        <v>558.32231999999999</v>
      </c>
      <c r="G2229" s="46">
        <f t="shared" si="584"/>
        <v>0</v>
      </c>
      <c r="H2229" s="47">
        <f t="shared" si="585"/>
        <v>0</v>
      </c>
      <c r="I2229" s="46">
        <f t="shared" si="586"/>
        <v>0</v>
      </c>
      <c r="J2229" s="47">
        <v>0</v>
      </c>
      <c r="K2229" s="46">
        <f t="shared" si="587"/>
        <v>0</v>
      </c>
      <c r="L2229" s="47">
        <v>0</v>
      </c>
      <c r="AX2229" s="46">
        <v>1</v>
      </c>
      <c r="AY2229" s="47">
        <v>5766733.6402624408</v>
      </c>
      <c r="AZ2229" s="70">
        <f>H2229-J2229</f>
        <v>0</v>
      </c>
      <c r="BC2229" s="50"/>
    </row>
    <row r="2230" spans="1:55" s="48" customFormat="1" ht="27.75" customHeight="1" outlineLevel="1" x14ac:dyDescent="0.25">
      <c r="A2230" s="42">
        <v>9</v>
      </c>
      <c r="B2230" s="43" t="s">
        <v>49</v>
      </c>
      <c r="C2230" s="44" t="s">
        <v>98</v>
      </c>
      <c r="D2230" s="45">
        <v>77.7</v>
      </c>
      <c r="E2230" s="45">
        <v>3.67</v>
      </c>
      <c r="F2230" s="45">
        <f t="shared" si="583"/>
        <v>285.15899999999999</v>
      </c>
      <c r="G2230" s="46">
        <f t="shared" si="584"/>
        <v>0</v>
      </c>
      <c r="H2230" s="47">
        <f t="shared" si="585"/>
        <v>0</v>
      </c>
      <c r="I2230" s="46">
        <f t="shared" si="586"/>
        <v>0</v>
      </c>
      <c r="J2230" s="47">
        <v>0</v>
      </c>
      <c r="K2230" s="46">
        <f t="shared" si="587"/>
        <v>0</v>
      </c>
      <c r="L2230" s="47">
        <v>0</v>
      </c>
      <c r="AX2230" s="46">
        <v>1</v>
      </c>
      <c r="AY2230" s="47">
        <v>5766733.6402624408</v>
      </c>
      <c r="AZ2230" s="70">
        <f>H2230-J2230</f>
        <v>0</v>
      </c>
      <c r="BC2230" s="50"/>
    </row>
    <row r="2231" spans="1:55" s="48" customFormat="1" ht="27.75" customHeight="1" outlineLevel="1" x14ac:dyDescent="0.25">
      <c r="A2231" s="42">
        <v>10</v>
      </c>
      <c r="B2231" s="43" t="s">
        <v>1250</v>
      </c>
      <c r="C2231" s="44" t="s">
        <v>110</v>
      </c>
      <c r="D2231" s="45">
        <v>9.34</v>
      </c>
      <c r="E2231" s="45">
        <v>281.11200000000002</v>
      </c>
      <c r="F2231" s="45">
        <f t="shared" si="583"/>
        <v>2625.58608</v>
      </c>
      <c r="G2231" s="46">
        <f t="shared" si="584"/>
        <v>0</v>
      </c>
      <c r="H2231" s="47">
        <f t="shared" si="585"/>
        <v>0</v>
      </c>
      <c r="I2231" s="46">
        <f t="shared" si="586"/>
        <v>0</v>
      </c>
      <c r="J2231" s="47">
        <v>0</v>
      </c>
      <c r="K2231" s="46">
        <f t="shared" si="587"/>
        <v>0</v>
      </c>
      <c r="L2231" s="47">
        <v>0</v>
      </c>
      <c r="AX2231" s="46">
        <v>1</v>
      </c>
      <c r="AY2231" s="47">
        <v>5766733.6402624408</v>
      </c>
      <c r="AZ2231" s="70">
        <f>H2231-J2231</f>
        <v>0</v>
      </c>
      <c r="BC2231" s="50"/>
    </row>
    <row r="2232" spans="1:55" s="48" customFormat="1" ht="15.45" customHeight="1" outlineLevel="1" x14ac:dyDescent="0.25">
      <c r="A2232" s="42">
        <v>11</v>
      </c>
      <c r="B2232" s="43" t="s">
        <v>42</v>
      </c>
      <c r="C2232" s="44" t="s">
        <v>28</v>
      </c>
      <c r="D2232" s="45">
        <v>0.21199999999999999</v>
      </c>
      <c r="E2232" s="45">
        <v>1325.1</v>
      </c>
      <c r="F2232" s="45">
        <f t="shared" si="583"/>
        <v>280.9212</v>
      </c>
      <c r="G2232" s="46">
        <f t="shared" si="584"/>
        <v>0</v>
      </c>
      <c r="H2232" s="47">
        <f t="shared" si="585"/>
        <v>0</v>
      </c>
      <c r="I2232" s="46">
        <f t="shared" si="586"/>
        <v>0</v>
      </c>
      <c r="J2232" s="47">
        <v>0</v>
      </c>
      <c r="K2232" s="46">
        <f t="shared" si="587"/>
        <v>0</v>
      </c>
      <c r="L2232" s="47">
        <v>0</v>
      </c>
      <c r="AX2232" s="46">
        <v>0</v>
      </c>
      <c r="AY2232" s="47">
        <v>0</v>
      </c>
      <c r="AZ2232" s="70">
        <f>H2232-J2232</f>
        <v>0</v>
      </c>
      <c r="BC2232" s="50"/>
    </row>
    <row r="2233" spans="1:55" s="48" customFormat="1" ht="15.45" customHeight="1" outlineLevel="1" x14ac:dyDescent="0.25">
      <c r="A2233" s="42">
        <v>12</v>
      </c>
      <c r="B2233" s="43" t="s">
        <v>43</v>
      </c>
      <c r="C2233" s="44" t="s">
        <v>28</v>
      </c>
      <c r="D2233" s="45">
        <v>0.246</v>
      </c>
      <c r="E2233" s="45">
        <v>1200.0999999999999</v>
      </c>
      <c r="F2233" s="45">
        <f t="shared" si="583"/>
        <v>295.22459999999995</v>
      </c>
      <c r="G2233" s="46">
        <f t="shared" si="584"/>
        <v>0</v>
      </c>
      <c r="H2233" s="47">
        <f t="shared" si="585"/>
        <v>0</v>
      </c>
      <c r="I2233" s="46">
        <f t="shared" si="586"/>
        <v>0</v>
      </c>
      <c r="J2233" s="47">
        <v>0</v>
      </c>
      <c r="K2233" s="46">
        <f t="shared" si="587"/>
        <v>0</v>
      </c>
      <c r="L2233" s="47">
        <v>0</v>
      </c>
      <c r="AX2233" s="46">
        <v>0</v>
      </c>
      <c r="AY2233" s="47">
        <v>1038012.055247239</v>
      </c>
      <c r="AZ2233" s="70">
        <f>H2233-J2233</f>
        <v>0</v>
      </c>
      <c r="BC2233" s="50"/>
    </row>
    <row r="2234" spans="1:55" s="48" customFormat="1" ht="15.45" customHeight="1" outlineLevel="1" x14ac:dyDescent="0.25">
      <c r="A2234" s="42">
        <v>13</v>
      </c>
      <c r="B2234" s="43" t="s">
        <v>720</v>
      </c>
      <c r="C2234" s="44" t="s">
        <v>110</v>
      </c>
      <c r="D2234" s="45">
        <v>3.13</v>
      </c>
      <c r="E2234" s="45">
        <v>249.38800000000001</v>
      </c>
      <c r="F2234" s="45">
        <f t="shared" si="583"/>
        <v>780.58443999999997</v>
      </c>
      <c r="G2234" s="46">
        <f t="shared" si="584"/>
        <v>0</v>
      </c>
      <c r="H2234" s="47">
        <f t="shared" si="585"/>
        <v>0</v>
      </c>
      <c r="I2234" s="46">
        <f t="shared" si="586"/>
        <v>0</v>
      </c>
      <c r="J2234" s="47">
        <v>0</v>
      </c>
      <c r="K2234" s="46">
        <f t="shared" si="587"/>
        <v>0</v>
      </c>
      <c r="L2234" s="47">
        <v>0</v>
      </c>
      <c r="AX2234" s="46"/>
      <c r="AY2234" s="47"/>
      <c r="AZ2234" s="70"/>
      <c r="BC2234" s="50"/>
    </row>
    <row r="2235" spans="1:55" s="48" customFormat="1" ht="15.45" customHeight="1" outlineLevel="1" x14ac:dyDescent="0.25">
      <c r="A2235" s="42">
        <v>14</v>
      </c>
      <c r="B2235" s="43" t="s">
        <v>42</v>
      </c>
      <c r="C2235" s="44" t="s">
        <v>28</v>
      </c>
      <c r="D2235" s="45">
        <v>0.153</v>
      </c>
      <c r="E2235" s="45">
        <v>1325.1</v>
      </c>
      <c r="F2235" s="45">
        <f t="shared" si="583"/>
        <v>202.74029999999999</v>
      </c>
      <c r="G2235" s="46">
        <f t="shared" si="584"/>
        <v>0</v>
      </c>
      <c r="H2235" s="47">
        <f t="shared" si="585"/>
        <v>0</v>
      </c>
      <c r="I2235" s="46">
        <f t="shared" si="586"/>
        <v>0</v>
      </c>
      <c r="J2235" s="47">
        <v>0</v>
      </c>
      <c r="K2235" s="46">
        <f t="shared" si="587"/>
        <v>0</v>
      </c>
      <c r="L2235" s="47">
        <v>0</v>
      </c>
      <c r="AX2235" s="46"/>
      <c r="AY2235" s="47"/>
      <c r="AZ2235" s="70"/>
      <c r="BC2235" s="50"/>
    </row>
    <row r="2236" spans="1:55" s="48" customFormat="1" ht="15.45" customHeight="1" outlineLevel="1" x14ac:dyDescent="0.25">
      <c r="A2236" s="42">
        <v>15</v>
      </c>
      <c r="B2236" s="43" t="s">
        <v>43</v>
      </c>
      <c r="C2236" s="44" t="s">
        <v>28</v>
      </c>
      <c r="D2236" s="45">
        <v>0.17299999999999999</v>
      </c>
      <c r="E2236" s="45">
        <v>1200.0999999999999</v>
      </c>
      <c r="F2236" s="45">
        <f t="shared" si="583"/>
        <v>207.61729999999997</v>
      </c>
      <c r="G2236" s="46">
        <f t="shared" si="584"/>
        <v>0</v>
      </c>
      <c r="H2236" s="47">
        <f t="shared" si="585"/>
        <v>0</v>
      </c>
      <c r="I2236" s="46">
        <f t="shared" si="586"/>
        <v>0</v>
      </c>
      <c r="J2236" s="47">
        <v>0</v>
      </c>
      <c r="K2236" s="46">
        <f t="shared" si="587"/>
        <v>0</v>
      </c>
      <c r="L2236" s="47">
        <v>0</v>
      </c>
      <c r="AX2236" s="46"/>
      <c r="AY2236" s="47"/>
      <c r="AZ2236" s="70"/>
      <c r="BC2236" s="50"/>
    </row>
    <row r="2237" spans="1:55" s="59" customFormat="1" ht="27.75" customHeight="1" outlineLevel="1" x14ac:dyDescent="0.35">
      <c r="A2237" s="42">
        <v>16</v>
      </c>
      <c r="B2237" s="43" t="s">
        <v>653</v>
      </c>
      <c r="C2237" s="44" t="s">
        <v>98</v>
      </c>
      <c r="D2237" s="45">
        <v>64.099999999999994</v>
      </c>
      <c r="E2237" s="45">
        <v>52.936000000000007</v>
      </c>
      <c r="F2237" s="45">
        <f t="shared" si="583"/>
        <v>3393.1976</v>
      </c>
      <c r="G2237" s="46">
        <f t="shared" si="584"/>
        <v>0</v>
      </c>
      <c r="H2237" s="47">
        <f t="shared" si="585"/>
        <v>0</v>
      </c>
      <c r="I2237" s="46">
        <f t="shared" si="586"/>
        <v>0</v>
      </c>
      <c r="J2237" s="47">
        <v>0</v>
      </c>
      <c r="K2237" s="46">
        <f t="shared" si="587"/>
        <v>0</v>
      </c>
      <c r="L2237" s="47">
        <v>0</v>
      </c>
      <c r="AX2237" s="73"/>
      <c r="AY2237" s="74"/>
      <c r="AZ2237" s="75"/>
      <c r="BC2237" s="61"/>
    </row>
    <row r="2238" spans="1:55" s="48" customFormat="1" ht="15.45" customHeight="1" outlineLevel="1" x14ac:dyDescent="0.25">
      <c r="A2238" s="42">
        <v>17</v>
      </c>
      <c r="B2238" s="43" t="s">
        <v>1251</v>
      </c>
      <c r="C2238" s="44" t="s">
        <v>98</v>
      </c>
      <c r="D2238" s="45">
        <v>104.5</v>
      </c>
      <c r="E2238" s="45">
        <v>10.320399999999999</v>
      </c>
      <c r="F2238" s="45">
        <f t="shared" si="583"/>
        <v>1078.4818</v>
      </c>
      <c r="G2238" s="46">
        <f t="shared" si="584"/>
        <v>0</v>
      </c>
      <c r="H2238" s="47">
        <f t="shared" si="585"/>
        <v>0</v>
      </c>
      <c r="I2238" s="46">
        <f t="shared" si="586"/>
        <v>0</v>
      </c>
      <c r="J2238" s="47">
        <v>0</v>
      </c>
      <c r="K2238" s="46">
        <f t="shared" si="587"/>
        <v>0</v>
      </c>
      <c r="L2238" s="47">
        <v>0</v>
      </c>
      <c r="AX2238" s="46"/>
      <c r="AY2238" s="47"/>
      <c r="AZ2238" s="70"/>
      <c r="BC2238" s="50"/>
    </row>
    <row r="2239" spans="1:55" s="48" customFormat="1" ht="27.75" customHeight="1" outlineLevel="1" x14ac:dyDescent="0.25">
      <c r="A2239" s="42">
        <v>18</v>
      </c>
      <c r="B2239" s="43" t="s">
        <v>1252</v>
      </c>
      <c r="C2239" s="44" t="s">
        <v>98</v>
      </c>
      <c r="D2239" s="45">
        <v>171</v>
      </c>
      <c r="E2239" s="45">
        <v>2.2216</v>
      </c>
      <c r="F2239" s="45">
        <f t="shared" si="583"/>
        <v>379.89359999999999</v>
      </c>
      <c r="G2239" s="46">
        <f t="shared" si="584"/>
        <v>0</v>
      </c>
      <c r="H2239" s="47">
        <f t="shared" si="585"/>
        <v>0</v>
      </c>
      <c r="I2239" s="46">
        <f t="shared" si="586"/>
        <v>0</v>
      </c>
      <c r="J2239" s="47">
        <v>0</v>
      </c>
      <c r="K2239" s="46">
        <f t="shared" si="587"/>
        <v>0</v>
      </c>
      <c r="L2239" s="47">
        <v>0</v>
      </c>
      <c r="AX2239" s="46"/>
      <c r="AY2239" s="47"/>
      <c r="AZ2239" s="70"/>
      <c r="BC2239" s="50"/>
    </row>
    <row r="2240" spans="1:55" s="56" customFormat="1" ht="17.25" customHeight="1" x14ac:dyDescent="0.3">
      <c r="A2240" s="31">
        <v>25.4</v>
      </c>
      <c r="B2240" s="51" t="s">
        <v>1256</v>
      </c>
      <c r="C2240" s="52">
        <v>0</v>
      </c>
      <c r="D2240" s="53"/>
      <c r="E2240" s="53"/>
      <c r="F2240" s="53"/>
      <c r="G2240" s="54"/>
      <c r="H2240" s="55"/>
      <c r="I2240" s="54"/>
      <c r="J2240" s="55"/>
      <c r="K2240" s="54"/>
      <c r="L2240" s="55">
        <v>0</v>
      </c>
      <c r="AX2240" s="69"/>
      <c r="AY2240" s="71"/>
      <c r="AZ2240" s="72"/>
      <c r="BC2240" s="58"/>
    </row>
    <row r="2241" spans="1:55" s="59" customFormat="1" ht="17.7" customHeight="1" outlineLevel="1" x14ac:dyDescent="0.35">
      <c r="A2241" s="42">
        <v>1</v>
      </c>
      <c r="B2241" s="43" t="s">
        <v>167</v>
      </c>
      <c r="C2241" s="44" t="s">
        <v>110</v>
      </c>
      <c r="D2241" s="45">
        <v>4.2</v>
      </c>
      <c r="E2241" s="45">
        <v>36.616</v>
      </c>
      <c r="F2241" s="45">
        <f t="shared" ref="F2241:F2257" si="588">+E2241*D2241</f>
        <v>153.78720000000001</v>
      </c>
      <c r="G2241" s="46">
        <f t="shared" ref="G2241:G2257" si="589">I2241+K2241</f>
        <v>0</v>
      </c>
      <c r="H2241" s="47">
        <f t="shared" ref="H2241:H2257" si="590">J2241+L2241</f>
        <v>0</v>
      </c>
      <c r="I2241" s="46">
        <f t="shared" ref="I2241:I2257" si="591">J2241/F2241</f>
        <v>0</v>
      </c>
      <c r="J2241" s="47">
        <v>0</v>
      </c>
      <c r="K2241" s="46">
        <f t="shared" ref="K2241:K2257" si="592">L2241/F2241</f>
        <v>0</v>
      </c>
      <c r="L2241" s="47">
        <v>0</v>
      </c>
      <c r="AX2241" s="73">
        <v>1</v>
      </c>
      <c r="AY2241" s="74">
        <v>5766733.6402624408</v>
      </c>
      <c r="AZ2241" s="75">
        <f>H2241-J2241</f>
        <v>0</v>
      </c>
      <c r="BC2241" s="61"/>
    </row>
    <row r="2242" spans="1:55" s="48" customFormat="1" ht="15.45" customHeight="1" outlineLevel="1" x14ac:dyDescent="0.25">
      <c r="A2242" s="42">
        <v>2</v>
      </c>
      <c r="B2242" s="43" t="s">
        <v>709</v>
      </c>
      <c r="C2242" s="44" t="s">
        <v>110</v>
      </c>
      <c r="D2242" s="45">
        <v>2.1</v>
      </c>
      <c r="E2242" s="45">
        <v>99.24</v>
      </c>
      <c r="F2242" s="45">
        <f t="shared" si="588"/>
        <v>208.404</v>
      </c>
      <c r="G2242" s="46">
        <f t="shared" si="589"/>
        <v>0</v>
      </c>
      <c r="H2242" s="47">
        <f t="shared" si="590"/>
        <v>0</v>
      </c>
      <c r="I2242" s="46">
        <f t="shared" si="591"/>
        <v>0</v>
      </c>
      <c r="J2242" s="47">
        <v>0</v>
      </c>
      <c r="K2242" s="46">
        <f t="shared" si="592"/>
        <v>0</v>
      </c>
      <c r="L2242" s="47">
        <v>0</v>
      </c>
      <c r="AX2242" s="46">
        <v>1</v>
      </c>
      <c r="AY2242" s="47">
        <v>5766733.6402624408</v>
      </c>
      <c r="AZ2242" s="70">
        <f>H2242-J2242</f>
        <v>0</v>
      </c>
      <c r="BC2242" s="50"/>
    </row>
    <row r="2243" spans="1:55" s="48" customFormat="1" ht="27.75" customHeight="1" outlineLevel="1" x14ac:dyDescent="0.25">
      <c r="A2243" s="42">
        <v>3</v>
      </c>
      <c r="B2243" s="43" t="s">
        <v>1254</v>
      </c>
      <c r="C2243" s="44" t="s">
        <v>110</v>
      </c>
      <c r="D2243" s="45">
        <v>6.3</v>
      </c>
      <c r="E2243" s="45">
        <v>171.46</v>
      </c>
      <c r="F2243" s="45">
        <f t="shared" si="588"/>
        <v>1080.1980000000001</v>
      </c>
      <c r="G2243" s="46">
        <f t="shared" si="589"/>
        <v>0</v>
      </c>
      <c r="H2243" s="47">
        <f t="shared" si="590"/>
        <v>0</v>
      </c>
      <c r="I2243" s="46">
        <f t="shared" si="591"/>
        <v>0</v>
      </c>
      <c r="J2243" s="47">
        <v>0</v>
      </c>
      <c r="K2243" s="46">
        <f t="shared" si="592"/>
        <v>0</v>
      </c>
      <c r="L2243" s="47">
        <v>0</v>
      </c>
      <c r="AX2243" s="46">
        <v>1</v>
      </c>
      <c r="AY2243" s="47">
        <v>5766733.6402624408</v>
      </c>
      <c r="AZ2243" s="70">
        <f>H2243-J2243</f>
        <v>0</v>
      </c>
      <c r="BC2243" s="50"/>
    </row>
    <row r="2244" spans="1:55" s="48" customFormat="1" ht="15.45" customHeight="1" outlineLevel="1" x14ac:dyDescent="0.25">
      <c r="A2244" s="42">
        <v>4</v>
      </c>
      <c r="B2244" s="43" t="s">
        <v>42</v>
      </c>
      <c r="C2244" s="44" t="s">
        <v>28</v>
      </c>
      <c r="D2244" s="45">
        <v>0.10100000000000001</v>
      </c>
      <c r="E2244" s="45">
        <v>1325.1</v>
      </c>
      <c r="F2244" s="45">
        <f t="shared" si="588"/>
        <v>133.83510000000001</v>
      </c>
      <c r="G2244" s="46">
        <f t="shared" si="589"/>
        <v>0</v>
      </c>
      <c r="H2244" s="47">
        <f t="shared" si="590"/>
        <v>0</v>
      </c>
      <c r="I2244" s="46">
        <f t="shared" si="591"/>
        <v>0</v>
      </c>
      <c r="J2244" s="47">
        <v>0</v>
      </c>
      <c r="K2244" s="46">
        <f t="shared" si="592"/>
        <v>0</v>
      </c>
      <c r="L2244" s="47">
        <v>0</v>
      </c>
      <c r="AX2244" s="46">
        <v>0</v>
      </c>
      <c r="AY2244" s="47">
        <v>0</v>
      </c>
      <c r="AZ2244" s="70">
        <f>H2244-J2244</f>
        <v>0</v>
      </c>
      <c r="BC2244" s="50"/>
    </row>
    <row r="2245" spans="1:55" s="48" customFormat="1" ht="15.45" customHeight="1" outlineLevel="1" x14ac:dyDescent="0.25">
      <c r="A2245" s="42">
        <v>5</v>
      </c>
      <c r="B2245" s="43" t="s">
        <v>43</v>
      </c>
      <c r="C2245" s="44" t="s">
        <v>28</v>
      </c>
      <c r="D2245" s="45">
        <v>0.21</v>
      </c>
      <c r="E2245" s="45">
        <v>1200.0999999999999</v>
      </c>
      <c r="F2245" s="45">
        <f t="shared" si="588"/>
        <v>252.02099999999996</v>
      </c>
      <c r="G2245" s="46">
        <f t="shared" si="589"/>
        <v>0</v>
      </c>
      <c r="H2245" s="47">
        <f t="shared" si="590"/>
        <v>0</v>
      </c>
      <c r="I2245" s="46">
        <f t="shared" si="591"/>
        <v>0</v>
      </c>
      <c r="J2245" s="47">
        <v>0</v>
      </c>
      <c r="K2245" s="46">
        <f t="shared" si="592"/>
        <v>0</v>
      </c>
      <c r="L2245" s="47">
        <v>0</v>
      </c>
      <c r="AX2245" s="46">
        <v>0</v>
      </c>
      <c r="AY2245" s="47">
        <v>1038012.055247239</v>
      </c>
      <c r="AZ2245" s="70">
        <f>H2245-J2245</f>
        <v>0</v>
      </c>
      <c r="BC2245" s="50"/>
    </row>
    <row r="2246" spans="1:55" s="48" customFormat="1" ht="27.75" customHeight="1" outlineLevel="1" x14ac:dyDescent="0.25">
      <c r="A2246" s="42">
        <v>6</v>
      </c>
      <c r="B2246" s="43" t="s">
        <v>653</v>
      </c>
      <c r="C2246" s="44" t="s">
        <v>98</v>
      </c>
      <c r="D2246" s="45">
        <v>10.199999999999999</v>
      </c>
      <c r="E2246" s="45">
        <v>52.936000000000007</v>
      </c>
      <c r="F2246" s="45">
        <f t="shared" si="588"/>
        <v>539.94720000000007</v>
      </c>
      <c r="G2246" s="46">
        <f t="shared" si="589"/>
        <v>0</v>
      </c>
      <c r="H2246" s="47">
        <f t="shared" si="590"/>
        <v>0</v>
      </c>
      <c r="I2246" s="46">
        <f t="shared" si="591"/>
        <v>0</v>
      </c>
      <c r="J2246" s="47">
        <v>0</v>
      </c>
      <c r="K2246" s="46">
        <f t="shared" si="592"/>
        <v>0</v>
      </c>
      <c r="L2246" s="47">
        <v>0</v>
      </c>
      <c r="AX2246" s="46"/>
      <c r="AY2246" s="47"/>
      <c r="AZ2246" s="70"/>
      <c r="BC2246" s="50"/>
    </row>
    <row r="2247" spans="1:55" s="48" customFormat="1" ht="27.75" customHeight="1" outlineLevel="1" x14ac:dyDescent="0.25">
      <c r="A2247" s="42">
        <v>7</v>
      </c>
      <c r="B2247" s="43" t="s">
        <v>1127</v>
      </c>
      <c r="C2247" s="44" t="s">
        <v>98</v>
      </c>
      <c r="D2247" s="45">
        <v>20.399999999999999</v>
      </c>
      <c r="E2247" s="45">
        <v>10.8202</v>
      </c>
      <c r="F2247" s="45">
        <f t="shared" si="588"/>
        <v>220.73207999999997</v>
      </c>
      <c r="G2247" s="46">
        <f t="shared" si="589"/>
        <v>0</v>
      </c>
      <c r="H2247" s="47">
        <f t="shared" si="590"/>
        <v>0</v>
      </c>
      <c r="I2247" s="46">
        <f t="shared" si="591"/>
        <v>0</v>
      </c>
      <c r="J2247" s="47">
        <v>0</v>
      </c>
      <c r="K2247" s="46">
        <f t="shared" si="592"/>
        <v>0</v>
      </c>
      <c r="L2247" s="47">
        <v>0</v>
      </c>
      <c r="AX2247" s="46"/>
      <c r="AY2247" s="47"/>
      <c r="AZ2247" s="70"/>
      <c r="BC2247" s="50"/>
    </row>
    <row r="2248" spans="1:55" s="48" customFormat="1" ht="27.75" customHeight="1" outlineLevel="1" x14ac:dyDescent="0.25">
      <c r="A2248" s="42">
        <v>8</v>
      </c>
      <c r="B2248" s="43" t="s">
        <v>49</v>
      </c>
      <c r="C2248" s="44" t="s">
        <v>98</v>
      </c>
      <c r="D2248" s="45">
        <v>41.4</v>
      </c>
      <c r="E2248" s="45">
        <v>3.67</v>
      </c>
      <c r="F2248" s="45">
        <f t="shared" si="588"/>
        <v>151.93799999999999</v>
      </c>
      <c r="G2248" s="46">
        <f t="shared" si="589"/>
        <v>0</v>
      </c>
      <c r="H2248" s="47">
        <f t="shared" si="590"/>
        <v>0</v>
      </c>
      <c r="I2248" s="46">
        <f t="shared" si="591"/>
        <v>0</v>
      </c>
      <c r="J2248" s="47">
        <v>0</v>
      </c>
      <c r="K2248" s="46">
        <f t="shared" si="592"/>
        <v>0</v>
      </c>
      <c r="L2248" s="47">
        <v>0</v>
      </c>
      <c r="AX2248" s="46"/>
      <c r="AY2248" s="47"/>
      <c r="AZ2248" s="70"/>
      <c r="BC2248" s="50"/>
    </row>
    <row r="2249" spans="1:55" s="48" customFormat="1" ht="27.75" customHeight="1" outlineLevel="1" x14ac:dyDescent="0.25">
      <c r="A2249" s="42">
        <v>9</v>
      </c>
      <c r="B2249" s="43" t="s">
        <v>1250</v>
      </c>
      <c r="C2249" s="44" t="s">
        <v>110</v>
      </c>
      <c r="D2249" s="45">
        <v>3.6</v>
      </c>
      <c r="E2249" s="45">
        <v>281.11200000000002</v>
      </c>
      <c r="F2249" s="45">
        <f t="shared" si="588"/>
        <v>1012.0032000000001</v>
      </c>
      <c r="G2249" s="46">
        <f t="shared" si="589"/>
        <v>0</v>
      </c>
      <c r="H2249" s="47">
        <f t="shared" si="590"/>
        <v>0</v>
      </c>
      <c r="I2249" s="46">
        <f t="shared" si="591"/>
        <v>0</v>
      </c>
      <c r="J2249" s="47">
        <v>0</v>
      </c>
      <c r="K2249" s="46">
        <f t="shared" si="592"/>
        <v>0</v>
      </c>
      <c r="L2249" s="47">
        <v>0</v>
      </c>
      <c r="AX2249" s="46"/>
      <c r="AY2249" s="47"/>
      <c r="AZ2249" s="70"/>
      <c r="BC2249" s="50"/>
    </row>
    <row r="2250" spans="1:55" s="48" customFormat="1" ht="15.45" customHeight="1" outlineLevel="1" x14ac:dyDescent="0.25">
      <c r="A2250" s="42">
        <v>10</v>
      </c>
      <c r="B2250" s="43" t="s">
        <v>42</v>
      </c>
      <c r="C2250" s="44" t="s">
        <v>28</v>
      </c>
      <c r="D2250" s="45">
        <v>0.32500000000000001</v>
      </c>
      <c r="E2250" s="45">
        <v>1325.1</v>
      </c>
      <c r="F2250" s="45">
        <f t="shared" si="588"/>
        <v>430.65749999999997</v>
      </c>
      <c r="G2250" s="46">
        <f t="shared" si="589"/>
        <v>0</v>
      </c>
      <c r="H2250" s="47">
        <f t="shared" si="590"/>
        <v>0</v>
      </c>
      <c r="I2250" s="46">
        <f t="shared" si="591"/>
        <v>0</v>
      </c>
      <c r="J2250" s="47">
        <v>0</v>
      </c>
      <c r="K2250" s="46">
        <f t="shared" si="592"/>
        <v>0</v>
      </c>
      <c r="L2250" s="47">
        <v>0</v>
      </c>
      <c r="AX2250" s="46"/>
      <c r="AY2250" s="47"/>
      <c r="AZ2250" s="70"/>
      <c r="BC2250" s="50"/>
    </row>
    <row r="2251" spans="1:55" s="48" customFormat="1" ht="15.45" customHeight="1" outlineLevel="1" x14ac:dyDescent="0.25">
      <c r="A2251" s="42">
        <v>11</v>
      </c>
      <c r="B2251" s="43" t="s">
        <v>43</v>
      </c>
      <c r="C2251" s="44" t="s">
        <v>28</v>
      </c>
      <c r="D2251" s="45">
        <v>0.34300000000000003</v>
      </c>
      <c r="E2251" s="45">
        <v>1200.0999999999999</v>
      </c>
      <c r="F2251" s="45">
        <f t="shared" si="588"/>
        <v>411.6343</v>
      </c>
      <c r="G2251" s="46">
        <f t="shared" si="589"/>
        <v>0</v>
      </c>
      <c r="H2251" s="47">
        <f t="shared" si="590"/>
        <v>0</v>
      </c>
      <c r="I2251" s="46">
        <f t="shared" si="591"/>
        <v>0</v>
      </c>
      <c r="J2251" s="47">
        <v>0</v>
      </c>
      <c r="K2251" s="46">
        <f t="shared" si="592"/>
        <v>0</v>
      </c>
      <c r="L2251" s="47">
        <v>0</v>
      </c>
      <c r="AX2251" s="46">
        <v>1</v>
      </c>
      <c r="AY2251" s="47">
        <v>5766733.6402624408</v>
      </c>
      <c r="AZ2251" s="70">
        <f>H2251-J2251</f>
        <v>0</v>
      </c>
      <c r="BC2251" s="50"/>
    </row>
    <row r="2252" spans="1:55" s="48" customFormat="1" ht="15.45" customHeight="1" outlineLevel="1" x14ac:dyDescent="0.25">
      <c r="A2252" s="42">
        <v>12</v>
      </c>
      <c r="B2252" s="43" t="s">
        <v>720</v>
      </c>
      <c r="C2252" s="44" t="s">
        <v>110</v>
      </c>
      <c r="D2252" s="45">
        <v>1.75</v>
      </c>
      <c r="E2252" s="45">
        <v>249.38800000000001</v>
      </c>
      <c r="F2252" s="45">
        <f t="shared" si="588"/>
        <v>436.42900000000003</v>
      </c>
      <c r="G2252" s="46">
        <f t="shared" si="589"/>
        <v>0</v>
      </c>
      <c r="H2252" s="47">
        <f t="shared" si="590"/>
        <v>0</v>
      </c>
      <c r="I2252" s="46">
        <f t="shared" si="591"/>
        <v>0</v>
      </c>
      <c r="J2252" s="47">
        <v>0</v>
      </c>
      <c r="K2252" s="46">
        <f t="shared" si="592"/>
        <v>0</v>
      </c>
      <c r="L2252" s="47">
        <v>0</v>
      </c>
      <c r="AX2252" s="46">
        <v>1</v>
      </c>
      <c r="AY2252" s="47">
        <v>5766733.6402624408</v>
      </c>
      <c r="AZ2252" s="70">
        <f>H2252-J2252</f>
        <v>0</v>
      </c>
      <c r="BC2252" s="50"/>
    </row>
    <row r="2253" spans="1:55" s="48" customFormat="1" ht="15.45" customHeight="1" outlineLevel="1" x14ac:dyDescent="0.25">
      <c r="A2253" s="42">
        <v>13</v>
      </c>
      <c r="B2253" s="43" t="s">
        <v>42</v>
      </c>
      <c r="C2253" s="44" t="s">
        <v>28</v>
      </c>
      <c r="D2253" s="45">
        <v>5.1999999999999998E-2</v>
      </c>
      <c r="E2253" s="45">
        <v>1325.1</v>
      </c>
      <c r="F2253" s="45">
        <f t="shared" si="588"/>
        <v>68.905199999999994</v>
      </c>
      <c r="G2253" s="46">
        <f t="shared" si="589"/>
        <v>0</v>
      </c>
      <c r="H2253" s="47">
        <f t="shared" si="590"/>
        <v>0</v>
      </c>
      <c r="I2253" s="46">
        <f t="shared" si="591"/>
        <v>0</v>
      </c>
      <c r="J2253" s="47">
        <v>0</v>
      </c>
      <c r="K2253" s="46">
        <f t="shared" si="592"/>
        <v>0</v>
      </c>
      <c r="L2253" s="47">
        <v>0</v>
      </c>
      <c r="AX2253" s="46">
        <v>1</v>
      </c>
      <c r="AY2253" s="47">
        <v>5766733.6402624408</v>
      </c>
      <c r="AZ2253" s="70">
        <f>H2253-J2253</f>
        <v>0</v>
      </c>
      <c r="BC2253" s="50"/>
    </row>
    <row r="2254" spans="1:55" s="48" customFormat="1" ht="15.45" customHeight="1" outlineLevel="1" x14ac:dyDescent="0.25">
      <c r="A2254" s="42">
        <v>14</v>
      </c>
      <c r="B2254" s="43" t="s">
        <v>43</v>
      </c>
      <c r="C2254" s="44" t="s">
        <v>28</v>
      </c>
      <c r="D2254" s="45">
        <v>8.4000000000000005E-2</v>
      </c>
      <c r="E2254" s="45">
        <v>1200.0999999999999</v>
      </c>
      <c r="F2254" s="45">
        <f t="shared" si="588"/>
        <v>100.80839999999999</v>
      </c>
      <c r="G2254" s="46">
        <f t="shared" si="589"/>
        <v>0</v>
      </c>
      <c r="H2254" s="47">
        <f t="shared" si="590"/>
        <v>0</v>
      </c>
      <c r="I2254" s="46">
        <f t="shared" si="591"/>
        <v>0</v>
      </c>
      <c r="J2254" s="47">
        <v>0</v>
      </c>
      <c r="K2254" s="46">
        <f t="shared" si="592"/>
        <v>0</v>
      </c>
      <c r="L2254" s="47">
        <v>0</v>
      </c>
      <c r="AX2254" s="46">
        <v>0</v>
      </c>
      <c r="AY2254" s="47">
        <v>0</v>
      </c>
      <c r="AZ2254" s="70">
        <f>H2254-J2254</f>
        <v>0</v>
      </c>
      <c r="BC2254" s="50"/>
    </row>
    <row r="2255" spans="1:55" s="48" customFormat="1" ht="27.75" customHeight="1" outlineLevel="1" x14ac:dyDescent="0.25">
      <c r="A2255" s="42">
        <v>15</v>
      </c>
      <c r="B2255" s="43" t="s">
        <v>653</v>
      </c>
      <c r="C2255" s="44" t="s">
        <v>98</v>
      </c>
      <c r="D2255" s="45">
        <v>46.7</v>
      </c>
      <c r="E2255" s="45">
        <v>52.936000000000007</v>
      </c>
      <c r="F2255" s="45">
        <f t="shared" si="588"/>
        <v>2472.1112000000003</v>
      </c>
      <c r="G2255" s="46">
        <f t="shared" si="589"/>
        <v>0</v>
      </c>
      <c r="H2255" s="47">
        <f t="shared" si="590"/>
        <v>0</v>
      </c>
      <c r="I2255" s="46">
        <f t="shared" si="591"/>
        <v>0</v>
      </c>
      <c r="J2255" s="47">
        <v>0</v>
      </c>
      <c r="K2255" s="46">
        <f t="shared" si="592"/>
        <v>0</v>
      </c>
      <c r="L2255" s="47">
        <v>0</v>
      </c>
      <c r="AX2255" s="46">
        <v>0</v>
      </c>
      <c r="AY2255" s="47">
        <v>1038012.055247239</v>
      </c>
      <c r="AZ2255" s="70">
        <f>H2255-J2255</f>
        <v>0</v>
      </c>
      <c r="BC2255" s="50"/>
    </row>
    <row r="2256" spans="1:55" s="48" customFormat="1" ht="15.45" customHeight="1" outlineLevel="1" x14ac:dyDescent="0.25">
      <c r="A2256" s="42">
        <v>16</v>
      </c>
      <c r="B2256" s="43" t="s">
        <v>1251</v>
      </c>
      <c r="C2256" s="44" t="s">
        <v>98</v>
      </c>
      <c r="D2256" s="45">
        <v>93.4</v>
      </c>
      <c r="E2256" s="45">
        <v>10.320399999999999</v>
      </c>
      <c r="F2256" s="45">
        <f t="shared" si="588"/>
        <v>963.92535999999996</v>
      </c>
      <c r="G2256" s="46">
        <f t="shared" si="589"/>
        <v>0</v>
      </c>
      <c r="H2256" s="47">
        <f t="shared" si="590"/>
        <v>0</v>
      </c>
      <c r="I2256" s="46">
        <f t="shared" si="591"/>
        <v>0</v>
      </c>
      <c r="J2256" s="47">
        <v>0</v>
      </c>
      <c r="K2256" s="46">
        <f t="shared" si="592"/>
        <v>0</v>
      </c>
      <c r="L2256" s="47">
        <v>0</v>
      </c>
      <c r="AX2256" s="46"/>
      <c r="AY2256" s="47"/>
      <c r="AZ2256" s="70"/>
      <c r="BC2256" s="50"/>
    </row>
    <row r="2257" spans="1:55" s="48" customFormat="1" ht="27.75" customHeight="1" outlineLevel="1" x14ac:dyDescent="0.25">
      <c r="A2257" s="42">
        <v>17</v>
      </c>
      <c r="B2257" s="43" t="s">
        <v>1252</v>
      </c>
      <c r="C2257" s="44" t="s">
        <v>98</v>
      </c>
      <c r="D2257" s="45">
        <v>136.30000000000001</v>
      </c>
      <c r="E2257" s="45">
        <v>2.2216</v>
      </c>
      <c r="F2257" s="45">
        <f t="shared" si="588"/>
        <v>302.80408000000006</v>
      </c>
      <c r="G2257" s="46">
        <f t="shared" si="589"/>
        <v>0</v>
      </c>
      <c r="H2257" s="47">
        <f t="shared" si="590"/>
        <v>0</v>
      </c>
      <c r="I2257" s="46">
        <f t="shared" si="591"/>
        <v>0</v>
      </c>
      <c r="J2257" s="47">
        <v>0</v>
      </c>
      <c r="K2257" s="46">
        <f t="shared" si="592"/>
        <v>0</v>
      </c>
      <c r="L2257" s="47">
        <v>0</v>
      </c>
      <c r="AX2257" s="46"/>
      <c r="AY2257" s="47"/>
      <c r="AZ2257" s="70"/>
      <c r="BC2257" s="50"/>
    </row>
    <row r="2258" spans="1:55" s="56" customFormat="1" ht="17.25" customHeight="1" x14ac:dyDescent="0.3">
      <c r="A2258" s="31">
        <v>25.5</v>
      </c>
      <c r="B2258" s="51" t="s">
        <v>1257</v>
      </c>
      <c r="C2258" s="52">
        <v>0</v>
      </c>
      <c r="D2258" s="53"/>
      <c r="E2258" s="53"/>
      <c r="F2258" s="53"/>
      <c r="G2258" s="54"/>
      <c r="H2258" s="55"/>
      <c r="I2258" s="54"/>
      <c r="J2258" s="55"/>
      <c r="K2258" s="54"/>
      <c r="L2258" s="55">
        <v>0</v>
      </c>
      <c r="AX2258" s="69"/>
      <c r="AY2258" s="71"/>
      <c r="AZ2258" s="72"/>
      <c r="BC2258" s="58"/>
    </row>
    <row r="2259" spans="1:55" s="48" customFormat="1" ht="33.75" customHeight="1" outlineLevel="1" x14ac:dyDescent="0.25">
      <c r="A2259" s="42">
        <v>1</v>
      </c>
      <c r="B2259" s="43" t="s">
        <v>1258</v>
      </c>
      <c r="C2259" s="44" t="s">
        <v>234</v>
      </c>
      <c r="D2259" s="45">
        <v>2</v>
      </c>
      <c r="E2259" s="45">
        <v>214.62639999999999</v>
      </c>
      <c r="F2259" s="45">
        <f>+E2259*D2259</f>
        <v>429.25279999999998</v>
      </c>
      <c r="G2259" s="46">
        <f>I2259+K2259</f>
        <v>0</v>
      </c>
      <c r="H2259" s="47">
        <f>J2259+L2259</f>
        <v>0</v>
      </c>
      <c r="I2259" s="46">
        <f>J2259/F2259</f>
        <v>0</v>
      </c>
      <c r="J2259" s="47">
        <v>0</v>
      </c>
      <c r="K2259" s="46">
        <f>L2259/F2259</f>
        <v>0</v>
      </c>
      <c r="L2259" s="47">
        <v>0</v>
      </c>
      <c r="AX2259" s="46"/>
      <c r="AY2259" s="47"/>
      <c r="AZ2259" s="70"/>
      <c r="BC2259" s="50"/>
    </row>
    <row r="2260" spans="1:55" s="48" customFormat="1" ht="41.7" customHeight="1" outlineLevel="1" x14ac:dyDescent="0.25">
      <c r="A2260" s="42">
        <v>2</v>
      </c>
      <c r="B2260" s="43" t="s">
        <v>1259</v>
      </c>
      <c r="C2260" s="44" t="s">
        <v>234</v>
      </c>
      <c r="D2260" s="45">
        <v>2</v>
      </c>
      <c r="E2260" s="45">
        <v>1445.336</v>
      </c>
      <c r="F2260" s="45">
        <f>+E2260*D2260</f>
        <v>2890.672</v>
      </c>
      <c r="G2260" s="46">
        <f>I2260+K2260</f>
        <v>0</v>
      </c>
      <c r="H2260" s="47">
        <f>J2260+L2260</f>
        <v>0</v>
      </c>
      <c r="I2260" s="46">
        <f>J2260/F2260</f>
        <v>0</v>
      </c>
      <c r="J2260" s="47">
        <v>0</v>
      </c>
      <c r="K2260" s="46">
        <f>L2260/F2260</f>
        <v>0</v>
      </c>
      <c r="L2260" s="47">
        <v>0</v>
      </c>
      <c r="AX2260" s="46"/>
      <c r="AY2260" s="47"/>
      <c r="AZ2260" s="70"/>
      <c r="BC2260" s="50"/>
    </row>
    <row r="2261" spans="1:55" s="56" customFormat="1" ht="17.25" customHeight="1" x14ac:dyDescent="0.3">
      <c r="A2261" s="31">
        <v>26.1</v>
      </c>
      <c r="B2261" s="51" t="s">
        <v>1260</v>
      </c>
      <c r="C2261" s="52">
        <v>0</v>
      </c>
      <c r="D2261" s="53"/>
      <c r="E2261" s="53"/>
      <c r="F2261" s="53"/>
      <c r="G2261" s="54"/>
      <c r="H2261" s="55"/>
      <c r="I2261" s="54"/>
      <c r="J2261" s="55"/>
      <c r="K2261" s="54"/>
      <c r="L2261" s="55">
        <v>0</v>
      </c>
      <c r="AX2261" s="69"/>
      <c r="AY2261" s="71"/>
      <c r="AZ2261" s="72"/>
      <c r="BC2261" s="58"/>
    </row>
    <row r="2262" spans="1:55" s="48" customFormat="1" ht="27.75" customHeight="1" outlineLevel="1" x14ac:dyDescent="0.25">
      <c r="A2262" s="42">
        <v>1</v>
      </c>
      <c r="B2262" s="43" t="s">
        <v>647</v>
      </c>
      <c r="C2262" s="44" t="s">
        <v>110</v>
      </c>
      <c r="D2262" s="45">
        <v>67</v>
      </c>
      <c r="E2262" s="45">
        <v>0.9</v>
      </c>
      <c r="F2262" s="45">
        <f>+E2262*D2262</f>
        <v>60.300000000000004</v>
      </c>
      <c r="G2262" s="46">
        <f t="shared" ref="G2262:H2266" si="593">I2262+K2262</f>
        <v>0</v>
      </c>
      <c r="H2262" s="47">
        <f t="shared" si="593"/>
        <v>0</v>
      </c>
      <c r="I2262" s="46">
        <f>J2262/F2262</f>
        <v>0</v>
      </c>
      <c r="J2262" s="47">
        <v>0</v>
      </c>
      <c r="K2262" s="46">
        <f>L2262/F2262</f>
        <v>0</v>
      </c>
      <c r="L2262" s="47">
        <v>0</v>
      </c>
      <c r="AX2262" s="46"/>
      <c r="AY2262" s="47"/>
      <c r="AZ2262" s="70"/>
      <c r="BC2262" s="50"/>
    </row>
    <row r="2263" spans="1:55" s="48" customFormat="1" ht="27.75" customHeight="1" outlineLevel="1" x14ac:dyDescent="0.25">
      <c r="A2263" s="42">
        <v>2</v>
      </c>
      <c r="B2263" s="43" t="s">
        <v>648</v>
      </c>
      <c r="C2263" s="44" t="s">
        <v>110</v>
      </c>
      <c r="D2263" s="45">
        <v>2</v>
      </c>
      <c r="E2263" s="45">
        <v>8.9600000000000009</v>
      </c>
      <c r="F2263" s="45">
        <f>+E2263*D2263</f>
        <v>17.920000000000002</v>
      </c>
      <c r="G2263" s="46">
        <f t="shared" si="593"/>
        <v>0</v>
      </c>
      <c r="H2263" s="47">
        <f t="shared" si="593"/>
        <v>0</v>
      </c>
      <c r="I2263" s="46">
        <f>J2263/F2263</f>
        <v>0</v>
      </c>
      <c r="J2263" s="47">
        <v>0</v>
      </c>
      <c r="K2263" s="46">
        <f>L2263/F2263</f>
        <v>0</v>
      </c>
      <c r="L2263" s="47">
        <v>0</v>
      </c>
      <c r="AX2263" s="46"/>
      <c r="AY2263" s="47"/>
      <c r="AZ2263" s="70"/>
      <c r="BC2263" s="50"/>
    </row>
    <row r="2264" spans="1:55" s="48" customFormat="1" ht="27.75" customHeight="1" outlineLevel="1" x14ac:dyDescent="0.25">
      <c r="A2264" s="42">
        <v>3</v>
      </c>
      <c r="B2264" s="43" t="s">
        <v>649</v>
      </c>
      <c r="C2264" s="44" t="s">
        <v>110</v>
      </c>
      <c r="D2264" s="45">
        <v>41</v>
      </c>
      <c r="E2264" s="45">
        <v>0.9</v>
      </c>
      <c r="F2264" s="45">
        <f>+E2264*D2264</f>
        <v>36.9</v>
      </c>
      <c r="G2264" s="46">
        <f t="shared" si="593"/>
        <v>0</v>
      </c>
      <c r="H2264" s="47">
        <f t="shared" si="593"/>
        <v>0</v>
      </c>
      <c r="I2264" s="46">
        <f>J2264/F2264</f>
        <v>0</v>
      </c>
      <c r="J2264" s="47">
        <v>0</v>
      </c>
      <c r="K2264" s="46">
        <f>L2264/F2264</f>
        <v>0</v>
      </c>
      <c r="L2264" s="47">
        <v>0</v>
      </c>
      <c r="AX2264" s="46"/>
      <c r="AY2264" s="47"/>
      <c r="AZ2264" s="70"/>
      <c r="BC2264" s="50"/>
    </row>
    <row r="2265" spans="1:55" s="48" customFormat="1" ht="15.45" customHeight="1" outlineLevel="1" x14ac:dyDescent="0.25">
      <c r="A2265" s="42">
        <v>4</v>
      </c>
      <c r="B2265" s="43" t="s">
        <v>37</v>
      </c>
      <c r="C2265" s="44" t="s">
        <v>110</v>
      </c>
      <c r="D2265" s="45">
        <v>41</v>
      </c>
      <c r="E2265" s="45">
        <v>2</v>
      </c>
      <c r="F2265" s="45">
        <f>+E2265*D2265</f>
        <v>82</v>
      </c>
      <c r="G2265" s="46">
        <f t="shared" si="593"/>
        <v>0</v>
      </c>
      <c r="H2265" s="47">
        <f t="shared" si="593"/>
        <v>0</v>
      </c>
      <c r="I2265" s="46">
        <f>J2265/F2265</f>
        <v>0</v>
      </c>
      <c r="J2265" s="47">
        <v>0</v>
      </c>
      <c r="K2265" s="46">
        <f>L2265/F2265</f>
        <v>0</v>
      </c>
      <c r="L2265" s="47">
        <v>0</v>
      </c>
      <c r="AX2265" s="46"/>
      <c r="AY2265" s="47"/>
      <c r="AZ2265" s="70"/>
      <c r="BC2265" s="50"/>
    </row>
    <row r="2266" spans="1:55" s="48" customFormat="1" ht="15.45" customHeight="1" outlineLevel="1" x14ac:dyDescent="0.25">
      <c r="A2266" s="42">
        <v>5</v>
      </c>
      <c r="B2266" s="43" t="s">
        <v>166</v>
      </c>
      <c r="C2266" s="44" t="s">
        <v>110</v>
      </c>
      <c r="D2266" s="45">
        <v>11</v>
      </c>
      <c r="E2266" s="45">
        <v>8.16</v>
      </c>
      <c r="F2266" s="45">
        <f>+E2266*D2266</f>
        <v>89.76</v>
      </c>
      <c r="G2266" s="46">
        <f t="shared" si="593"/>
        <v>0</v>
      </c>
      <c r="H2266" s="47">
        <f t="shared" si="593"/>
        <v>0</v>
      </c>
      <c r="I2266" s="46">
        <f>J2266/F2266</f>
        <v>0</v>
      </c>
      <c r="J2266" s="47">
        <v>0</v>
      </c>
      <c r="K2266" s="46">
        <f>L2266/F2266</f>
        <v>0</v>
      </c>
      <c r="L2266" s="47">
        <v>0</v>
      </c>
      <c r="AX2266" s="46"/>
      <c r="AY2266" s="47"/>
      <c r="AZ2266" s="70"/>
      <c r="BC2266" s="50"/>
    </row>
    <row r="2267" spans="1:55" s="56" customFormat="1" ht="17.25" customHeight="1" x14ac:dyDescent="0.3">
      <c r="A2267" s="31">
        <v>26.2</v>
      </c>
      <c r="B2267" s="51" t="s">
        <v>1261</v>
      </c>
      <c r="C2267" s="52">
        <v>0</v>
      </c>
      <c r="D2267" s="53"/>
      <c r="E2267" s="53"/>
      <c r="F2267" s="53"/>
      <c r="G2267" s="54"/>
      <c r="H2267" s="55"/>
      <c r="I2267" s="54"/>
      <c r="J2267" s="55"/>
      <c r="K2267" s="54"/>
      <c r="L2267" s="55">
        <v>0</v>
      </c>
      <c r="AX2267" s="69"/>
      <c r="AY2267" s="71"/>
      <c r="AZ2267" s="72"/>
      <c r="BC2267" s="58"/>
    </row>
    <row r="2268" spans="1:55" s="48" customFormat="1" ht="15.45" customHeight="1" outlineLevel="1" x14ac:dyDescent="0.25">
      <c r="A2268" s="42">
        <v>1</v>
      </c>
      <c r="B2268" s="43" t="s">
        <v>167</v>
      </c>
      <c r="C2268" s="44" t="s">
        <v>110</v>
      </c>
      <c r="D2268" s="45">
        <v>1.31</v>
      </c>
      <c r="E2268" s="45">
        <v>11.044600000000001</v>
      </c>
      <c r="F2268" s="45">
        <f t="shared" ref="F2268:F2280" si="594">+E2268*D2268</f>
        <v>14.468426000000001</v>
      </c>
      <c r="G2268" s="46">
        <f t="shared" ref="G2268:G2280" si="595">I2268+K2268</f>
        <v>0</v>
      </c>
      <c r="H2268" s="47">
        <f t="shared" ref="H2268:H2280" si="596">J2268+L2268</f>
        <v>0</v>
      </c>
      <c r="I2268" s="46">
        <f t="shared" ref="I2268:I2280" si="597">J2268/F2268</f>
        <v>0</v>
      </c>
      <c r="J2268" s="47">
        <v>0</v>
      </c>
      <c r="K2268" s="46">
        <f t="shared" ref="K2268:K2280" si="598">L2268/F2268</f>
        <v>0</v>
      </c>
      <c r="L2268" s="47">
        <v>0</v>
      </c>
      <c r="AX2268" s="46"/>
      <c r="AY2268" s="47"/>
      <c r="AZ2268" s="70"/>
      <c r="BC2268" s="50"/>
    </row>
    <row r="2269" spans="1:55" s="48" customFormat="1" ht="15.45" customHeight="1" outlineLevel="1" x14ac:dyDescent="0.25">
      <c r="A2269" s="42">
        <v>2</v>
      </c>
      <c r="B2269" s="43" t="s">
        <v>1262</v>
      </c>
      <c r="C2269" s="44" t="s">
        <v>98</v>
      </c>
      <c r="D2269" s="45">
        <v>13.1</v>
      </c>
      <c r="E2269" s="45">
        <v>7.5970000000000004</v>
      </c>
      <c r="F2269" s="45">
        <f t="shared" si="594"/>
        <v>99.520700000000005</v>
      </c>
      <c r="G2269" s="46">
        <f t="shared" si="595"/>
        <v>0</v>
      </c>
      <c r="H2269" s="47">
        <f t="shared" si="596"/>
        <v>0</v>
      </c>
      <c r="I2269" s="46">
        <f t="shared" si="597"/>
        <v>0</v>
      </c>
      <c r="J2269" s="47">
        <v>0</v>
      </c>
      <c r="K2269" s="46">
        <f t="shared" si="598"/>
        <v>0</v>
      </c>
      <c r="L2269" s="47">
        <v>0</v>
      </c>
      <c r="AX2269" s="46"/>
      <c r="AY2269" s="47"/>
      <c r="AZ2269" s="70"/>
      <c r="BC2269" s="50"/>
    </row>
    <row r="2270" spans="1:55" s="48" customFormat="1" ht="15.45" customHeight="1" outlineLevel="1" x14ac:dyDescent="0.25">
      <c r="A2270" s="42">
        <v>3</v>
      </c>
      <c r="B2270" s="43" t="s">
        <v>1263</v>
      </c>
      <c r="C2270" s="44" t="s">
        <v>98</v>
      </c>
      <c r="D2270" s="45">
        <v>13.1</v>
      </c>
      <c r="E2270" s="45">
        <v>7.4440000000000008</v>
      </c>
      <c r="F2270" s="45">
        <f t="shared" si="594"/>
        <v>97.516400000000004</v>
      </c>
      <c r="G2270" s="46">
        <f t="shared" si="595"/>
        <v>0</v>
      </c>
      <c r="H2270" s="47">
        <f t="shared" si="596"/>
        <v>0</v>
      </c>
      <c r="I2270" s="46">
        <f t="shared" si="597"/>
        <v>0</v>
      </c>
      <c r="J2270" s="47">
        <v>0</v>
      </c>
      <c r="K2270" s="46">
        <f t="shared" si="598"/>
        <v>0</v>
      </c>
      <c r="L2270" s="47">
        <v>0</v>
      </c>
      <c r="AX2270" s="46">
        <v>1</v>
      </c>
      <c r="AY2270" s="47">
        <v>5766733.6402624408</v>
      </c>
      <c r="AZ2270" s="70">
        <f t="shared" ref="AZ2270:AZ2293" si="599">H2270-J2270</f>
        <v>0</v>
      </c>
      <c r="BC2270" s="50"/>
    </row>
    <row r="2271" spans="1:55" s="48" customFormat="1" ht="27.75" customHeight="1" outlineLevel="1" x14ac:dyDescent="0.25">
      <c r="A2271" s="42">
        <v>4</v>
      </c>
      <c r="B2271" s="43" t="s">
        <v>1264</v>
      </c>
      <c r="C2271" s="44" t="s">
        <v>110</v>
      </c>
      <c r="D2271" s="45">
        <v>2.4</v>
      </c>
      <c r="E2271" s="45">
        <v>160.56</v>
      </c>
      <c r="F2271" s="45">
        <f t="shared" si="594"/>
        <v>385.34399999999999</v>
      </c>
      <c r="G2271" s="46">
        <f t="shared" si="595"/>
        <v>0</v>
      </c>
      <c r="H2271" s="47">
        <f t="shared" si="596"/>
        <v>0</v>
      </c>
      <c r="I2271" s="46">
        <f t="shared" si="597"/>
        <v>0</v>
      </c>
      <c r="J2271" s="47">
        <v>0</v>
      </c>
      <c r="K2271" s="46">
        <f t="shared" si="598"/>
        <v>0</v>
      </c>
      <c r="L2271" s="47">
        <v>0</v>
      </c>
      <c r="AX2271" s="46">
        <v>1</v>
      </c>
      <c r="AY2271" s="47">
        <v>5766733.6402624408</v>
      </c>
      <c r="AZ2271" s="70">
        <f t="shared" si="599"/>
        <v>0</v>
      </c>
      <c r="BC2271" s="50"/>
    </row>
    <row r="2272" spans="1:55" s="48" customFormat="1" ht="15.45" customHeight="1" outlineLevel="1" x14ac:dyDescent="0.25">
      <c r="A2272" s="42">
        <v>5</v>
      </c>
      <c r="B2272" s="43" t="s">
        <v>42</v>
      </c>
      <c r="C2272" s="44" t="s">
        <v>28</v>
      </c>
      <c r="D2272" s="45">
        <v>7.5999999999999998E-2</v>
      </c>
      <c r="E2272" s="45">
        <v>1325.1</v>
      </c>
      <c r="F2272" s="45">
        <f t="shared" si="594"/>
        <v>100.70759999999999</v>
      </c>
      <c r="G2272" s="46">
        <f t="shared" si="595"/>
        <v>0</v>
      </c>
      <c r="H2272" s="47">
        <f t="shared" si="596"/>
        <v>0</v>
      </c>
      <c r="I2272" s="46">
        <f t="shared" si="597"/>
        <v>0</v>
      </c>
      <c r="J2272" s="47">
        <v>0</v>
      </c>
      <c r="K2272" s="46">
        <f t="shared" si="598"/>
        <v>0</v>
      </c>
      <c r="L2272" s="47">
        <v>0</v>
      </c>
      <c r="AX2272" s="46">
        <v>1</v>
      </c>
      <c r="AY2272" s="47">
        <v>5766733.6402624408</v>
      </c>
      <c r="AZ2272" s="70">
        <f t="shared" si="599"/>
        <v>0</v>
      </c>
      <c r="BC2272" s="50"/>
    </row>
    <row r="2273" spans="1:55" s="48" customFormat="1" ht="15.45" customHeight="1" outlineLevel="1" x14ac:dyDescent="0.25">
      <c r="A2273" s="42">
        <v>6</v>
      </c>
      <c r="B2273" s="43" t="s">
        <v>43</v>
      </c>
      <c r="C2273" s="44" t="s">
        <v>28</v>
      </c>
      <c r="D2273" s="45">
        <v>0.12</v>
      </c>
      <c r="E2273" s="45">
        <v>1200.0999999999999</v>
      </c>
      <c r="F2273" s="45">
        <f t="shared" si="594"/>
        <v>144.01199999999997</v>
      </c>
      <c r="G2273" s="46">
        <f t="shared" si="595"/>
        <v>0</v>
      </c>
      <c r="H2273" s="47">
        <f t="shared" si="596"/>
        <v>0</v>
      </c>
      <c r="I2273" s="46">
        <f t="shared" si="597"/>
        <v>0</v>
      </c>
      <c r="J2273" s="47">
        <v>0</v>
      </c>
      <c r="K2273" s="46">
        <f t="shared" si="598"/>
        <v>0</v>
      </c>
      <c r="L2273" s="47">
        <v>0</v>
      </c>
      <c r="AX2273" s="46">
        <v>0</v>
      </c>
      <c r="AY2273" s="47">
        <v>0</v>
      </c>
      <c r="AZ2273" s="70">
        <f t="shared" si="599"/>
        <v>0</v>
      </c>
      <c r="BC2273" s="50"/>
    </row>
    <row r="2274" spans="1:55" s="48" customFormat="1" ht="15.45" customHeight="1" outlineLevel="1" x14ac:dyDescent="0.25">
      <c r="A2274" s="42">
        <v>7</v>
      </c>
      <c r="B2274" s="43" t="s">
        <v>1265</v>
      </c>
      <c r="C2274" s="44" t="s">
        <v>28</v>
      </c>
      <c r="D2274" s="45">
        <v>3.3000000000000002E-2</v>
      </c>
      <c r="E2274" s="45">
        <v>4108.0276000000003</v>
      </c>
      <c r="F2274" s="45">
        <f t="shared" si="594"/>
        <v>135.56491080000001</v>
      </c>
      <c r="G2274" s="46">
        <f t="shared" si="595"/>
        <v>0</v>
      </c>
      <c r="H2274" s="47">
        <f t="shared" si="596"/>
        <v>0</v>
      </c>
      <c r="I2274" s="46">
        <f t="shared" si="597"/>
        <v>0</v>
      </c>
      <c r="J2274" s="47">
        <v>0</v>
      </c>
      <c r="K2274" s="46">
        <f t="shared" si="598"/>
        <v>0</v>
      </c>
      <c r="L2274" s="47">
        <v>0</v>
      </c>
      <c r="AX2274" s="46">
        <v>0</v>
      </c>
      <c r="AY2274" s="47">
        <v>1038012.055247239</v>
      </c>
      <c r="AZ2274" s="70">
        <f t="shared" si="599"/>
        <v>0</v>
      </c>
      <c r="BC2274" s="50"/>
    </row>
    <row r="2275" spans="1:55" s="48" customFormat="1" ht="27.75" customHeight="1" outlineLevel="1" x14ac:dyDescent="0.25">
      <c r="A2275" s="42">
        <v>8</v>
      </c>
      <c r="B2275" s="43" t="s">
        <v>1266</v>
      </c>
      <c r="C2275" s="44" t="s">
        <v>110</v>
      </c>
      <c r="D2275" s="45">
        <v>0.32</v>
      </c>
      <c r="E2275" s="45">
        <v>143.8486</v>
      </c>
      <c r="F2275" s="45">
        <f t="shared" si="594"/>
        <v>46.031552000000005</v>
      </c>
      <c r="G2275" s="46">
        <f t="shared" si="595"/>
        <v>0</v>
      </c>
      <c r="H2275" s="47">
        <f t="shared" si="596"/>
        <v>0</v>
      </c>
      <c r="I2275" s="46">
        <f t="shared" si="597"/>
        <v>0</v>
      </c>
      <c r="J2275" s="47">
        <v>0</v>
      </c>
      <c r="K2275" s="46">
        <f t="shared" si="598"/>
        <v>0</v>
      </c>
      <c r="L2275" s="47">
        <v>0</v>
      </c>
      <c r="AX2275" s="46">
        <v>0</v>
      </c>
      <c r="AY2275" s="47">
        <v>0</v>
      </c>
      <c r="AZ2275" s="70">
        <f t="shared" si="599"/>
        <v>0</v>
      </c>
      <c r="BC2275" s="50"/>
    </row>
    <row r="2276" spans="1:55" s="48" customFormat="1" ht="15.45" customHeight="1" outlineLevel="1" x14ac:dyDescent="0.25">
      <c r="A2276" s="42">
        <v>9</v>
      </c>
      <c r="B2276" s="43" t="s">
        <v>1267</v>
      </c>
      <c r="C2276" s="44" t="s">
        <v>98</v>
      </c>
      <c r="D2276" s="45">
        <v>2.5</v>
      </c>
      <c r="E2276" s="45">
        <v>1.885</v>
      </c>
      <c r="F2276" s="45">
        <f t="shared" si="594"/>
        <v>4.7125000000000004</v>
      </c>
      <c r="G2276" s="46">
        <f t="shared" si="595"/>
        <v>0</v>
      </c>
      <c r="H2276" s="47">
        <f t="shared" si="596"/>
        <v>0</v>
      </c>
      <c r="I2276" s="46">
        <f t="shared" si="597"/>
        <v>0</v>
      </c>
      <c r="J2276" s="47">
        <v>0</v>
      </c>
      <c r="K2276" s="46">
        <f t="shared" si="598"/>
        <v>0</v>
      </c>
      <c r="L2276" s="47">
        <v>0</v>
      </c>
      <c r="AX2276" s="46">
        <v>0</v>
      </c>
      <c r="AY2276" s="47">
        <v>0</v>
      </c>
      <c r="AZ2276" s="70">
        <f t="shared" si="599"/>
        <v>0</v>
      </c>
      <c r="BC2276" s="50"/>
    </row>
    <row r="2277" spans="1:55" s="48" customFormat="1" ht="15.45" customHeight="1" outlineLevel="1" x14ac:dyDescent="0.25">
      <c r="A2277" s="42">
        <v>10</v>
      </c>
      <c r="B2277" s="43" t="s">
        <v>1262</v>
      </c>
      <c r="C2277" s="44" t="s">
        <v>98</v>
      </c>
      <c r="D2277" s="45">
        <v>25</v>
      </c>
      <c r="E2277" s="45">
        <v>7.5970000000000004</v>
      </c>
      <c r="F2277" s="45">
        <f t="shared" si="594"/>
        <v>189.92500000000001</v>
      </c>
      <c r="G2277" s="46">
        <f t="shared" si="595"/>
        <v>0</v>
      </c>
      <c r="H2277" s="47">
        <f t="shared" si="596"/>
        <v>0</v>
      </c>
      <c r="I2277" s="46">
        <f t="shared" si="597"/>
        <v>0</v>
      </c>
      <c r="J2277" s="47">
        <v>0</v>
      </c>
      <c r="K2277" s="46">
        <f t="shared" si="598"/>
        <v>0</v>
      </c>
      <c r="L2277" s="47">
        <v>0</v>
      </c>
      <c r="AX2277" s="46">
        <v>0</v>
      </c>
      <c r="AY2277" s="47">
        <v>0</v>
      </c>
      <c r="AZ2277" s="70">
        <f t="shared" si="599"/>
        <v>0</v>
      </c>
      <c r="BC2277" s="50"/>
    </row>
    <row r="2278" spans="1:55" s="48" customFormat="1" ht="15.45" customHeight="1" outlineLevel="1" x14ac:dyDescent="0.25">
      <c r="A2278" s="42">
        <v>11</v>
      </c>
      <c r="B2278" s="43" t="s">
        <v>1263</v>
      </c>
      <c r="C2278" s="44" t="s">
        <v>98</v>
      </c>
      <c r="D2278" s="45">
        <v>25</v>
      </c>
      <c r="E2278" s="45">
        <v>7.4440000000000008</v>
      </c>
      <c r="F2278" s="45">
        <f t="shared" si="594"/>
        <v>186.10000000000002</v>
      </c>
      <c r="G2278" s="46">
        <f t="shared" si="595"/>
        <v>0</v>
      </c>
      <c r="H2278" s="47">
        <f t="shared" si="596"/>
        <v>0</v>
      </c>
      <c r="I2278" s="46">
        <f t="shared" si="597"/>
        <v>0</v>
      </c>
      <c r="J2278" s="47">
        <v>0</v>
      </c>
      <c r="K2278" s="46">
        <f t="shared" si="598"/>
        <v>0</v>
      </c>
      <c r="L2278" s="47">
        <v>0</v>
      </c>
      <c r="AX2278" s="46">
        <v>0</v>
      </c>
      <c r="AY2278" s="47">
        <v>0</v>
      </c>
      <c r="AZ2278" s="70">
        <f t="shared" si="599"/>
        <v>0</v>
      </c>
      <c r="BC2278" s="50"/>
    </row>
    <row r="2279" spans="1:55" s="48" customFormat="1" ht="15.45" customHeight="1" outlineLevel="1" x14ac:dyDescent="0.25">
      <c r="A2279" s="42">
        <v>12</v>
      </c>
      <c r="B2279" s="43" t="s">
        <v>1268</v>
      </c>
      <c r="C2279" s="44" t="s">
        <v>110</v>
      </c>
      <c r="D2279" s="45">
        <v>3</v>
      </c>
      <c r="E2279" s="45">
        <v>111.1066</v>
      </c>
      <c r="F2279" s="45">
        <f t="shared" si="594"/>
        <v>333.31979999999999</v>
      </c>
      <c r="G2279" s="46">
        <f t="shared" si="595"/>
        <v>0</v>
      </c>
      <c r="H2279" s="47">
        <f t="shared" si="596"/>
        <v>0</v>
      </c>
      <c r="I2279" s="46">
        <f t="shared" si="597"/>
        <v>0</v>
      </c>
      <c r="J2279" s="47">
        <v>0</v>
      </c>
      <c r="K2279" s="46">
        <f t="shared" si="598"/>
        <v>0</v>
      </c>
      <c r="L2279" s="47">
        <v>0</v>
      </c>
      <c r="AX2279" s="46">
        <v>0</v>
      </c>
      <c r="AY2279" s="47">
        <v>0</v>
      </c>
      <c r="AZ2279" s="70">
        <f t="shared" si="599"/>
        <v>0</v>
      </c>
      <c r="BC2279" s="50"/>
    </row>
    <row r="2280" spans="1:55" s="48" customFormat="1" ht="15.45" customHeight="1" outlineLevel="1" x14ac:dyDescent="0.25">
      <c r="A2280" s="42">
        <v>13</v>
      </c>
      <c r="B2280" s="43" t="s">
        <v>43</v>
      </c>
      <c r="C2280" s="44" t="s">
        <v>28</v>
      </c>
      <c r="D2280" s="45">
        <v>0.11700000000000001</v>
      </c>
      <c r="E2280" s="45">
        <v>1200.0999999999999</v>
      </c>
      <c r="F2280" s="45">
        <f t="shared" si="594"/>
        <v>140.4117</v>
      </c>
      <c r="G2280" s="46">
        <f t="shared" si="595"/>
        <v>0</v>
      </c>
      <c r="H2280" s="47">
        <f t="shared" si="596"/>
        <v>0</v>
      </c>
      <c r="I2280" s="46">
        <f t="shared" si="597"/>
        <v>0</v>
      </c>
      <c r="J2280" s="47">
        <v>0</v>
      </c>
      <c r="K2280" s="46">
        <f t="shared" si="598"/>
        <v>0</v>
      </c>
      <c r="L2280" s="47">
        <v>0</v>
      </c>
      <c r="AX2280" s="46">
        <v>0</v>
      </c>
      <c r="AY2280" s="47">
        <v>0</v>
      </c>
      <c r="AZ2280" s="70">
        <f t="shared" si="599"/>
        <v>0</v>
      </c>
      <c r="BC2280" s="50"/>
    </row>
    <row r="2281" spans="1:55" s="56" customFormat="1" ht="17.25" customHeight="1" x14ac:dyDescent="0.3">
      <c r="A2281" s="31">
        <v>26.3</v>
      </c>
      <c r="B2281" s="51" t="s">
        <v>1269</v>
      </c>
      <c r="C2281" s="52">
        <v>0</v>
      </c>
      <c r="D2281" s="53"/>
      <c r="E2281" s="53"/>
      <c r="F2281" s="53"/>
      <c r="G2281" s="54"/>
      <c r="H2281" s="55"/>
      <c r="I2281" s="54"/>
      <c r="J2281" s="55"/>
      <c r="K2281" s="54"/>
      <c r="L2281" s="55">
        <v>0</v>
      </c>
      <c r="AX2281" s="69">
        <v>0</v>
      </c>
      <c r="AY2281" s="71">
        <v>0</v>
      </c>
      <c r="AZ2281" s="72">
        <f t="shared" si="599"/>
        <v>0</v>
      </c>
      <c r="BC2281" s="58"/>
    </row>
    <row r="2282" spans="1:55" s="48" customFormat="1" ht="27.75" customHeight="1" outlineLevel="1" x14ac:dyDescent="0.25">
      <c r="A2282" s="42">
        <v>1</v>
      </c>
      <c r="B2282" s="43" t="s">
        <v>1270</v>
      </c>
      <c r="C2282" s="44" t="s">
        <v>28</v>
      </c>
      <c r="D2282" s="45">
        <v>0.38700000000000001</v>
      </c>
      <c r="E2282" s="45">
        <v>2738.8714</v>
      </c>
      <c r="F2282" s="45">
        <f t="shared" ref="F2282:F2289" si="600">+E2282*D2282</f>
        <v>1059.9432317999999</v>
      </c>
      <c r="G2282" s="46">
        <f t="shared" ref="G2282:H2289" si="601">I2282+K2282</f>
        <v>0</v>
      </c>
      <c r="H2282" s="47">
        <f t="shared" si="601"/>
        <v>0</v>
      </c>
      <c r="I2282" s="46">
        <f t="shared" ref="I2282:I2289" si="602">J2282/F2282</f>
        <v>0</v>
      </c>
      <c r="J2282" s="47">
        <v>0</v>
      </c>
      <c r="K2282" s="46">
        <f t="shared" ref="K2282:K2289" si="603">L2282/F2282</f>
        <v>0</v>
      </c>
      <c r="L2282" s="47">
        <v>0</v>
      </c>
      <c r="AX2282" s="46">
        <v>0</v>
      </c>
      <c r="AY2282" s="47">
        <v>0</v>
      </c>
      <c r="AZ2282" s="70">
        <f t="shared" si="599"/>
        <v>0</v>
      </c>
      <c r="BC2282" s="50"/>
    </row>
    <row r="2283" spans="1:55" s="48" customFormat="1" ht="27.75" customHeight="1" outlineLevel="1" x14ac:dyDescent="0.25">
      <c r="A2283" s="42">
        <v>2</v>
      </c>
      <c r="B2283" s="43" t="s">
        <v>1271</v>
      </c>
      <c r="C2283" s="44" t="s">
        <v>28</v>
      </c>
      <c r="D2283" s="45">
        <v>0.158</v>
      </c>
      <c r="E2283" s="45">
        <v>2816.6260000000002</v>
      </c>
      <c r="F2283" s="45">
        <f t="shared" si="600"/>
        <v>445.02690800000005</v>
      </c>
      <c r="G2283" s="46">
        <f t="shared" si="601"/>
        <v>0</v>
      </c>
      <c r="H2283" s="47">
        <f t="shared" si="601"/>
        <v>0</v>
      </c>
      <c r="I2283" s="46">
        <f t="shared" si="602"/>
        <v>0</v>
      </c>
      <c r="J2283" s="47">
        <v>0</v>
      </c>
      <c r="K2283" s="46">
        <f t="shared" si="603"/>
        <v>0</v>
      </c>
      <c r="L2283" s="47">
        <v>0</v>
      </c>
      <c r="AX2283" s="46">
        <v>0</v>
      </c>
      <c r="AY2283" s="47">
        <v>0</v>
      </c>
      <c r="AZ2283" s="70">
        <f t="shared" si="599"/>
        <v>0</v>
      </c>
      <c r="BC2283" s="50"/>
    </row>
    <row r="2284" spans="1:55" s="48" customFormat="1" ht="15.45" customHeight="1" outlineLevel="1" x14ac:dyDescent="0.25">
      <c r="A2284" s="42">
        <v>3</v>
      </c>
      <c r="B2284" s="43" t="s">
        <v>176</v>
      </c>
      <c r="C2284" s="44" t="s">
        <v>61</v>
      </c>
      <c r="D2284" s="45">
        <v>10.8</v>
      </c>
      <c r="E2284" s="45">
        <v>40.9</v>
      </c>
      <c r="F2284" s="45">
        <f t="shared" si="600"/>
        <v>441.72</v>
      </c>
      <c r="G2284" s="46">
        <f t="shared" si="601"/>
        <v>0</v>
      </c>
      <c r="H2284" s="47">
        <f t="shared" si="601"/>
        <v>0</v>
      </c>
      <c r="I2284" s="46">
        <f t="shared" si="602"/>
        <v>0</v>
      </c>
      <c r="J2284" s="47">
        <v>0</v>
      </c>
      <c r="K2284" s="46">
        <f t="shared" si="603"/>
        <v>0</v>
      </c>
      <c r="L2284" s="47">
        <v>0</v>
      </c>
      <c r="AX2284" s="46">
        <v>0</v>
      </c>
      <c r="AY2284" s="47">
        <v>0</v>
      </c>
      <c r="AZ2284" s="70">
        <f t="shared" si="599"/>
        <v>0</v>
      </c>
      <c r="BC2284" s="50"/>
    </row>
    <row r="2285" spans="1:55" s="48" customFormat="1" ht="15.45" customHeight="1" outlineLevel="1" x14ac:dyDescent="0.25">
      <c r="A2285" s="42">
        <v>4</v>
      </c>
      <c r="B2285" s="43" t="s">
        <v>1272</v>
      </c>
      <c r="C2285" s="44" t="s">
        <v>28</v>
      </c>
      <c r="D2285" s="45">
        <v>0.17100000000000001</v>
      </c>
      <c r="E2285" s="45">
        <v>2593.9274</v>
      </c>
      <c r="F2285" s="45">
        <f t="shared" si="600"/>
        <v>443.56158540000001</v>
      </c>
      <c r="G2285" s="46">
        <f t="shared" si="601"/>
        <v>0</v>
      </c>
      <c r="H2285" s="47">
        <f t="shared" si="601"/>
        <v>0</v>
      </c>
      <c r="I2285" s="46">
        <f t="shared" si="602"/>
        <v>0</v>
      </c>
      <c r="J2285" s="47">
        <v>0</v>
      </c>
      <c r="K2285" s="46">
        <f t="shared" si="603"/>
        <v>0</v>
      </c>
      <c r="L2285" s="47">
        <v>0</v>
      </c>
      <c r="AX2285" s="46">
        <v>0</v>
      </c>
      <c r="AY2285" s="47">
        <v>0</v>
      </c>
      <c r="AZ2285" s="70">
        <f t="shared" si="599"/>
        <v>0</v>
      </c>
      <c r="BC2285" s="50"/>
    </row>
    <row r="2286" spans="1:55" s="48" customFormat="1" ht="27.75" customHeight="1" outlineLevel="1" x14ac:dyDescent="0.25">
      <c r="A2286" s="42">
        <v>5</v>
      </c>
      <c r="B2286" s="43" t="s">
        <v>1273</v>
      </c>
      <c r="C2286" s="44" t="s">
        <v>98</v>
      </c>
      <c r="D2286" s="45">
        <v>18</v>
      </c>
      <c r="E2286" s="45">
        <v>9.4635999999999996</v>
      </c>
      <c r="F2286" s="45">
        <f t="shared" si="600"/>
        <v>170.34479999999999</v>
      </c>
      <c r="G2286" s="46">
        <f t="shared" si="601"/>
        <v>0</v>
      </c>
      <c r="H2286" s="47">
        <f t="shared" si="601"/>
        <v>0</v>
      </c>
      <c r="I2286" s="46">
        <f t="shared" si="602"/>
        <v>0</v>
      </c>
      <c r="J2286" s="47">
        <v>0</v>
      </c>
      <c r="K2286" s="46">
        <f t="shared" si="603"/>
        <v>0</v>
      </c>
      <c r="L2286" s="47">
        <v>0</v>
      </c>
      <c r="AX2286" s="46">
        <v>0</v>
      </c>
      <c r="AY2286" s="47">
        <v>0</v>
      </c>
      <c r="AZ2286" s="70">
        <f t="shared" si="599"/>
        <v>0</v>
      </c>
      <c r="BC2286" s="50"/>
    </row>
    <row r="2287" spans="1:55" s="48" customFormat="1" ht="27.75" customHeight="1" outlineLevel="1" x14ac:dyDescent="0.25">
      <c r="A2287" s="42">
        <v>6</v>
      </c>
      <c r="B2287" s="43" t="s">
        <v>1274</v>
      </c>
      <c r="C2287" s="44" t="s">
        <v>28</v>
      </c>
      <c r="D2287" s="45">
        <v>8.6999999999999994E-2</v>
      </c>
      <c r="E2287" s="45">
        <v>3178.6444000000001</v>
      </c>
      <c r="F2287" s="45">
        <f t="shared" si="600"/>
        <v>276.5420628</v>
      </c>
      <c r="G2287" s="46">
        <f t="shared" si="601"/>
        <v>0</v>
      </c>
      <c r="H2287" s="47">
        <f t="shared" si="601"/>
        <v>0</v>
      </c>
      <c r="I2287" s="46">
        <f t="shared" si="602"/>
        <v>0</v>
      </c>
      <c r="J2287" s="47">
        <v>0</v>
      </c>
      <c r="K2287" s="46">
        <f t="shared" si="603"/>
        <v>0</v>
      </c>
      <c r="L2287" s="47">
        <v>0</v>
      </c>
      <c r="AX2287" s="46">
        <v>0</v>
      </c>
      <c r="AY2287" s="47">
        <v>0</v>
      </c>
      <c r="AZ2287" s="70">
        <f t="shared" si="599"/>
        <v>0</v>
      </c>
      <c r="BC2287" s="50"/>
    </row>
    <row r="2288" spans="1:55" s="48" customFormat="1" ht="15.45" customHeight="1" outlineLevel="1" x14ac:dyDescent="0.25">
      <c r="A2288" s="42">
        <v>7</v>
      </c>
      <c r="B2288" s="43" t="s">
        <v>922</v>
      </c>
      <c r="C2288" s="44" t="s">
        <v>98</v>
      </c>
      <c r="D2288" s="45">
        <v>18</v>
      </c>
      <c r="E2288" s="45">
        <v>1.5382</v>
      </c>
      <c r="F2288" s="45">
        <f t="shared" si="600"/>
        <v>27.6876</v>
      </c>
      <c r="G2288" s="46">
        <f t="shared" si="601"/>
        <v>0</v>
      </c>
      <c r="H2288" s="47">
        <f t="shared" si="601"/>
        <v>0</v>
      </c>
      <c r="I2288" s="46">
        <f t="shared" si="602"/>
        <v>0</v>
      </c>
      <c r="J2288" s="47">
        <v>0</v>
      </c>
      <c r="K2288" s="46">
        <f t="shared" si="603"/>
        <v>0</v>
      </c>
      <c r="L2288" s="47">
        <v>0</v>
      </c>
      <c r="AX2288" s="46">
        <v>0</v>
      </c>
      <c r="AY2288" s="47">
        <v>0</v>
      </c>
      <c r="AZ2288" s="70">
        <f t="shared" si="599"/>
        <v>0</v>
      </c>
      <c r="BC2288" s="50"/>
    </row>
    <row r="2289" spans="1:55" s="48" customFormat="1" ht="15.45" customHeight="1" outlineLevel="1" x14ac:dyDescent="0.25">
      <c r="A2289" s="42">
        <v>8</v>
      </c>
      <c r="B2289" s="43" t="s">
        <v>1275</v>
      </c>
      <c r="C2289" s="44" t="s">
        <v>98</v>
      </c>
      <c r="D2289" s="45">
        <v>18</v>
      </c>
      <c r="E2289" s="45">
        <v>0.95300000000000007</v>
      </c>
      <c r="F2289" s="45">
        <f t="shared" si="600"/>
        <v>17.154</v>
      </c>
      <c r="G2289" s="46">
        <f t="shared" si="601"/>
        <v>0</v>
      </c>
      <c r="H2289" s="47">
        <f t="shared" si="601"/>
        <v>0</v>
      </c>
      <c r="I2289" s="46">
        <f t="shared" si="602"/>
        <v>0</v>
      </c>
      <c r="J2289" s="47">
        <v>0</v>
      </c>
      <c r="K2289" s="46">
        <f t="shared" si="603"/>
        <v>0</v>
      </c>
      <c r="L2289" s="47">
        <v>0</v>
      </c>
      <c r="AX2289" s="46">
        <v>0</v>
      </c>
      <c r="AY2289" s="47">
        <v>0</v>
      </c>
      <c r="AZ2289" s="70">
        <f t="shared" si="599"/>
        <v>0</v>
      </c>
      <c r="BC2289" s="50"/>
    </row>
    <row r="2290" spans="1:55" s="56" customFormat="1" ht="17.25" customHeight="1" x14ac:dyDescent="0.3">
      <c r="A2290" s="31">
        <v>26.4</v>
      </c>
      <c r="B2290" s="51" t="s">
        <v>1276</v>
      </c>
      <c r="C2290" s="52">
        <v>0</v>
      </c>
      <c r="D2290" s="53"/>
      <c r="E2290" s="53"/>
      <c r="F2290" s="53"/>
      <c r="G2290" s="54"/>
      <c r="H2290" s="55"/>
      <c r="I2290" s="54"/>
      <c r="J2290" s="55"/>
      <c r="K2290" s="54"/>
      <c r="L2290" s="55">
        <v>0</v>
      </c>
      <c r="AX2290" s="69">
        <v>0</v>
      </c>
      <c r="AY2290" s="71">
        <v>0</v>
      </c>
      <c r="AZ2290" s="72">
        <f t="shared" si="599"/>
        <v>0</v>
      </c>
      <c r="BC2290" s="58"/>
    </row>
    <row r="2291" spans="1:55" s="48" customFormat="1" ht="48.75" customHeight="1" outlineLevel="1" x14ac:dyDescent="0.25">
      <c r="A2291" s="42">
        <v>1</v>
      </c>
      <c r="B2291" s="43" t="s">
        <v>82</v>
      </c>
      <c r="C2291" s="44" t="s">
        <v>110</v>
      </c>
      <c r="D2291" s="45">
        <v>0.92800000000000005</v>
      </c>
      <c r="E2291" s="45">
        <v>793.13980000000004</v>
      </c>
      <c r="F2291" s="45">
        <f t="shared" ref="F2291:F2301" si="604">+E2291*D2291</f>
        <v>736.03373440000007</v>
      </c>
      <c r="G2291" s="46">
        <f t="shared" ref="G2291:G2301" si="605">I2291+K2291</f>
        <v>0</v>
      </c>
      <c r="H2291" s="47">
        <f t="shared" ref="H2291:H2301" si="606">J2291+L2291</f>
        <v>0</v>
      </c>
      <c r="I2291" s="46">
        <f t="shared" ref="I2291:I2301" si="607">J2291/F2291</f>
        <v>0</v>
      </c>
      <c r="J2291" s="47">
        <v>0</v>
      </c>
      <c r="K2291" s="46">
        <f t="shared" ref="K2291:K2301" si="608">L2291/F2291</f>
        <v>0</v>
      </c>
      <c r="L2291" s="47">
        <v>0</v>
      </c>
      <c r="AX2291" s="46">
        <v>0.75757585000000005</v>
      </c>
      <c r="AY2291" s="47">
        <v>50000.006099999999</v>
      </c>
      <c r="AZ2291" s="70">
        <f t="shared" si="599"/>
        <v>0</v>
      </c>
      <c r="BC2291" s="50"/>
    </row>
    <row r="2292" spans="1:55" s="48" customFormat="1" ht="27.75" customHeight="1" outlineLevel="1" x14ac:dyDescent="0.25">
      <c r="A2292" s="42">
        <v>2</v>
      </c>
      <c r="B2292" s="43" t="s">
        <v>1277</v>
      </c>
      <c r="C2292" s="44" t="s">
        <v>98</v>
      </c>
      <c r="D2292" s="45">
        <v>26.3</v>
      </c>
      <c r="E2292" s="45">
        <v>18.470199999999998</v>
      </c>
      <c r="F2292" s="45">
        <f t="shared" si="604"/>
        <v>485.76625999999999</v>
      </c>
      <c r="G2292" s="46">
        <f t="shared" si="605"/>
        <v>0</v>
      </c>
      <c r="H2292" s="47">
        <f t="shared" si="606"/>
        <v>0</v>
      </c>
      <c r="I2292" s="46">
        <f t="shared" si="607"/>
        <v>0</v>
      </c>
      <c r="J2292" s="47">
        <v>0</v>
      </c>
      <c r="K2292" s="46">
        <f t="shared" si="608"/>
        <v>0</v>
      </c>
      <c r="L2292" s="47">
        <v>0</v>
      </c>
      <c r="AX2292" s="46">
        <v>0</v>
      </c>
      <c r="AY2292" s="47">
        <v>0</v>
      </c>
      <c r="AZ2292" s="70">
        <f t="shared" si="599"/>
        <v>0</v>
      </c>
      <c r="BC2292" s="50"/>
    </row>
    <row r="2293" spans="1:55" s="48" customFormat="1" ht="15.45" customHeight="1" outlineLevel="1" x14ac:dyDescent="0.25">
      <c r="A2293" s="42">
        <v>3</v>
      </c>
      <c r="B2293" s="43" t="s">
        <v>835</v>
      </c>
      <c r="C2293" s="44" t="s">
        <v>98</v>
      </c>
      <c r="D2293" s="45">
        <v>26.3</v>
      </c>
      <c r="E2293" s="45">
        <v>1.7218</v>
      </c>
      <c r="F2293" s="45">
        <f t="shared" si="604"/>
        <v>45.283340000000003</v>
      </c>
      <c r="G2293" s="46">
        <f t="shared" si="605"/>
        <v>0</v>
      </c>
      <c r="H2293" s="47">
        <f t="shared" si="606"/>
        <v>0</v>
      </c>
      <c r="I2293" s="46">
        <f t="shared" si="607"/>
        <v>0</v>
      </c>
      <c r="J2293" s="47">
        <v>0</v>
      </c>
      <c r="K2293" s="46">
        <f t="shared" si="608"/>
        <v>0</v>
      </c>
      <c r="L2293" s="47">
        <v>0</v>
      </c>
      <c r="AX2293" s="46">
        <v>0</v>
      </c>
      <c r="AY2293" s="47">
        <v>0</v>
      </c>
      <c r="AZ2293" s="70">
        <f t="shared" si="599"/>
        <v>0</v>
      </c>
      <c r="BC2293" s="50"/>
    </row>
    <row r="2294" spans="1:55" s="48" customFormat="1" ht="15.45" customHeight="1" outlineLevel="1" x14ac:dyDescent="0.25">
      <c r="A2294" s="42">
        <v>4</v>
      </c>
      <c r="B2294" s="43" t="s">
        <v>1278</v>
      </c>
      <c r="C2294" s="44" t="s">
        <v>645</v>
      </c>
      <c r="D2294" s="45">
        <v>22</v>
      </c>
      <c r="E2294" s="45">
        <v>3.168200000000001</v>
      </c>
      <c r="F2294" s="45">
        <f t="shared" si="604"/>
        <v>69.700400000000016</v>
      </c>
      <c r="G2294" s="46">
        <f t="shared" si="605"/>
        <v>0</v>
      </c>
      <c r="H2294" s="47">
        <f t="shared" si="606"/>
        <v>0</v>
      </c>
      <c r="I2294" s="46">
        <f t="shared" si="607"/>
        <v>0</v>
      </c>
      <c r="J2294" s="47">
        <v>0</v>
      </c>
      <c r="K2294" s="46">
        <f t="shared" si="608"/>
        <v>0</v>
      </c>
      <c r="L2294" s="47">
        <v>0</v>
      </c>
      <c r="AX2294" s="46"/>
      <c r="AY2294" s="47"/>
      <c r="AZ2294" s="70"/>
      <c r="BC2294" s="50"/>
    </row>
    <row r="2295" spans="1:55" s="48" customFormat="1" ht="15.45" customHeight="1" outlineLevel="1" x14ac:dyDescent="0.25">
      <c r="A2295" s="42">
        <v>5</v>
      </c>
      <c r="B2295" s="43" t="s">
        <v>86</v>
      </c>
      <c r="C2295" s="44" t="s">
        <v>61</v>
      </c>
      <c r="D2295" s="45">
        <v>16</v>
      </c>
      <c r="E2295" s="45">
        <v>7.2808000000000002</v>
      </c>
      <c r="F2295" s="45">
        <f t="shared" si="604"/>
        <v>116.4928</v>
      </c>
      <c r="G2295" s="46">
        <f t="shared" si="605"/>
        <v>0</v>
      </c>
      <c r="H2295" s="47">
        <f t="shared" si="606"/>
        <v>0</v>
      </c>
      <c r="I2295" s="46">
        <f t="shared" si="607"/>
        <v>0</v>
      </c>
      <c r="J2295" s="47">
        <v>0</v>
      </c>
      <c r="K2295" s="46">
        <f t="shared" si="608"/>
        <v>0</v>
      </c>
      <c r="L2295" s="47">
        <v>0</v>
      </c>
      <c r="AX2295" s="46"/>
      <c r="AY2295" s="47"/>
      <c r="AZ2295" s="70"/>
      <c r="BC2295" s="50"/>
    </row>
    <row r="2296" spans="1:55" s="48" customFormat="1" ht="15.45" customHeight="1" outlineLevel="1" x14ac:dyDescent="0.25">
      <c r="A2296" s="42">
        <v>6</v>
      </c>
      <c r="B2296" s="43" t="s">
        <v>1279</v>
      </c>
      <c r="C2296" s="44" t="s">
        <v>645</v>
      </c>
      <c r="D2296" s="45">
        <v>16</v>
      </c>
      <c r="E2296" s="45">
        <v>2.4847999999999999</v>
      </c>
      <c r="F2296" s="45">
        <f t="shared" si="604"/>
        <v>39.756799999999998</v>
      </c>
      <c r="G2296" s="46">
        <f t="shared" si="605"/>
        <v>0</v>
      </c>
      <c r="H2296" s="47">
        <f t="shared" si="606"/>
        <v>0</v>
      </c>
      <c r="I2296" s="46">
        <f t="shared" si="607"/>
        <v>0</v>
      </c>
      <c r="J2296" s="47">
        <v>0</v>
      </c>
      <c r="K2296" s="46">
        <f t="shared" si="608"/>
        <v>0</v>
      </c>
      <c r="L2296" s="47">
        <v>0</v>
      </c>
      <c r="AX2296" s="46"/>
      <c r="AY2296" s="47"/>
      <c r="AZ2296" s="70"/>
      <c r="BC2296" s="50"/>
    </row>
    <row r="2297" spans="1:55" s="48" customFormat="1" ht="15.45" customHeight="1" outlineLevel="1" x14ac:dyDescent="0.25">
      <c r="A2297" s="42">
        <v>7</v>
      </c>
      <c r="B2297" s="43" t="s">
        <v>734</v>
      </c>
      <c r="C2297" s="44" t="s">
        <v>61</v>
      </c>
      <c r="D2297" s="45">
        <v>14</v>
      </c>
      <c r="E2297" s="45">
        <v>11.411799999999999</v>
      </c>
      <c r="F2297" s="45">
        <f t="shared" si="604"/>
        <v>159.76519999999999</v>
      </c>
      <c r="G2297" s="46">
        <f t="shared" si="605"/>
        <v>0</v>
      </c>
      <c r="H2297" s="47">
        <f t="shared" si="606"/>
        <v>0</v>
      </c>
      <c r="I2297" s="46">
        <f t="shared" si="607"/>
        <v>0</v>
      </c>
      <c r="J2297" s="47">
        <v>0</v>
      </c>
      <c r="K2297" s="46">
        <f t="shared" si="608"/>
        <v>0</v>
      </c>
      <c r="L2297" s="47">
        <v>0</v>
      </c>
      <c r="AX2297" s="46"/>
      <c r="AY2297" s="47"/>
      <c r="AZ2297" s="70"/>
      <c r="BC2297" s="50"/>
    </row>
    <row r="2298" spans="1:55" s="48" customFormat="1" ht="15.45" customHeight="1" outlineLevel="1" x14ac:dyDescent="0.25">
      <c r="A2298" s="42">
        <v>8</v>
      </c>
      <c r="B2298" s="43" t="s">
        <v>836</v>
      </c>
      <c r="C2298" s="44" t="s">
        <v>93</v>
      </c>
      <c r="D2298" s="45">
        <v>2</v>
      </c>
      <c r="E2298" s="45">
        <v>5.6487999999999996</v>
      </c>
      <c r="F2298" s="45">
        <f t="shared" si="604"/>
        <v>11.297599999999999</v>
      </c>
      <c r="G2298" s="46">
        <f t="shared" si="605"/>
        <v>0</v>
      </c>
      <c r="H2298" s="47">
        <f t="shared" si="606"/>
        <v>0</v>
      </c>
      <c r="I2298" s="46">
        <f t="shared" si="607"/>
        <v>0</v>
      </c>
      <c r="J2298" s="47">
        <v>0</v>
      </c>
      <c r="K2298" s="46">
        <f t="shared" si="608"/>
        <v>0</v>
      </c>
      <c r="L2298" s="47">
        <v>0</v>
      </c>
      <c r="AX2298" s="46"/>
      <c r="AY2298" s="47"/>
      <c r="AZ2298" s="70"/>
      <c r="BC2298" s="50"/>
    </row>
    <row r="2299" spans="1:55" s="48" customFormat="1" ht="27.75" customHeight="1" outlineLevel="1" x14ac:dyDescent="0.25">
      <c r="A2299" s="42">
        <v>9</v>
      </c>
      <c r="B2299" s="43" t="s">
        <v>1280</v>
      </c>
      <c r="C2299" s="44" t="s">
        <v>28</v>
      </c>
      <c r="D2299" s="45">
        <v>2.4E-2</v>
      </c>
      <c r="E2299" s="45">
        <v>5545.6257999999998</v>
      </c>
      <c r="F2299" s="45">
        <f t="shared" si="604"/>
        <v>133.0950192</v>
      </c>
      <c r="G2299" s="46">
        <f t="shared" si="605"/>
        <v>0</v>
      </c>
      <c r="H2299" s="47">
        <f t="shared" si="606"/>
        <v>0</v>
      </c>
      <c r="I2299" s="46">
        <f t="shared" si="607"/>
        <v>0</v>
      </c>
      <c r="J2299" s="47">
        <v>0</v>
      </c>
      <c r="K2299" s="46">
        <f t="shared" si="608"/>
        <v>0</v>
      </c>
      <c r="L2299" s="47">
        <v>0</v>
      </c>
      <c r="AX2299" s="46"/>
      <c r="AY2299" s="47"/>
      <c r="AZ2299" s="70"/>
      <c r="BC2299" s="50"/>
    </row>
    <row r="2300" spans="1:55" s="48" customFormat="1" ht="15.45" customHeight="1" outlineLevel="1" x14ac:dyDescent="0.25">
      <c r="A2300" s="42">
        <v>10</v>
      </c>
      <c r="B2300" s="43" t="s">
        <v>1265</v>
      </c>
      <c r="C2300" s="44" t="s">
        <v>28</v>
      </c>
      <c r="D2300" s="45">
        <v>3.1E-2</v>
      </c>
      <c r="E2300" s="45">
        <v>4108.0276000000003</v>
      </c>
      <c r="F2300" s="45">
        <f t="shared" si="604"/>
        <v>127.34885560000001</v>
      </c>
      <c r="G2300" s="46">
        <f t="shared" si="605"/>
        <v>0</v>
      </c>
      <c r="H2300" s="47">
        <f t="shared" si="606"/>
        <v>0</v>
      </c>
      <c r="I2300" s="46">
        <f t="shared" si="607"/>
        <v>0</v>
      </c>
      <c r="J2300" s="47">
        <v>0</v>
      </c>
      <c r="K2300" s="46">
        <f t="shared" si="608"/>
        <v>0</v>
      </c>
      <c r="L2300" s="47">
        <v>0</v>
      </c>
      <c r="AX2300" s="46"/>
      <c r="AY2300" s="47"/>
      <c r="AZ2300" s="70"/>
      <c r="BC2300" s="50"/>
    </row>
    <row r="2301" spans="1:55" s="59" customFormat="1" ht="27.75" customHeight="1" outlineLevel="1" x14ac:dyDescent="0.35">
      <c r="A2301" s="42">
        <v>11</v>
      </c>
      <c r="B2301" s="43" t="s">
        <v>1281</v>
      </c>
      <c r="C2301" s="44" t="s">
        <v>98</v>
      </c>
      <c r="D2301" s="45">
        <v>14.75</v>
      </c>
      <c r="E2301" s="45">
        <v>26.558800000000009</v>
      </c>
      <c r="F2301" s="45">
        <f t="shared" si="604"/>
        <v>391.74230000000011</v>
      </c>
      <c r="G2301" s="46">
        <f t="shared" si="605"/>
        <v>0</v>
      </c>
      <c r="H2301" s="47">
        <f t="shared" si="606"/>
        <v>0</v>
      </c>
      <c r="I2301" s="46">
        <f t="shared" si="607"/>
        <v>0</v>
      </c>
      <c r="J2301" s="47">
        <v>0</v>
      </c>
      <c r="K2301" s="46">
        <f t="shared" si="608"/>
        <v>0</v>
      </c>
      <c r="L2301" s="47">
        <v>0</v>
      </c>
      <c r="AX2301" s="73"/>
      <c r="AY2301" s="74"/>
      <c r="AZ2301" s="75"/>
      <c r="BC2301" s="61"/>
    </row>
    <row r="2302" spans="1:55" s="56" customFormat="1" ht="17.25" customHeight="1" x14ac:dyDescent="0.3">
      <c r="A2302" s="31">
        <v>26.5</v>
      </c>
      <c r="B2302" s="51" t="s">
        <v>1282</v>
      </c>
      <c r="C2302" s="52">
        <v>0</v>
      </c>
      <c r="D2302" s="53"/>
      <c r="E2302" s="53"/>
      <c r="F2302" s="53"/>
      <c r="G2302" s="54"/>
      <c r="H2302" s="55"/>
      <c r="I2302" s="54"/>
      <c r="J2302" s="55"/>
      <c r="K2302" s="54"/>
      <c r="L2302" s="55">
        <v>0</v>
      </c>
      <c r="AX2302" s="69"/>
      <c r="AY2302" s="71"/>
      <c r="AZ2302" s="72"/>
      <c r="BC2302" s="58"/>
    </row>
    <row r="2303" spans="1:55" s="48" customFormat="1" ht="15.45" customHeight="1" outlineLevel="1" x14ac:dyDescent="0.25">
      <c r="A2303" s="42">
        <v>1</v>
      </c>
      <c r="B2303" s="43" t="s">
        <v>1283</v>
      </c>
      <c r="C2303" s="44" t="s">
        <v>110</v>
      </c>
      <c r="D2303" s="45">
        <v>0.23799999999999999</v>
      </c>
      <c r="E2303" s="45">
        <v>656.26600000000008</v>
      </c>
      <c r="F2303" s="45">
        <f>+E2303*D2303</f>
        <v>156.19130800000002</v>
      </c>
      <c r="G2303" s="46">
        <f>I2303+K2303</f>
        <v>0</v>
      </c>
      <c r="H2303" s="47">
        <f>J2303+L2303</f>
        <v>0</v>
      </c>
      <c r="I2303" s="46">
        <f>J2303/F2303</f>
        <v>0</v>
      </c>
      <c r="J2303" s="47">
        <v>0</v>
      </c>
      <c r="K2303" s="46">
        <f>L2303/F2303</f>
        <v>0</v>
      </c>
      <c r="L2303" s="47">
        <v>0</v>
      </c>
      <c r="AX2303" s="46"/>
      <c r="AY2303" s="47"/>
      <c r="AZ2303" s="70"/>
      <c r="BC2303" s="50"/>
    </row>
    <row r="2304" spans="1:55" s="48" customFormat="1" ht="15.45" customHeight="1" outlineLevel="1" x14ac:dyDescent="0.25">
      <c r="A2304" s="42">
        <v>2</v>
      </c>
      <c r="B2304" s="43" t="s">
        <v>749</v>
      </c>
      <c r="C2304" s="44" t="s">
        <v>98</v>
      </c>
      <c r="D2304" s="45">
        <v>18</v>
      </c>
      <c r="E2304" s="45">
        <v>2.2113999999999998</v>
      </c>
      <c r="F2304" s="45">
        <f>+E2304*D2304</f>
        <v>39.805199999999999</v>
      </c>
      <c r="G2304" s="46">
        <f>I2304+K2304</f>
        <v>0</v>
      </c>
      <c r="H2304" s="47">
        <f>J2304+L2304</f>
        <v>0</v>
      </c>
      <c r="I2304" s="46">
        <f>J2304/F2304</f>
        <v>0</v>
      </c>
      <c r="J2304" s="47">
        <v>0</v>
      </c>
      <c r="K2304" s="46">
        <f>L2304/F2304</f>
        <v>0</v>
      </c>
      <c r="L2304" s="47">
        <v>0</v>
      </c>
      <c r="AX2304" s="46"/>
      <c r="AY2304" s="47"/>
      <c r="AZ2304" s="70"/>
      <c r="BC2304" s="50"/>
    </row>
    <row r="2305" spans="1:55" s="56" customFormat="1" ht="17.25" customHeight="1" x14ac:dyDescent="0.3">
      <c r="A2305" s="31">
        <v>26.6</v>
      </c>
      <c r="B2305" s="51" t="s">
        <v>1284</v>
      </c>
      <c r="C2305" s="52">
        <v>0</v>
      </c>
      <c r="D2305" s="53"/>
      <c r="E2305" s="53"/>
      <c r="F2305" s="53"/>
      <c r="G2305" s="54"/>
      <c r="H2305" s="55"/>
      <c r="I2305" s="54"/>
      <c r="J2305" s="55"/>
      <c r="K2305" s="54"/>
      <c r="L2305" s="55">
        <v>0</v>
      </c>
      <c r="AX2305" s="69">
        <v>1</v>
      </c>
      <c r="AY2305" s="71">
        <v>5766733.6402624408</v>
      </c>
      <c r="AZ2305" s="72">
        <f>H2305-J2305</f>
        <v>0</v>
      </c>
      <c r="BC2305" s="58"/>
    </row>
    <row r="2306" spans="1:55" s="48" customFormat="1" ht="15.45" customHeight="1" outlineLevel="1" x14ac:dyDescent="0.25">
      <c r="A2306" s="42">
        <v>1</v>
      </c>
      <c r="B2306" s="43" t="s">
        <v>117</v>
      </c>
      <c r="C2306" s="44" t="s">
        <v>98</v>
      </c>
      <c r="D2306" s="45">
        <v>17.66</v>
      </c>
      <c r="E2306" s="45">
        <v>5.4732580000000004</v>
      </c>
      <c r="F2306" s="45">
        <f>+E2306*D2306</f>
        <v>96.657736280000009</v>
      </c>
      <c r="G2306" s="46">
        <f t="shared" ref="G2306:H2308" si="609">I2306+K2306</f>
        <v>0</v>
      </c>
      <c r="H2306" s="47">
        <f t="shared" si="609"/>
        <v>0</v>
      </c>
      <c r="I2306" s="46">
        <f>J2306/F2306</f>
        <v>0</v>
      </c>
      <c r="J2306" s="47">
        <v>0</v>
      </c>
      <c r="K2306" s="46">
        <f>L2306/F2306</f>
        <v>0</v>
      </c>
      <c r="L2306" s="47">
        <v>0</v>
      </c>
      <c r="AX2306" s="46">
        <v>1</v>
      </c>
      <c r="AY2306" s="47">
        <v>5766733.6402624408</v>
      </c>
      <c r="AZ2306" s="70">
        <f>H2306-J2306</f>
        <v>0</v>
      </c>
      <c r="BC2306" s="50"/>
    </row>
    <row r="2307" spans="1:55" s="48" customFormat="1" ht="15.45" customHeight="1" outlineLevel="1" x14ac:dyDescent="0.25">
      <c r="A2307" s="42">
        <v>2</v>
      </c>
      <c r="B2307" s="43" t="s">
        <v>840</v>
      </c>
      <c r="C2307" s="44" t="s">
        <v>98</v>
      </c>
      <c r="D2307" s="45">
        <v>17.66</v>
      </c>
      <c r="E2307" s="45">
        <v>1.4770000000000001</v>
      </c>
      <c r="F2307" s="45">
        <f>+E2307*D2307</f>
        <v>26.083820000000003</v>
      </c>
      <c r="G2307" s="46">
        <f t="shared" si="609"/>
        <v>0</v>
      </c>
      <c r="H2307" s="47">
        <f t="shared" si="609"/>
        <v>0</v>
      </c>
      <c r="I2307" s="46">
        <f>J2307/F2307</f>
        <v>0</v>
      </c>
      <c r="J2307" s="47">
        <v>0</v>
      </c>
      <c r="K2307" s="46">
        <f>L2307/F2307</f>
        <v>0</v>
      </c>
      <c r="L2307" s="47">
        <v>0</v>
      </c>
      <c r="AX2307" s="46">
        <v>1</v>
      </c>
      <c r="AY2307" s="47">
        <v>5766733.6402624408</v>
      </c>
      <c r="AZ2307" s="70">
        <f>H2307-J2307</f>
        <v>0</v>
      </c>
      <c r="BC2307" s="50"/>
    </row>
    <row r="2308" spans="1:55" s="48" customFormat="1" ht="15.45" customHeight="1" outlineLevel="1" x14ac:dyDescent="0.25">
      <c r="A2308" s="42">
        <v>3</v>
      </c>
      <c r="B2308" s="43" t="s">
        <v>1285</v>
      </c>
      <c r="C2308" s="44" t="s">
        <v>98</v>
      </c>
      <c r="D2308" s="45">
        <v>17.66</v>
      </c>
      <c r="E2308" s="45">
        <v>210.52600000000001</v>
      </c>
      <c r="F2308" s="45">
        <f>+E2308*D2308</f>
        <v>3717.8891600000002</v>
      </c>
      <c r="G2308" s="46">
        <f t="shared" si="609"/>
        <v>0</v>
      </c>
      <c r="H2308" s="47">
        <f t="shared" si="609"/>
        <v>0</v>
      </c>
      <c r="I2308" s="46">
        <f>J2308/F2308</f>
        <v>0</v>
      </c>
      <c r="J2308" s="47">
        <v>0</v>
      </c>
      <c r="K2308" s="46">
        <f>L2308/F2308</f>
        <v>0</v>
      </c>
      <c r="L2308" s="47">
        <v>0</v>
      </c>
      <c r="AX2308" s="46">
        <v>0</v>
      </c>
      <c r="AY2308" s="47">
        <v>0</v>
      </c>
      <c r="AZ2308" s="70">
        <f>H2308-J2308</f>
        <v>0</v>
      </c>
      <c r="BC2308" s="50"/>
    </row>
    <row r="2309" spans="1:55" s="56" customFormat="1" ht="17.25" customHeight="1" x14ac:dyDescent="0.3">
      <c r="A2309" s="31">
        <v>27.1</v>
      </c>
      <c r="B2309" s="51" t="s">
        <v>1286</v>
      </c>
      <c r="C2309" s="52">
        <v>0</v>
      </c>
      <c r="D2309" s="53"/>
      <c r="E2309" s="53"/>
      <c r="F2309" s="53"/>
      <c r="G2309" s="54"/>
      <c r="H2309" s="55"/>
      <c r="I2309" s="54"/>
      <c r="J2309" s="55"/>
      <c r="K2309" s="54"/>
      <c r="L2309" s="55">
        <v>0</v>
      </c>
      <c r="AX2309" s="69">
        <v>0</v>
      </c>
      <c r="AY2309" s="71">
        <v>1038012.055247239</v>
      </c>
      <c r="AZ2309" s="72">
        <f>H2309-J2309</f>
        <v>0</v>
      </c>
      <c r="BC2309" s="58"/>
    </row>
    <row r="2310" spans="1:55" s="48" customFormat="1" ht="27.75" customHeight="1" outlineLevel="1" x14ac:dyDescent="0.25">
      <c r="A2310" s="42">
        <v>1</v>
      </c>
      <c r="B2310" s="43" t="s">
        <v>1287</v>
      </c>
      <c r="C2310" s="44" t="s">
        <v>28</v>
      </c>
      <c r="D2310" s="45">
        <v>0.57599999999999996</v>
      </c>
      <c r="E2310" s="45">
        <v>3110.549199999999</v>
      </c>
      <c r="F2310" s="45">
        <f t="shared" ref="F2310:F2330" si="610">+E2310*D2310</f>
        <v>1791.6763391999993</v>
      </c>
      <c r="G2310" s="46">
        <f t="shared" ref="G2310:G2334" si="611">I2310+K2310</f>
        <v>0</v>
      </c>
      <c r="H2310" s="47">
        <f t="shared" ref="H2310:H2334" si="612">J2310+L2310</f>
        <v>0</v>
      </c>
      <c r="I2310" s="46">
        <f t="shared" ref="I2310:I2333" si="613">J2310/F2310</f>
        <v>0</v>
      </c>
      <c r="J2310" s="47">
        <v>0</v>
      </c>
      <c r="K2310" s="46">
        <f t="shared" ref="K2310:K2335" si="614">L2310/F2310</f>
        <v>0</v>
      </c>
      <c r="L2310" s="47">
        <v>0</v>
      </c>
      <c r="AX2310" s="46"/>
      <c r="AY2310" s="47"/>
      <c r="AZ2310" s="70"/>
      <c r="BC2310" s="50"/>
    </row>
    <row r="2311" spans="1:55" s="48" customFormat="1" ht="15.45" customHeight="1" outlineLevel="1" x14ac:dyDescent="0.25">
      <c r="A2311" s="42">
        <v>2</v>
      </c>
      <c r="B2311" s="43" t="s">
        <v>1288</v>
      </c>
      <c r="C2311" s="44" t="s">
        <v>110</v>
      </c>
      <c r="D2311" s="45">
        <v>0.8</v>
      </c>
      <c r="E2311" s="45">
        <v>178.77340000000001</v>
      </c>
      <c r="F2311" s="45">
        <f t="shared" si="610"/>
        <v>143.01872</v>
      </c>
      <c r="G2311" s="46">
        <f t="shared" si="611"/>
        <v>0</v>
      </c>
      <c r="H2311" s="47">
        <f t="shared" si="612"/>
        <v>0</v>
      </c>
      <c r="I2311" s="46">
        <f t="shared" si="613"/>
        <v>0</v>
      </c>
      <c r="J2311" s="47">
        <v>0</v>
      </c>
      <c r="K2311" s="46">
        <f t="shared" si="614"/>
        <v>0</v>
      </c>
      <c r="L2311" s="47">
        <v>0</v>
      </c>
      <c r="AX2311" s="46"/>
      <c r="AY2311" s="47"/>
      <c r="AZ2311" s="70"/>
      <c r="BC2311" s="50"/>
    </row>
    <row r="2312" spans="1:55" s="48" customFormat="1" ht="27.75" customHeight="1" outlineLevel="1" x14ac:dyDescent="0.25">
      <c r="A2312" s="42">
        <v>3</v>
      </c>
      <c r="B2312" s="43" t="s">
        <v>1280</v>
      </c>
      <c r="C2312" s="44" t="s">
        <v>28</v>
      </c>
      <c r="D2312" s="45">
        <v>3.6999999999999998E-2</v>
      </c>
      <c r="E2312" s="45">
        <v>5545.6257999999998</v>
      </c>
      <c r="F2312" s="45">
        <f t="shared" si="610"/>
        <v>205.18815459999999</v>
      </c>
      <c r="G2312" s="46">
        <f t="shared" si="611"/>
        <v>0</v>
      </c>
      <c r="H2312" s="47">
        <f t="shared" si="612"/>
        <v>0</v>
      </c>
      <c r="I2312" s="46">
        <f t="shared" si="613"/>
        <v>0</v>
      </c>
      <c r="J2312" s="47">
        <v>0</v>
      </c>
      <c r="K2312" s="46">
        <f t="shared" si="614"/>
        <v>0</v>
      </c>
      <c r="L2312" s="47">
        <v>0</v>
      </c>
      <c r="AX2312" s="46"/>
      <c r="AY2312" s="47"/>
      <c r="AZ2312" s="70"/>
      <c r="BC2312" s="50"/>
    </row>
    <row r="2313" spans="1:55" s="59" customFormat="1" ht="17.7" customHeight="1" outlineLevel="1" x14ac:dyDescent="0.35">
      <c r="A2313" s="42">
        <v>4</v>
      </c>
      <c r="B2313" s="43" t="s">
        <v>1289</v>
      </c>
      <c r="C2313" s="44" t="s">
        <v>93</v>
      </c>
      <c r="D2313" s="45">
        <v>8</v>
      </c>
      <c r="E2313" s="45">
        <v>54.953600000000002</v>
      </c>
      <c r="F2313" s="45">
        <f t="shared" si="610"/>
        <v>439.62880000000001</v>
      </c>
      <c r="G2313" s="46">
        <f t="shared" si="611"/>
        <v>0</v>
      </c>
      <c r="H2313" s="47">
        <f t="shared" si="612"/>
        <v>0</v>
      </c>
      <c r="I2313" s="46">
        <f t="shared" si="613"/>
        <v>0</v>
      </c>
      <c r="J2313" s="47">
        <v>0</v>
      </c>
      <c r="K2313" s="46">
        <f t="shared" si="614"/>
        <v>0</v>
      </c>
      <c r="L2313" s="47">
        <v>0</v>
      </c>
      <c r="AX2313" s="73"/>
      <c r="AY2313" s="74"/>
      <c r="AZ2313" s="75"/>
      <c r="BC2313" s="61"/>
    </row>
    <row r="2314" spans="1:55" s="48" customFormat="1" ht="15.45" customHeight="1" outlineLevel="1" x14ac:dyDescent="0.25">
      <c r="A2314" s="42">
        <v>5</v>
      </c>
      <c r="B2314" s="43" t="s">
        <v>1290</v>
      </c>
      <c r="C2314" s="44" t="s">
        <v>93</v>
      </c>
      <c r="D2314" s="45">
        <v>8</v>
      </c>
      <c r="E2314" s="45">
        <v>34.627000000000002</v>
      </c>
      <c r="F2314" s="45">
        <f t="shared" si="610"/>
        <v>277.01600000000002</v>
      </c>
      <c r="G2314" s="46">
        <f t="shared" si="611"/>
        <v>0</v>
      </c>
      <c r="H2314" s="47">
        <f t="shared" si="612"/>
        <v>0</v>
      </c>
      <c r="I2314" s="46">
        <f t="shared" si="613"/>
        <v>0</v>
      </c>
      <c r="J2314" s="47">
        <v>0</v>
      </c>
      <c r="K2314" s="46">
        <f t="shared" si="614"/>
        <v>0</v>
      </c>
      <c r="L2314" s="47">
        <v>0</v>
      </c>
      <c r="AX2314" s="46"/>
      <c r="AY2314" s="47"/>
      <c r="AZ2314" s="70"/>
      <c r="BC2314" s="50"/>
    </row>
    <row r="2315" spans="1:55" s="48" customFormat="1" ht="15.45" customHeight="1" outlineLevel="1" x14ac:dyDescent="0.25">
      <c r="A2315" s="42">
        <v>6</v>
      </c>
      <c r="B2315" s="43" t="s">
        <v>1291</v>
      </c>
      <c r="C2315" s="44" t="s">
        <v>93</v>
      </c>
      <c r="D2315" s="45">
        <v>8</v>
      </c>
      <c r="E2315" s="45">
        <v>5.8201999999999989</v>
      </c>
      <c r="F2315" s="45">
        <f t="shared" si="610"/>
        <v>46.561599999999991</v>
      </c>
      <c r="G2315" s="46">
        <f t="shared" si="611"/>
        <v>0</v>
      </c>
      <c r="H2315" s="47">
        <f t="shared" si="612"/>
        <v>0</v>
      </c>
      <c r="I2315" s="46">
        <f t="shared" si="613"/>
        <v>0</v>
      </c>
      <c r="J2315" s="47">
        <v>0</v>
      </c>
      <c r="K2315" s="46">
        <f t="shared" si="614"/>
        <v>0</v>
      </c>
      <c r="L2315" s="47">
        <v>0</v>
      </c>
      <c r="AX2315" s="46"/>
      <c r="AY2315" s="47"/>
      <c r="AZ2315" s="70"/>
      <c r="BC2315" s="50"/>
    </row>
    <row r="2316" spans="1:55" s="48" customFormat="1" ht="15.45" customHeight="1" outlineLevel="1" x14ac:dyDescent="0.25">
      <c r="A2316" s="42">
        <v>7</v>
      </c>
      <c r="B2316" s="43" t="s">
        <v>1292</v>
      </c>
      <c r="C2316" s="44" t="s">
        <v>93</v>
      </c>
      <c r="D2316" s="45">
        <v>8</v>
      </c>
      <c r="E2316" s="45">
        <v>5.3611999999999993</v>
      </c>
      <c r="F2316" s="45">
        <f t="shared" si="610"/>
        <v>42.889599999999994</v>
      </c>
      <c r="G2316" s="46">
        <f t="shared" si="611"/>
        <v>0</v>
      </c>
      <c r="H2316" s="47">
        <f t="shared" si="612"/>
        <v>0</v>
      </c>
      <c r="I2316" s="46">
        <f t="shared" si="613"/>
        <v>0</v>
      </c>
      <c r="J2316" s="47">
        <v>0</v>
      </c>
      <c r="K2316" s="46">
        <f t="shared" si="614"/>
        <v>0</v>
      </c>
      <c r="L2316" s="47">
        <v>0</v>
      </c>
      <c r="AX2316" s="46"/>
      <c r="AY2316" s="47"/>
      <c r="AZ2316" s="70"/>
      <c r="BC2316" s="50"/>
    </row>
    <row r="2317" spans="1:55" s="59" customFormat="1" ht="17.7" customHeight="1" outlineLevel="1" x14ac:dyDescent="0.35">
      <c r="A2317" s="42">
        <v>8</v>
      </c>
      <c r="B2317" s="43" t="s">
        <v>1293</v>
      </c>
      <c r="C2317" s="44" t="s">
        <v>93</v>
      </c>
      <c r="D2317" s="45">
        <v>24</v>
      </c>
      <c r="E2317" s="45">
        <v>1.1180000000000001</v>
      </c>
      <c r="F2317" s="45">
        <f t="shared" si="610"/>
        <v>26.832000000000001</v>
      </c>
      <c r="G2317" s="46">
        <f t="shared" si="611"/>
        <v>0</v>
      </c>
      <c r="H2317" s="47">
        <f t="shared" si="612"/>
        <v>0</v>
      </c>
      <c r="I2317" s="46">
        <f t="shared" si="613"/>
        <v>0</v>
      </c>
      <c r="J2317" s="47">
        <v>0</v>
      </c>
      <c r="K2317" s="46">
        <f t="shared" si="614"/>
        <v>0</v>
      </c>
      <c r="L2317" s="47">
        <v>0</v>
      </c>
      <c r="AX2317" s="73">
        <v>1</v>
      </c>
      <c r="AY2317" s="74">
        <v>5766733.6402624408</v>
      </c>
      <c r="AZ2317" s="75">
        <f>H2317-J2317</f>
        <v>0</v>
      </c>
      <c r="BC2317" s="61"/>
    </row>
    <row r="2318" spans="1:55" s="48" customFormat="1" ht="15.45" customHeight="1" outlineLevel="1" x14ac:dyDescent="0.25">
      <c r="A2318" s="42">
        <v>9</v>
      </c>
      <c r="B2318" s="43" t="s">
        <v>1294</v>
      </c>
      <c r="C2318" s="44" t="s">
        <v>61</v>
      </c>
      <c r="D2318" s="45">
        <v>80</v>
      </c>
      <c r="E2318" s="45">
        <v>1.8116000000000001</v>
      </c>
      <c r="F2318" s="45">
        <f t="shared" si="610"/>
        <v>144.928</v>
      </c>
      <c r="G2318" s="46">
        <f t="shared" si="611"/>
        <v>0</v>
      </c>
      <c r="H2318" s="47">
        <f t="shared" si="612"/>
        <v>0</v>
      </c>
      <c r="I2318" s="46">
        <f t="shared" si="613"/>
        <v>0</v>
      </c>
      <c r="J2318" s="47">
        <v>0</v>
      </c>
      <c r="K2318" s="46">
        <f t="shared" si="614"/>
        <v>0</v>
      </c>
      <c r="L2318" s="47">
        <v>0</v>
      </c>
      <c r="AX2318" s="46">
        <v>1</v>
      </c>
      <c r="AY2318" s="47">
        <v>5766733.6402624408</v>
      </c>
      <c r="AZ2318" s="70">
        <f>H2318-J2318</f>
        <v>0</v>
      </c>
      <c r="BC2318" s="50"/>
    </row>
    <row r="2319" spans="1:55" s="48" customFormat="1" ht="27.75" customHeight="1" outlineLevel="1" x14ac:dyDescent="0.25">
      <c r="A2319" s="42">
        <v>10</v>
      </c>
      <c r="B2319" s="43" t="s">
        <v>1295</v>
      </c>
      <c r="C2319" s="44" t="s">
        <v>61</v>
      </c>
      <c r="D2319" s="45">
        <v>80</v>
      </c>
      <c r="E2319" s="45">
        <v>1.0958000000000001</v>
      </c>
      <c r="F2319" s="45">
        <f t="shared" si="610"/>
        <v>87.664000000000016</v>
      </c>
      <c r="G2319" s="46">
        <f t="shared" si="611"/>
        <v>0</v>
      </c>
      <c r="H2319" s="47">
        <f t="shared" si="612"/>
        <v>0</v>
      </c>
      <c r="I2319" s="46">
        <f t="shared" si="613"/>
        <v>0</v>
      </c>
      <c r="J2319" s="47">
        <v>0</v>
      </c>
      <c r="K2319" s="46">
        <f t="shared" si="614"/>
        <v>0</v>
      </c>
      <c r="L2319" s="47">
        <v>0</v>
      </c>
      <c r="AX2319" s="46">
        <v>1</v>
      </c>
      <c r="AY2319" s="47">
        <v>5766733.6402624408</v>
      </c>
      <c r="AZ2319" s="70">
        <f>H2319-J2319</f>
        <v>0</v>
      </c>
      <c r="BC2319" s="50"/>
    </row>
    <row r="2320" spans="1:55" s="48" customFormat="1" ht="41.7" customHeight="1" outlineLevel="1" x14ac:dyDescent="0.25">
      <c r="A2320" s="42">
        <v>11</v>
      </c>
      <c r="B2320" s="43" t="s">
        <v>1296</v>
      </c>
      <c r="C2320" s="44" t="s">
        <v>61</v>
      </c>
      <c r="D2320" s="45">
        <v>270</v>
      </c>
      <c r="E2320" s="45">
        <v>4.5553999999999988</v>
      </c>
      <c r="F2320" s="45">
        <f t="shared" si="610"/>
        <v>1229.9579999999996</v>
      </c>
      <c r="G2320" s="46">
        <f t="shared" si="611"/>
        <v>0</v>
      </c>
      <c r="H2320" s="47">
        <f t="shared" si="612"/>
        <v>0</v>
      </c>
      <c r="I2320" s="46">
        <f t="shared" si="613"/>
        <v>0</v>
      </c>
      <c r="J2320" s="47">
        <v>0</v>
      </c>
      <c r="K2320" s="46">
        <f t="shared" si="614"/>
        <v>0</v>
      </c>
      <c r="L2320" s="47">
        <v>0</v>
      </c>
      <c r="AX2320" s="46">
        <v>0</v>
      </c>
      <c r="AY2320" s="47">
        <v>0</v>
      </c>
      <c r="AZ2320" s="70">
        <f>H2320-J2320</f>
        <v>0</v>
      </c>
      <c r="BC2320" s="50"/>
    </row>
    <row r="2321" spans="1:55" s="48" customFormat="1" ht="27.75" customHeight="1" outlineLevel="1" x14ac:dyDescent="0.25">
      <c r="A2321" s="42">
        <v>12</v>
      </c>
      <c r="B2321" s="43" t="s">
        <v>774</v>
      </c>
      <c r="C2321" s="44" t="s">
        <v>61</v>
      </c>
      <c r="D2321" s="45">
        <v>270</v>
      </c>
      <c r="E2321" s="45">
        <v>1.1162000000000001</v>
      </c>
      <c r="F2321" s="45">
        <f t="shared" si="610"/>
        <v>301.37400000000002</v>
      </c>
      <c r="G2321" s="46">
        <f t="shared" si="611"/>
        <v>0</v>
      </c>
      <c r="H2321" s="47">
        <f t="shared" si="612"/>
        <v>0</v>
      </c>
      <c r="I2321" s="46">
        <f t="shared" si="613"/>
        <v>0</v>
      </c>
      <c r="J2321" s="47">
        <v>0</v>
      </c>
      <c r="K2321" s="46">
        <f t="shared" si="614"/>
        <v>0</v>
      </c>
      <c r="L2321" s="47">
        <v>0</v>
      </c>
      <c r="AX2321" s="46">
        <v>0</v>
      </c>
      <c r="AY2321" s="47">
        <v>1038012.055247239</v>
      </c>
      <c r="AZ2321" s="70">
        <f>H2321-J2321</f>
        <v>0</v>
      </c>
      <c r="BC2321" s="50"/>
    </row>
    <row r="2322" spans="1:55" s="48" customFormat="1" ht="15.45" customHeight="1" outlineLevel="1" x14ac:dyDescent="0.25">
      <c r="A2322" s="42">
        <v>13</v>
      </c>
      <c r="B2322" s="43" t="s">
        <v>1297</v>
      </c>
      <c r="C2322" s="44" t="s">
        <v>61</v>
      </c>
      <c r="D2322" s="45">
        <v>170</v>
      </c>
      <c r="E2322" s="45">
        <v>4.5499999999999989</v>
      </c>
      <c r="F2322" s="45">
        <f t="shared" si="610"/>
        <v>773.49999999999977</v>
      </c>
      <c r="G2322" s="46">
        <f t="shared" si="611"/>
        <v>0</v>
      </c>
      <c r="H2322" s="47">
        <f t="shared" si="612"/>
        <v>0</v>
      </c>
      <c r="I2322" s="46">
        <f t="shared" si="613"/>
        <v>0</v>
      </c>
      <c r="J2322" s="47">
        <v>0</v>
      </c>
      <c r="K2322" s="46">
        <f t="shared" si="614"/>
        <v>0</v>
      </c>
      <c r="L2322" s="47">
        <v>0</v>
      </c>
      <c r="AX2322" s="46"/>
      <c r="AY2322" s="47"/>
      <c r="AZ2322" s="70"/>
      <c r="BC2322" s="50"/>
    </row>
    <row r="2323" spans="1:55" s="48" customFormat="1" ht="15.45" customHeight="1" outlineLevel="1" x14ac:dyDescent="0.25">
      <c r="A2323" s="42">
        <v>14</v>
      </c>
      <c r="B2323" s="43" t="s">
        <v>779</v>
      </c>
      <c r="C2323" s="44" t="s">
        <v>61</v>
      </c>
      <c r="D2323" s="45">
        <v>35</v>
      </c>
      <c r="E2323" s="45">
        <v>3.7</v>
      </c>
      <c r="F2323" s="45">
        <f t="shared" si="610"/>
        <v>129.5</v>
      </c>
      <c r="G2323" s="46">
        <f t="shared" si="611"/>
        <v>0</v>
      </c>
      <c r="H2323" s="47">
        <f t="shared" si="612"/>
        <v>0</v>
      </c>
      <c r="I2323" s="46">
        <f t="shared" si="613"/>
        <v>0</v>
      </c>
      <c r="J2323" s="47">
        <v>0</v>
      </c>
      <c r="K2323" s="46">
        <f t="shared" si="614"/>
        <v>0</v>
      </c>
      <c r="L2323" s="47">
        <v>0</v>
      </c>
      <c r="AX2323" s="46"/>
      <c r="AY2323" s="47"/>
      <c r="AZ2323" s="70"/>
      <c r="BC2323" s="50"/>
    </row>
    <row r="2324" spans="1:55" s="48" customFormat="1" ht="15.45" customHeight="1" outlineLevel="1" x14ac:dyDescent="0.25">
      <c r="A2324" s="42">
        <v>15</v>
      </c>
      <c r="B2324" s="43" t="s">
        <v>781</v>
      </c>
      <c r="C2324" s="44" t="s">
        <v>61</v>
      </c>
      <c r="D2324" s="45">
        <v>65</v>
      </c>
      <c r="E2324" s="45">
        <v>3.1</v>
      </c>
      <c r="F2324" s="45">
        <f t="shared" si="610"/>
        <v>201.5</v>
      </c>
      <c r="G2324" s="46">
        <f t="shared" si="611"/>
        <v>0</v>
      </c>
      <c r="H2324" s="47">
        <f t="shared" si="612"/>
        <v>0</v>
      </c>
      <c r="I2324" s="46">
        <f t="shared" si="613"/>
        <v>0</v>
      </c>
      <c r="J2324" s="47">
        <v>0</v>
      </c>
      <c r="K2324" s="46">
        <f t="shared" si="614"/>
        <v>0</v>
      </c>
      <c r="L2324" s="47">
        <v>0</v>
      </c>
      <c r="AX2324" s="46"/>
      <c r="AY2324" s="47"/>
      <c r="AZ2324" s="70"/>
      <c r="BC2324" s="50"/>
    </row>
    <row r="2325" spans="1:55" s="48" customFormat="1" ht="27.75" customHeight="1" outlineLevel="1" x14ac:dyDescent="0.25">
      <c r="A2325" s="42">
        <v>16</v>
      </c>
      <c r="B2325" s="43" t="s">
        <v>782</v>
      </c>
      <c r="C2325" s="44" t="s">
        <v>61</v>
      </c>
      <c r="D2325" s="45">
        <v>270</v>
      </c>
      <c r="E2325" s="45">
        <v>1.4528000000000001</v>
      </c>
      <c r="F2325" s="45">
        <f t="shared" si="610"/>
        <v>392.25600000000003</v>
      </c>
      <c r="G2325" s="46">
        <f t="shared" si="611"/>
        <v>0</v>
      </c>
      <c r="H2325" s="47">
        <f t="shared" si="612"/>
        <v>0</v>
      </c>
      <c r="I2325" s="46">
        <f t="shared" si="613"/>
        <v>0</v>
      </c>
      <c r="J2325" s="47">
        <v>0</v>
      </c>
      <c r="K2325" s="46">
        <f t="shared" si="614"/>
        <v>0</v>
      </c>
      <c r="L2325" s="47">
        <v>0</v>
      </c>
      <c r="AX2325" s="46"/>
      <c r="AY2325" s="47"/>
      <c r="AZ2325" s="70"/>
      <c r="BC2325" s="50"/>
    </row>
    <row r="2326" spans="1:55" s="48" customFormat="1" ht="27.75" customHeight="1" outlineLevel="1" x14ac:dyDescent="0.25">
      <c r="A2326" s="42">
        <v>17</v>
      </c>
      <c r="B2326" s="43" t="s">
        <v>707</v>
      </c>
      <c r="C2326" s="44" t="s">
        <v>110</v>
      </c>
      <c r="D2326" s="45">
        <v>87</v>
      </c>
      <c r="E2326" s="45">
        <v>0.85100000000000009</v>
      </c>
      <c r="F2326" s="45">
        <f t="shared" si="610"/>
        <v>74.037000000000006</v>
      </c>
      <c r="G2326" s="46">
        <f t="shared" si="611"/>
        <v>0</v>
      </c>
      <c r="H2326" s="47">
        <f t="shared" si="612"/>
        <v>0</v>
      </c>
      <c r="I2326" s="46">
        <f t="shared" si="613"/>
        <v>0</v>
      </c>
      <c r="J2326" s="47">
        <v>0</v>
      </c>
      <c r="K2326" s="46">
        <f t="shared" si="614"/>
        <v>0</v>
      </c>
      <c r="L2326" s="47">
        <v>0</v>
      </c>
      <c r="AX2326" s="46"/>
      <c r="AY2326" s="47"/>
      <c r="AZ2326" s="70"/>
      <c r="BC2326" s="50"/>
    </row>
    <row r="2327" spans="1:55" s="48" customFormat="1" ht="27.75" customHeight="1" outlineLevel="1" x14ac:dyDescent="0.25">
      <c r="A2327" s="42">
        <v>18</v>
      </c>
      <c r="B2327" s="43" t="s">
        <v>788</v>
      </c>
      <c r="C2327" s="44" t="s">
        <v>110</v>
      </c>
      <c r="D2327" s="45">
        <v>7</v>
      </c>
      <c r="E2327" s="45">
        <v>2.3031999999999999</v>
      </c>
      <c r="F2327" s="45">
        <f t="shared" si="610"/>
        <v>16.122399999999999</v>
      </c>
      <c r="G2327" s="46">
        <f t="shared" si="611"/>
        <v>0</v>
      </c>
      <c r="H2327" s="47">
        <f t="shared" si="612"/>
        <v>0</v>
      </c>
      <c r="I2327" s="46">
        <f t="shared" si="613"/>
        <v>0</v>
      </c>
      <c r="J2327" s="47">
        <v>0</v>
      </c>
      <c r="K2327" s="46">
        <f t="shared" si="614"/>
        <v>0</v>
      </c>
      <c r="L2327" s="47">
        <v>0</v>
      </c>
      <c r="AX2327" s="46">
        <v>1</v>
      </c>
      <c r="AY2327" s="47">
        <v>5766733.6402624408</v>
      </c>
      <c r="AZ2327" s="70">
        <f>H2327-J2327</f>
        <v>0</v>
      </c>
      <c r="BC2327" s="50"/>
    </row>
    <row r="2328" spans="1:55" s="48" customFormat="1" ht="27.75" customHeight="1" outlineLevel="1" x14ac:dyDescent="0.25">
      <c r="A2328" s="42">
        <v>19</v>
      </c>
      <c r="B2328" s="43" t="s">
        <v>789</v>
      </c>
      <c r="C2328" s="44" t="s">
        <v>110</v>
      </c>
      <c r="D2328" s="45">
        <v>71</v>
      </c>
      <c r="E2328" s="45">
        <v>0.9</v>
      </c>
      <c r="F2328" s="45">
        <f t="shared" si="610"/>
        <v>63.9</v>
      </c>
      <c r="G2328" s="46">
        <f t="shared" si="611"/>
        <v>0</v>
      </c>
      <c r="H2328" s="47">
        <f t="shared" si="612"/>
        <v>0</v>
      </c>
      <c r="I2328" s="46">
        <f t="shared" si="613"/>
        <v>0</v>
      </c>
      <c r="J2328" s="47">
        <v>0</v>
      </c>
      <c r="K2328" s="46">
        <f t="shared" si="614"/>
        <v>0</v>
      </c>
      <c r="L2328" s="47">
        <v>0</v>
      </c>
      <c r="AX2328" s="46">
        <v>1</v>
      </c>
      <c r="AY2328" s="47">
        <v>5766733.6402624408</v>
      </c>
      <c r="AZ2328" s="70">
        <f>H2328-J2328</f>
        <v>0</v>
      </c>
      <c r="BC2328" s="50"/>
    </row>
    <row r="2329" spans="1:55" s="48" customFormat="1" ht="15.45" customHeight="1" outlineLevel="1" x14ac:dyDescent="0.25">
      <c r="A2329" s="42">
        <v>20</v>
      </c>
      <c r="B2329" s="43" t="s">
        <v>166</v>
      </c>
      <c r="C2329" s="44" t="s">
        <v>110</v>
      </c>
      <c r="D2329" s="45">
        <v>23</v>
      </c>
      <c r="E2329" s="45">
        <v>8.16</v>
      </c>
      <c r="F2329" s="45">
        <f t="shared" si="610"/>
        <v>187.68</v>
      </c>
      <c r="G2329" s="46">
        <f t="shared" si="611"/>
        <v>2.1739130434782608E-2</v>
      </c>
      <c r="H2329" s="47">
        <f t="shared" si="612"/>
        <v>4.08</v>
      </c>
      <c r="I2329" s="46">
        <f t="shared" si="613"/>
        <v>0</v>
      </c>
      <c r="J2329" s="47">
        <v>0</v>
      </c>
      <c r="K2329" s="46">
        <f t="shared" si="614"/>
        <v>2.1739130434782608E-2</v>
      </c>
      <c r="L2329" s="47">
        <v>4.08</v>
      </c>
      <c r="AX2329" s="46">
        <v>1</v>
      </c>
      <c r="AY2329" s="47">
        <v>5766733.6402624408</v>
      </c>
      <c r="AZ2329" s="70">
        <f>H2329-J2329</f>
        <v>4.08</v>
      </c>
      <c r="BC2329" s="50"/>
    </row>
    <row r="2330" spans="1:55" s="48" customFormat="1" ht="15.45" customHeight="1" outlineLevel="1" x14ac:dyDescent="0.25">
      <c r="A2330" s="42">
        <v>21</v>
      </c>
      <c r="B2330" s="43" t="s">
        <v>37</v>
      </c>
      <c r="C2330" s="44" t="s">
        <v>1298</v>
      </c>
      <c r="D2330" s="45">
        <v>71</v>
      </c>
      <c r="E2330" s="45">
        <v>2</v>
      </c>
      <c r="F2330" s="45">
        <f t="shared" si="610"/>
        <v>142</v>
      </c>
      <c r="G2330" s="46">
        <f t="shared" si="611"/>
        <v>7.0422535211267607E-3</v>
      </c>
      <c r="H2330" s="47">
        <f t="shared" si="612"/>
        <v>1</v>
      </c>
      <c r="I2330" s="46">
        <f t="shared" si="613"/>
        <v>0</v>
      </c>
      <c r="J2330" s="47">
        <v>0</v>
      </c>
      <c r="K2330" s="46">
        <f t="shared" si="614"/>
        <v>7.0422535211267607E-3</v>
      </c>
      <c r="L2330" s="47">
        <v>1</v>
      </c>
      <c r="AX2330" s="46">
        <v>0</v>
      </c>
      <c r="AY2330" s="47">
        <v>0</v>
      </c>
      <c r="AZ2330" s="70">
        <f>H2330-J2330</f>
        <v>1</v>
      </c>
      <c r="BC2330" s="50"/>
    </row>
    <row r="2331" spans="1:55" s="56" customFormat="1" ht="17.25" customHeight="1" x14ac:dyDescent="0.3">
      <c r="A2331" s="62">
        <v>28</v>
      </c>
      <c r="B2331" s="76" t="s">
        <v>1299</v>
      </c>
      <c r="C2331" s="77">
        <v>0</v>
      </c>
      <c r="D2331" s="78"/>
      <c r="E2331" s="78"/>
      <c r="F2331" s="78">
        <f>SUM(F11:F2330)*1.8%</f>
        <v>55988.481747588361</v>
      </c>
      <c r="G2331" s="46">
        <f t="shared" si="611"/>
        <v>1.0000111507863854</v>
      </c>
      <c r="H2331" s="47">
        <f t="shared" si="612"/>
        <v>55989.106063188367</v>
      </c>
      <c r="I2331" s="46">
        <f t="shared" si="613"/>
        <v>0</v>
      </c>
      <c r="J2331" s="47">
        <v>0</v>
      </c>
      <c r="K2331" s="46">
        <f t="shared" si="614"/>
        <v>1.0000111507863854</v>
      </c>
      <c r="L2331" s="47">
        <v>55989.106063188367</v>
      </c>
      <c r="AX2331" s="69">
        <v>0</v>
      </c>
      <c r="AY2331" s="71">
        <v>1038012.055247239</v>
      </c>
      <c r="AZ2331" s="72">
        <f>H2331-J2331</f>
        <v>55989.106063188367</v>
      </c>
      <c r="BC2331" s="58"/>
    </row>
    <row r="2332" spans="1:55" s="56" customFormat="1" ht="17.25" customHeight="1" x14ac:dyDescent="0.3">
      <c r="A2332" s="62">
        <v>29</v>
      </c>
      <c r="B2332" s="76" t="s">
        <v>1300</v>
      </c>
      <c r="C2332" s="77">
        <v>0</v>
      </c>
      <c r="D2332" s="78"/>
      <c r="E2332" s="78"/>
      <c r="F2332" s="78">
        <f>SUM(F11:F2331)*2%</f>
        <v>63329.193798938824</v>
      </c>
      <c r="G2332" s="46">
        <f t="shared" si="611"/>
        <v>1.0000111507863854</v>
      </c>
      <c r="H2332" s="47">
        <f t="shared" si="612"/>
        <v>63329.899969250837</v>
      </c>
      <c r="I2332" s="46">
        <f t="shared" si="613"/>
        <v>0</v>
      </c>
      <c r="J2332" s="47">
        <v>0</v>
      </c>
      <c r="K2332" s="46">
        <f t="shared" si="614"/>
        <v>1.0000111507863854</v>
      </c>
      <c r="L2332" s="47">
        <v>63329.899969250837</v>
      </c>
      <c r="AX2332" s="69"/>
      <c r="AY2332" s="71"/>
      <c r="AZ2332" s="72"/>
      <c r="BC2332" s="58"/>
    </row>
    <row r="2333" spans="1:55" s="83" customFormat="1" ht="17.25" customHeight="1" x14ac:dyDescent="0.25">
      <c r="A2333" s="62">
        <v>0</v>
      </c>
      <c r="B2333" s="79" t="s">
        <v>1301</v>
      </c>
      <c r="C2333" s="80">
        <v>0</v>
      </c>
      <c r="D2333" s="81"/>
      <c r="E2333" s="81"/>
      <c r="F2333" s="81">
        <f>SUM(F11:F2332)-0.02</f>
        <v>3229788.8637458798</v>
      </c>
      <c r="G2333" s="82">
        <f t="shared" si="611"/>
        <v>3.6944850287844583E-2</v>
      </c>
      <c r="H2333" s="81">
        <f t="shared" si="612"/>
        <v>119324.06603243919</v>
      </c>
      <c r="I2333" s="82">
        <f t="shared" si="613"/>
        <v>0</v>
      </c>
      <c r="J2333" s="81">
        <f>SUM(J11:J2332)</f>
        <v>0</v>
      </c>
      <c r="K2333" s="82">
        <f t="shared" si="614"/>
        <v>3.6944850287844583E-2</v>
      </c>
      <c r="L2333" s="81">
        <f>SUM(L11:L2332)-0.02</f>
        <v>119324.06603243919</v>
      </c>
      <c r="AX2333" s="84"/>
      <c r="AY2333" s="85"/>
      <c r="AZ2333" s="86"/>
      <c r="BC2333" s="87"/>
    </row>
    <row r="2334" spans="1:55" s="83" customFormat="1" ht="17.25" customHeight="1" x14ac:dyDescent="0.25">
      <c r="A2334" s="62">
        <v>0</v>
      </c>
      <c r="B2334" s="79" t="s">
        <v>1302</v>
      </c>
      <c r="C2334" s="80">
        <v>0</v>
      </c>
      <c r="D2334" s="81"/>
      <c r="E2334" s="81"/>
      <c r="F2334" s="81">
        <f>F2333*18%</f>
        <v>581361.99547425832</v>
      </c>
      <c r="G2334" s="82">
        <f t="shared" si="611"/>
        <v>3.694485028784459E-2</v>
      </c>
      <c r="H2334" s="81">
        <f t="shared" si="612"/>
        <v>21478.331885839056</v>
      </c>
      <c r="I2334" s="82">
        <f>J2334</f>
        <v>0</v>
      </c>
      <c r="J2334" s="81">
        <f>J2333*18%</f>
        <v>0</v>
      </c>
      <c r="K2334" s="82">
        <f t="shared" si="614"/>
        <v>3.694485028784459E-2</v>
      </c>
      <c r="L2334" s="81">
        <f>L2333*18%</f>
        <v>21478.331885839056</v>
      </c>
      <c r="AX2334" s="84"/>
      <c r="AY2334" s="85"/>
      <c r="AZ2334" s="86"/>
      <c r="BC2334" s="87"/>
    </row>
    <row r="2335" spans="1:55" s="83" customFormat="1" ht="17.25" customHeight="1" x14ac:dyDescent="0.25">
      <c r="A2335" s="62">
        <v>0</v>
      </c>
      <c r="B2335" s="79" t="s">
        <v>1303</v>
      </c>
      <c r="C2335" s="80">
        <v>0</v>
      </c>
      <c r="D2335" s="81"/>
      <c r="E2335" s="81"/>
      <c r="F2335" s="81">
        <f>F2333+F2334</f>
        <v>3811150.8592201383</v>
      </c>
      <c r="G2335" s="82">
        <f>I2335+K2335</f>
        <v>3.6944850287844576E-2</v>
      </c>
      <c r="H2335" s="81">
        <f>H2333+H2334</f>
        <v>140802.39791827824</v>
      </c>
      <c r="I2335" s="82">
        <f>J2335</f>
        <v>0</v>
      </c>
      <c r="J2335" s="81">
        <f>J2333+J2334</f>
        <v>0</v>
      </c>
      <c r="K2335" s="82">
        <f t="shared" si="614"/>
        <v>3.6944850287844576E-2</v>
      </c>
      <c r="L2335" s="81">
        <f>L2333+L2334</f>
        <v>140802.39791827824</v>
      </c>
      <c r="AX2335" s="84"/>
      <c r="AY2335" s="85"/>
      <c r="AZ2335" s="86"/>
      <c r="BC2335" s="87"/>
    </row>
    <row r="2336" spans="1:55" ht="9" customHeight="1" x14ac:dyDescent="0.25">
      <c r="A2336" s="88"/>
      <c r="B2336" s="89"/>
      <c r="C2336" s="90"/>
      <c r="D2336" s="91"/>
      <c r="E2336" s="91"/>
      <c r="F2336" s="92"/>
      <c r="G2336" s="93"/>
      <c r="H2336" s="94"/>
      <c r="I2336" s="93"/>
      <c r="J2336" s="95"/>
      <c r="K2336" s="96"/>
      <c r="L2336" s="94"/>
    </row>
    <row r="2337" spans="1:55" ht="15.45" customHeight="1" x14ac:dyDescent="0.3">
      <c r="A2337" s="97"/>
      <c r="B2337" s="98" t="s">
        <v>1304</v>
      </c>
      <c r="C2337" s="98"/>
      <c r="D2337" s="98"/>
      <c r="E2337" s="99"/>
      <c r="F2337" s="140" t="s">
        <v>1305</v>
      </c>
      <c r="G2337" s="141"/>
      <c r="H2337" s="142"/>
      <c r="I2337" s="141"/>
      <c r="J2337" s="143"/>
      <c r="K2337" s="144"/>
      <c r="L2337" s="142"/>
    </row>
    <row r="2338" spans="1:55" s="102" customFormat="1" ht="17.7" customHeight="1" x14ac:dyDescent="0.35">
      <c r="A2338" s="97"/>
      <c r="B2338" s="100"/>
      <c r="C2338" s="100"/>
      <c r="D2338" s="100"/>
      <c r="E2338" s="101"/>
      <c r="F2338" s="145"/>
      <c r="G2338" s="146"/>
      <c r="H2338" s="146"/>
      <c r="I2338" s="146"/>
      <c r="J2338" s="146"/>
      <c r="K2338" s="146"/>
      <c r="L2338" s="146"/>
      <c r="AZ2338" s="103"/>
      <c r="BC2338" s="104"/>
    </row>
    <row r="2339" spans="1:55" ht="15.45" customHeight="1" x14ac:dyDescent="0.3">
      <c r="A2339" s="97"/>
      <c r="B2339" s="105"/>
      <c r="C2339" s="106"/>
      <c r="D2339" s="99"/>
      <c r="E2339" s="99"/>
      <c r="F2339" s="99"/>
      <c r="G2339" s="107"/>
      <c r="H2339" s="108"/>
      <c r="I2339" s="107"/>
      <c r="J2339" s="109"/>
      <c r="K2339" s="110"/>
      <c r="L2339" s="108"/>
    </row>
    <row r="2340" spans="1:55" ht="15.45" customHeight="1" x14ac:dyDescent="0.3">
      <c r="A2340" s="97"/>
      <c r="B2340" s="105"/>
      <c r="C2340" s="111"/>
      <c r="D2340" s="111"/>
      <c r="E2340" s="112"/>
      <c r="F2340" s="112"/>
      <c r="G2340" s="107"/>
      <c r="H2340" s="108"/>
      <c r="I2340" s="107"/>
      <c r="J2340" s="109"/>
      <c r="K2340" s="110"/>
      <c r="L2340" s="108"/>
    </row>
    <row r="2341" spans="1:55" ht="13.95" customHeight="1" x14ac:dyDescent="0.25">
      <c r="B2341" s="113"/>
      <c r="C2341" s="113"/>
      <c r="D2341" s="113"/>
      <c r="E2341" s="113"/>
      <c r="F2341" s="113"/>
      <c r="G2341" s="113"/>
      <c r="H2341" s="113"/>
      <c r="I2341" s="113"/>
      <c r="J2341" s="113"/>
      <c r="K2341" s="113"/>
      <c r="L2341" s="113"/>
    </row>
    <row r="2342" spans="1:55" ht="13.95" customHeight="1" x14ac:dyDescent="0.25">
      <c r="A2342" s="114"/>
      <c r="B2342" s="115"/>
      <c r="C2342" s="116"/>
      <c r="D2342" s="117"/>
      <c r="E2342" s="117"/>
      <c r="F2342" s="117"/>
      <c r="G2342" s="118"/>
      <c r="H2342" s="119"/>
      <c r="I2342" s="120"/>
      <c r="J2342" s="121"/>
      <c r="K2342" s="122"/>
      <c r="L2342" s="119"/>
    </row>
  </sheetData>
  <autoFilter ref="A7:L2340" xr:uid="{00000000-0009-0000-0000-000000000000}">
    <filterColumn colId="6" showButton="0"/>
    <filterColumn colId="7" showButton="0"/>
    <filterColumn colId="8" showButton="0"/>
    <filterColumn colId="9" showButton="0"/>
    <filterColumn colId="10" showButton="0"/>
  </autoFilter>
  <mergeCells count="16">
    <mergeCell ref="F2337:L2337"/>
    <mergeCell ref="I8:J8"/>
    <mergeCell ref="G8:H8"/>
    <mergeCell ref="F2338:L2338"/>
    <mergeCell ref="G7:L7"/>
    <mergeCell ref="C1:K1"/>
    <mergeCell ref="C7:C9"/>
    <mergeCell ref="A7:A9"/>
    <mergeCell ref="I6:J6"/>
    <mergeCell ref="E7:E9"/>
    <mergeCell ref="K8:L8"/>
    <mergeCell ref="F7:F9"/>
    <mergeCell ref="D7:D9"/>
    <mergeCell ref="L2:L4"/>
    <mergeCell ref="B7:B9"/>
    <mergeCell ref="K5:L5"/>
  </mergeCells>
  <conditionalFormatting sqref="G2336 I2336 F2337:F2338 G2339:J66233">
    <cfRule type="cellIs" dxfId="1" priority="2" stopIfTrue="1" operator="equal">
      <formula>0</formula>
    </cfRule>
  </conditionalFormatting>
  <conditionalFormatting sqref="G6:I6">
    <cfRule type="cellIs" dxfId="0" priority="1" stopIfTrue="1" operator="equal">
      <formula>0</formula>
    </cfRule>
  </conditionalFormatting>
  <dataValidations count="2">
    <dataValidation type="time" allowBlank="1" showInputMessage="1" showErrorMessage="1" sqref="A2339:A2341" xr:uid="{00000000-0002-0000-0000-000000000000}">
      <formula1>B2336</formula1>
      <formula2>F2336</formula2>
    </dataValidation>
    <dataValidation type="time" allowBlank="1" showInputMessage="1" showErrorMessage="1" sqref="A2336:A2338" xr:uid="{00000000-0002-0000-0000-000001000000}">
      <formula1>#REF!</formula1>
      <formula2>#REF!</formula2>
    </dataValidation>
  </dataValidations>
  <printOptions horizontalCentered="1"/>
  <pageMargins left="0" right="0" top="0.59055118110236227" bottom="0.39370078740157483" header="0.51181102362204722" footer="0.51181102362204722"/>
  <pageSetup paperSize="8" scale="86" fitToHeight="0" orientation="landscape" r:id="rId1"/>
  <headerFooter alignWithMargins="0">
    <oddFooter>&amp;R&amp;P</oddFooter>
  </headerFooter>
  <rowBreaks count="1" manualBreakCount="1">
    <brk id="2309" max="11" man="1"/>
  </rowBreaks>
  <colBreaks count="1" manualBreakCount="1">
    <brk id="6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76"/>
  <sheetViews>
    <sheetView workbookViewId="0"/>
  </sheetViews>
  <sheetFormatPr defaultRowHeight="14.4" x14ac:dyDescent="0.3"/>
  <sheetData>
    <row r="1" spans="1:9" x14ac:dyDescent="0.3">
      <c r="A1" t="s">
        <v>1306</v>
      </c>
      <c r="B1" t="s">
        <v>1307</v>
      </c>
      <c r="C1" t="s">
        <v>1308</v>
      </c>
      <c r="D1" t="s">
        <v>1309</v>
      </c>
      <c r="E1" t="s">
        <v>1310</v>
      </c>
      <c r="F1" t="s">
        <v>1311</v>
      </c>
      <c r="G1" t="s">
        <v>1312</v>
      </c>
      <c r="H1" t="s">
        <v>1313</v>
      </c>
      <c r="I1" t="s">
        <v>1314</v>
      </c>
    </row>
    <row r="2" spans="1:9" x14ac:dyDescent="0.3">
      <c r="A2" t="s">
        <v>1315</v>
      </c>
      <c r="B2">
        <v>11</v>
      </c>
      <c r="C2" t="s">
        <v>1316</v>
      </c>
      <c r="D2">
        <v>7625.4</v>
      </c>
      <c r="E2">
        <v>7625.4</v>
      </c>
      <c r="F2" t="s">
        <v>1317</v>
      </c>
      <c r="G2" t="s">
        <v>1318</v>
      </c>
      <c r="H2" t="s">
        <v>1319</v>
      </c>
      <c r="I2" t="s">
        <v>1320</v>
      </c>
    </row>
    <row r="3" spans="1:9" x14ac:dyDescent="0.3">
      <c r="A3" t="s">
        <v>1321</v>
      </c>
      <c r="B3">
        <v>12</v>
      </c>
      <c r="C3" t="s">
        <v>1322</v>
      </c>
      <c r="E3">
        <v>2501</v>
      </c>
      <c r="F3" t="s">
        <v>1323</v>
      </c>
      <c r="I3" t="s">
        <v>1324</v>
      </c>
    </row>
    <row r="4" spans="1:9" x14ac:dyDescent="0.3">
      <c r="A4" t="s">
        <v>1325</v>
      </c>
      <c r="B4">
        <v>13</v>
      </c>
      <c r="C4" t="s">
        <v>1322</v>
      </c>
      <c r="E4">
        <v>2501</v>
      </c>
      <c r="F4" t="s">
        <v>1323</v>
      </c>
      <c r="I4" t="s">
        <v>1324</v>
      </c>
    </row>
    <row r="5" spans="1:9" x14ac:dyDescent="0.3">
      <c r="A5" t="s">
        <v>1326</v>
      </c>
      <c r="B5">
        <v>14</v>
      </c>
      <c r="C5" t="s">
        <v>1322</v>
      </c>
      <c r="E5">
        <v>1389.4</v>
      </c>
      <c r="F5" t="s">
        <v>1317</v>
      </c>
      <c r="I5" t="s">
        <v>1324</v>
      </c>
    </row>
    <row r="6" spans="1:9" x14ac:dyDescent="0.3">
      <c r="A6" t="s">
        <v>1327</v>
      </c>
      <c r="B6">
        <v>16</v>
      </c>
      <c r="C6" t="s">
        <v>1322</v>
      </c>
      <c r="E6">
        <v>4453</v>
      </c>
      <c r="F6" t="s">
        <v>1317</v>
      </c>
      <c r="I6" t="s">
        <v>1324</v>
      </c>
    </row>
    <row r="7" spans="1:9" x14ac:dyDescent="0.3">
      <c r="A7" t="s">
        <v>1328</v>
      </c>
      <c r="B7">
        <v>17</v>
      </c>
      <c r="C7" t="s">
        <v>1322</v>
      </c>
      <c r="E7">
        <v>7792.75</v>
      </c>
      <c r="F7" t="s">
        <v>1323</v>
      </c>
      <c r="I7" t="s">
        <v>1324</v>
      </c>
    </row>
    <row r="8" spans="1:9" x14ac:dyDescent="0.3">
      <c r="A8" t="s">
        <v>1329</v>
      </c>
      <c r="B8">
        <v>18</v>
      </c>
      <c r="C8" t="s">
        <v>1322</v>
      </c>
      <c r="E8">
        <v>3657</v>
      </c>
      <c r="F8" t="s">
        <v>1317</v>
      </c>
      <c r="I8" t="s">
        <v>1324</v>
      </c>
    </row>
    <row r="9" spans="1:9" x14ac:dyDescent="0.3">
      <c r="A9" t="s">
        <v>1330</v>
      </c>
      <c r="B9">
        <v>19</v>
      </c>
      <c r="C9" t="s">
        <v>1331</v>
      </c>
      <c r="E9">
        <v>110</v>
      </c>
      <c r="F9" t="s">
        <v>1317</v>
      </c>
      <c r="I9" t="s">
        <v>1332</v>
      </c>
    </row>
    <row r="10" spans="1:9" x14ac:dyDescent="0.3">
      <c r="A10" t="s">
        <v>1333</v>
      </c>
      <c r="B10">
        <v>20</v>
      </c>
      <c r="C10" t="s">
        <v>1322</v>
      </c>
      <c r="E10">
        <v>3579</v>
      </c>
      <c r="F10" t="s">
        <v>1317</v>
      </c>
      <c r="I10" t="s">
        <v>1324</v>
      </c>
    </row>
    <row r="11" spans="1:9" x14ac:dyDescent="0.3">
      <c r="A11" t="s">
        <v>1334</v>
      </c>
      <c r="B11">
        <v>21</v>
      </c>
      <c r="C11" t="s">
        <v>1322</v>
      </c>
      <c r="E11">
        <v>188</v>
      </c>
      <c r="F11" t="s">
        <v>1317</v>
      </c>
      <c r="I11" t="s">
        <v>1324</v>
      </c>
    </row>
    <row r="12" spans="1:9" x14ac:dyDescent="0.3">
      <c r="A12" t="s">
        <v>1335</v>
      </c>
      <c r="B12">
        <v>22</v>
      </c>
      <c r="C12" t="s">
        <v>1322</v>
      </c>
      <c r="E12">
        <v>3579</v>
      </c>
      <c r="F12" t="s">
        <v>1317</v>
      </c>
      <c r="I12" t="s">
        <v>1324</v>
      </c>
    </row>
    <row r="13" spans="1:9" x14ac:dyDescent="0.3">
      <c r="A13" t="s">
        <v>1336</v>
      </c>
      <c r="B13">
        <v>24</v>
      </c>
      <c r="C13" t="s">
        <v>1322</v>
      </c>
      <c r="E13">
        <v>544</v>
      </c>
      <c r="F13" t="s">
        <v>1317</v>
      </c>
      <c r="I13" t="s">
        <v>1324</v>
      </c>
    </row>
    <row r="14" spans="1:9" x14ac:dyDescent="0.3">
      <c r="A14" t="s">
        <v>1337</v>
      </c>
      <c r="B14">
        <v>25</v>
      </c>
      <c r="C14" t="s">
        <v>1322</v>
      </c>
      <c r="E14">
        <v>67.66</v>
      </c>
      <c r="F14" t="s">
        <v>1317</v>
      </c>
      <c r="I14" t="s">
        <v>1324</v>
      </c>
    </row>
    <row r="15" spans="1:9" x14ac:dyDescent="0.3">
      <c r="A15" t="s">
        <v>1338</v>
      </c>
      <c r="B15">
        <v>26</v>
      </c>
      <c r="C15" t="s">
        <v>1322</v>
      </c>
      <c r="E15">
        <v>279.74</v>
      </c>
      <c r="F15" t="s">
        <v>1317</v>
      </c>
      <c r="I15" t="s">
        <v>1324</v>
      </c>
    </row>
    <row r="16" spans="1:9" x14ac:dyDescent="0.3">
      <c r="A16" t="s">
        <v>1339</v>
      </c>
      <c r="B16">
        <v>27</v>
      </c>
      <c r="C16" t="s">
        <v>1322</v>
      </c>
      <c r="E16">
        <v>4.7830000000000004</v>
      </c>
      <c r="F16" t="s">
        <v>1323</v>
      </c>
      <c r="I16" t="s">
        <v>1324</v>
      </c>
    </row>
    <row r="17" spans="1:9" x14ac:dyDescent="0.3">
      <c r="A17" t="s">
        <v>1340</v>
      </c>
      <c r="B17">
        <v>28</v>
      </c>
      <c r="C17" t="s">
        <v>1322</v>
      </c>
      <c r="E17">
        <v>14.262</v>
      </c>
      <c r="F17" t="s">
        <v>1323</v>
      </c>
      <c r="I17" t="s">
        <v>1324</v>
      </c>
    </row>
    <row r="18" spans="1:9" x14ac:dyDescent="0.3">
      <c r="A18" t="s">
        <v>1341</v>
      </c>
      <c r="B18">
        <v>29</v>
      </c>
      <c r="C18" t="s">
        <v>1322</v>
      </c>
      <c r="E18">
        <v>2.9820000000000002</v>
      </c>
      <c r="F18" t="s">
        <v>1323</v>
      </c>
      <c r="I18" t="s">
        <v>1324</v>
      </c>
    </row>
    <row r="19" spans="1:9" x14ac:dyDescent="0.3">
      <c r="A19" t="s">
        <v>1342</v>
      </c>
      <c r="B19">
        <v>30</v>
      </c>
      <c r="C19" t="s">
        <v>1322</v>
      </c>
      <c r="E19">
        <v>0.14199999999999999</v>
      </c>
      <c r="F19" t="s">
        <v>1323</v>
      </c>
      <c r="I19" t="s">
        <v>1324</v>
      </c>
    </row>
    <row r="20" spans="1:9" x14ac:dyDescent="0.3">
      <c r="A20" t="s">
        <v>1343</v>
      </c>
      <c r="B20">
        <v>31</v>
      </c>
      <c r="C20" t="s">
        <v>1322</v>
      </c>
      <c r="E20">
        <v>2.84</v>
      </c>
      <c r="F20" t="s">
        <v>1323</v>
      </c>
      <c r="I20" t="s">
        <v>1324</v>
      </c>
    </row>
    <row r="21" spans="1:9" x14ac:dyDescent="0.3">
      <c r="A21" t="s">
        <v>1344</v>
      </c>
      <c r="B21">
        <v>32</v>
      </c>
      <c r="C21" t="s">
        <v>1322</v>
      </c>
      <c r="E21">
        <v>133.52000000000001</v>
      </c>
      <c r="F21" t="s">
        <v>1317</v>
      </c>
      <c r="I21" t="s">
        <v>1324</v>
      </c>
    </row>
    <row r="22" spans="1:9" x14ac:dyDescent="0.3">
      <c r="A22" t="s">
        <v>1345</v>
      </c>
      <c r="B22">
        <v>33</v>
      </c>
      <c r="C22" t="s">
        <v>1322</v>
      </c>
      <c r="E22">
        <v>8.4700000000000006</v>
      </c>
      <c r="F22" t="s">
        <v>1317</v>
      </c>
      <c r="I22" t="s">
        <v>1324</v>
      </c>
    </row>
    <row r="23" spans="1:9" x14ac:dyDescent="0.3">
      <c r="A23" t="s">
        <v>1346</v>
      </c>
      <c r="B23">
        <v>34</v>
      </c>
      <c r="C23" t="s">
        <v>1322</v>
      </c>
      <c r="E23">
        <v>0.20100000000000001</v>
      </c>
      <c r="F23" t="s">
        <v>1323</v>
      </c>
      <c r="I23" t="s">
        <v>1324</v>
      </c>
    </row>
    <row r="24" spans="1:9" x14ac:dyDescent="0.3">
      <c r="A24" t="s">
        <v>1347</v>
      </c>
      <c r="B24">
        <v>35</v>
      </c>
      <c r="C24" t="s">
        <v>1322</v>
      </c>
      <c r="E24">
        <v>8.0440000000000005</v>
      </c>
      <c r="F24" t="s">
        <v>1323</v>
      </c>
      <c r="I24" t="s">
        <v>1324</v>
      </c>
    </row>
    <row r="25" spans="1:9" x14ac:dyDescent="0.3">
      <c r="A25" t="s">
        <v>1348</v>
      </c>
      <c r="B25">
        <v>36</v>
      </c>
      <c r="C25" t="s">
        <v>1331</v>
      </c>
      <c r="E25">
        <v>110</v>
      </c>
      <c r="F25" t="s">
        <v>1349</v>
      </c>
      <c r="I25" t="s">
        <v>1332</v>
      </c>
    </row>
    <row r="26" spans="1:9" x14ac:dyDescent="0.3">
      <c r="A26" t="s">
        <v>1350</v>
      </c>
      <c r="B26">
        <v>37</v>
      </c>
      <c r="C26" t="s">
        <v>1322</v>
      </c>
      <c r="E26">
        <v>1557</v>
      </c>
      <c r="F26" t="s">
        <v>1349</v>
      </c>
      <c r="I26" t="s">
        <v>1324</v>
      </c>
    </row>
    <row r="27" spans="1:9" x14ac:dyDescent="0.3">
      <c r="A27" t="s">
        <v>1351</v>
      </c>
      <c r="B27">
        <v>38</v>
      </c>
      <c r="C27" t="s">
        <v>1322</v>
      </c>
      <c r="E27">
        <v>102.5</v>
      </c>
      <c r="F27" t="s">
        <v>1317</v>
      </c>
      <c r="I27" t="s">
        <v>1324</v>
      </c>
    </row>
    <row r="28" spans="1:9" x14ac:dyDescent="0.3">
      <c r="A28" t="s">
        <v>1352</v>
      </c>
      <c r="B28">
        <v>39</v>
      </c>
      <c r="C28" t="s">
        <v>1322</v>
      </c>
      <c r="E28">
        <v>102.5</v>
      </c>
      <c r="F28" t="s">
        <v>1317</v>
      </c>
      <c r="I28" t="s">
        <v>1324</v>
      </c>
    </row>
    <row r="29" spans="1:9" x14ac:dyDescent="0.3">
      <c r="A29" t="s">
        <v>1353</v>
      </c>
      <c r="B29">
        <v>40</v>
      </c>
      <c r="C29" t="s">
        <v>1322</v>
      </c>
      <c r="E29">
        <v>1.39</v>
      </c>
      <c r="F29" t="s">
        <v>1317</v>
      </c>
      <c r="I29" t="s">
        <v>1324</v>
      </c>
    </row>
    <row r="30" spans="1:9" x14ac:dyDescent="0.3">
      <c r="A30" t="s">
        <v>1354</v>
      </c>
      <c r="B30">
        <v>41</v>
      </c>
      <c r="C30" t="s">
        <v>1322</v>
      </c>
      <c r="E30">
        <v>8.5399999999999991</v>
      </c>
      <c r="F30" t="s">
        <v>1317</v>
      </c>
      <c r="I30" t="s">
        <v>1324</v>
      </c>
    </row>
    <row r="31" spans="1:9" x14ac:dyDescent="0.3">
      <c r="A31" t="s">
        <v>1355</v>
      </c>
      <c r="B31">
        <v>42</v>
      </c>
      <c r="C31" t="s">
        <v>1322</v>
      </c>
      <c r="E31">
        <v>1.2999999999999999E-2</v>
      </c>
      <c r="F31" t="s">
        <v>1323</v>
      </c>
      <c r="I31" t="s">
        <v>1324</v>
      </c>
    </row>
    <row r="32" spans="1:9" x14ac:dyDescent="0.3">
      <c r="A32" t="s">
        <v>1356</v>
      </c>
      <c r="B32">
        <v>43</v>
      </c>
      <c r="C32" t="s">
        <v>1322</v>
      </c>
      <c r="E32">
        <v>0.61299999999999999</v>
      </c>
      <c r="F32" t="s">
        <v>1323</v>
      </c>
      <c r="I32" t="s">
        <v>1324</v>
      </c>
    </row>
    <row r="33" spans="1:9" x14ac:dyDescent="0.3">
      <c r="A33" t="s">
        <v>1357</v>
      </c>
      <c r="B33">
        <v>44</v>
      </c>
      <c r="C33" t="s">
        <v>1322</v>
      </c>
      <c r="E33">
        <v>0.249</v>
      </c>
      <c r="F33" t="s">
        <v>1323</v>
      </c>
      <c r="I33" t="s">
        <v>1324</v>
      </c>
    </row>
    <row r="34" spans="1:9" x14ac:dyDescent="0.3">
      <c r="A34" t="s">
        <v>1358</v>
      </c>
      <c r="B34">
        <v>46</v>
      </c>
      <c r="C34" t="s">
        <v>1331</v>
      </c>
      <c r="E34">
        <v>137.28</v>
      </c>
      <c r="F34" t="s">
        <v>1317</v>
      </c>
      <c r="I34" t="s">
        <v>1332</v>
      </c>
    </row>
    <row r="35" spans="1:9" x14ac:dyDescent="0.3">
      <c r="A35" t="s">
        <v>1359</v>
      </c>
      <c r="B35">
        <v>47</v>
      </c>
      <c r="C35" t="s">
        <v>1322</v>
      </c>
      <c r="E35">
        <v>4.0190000000000001</v>
      </c>
      <c r="F35" t="s">
        <v>1323</v>
      </c>
      <c r="I35" t="s">
        <v>1324</v>
      </c>
    </row>
    <row r="36" spans="1:9" x14ac:dyDescent="0.3">
      <c r="A36" t="s">
        <v>1360</v>
      </c>
      <c r="B36">
        <v>48</v>
      </c>
      <c r="C36" t="s">
        <v>1322</v>
      </c>
      <c r="E36">
        <v>13.645</v>
      </c>
      <c r="F36" t="s">
        <v>1323</v>
      </c>
      <c r="I36" t="s">
        <v>1324</v>
      </c>
    </row>
    <row r="37" spans="1:9" x14ac:dyDescent="0.3">
      <c r="A37" t="s">
        <v>1361</v>
      </c>
      <c r="B37">
        <v>49</v>
      </c>
      <c r="C37" t="s">
        <v>1322</v>
      </c>
      <c r="E37">
        <v>146.87</v>
      </c>
      <c r="F37" t="s">
        <v>1317</v>
      </c>
      <c r="I37" t="s">
        <v>1324</v>
      </c>
    </row>
    <row r="38" spans="1:9" x14ac:dyDescent="0.3">
      <c r="A38" t="s">
        <v>1362</v>
      </c>
      <c r="B38">
        <v>50</v>
      </c>
      <c r="C38" t="s">
        <v>1322</v>
      </c>
      <c r="E38">
        <v>10.250999999999999</v>
      </c>
      <c r="F38" t="s">
        <v>1323</v>
      </c>
      <c r="I38" t="s">
        <v>1324</v>
      </c>
    </row>
    <row r="39" spans="1:9" x14ac:dyDescent="0.3">
      <c r="A39" t="s">
        <v>1363</v>
      </c>
      <c r="B39">
        <v>51</v>
      </c>
      <c r="C39" t="s">
        <v>1322</v>
      </c>
      <c r="E39">
        <v>30.648</v>
      </c>
      <c r="F39" t="s">
        <v>1323</v>
      </c>
      <c r="I39" t="s">
        <v>1324</v>
      </c>
    </row>
    <row r="40" spans="1:9" x14ac:dyDescent="0.3">
      <c r="A40" t="s">
        <v>1364</v>
      </c>
      <c r="B40">
        <v>52</v>
      </c>
      <c r="C40" t="s">
        <v>1322</v>
      </c>
      <c r="E40">
        <v>20.55</v>
      </c>
      <c r="F40" t="s">
        <v>1317</v>
      </c>
      <c r="I40" t="s">
        <v>1324</v>
      </c>
    </row>
    <row r="41" spans="1:9" x14ac:dyDescent="0.3">
      <c r="A41" t="s">
        <v>1365</v>
      </c>
      <c r="B41">
        <v>53</v>
      </c>
      <c r="C41" t="s">
        <v>1322</v>
      </c>
      <c r="E41">
        <v>0.81200000000000006</v>
      </c>
      <c r="F41" t="s">
        <v>1323</v>
      </c>
      <c r="I41" t="s">
        <v>1324</v>
      </c>
    </row>
    <row r="42" spans="1:9" x14ac:dyDescent="0.3">
      <c r="A42" t="s">
        <v>1366</v>
      </c>
      <c r="B42">
        <v>54</v>
      </c>
      <c r="C42" t="s">
        <v>1322</v>
      </c>
      <c r="E42">
        <v>2.1179999999999999</v>
      </c>
      <c r="F42" t="s">
        <v>1323</v>
      </c>
      <c r="I42" t="s">
        <v>1324</v>
      </c>
    </row>
    <row r="43" spans="1:9" x14ac:dyDescent="0.3">
      <c r="A43" t="s">
        <v>1367</v>
      </c>
      <c r="B43">
        <v>55</v>
      </c>
      <c r="C43" t="s">
        <v>1322</v>
      </c>
      <c r="E43">
        <v>676.97</v>
      </c>
      <c r="F43" t="s">
        <v>1317</v>
      </c>
      <c r="I43" t="s">
        <v>1324</v>
      </c>
    </row>
    <row r="44" spans="1:9" x14ac:dyDescent="0.3">
      <c r="A44" t="s">
        <v>1368</v>
      </c>
      <c r="B44">
        <v>56</v>
      </c>
      <c r="C44" t="s">
        <v>1322</v>
      </c>
      <c r="E44">
        <v>4.6749999999999998</v>
      </c>
      <c r="F44" t="s">
        <v>1323</v>
      </c>
      <c r="I44" t="s">
        <v>1324</v>
      </c>
    </row>
    <row r="45" spans="1:9" x14ac:dyDescent="0.3">
      <c r="A45" t="s">
        <v>1369</v>
      </c>
      <c r="B45">
        <v>57</v>
      </c>
      <c r="C45" t="s">
        <v>1322</v>
      </c>
      <c r="E45">
        <v>69.402000000000001</v>
      </c>
      <c r="F45" t="s">
        <v>1323</v>
      </c>
      <c r="I45" t="s">
        <v>1324</v>
      </c>
    </row>
    <row r="46" spans="1:9" x14ac:dyDescent="0.3">
      <c r="A46" t="s">
        <v>1370</v>
      </c>
      <c r="B46">
        <v>58</v>
      </c>
      <c r="C46" t="s">
        <v>1322</v>
      </c>
      <c r="E46">
        <v>7.88</v>
      </c>
      <c r="F46" t="s">
        <v>1317</v>
      </c>
      <c r="I46" t="s">
        <v>1324</v>
      </c>
    </row>
    <row r="47" spans="1:9" x14ac:dyDescent="0.3">
      <c r="A47" t="s">
        <v>1371</v>
      </c>
      <c r="B47">
        <v>59</v>
      </c>
      <c r="C47" t="s">
        <v>1322</v>
      </c>
      <c r="E47">
        <v>0.183</v>
      </c>
      <c r="F47" t="s">
        <v>1323</v>
      </c>
      <c r="I47" t="s">
        <v>1324</v>
      </c>
    </row>
    <row r="48" spans="1:9" x14ac:dyDescent="0.3">
      <c r="A48" t="s">
        <v>1372</v>
      </c>
      <c r="B48">
        <v>60</v>
      </c>
      <c r="C48" t="s">
        <v>1322</v>
      </c>
      <c r="E48">
        <v>1.611</v>
      </c>
      <c r="F48" t="s">
        <v>1323</v>
      </c>
      <c r="I48" t="s">
        <v>1324</v>
      </c>
    </row>
    <row r="49" spans="1:9" x14ac:dyDescent="0.3">
      <c r="A49" t="s">
        <v>1373</v>
      </c>
      <c r="B49">
        <v>61</v>
      </c>
      <c r="C49" t="s">
        <v>1331</v>
      </c>
      <c r="E49">
        <v>22</v>
      </c>
      <c r="F49" t="s">
        <v>61</v>
      </c>
      <c r="I49" t="s">
        <v>1332</v>
      </c>
    </row>
    <row r="50" spans="1:9" x14ac:dyDescent="0.3">
      <c r="A50" t="s">
        <v>1374</v>
      </c>
      <c r="B50">
        <v>62</v>
      </c>
      <c r="C50" t="s">
        <v>1322</v>
      </c>
      <c r="E50">
        <v>0.182</v>
      </c>
      <c r="F50" t="s">
        <v>1323</v>
      </c>
      <c r="I50" t="s">
        <v>1324</v>
      </c>
    </row>
    <row r="51" spans="1:9" x14ac:dyDescent="0.3">
      <c r="A51" t="s">
        <v>1375</v>
      </c>
      <c r="B51">
        <v>63</v>
      </c>
      <c r="C51" t="s">
        <v>1322</v>
      </c>
      <c r="E51">
        <v>1.3</v>
      </c>
      <c r="F51" t="s">
        <v>1317</v>
      </c>
      <c r="I51" t="s">
        <v>1324</v>
      </c>
    </row>
    <row r="52" spans="1:9" x14ac:dyDescent="0.3">
      <c r="A52" t="s">
        <v>1376</v>
      </c>
      <c r="B52">
        <v>64</v>
      </c>
      <c r="C52" t="s">
        <v>1322</v>
      </c>
      <c r="E52">
        <v>3.0000000000000001E-3</v>
      </c>
      <c r="F52" t="s">
        <v>1323</v>
      </c>
      <c r="I52" t="s">
        <v>1324</v>
      </c>
    </row>
    <row r="53" spans="1:9" x14ac:dyDescent="0.3">
      <c r="A53" t="s">
        <v>1377</v>
      </c>
      <c r="B53">
        <v>65</v>
      </c>
      <c r="C53" t="s">
        <v>1322</v>
      </c>
      <c r="E53">
        <v>0.255</v>
      </c>
      <c r="F53" t="s">
        <v>1323</v>
      </c>
      <c r="I53" t="s">
        <v>1324</v>
      </c>
    </row>
    <row r="54" spans="1:9" x14ac:dyDescent="0.3">
      <c r="A54" t="s">
        <v>1378</v>
      </c>
      <c r="B54">
        <v>66</v>
      </c>
      <c r="C54" t="s">
        <v>1322</v>
      </c>
      <c r="E54">
        <v>9.75</v>
      </c>
      <c r="F54" t="s">
        <v>1317</v>
      </c>
      <c r="I54" t="s">
        <v>1324</v>
      </c>
    </row>
    <row r="55" spans="1:9" x14ac:dyDescent="0.3">
      <c r="A55" t="s">
        <v>1379</v>
      </c>
      <c r="B55">
        <v>67</v>
      </c>
      <c r="C55" t="s">
        <v>1322</v>
      </c>
      <c r="E55">
        <v>0.30599999999999999</v>
      </c>
      <c r="F55" t="s">
        <v>1323</v>
      </c>
      <c r="I55" t="s">
        <v>1324</v>
      </c>
    </row>
    <row r="56" spans="1:9" x14ac:dyDescent="0.3">
      <c r="A56" t="s">
        <v>1380</v>
      </c>
      <c r="B56">
        <v>68</v>
      </c>
      <c r="C56" t="s">
        <v>1322</v>
      </c>
      <c r="E56">
        <v>0.66900000000000004</v>
      </c>
      <c r="F56" t="s">
        <v>1323</v>
      </c>
      <c r="I56" t="s">
        <v>1324</v>
      </c>
    </row>
    <row r="57" spans="1:9" x14ac:dyDescent="0.3">
      <c r="A57" t="s">
        <v>1381</v>
      </c>
      <c r="B57">
        <v>69</v>
      </c>
      <c r="C57" t="s">
        <v>1322</v>
      </c>
      <c r="E57">
        <v>21.93</v>
      </c>
      <c r="F57" t="s">
        <v>1317</v>
      </c>
      <c r="I57" t="s">
        <v>1324</v>
      </c>
    </row>
    <row r="58" spans="1:9" x14ac:dyDescent="0.3">
      <c r="A58" t="s">
        <v>1382</v>
      </c>
      <c r="B58">
        <v>70</v>
      </c>
      <c r="C58" t="s">
        <v>1322</v>
      </c>
      <c r="E58">
        <v>0.79800000000000004</v>
      </c>
      <c r="F58" t="s">
        <v>1323</v>
      </c>
      <c r="I58" t="s">
        <v>1324</v>
      </c>
    </row>
    <row r="59" spans="1:9" x14ac:dyDescent="0.3">
      <c r="A59" t="s">
        <v>1383</v>
      </c>
      <c r="B59">
        <v>71</v>
      </c>
      <c r="C59" t="s">
        <v>1322</v>
      </c>
      <c r="E59">
        <v>0.74399999999999999</v>
      </c>
      <c r="F59" t="s">
        <v>1323</v>
      </c>
      <c r="I59" t="s">
        <v>1324</v>
      </c>
    </row>
    <row r="60" spans="1:9" x14ac:dyDescent="0.3">
      <c r="A60" t="s">
        <v>1384</v>
      </c>
      <c r="B60">
        <v>73</v>
      </c>
      <c r="C60" t="s">
        <v>1385</v>
      </c>
      <c r="E60">
        <v>628.29999999999995</v>
      </c>
      <c r="F60" t="s">
        <v>1349</v>
      </c>
      <c r="G60" t="s">
        <v>1386</v>
      </c>
      <c r="H60" t="s">
        <v>1387</v>
      </c>
      <c r="I60" t="s">
        <v>1388</v>
      </c>
    </row>
    <row r="61" spans="1:9" x14ac:dyDescent="0.3">
      <c r="A61" t="s">
        <v>1389</v>
      </c>
      <c r="B61">
        <v>74</v>
      </c>
      <c r="C61" t="s">
        <v>1322</v>
      </c>
      <c r="E61">
        <v>223</v>
      </c>
      <c r="F61" t="s">
        <v>1349</v>
      </c>
      <c r="I61" t="s">
        <v>1324</v>
      </c>
    </row>
    <row r="62" spans="1:9" x14ac:dyDescent="0.3">
      <c r="A62" t="s">
        <v>1390</v>
      </c>
      <c r="B62">
        <v>75</v>
      </c>
      <c r="C62" t="s">
        <v>1322</v>
      </c>
      <c r="E62">
        <v>551</v>
      </c>
      <c r="F62" t="s">
        <v>1349</v>
      </c>
      <c r="I62" t="s">
        <v>1324</v>
      </c>
    </row>
    <row r="63" spans="1:9" x14ac:dyDescent="0.3">
      <c r="A63" t="s">
        <v>1391</v>
      </c>
      <c r="B63">
        <v>76</v>
      </c>
      <c r="C63" t="s">
        <v>1322</v>
      </c>
      <c r="E63">
        <v>240.34</v>
      </c>
      <c r="F63" t="s">
        <v>1317</v>
      </c>
      <c r="I63" t="s">
        <v>1324</v>
      </c>
    </row>
    <row r="64" spans="1:9" x14ac:dyDescent="0.3">
      <c r="A64" t="s">
        <v>1392</v>
      </c>
      <c r="B64">
        <v>77</v>
      </c>
      <c r="C64" t="s">
        <v>1322</v>
      </c>
      <c r="E64">
        <v>0.28199999999999997</v>
      </c>
      <c r="F64" t="s">
        <v>1323</v>
      </c>
      <c r="I64" t="s">
        <v>1324</v>
      </c>
    </row>
    <row r="65" spans="1:9" x14ac:dyDescent="0.3">
      <c r="A65" t="s">
        <v>1393</v>
      </c>
      <c r="B65">
        <v>78</v>
      </c>
      <c r="C65" t="s">
        <v>1322</v>
      </c>
      <c r="E65">
        <v>196.8</v>
      </c>
      <c r="F65" t="s">
        <v>1349</v>
      </c>
      <c r="I65" t="s">
        <v>1324</v>
      </c>
    </row>
    <row r="66" spans="1:9" x14ac:dyDescent="0.3">
      <c r="A66" t="s">
        <v>1394</v>
      </c>
      <c r="B66">
        <v>79</v>
      </c>
      <c r="C66" t="s">
        <v>1322</v>
      </c>
      <c r="E66">
        <v>0.32400000000000001</v>
      </c>
      <c r="F66" t="s">
        <v>1323</v>
      </c>
      <c r="I66" t="s">
        <v>1324</v>
      </c>
    </row>
    <row r="67" spans="1:9" x14ac:dyDescent="0.3">
      <c r="A67" t="s">
        <v>1395</v>
      </c>
      <c r="B67">
        <v>81</v>
      </c>
      <c r="C67" t="s">
        <v>1322</v>
      </c>
      <c r="E67">
        <v>1414.2</v>
      </c>
      <c r="F67" t="s">
        <v>1349</v>
      </c>
      <c r="I67" t="s">
        <v>1324</v>
      </c>
    </row>
    <row r="68" spans="1:9" x14ac:dyDescent="0.3">
      <c r="A68" t="s">
        <v>1396</v>
      </c>
      <c r="B68">
        <v>82</v>
      </c>
      <c r="C68" t="s">
        <v>1322</v>
      </c>
      <c r="E68">
        <v>1414.2</v>
      </c>
      <c r="F68" t="s">
        <v>1349</v>
      </c>
      <c r="I68" t="s">
        <v>1324</v>
      </c>
    </row>
    <row r="69" spans="1:9" x14ac:dyDescent="0.3">
      <c r="A69" t="s">
        <v>1397</v>
      </c>
      <c r="B69">
        <v>83</v>
      </c>
      <c r="C69" t="s">
        <v>1322</v>
      </c>
      <c r="E69">
        <v>1414.2</v>
      </c>
      <c r="F69" t="s">
        <v>1349</v>
      </c>
      <c r="I69" t="s">
        <v>1324</v>
      </c>
    </row>
    <row r="70" spans="1:9" x14ac:dyDescent="0.3">
      <c r="A70" t="s">
        <v>1398</v>
      </c>
      <c r="B70">
        <v>84</v>
      </c>
      <c r="C70" t="s">
        <v>1322</v>
      </c>
      <c r="E70">
        <v>106.1</v>
      </c>
      <c r="F70" t="s">
        <v>1317</v>
      </c>
      <c r="I70" t="s">
        <v>1324</v>
      </c>
    </row>
    <row r="71" spans="1:9" x14ac:dyDescent="0.3">
      <c r="A71" t="s">
        <v>1399</v>
      </c>
      <c r="B71">
        <v>85</v>
      </c>
      <c r="C71" t="s">
        <v>1322</v>
      </c>
      <c r="E71">
        <v>1414.2</v>
      </c>
      <c r="F71" t="s">
        <v>1349</v>
      </c>
      <c r="I71" t="s">
        <v>1324</v>
      </c>
    </row>
    <row r="72" spans="1:9" x14ac:dyDescent="0.3">
      <c r="A72" t="s">
        <v>1400</v>
      </c>
      <c r="B72">
        <v>86</v>
      </c>
      <c r="C72" t="s">
        <v>1322</v>
      </c>
      <c r="E72">
        <v>1414.2</v>
      </c>
      <c r="F72" t="s">
        <v>1349</v>
      </c>
      <c r="I72" t="s">
        <v>1324</v>
      </c>
    </row>
    <row r="73" spans="1:9" x14ac:dyDescent="0.3">
      <c r="A73" t="s">
        <v>1401</v>
      </c>
      <c r="B73">
        <v>87</v>
      </c>
      <c r="C73" t="s">
        <v>1322</v>
      </c>
      <c r="E73">
        <v>1414.2</v>
      </c>
      <c r="F73" t="s">
        <v>1349</v>
      </c>
      <c r="I73" t="s">
        <v>1324</v>
      </c>
    </row>
    <row r="74" spans="1:9" x14ac:dyDescent="0.3">
      <c r="A74" t="s">
        <v>1402</v>
      </c>
      <c r="B74">
        <v>88</v>
      </c>
      <c r="C74" t="s">
        <v>1322</v>
      </c>
      <c r="E74">
        <v>1414.2</v>
      </c>
      <c r="F74" t="s">
        <v>1349</v>
      </c>
      <c r="I74" t="s">
        <v>1324</v>
      </c>
    </row>
    <row r="75" spans="1:9" x14ac:dyDescent="0.3">
      <c r="A75" t="s">
        <v>1403</v>
      </c>
      <c r="B75">
        <v>89</v>
      </c>
      <c r="C75" t="s">
        <v>1322</v>
      </c>
      <c r="E75">
        <v>50.4</v>
      </c>
      <c r="F75" t="s">
        <v>1317</v>
      </c>
      <c r="I75" t="s">
        <v>1324</v>
      </c>
    </row>
    <row r="76" spans="1:9" x14ac:dyDescent="0.3">
      <c r="A76" t="s">
        <v>1404</v>
      </c>
      <c r="B76">
        <v>90</v>
      </c>
      <c r="C76" t="s">
        <v>1405</v>
      </c>
      <c r="D76">
        <v>1660</v>
      </c>
      <c r="E76">
        <v>1660</v>
      </c>
      <c r="F76" t="s">
        <v>1349</v>
      </c>
      <c r="G76" t="s">
        <v>1318</v>
      </c>
      <c r="H76" t="s">
        <v>1406</v>
      </c>
      <c r="I76" t="s">
        <v>1407</v>
      </c>
    </row>
    <row r="77" spans="1:9" x14ac:dyDescent="0.3">
      <c r="A77" t="s">
        <v>1408</v>
      </c>
      <c r="B77">
        <v>91</v>
      </c>
      <c r="C77" t="s">
        <v>1322</v>
      </c>
      <c r="E77">
        <v>1992</v>
      </c>
      <c r="F77" t="s">
        <v>1349</v>
      </c>
      <c r="I77" t="s">
        <v>1324</v>
      </c>
    </row>
    <row r="78" spans="1:9" x14ac:dyDescent="0.3">
      <c r="A78" t="s">
        <v>1409</v>
      </c>
      <c r="B78">
        <v>92</v>
      </c>
      <c r="C78" t="s">
        <v>1405</v>
      </c>
      <c r="D78">
        <v>230.5</v>
      </c>
      <c r="E78">
        <v>230.5</v>
      </c>
      <c r="F78" t="s">
        <v>1349</v>
      </c>
      <c r="G78" t="s">
        <v>1318</v>
      </c>
      <c r="H78" t="s">
        <v>1406</v>
      </c>
      <c r="I78" t="s">
        <v>1410</v>
      </c>
    </row>
    <row r="79" spans="1:9" x14ac:dyDescent="0.3">
      <c r="A79" t="s">
        <v>1411</v>
      </c>
      <c r="B79">
        <v>93</v>
      </c>
      <c r="C79" t="s">
        <v>1405</v>
      </c>
      <c r="D79">
        <v>154.19999999999999</v>
      </c>
      <c r="E79">
        <v>154.19999999999999</v>
      </c>
      <c r="F79" t="s">
        <v>61</v>
      </c>
      <c r="G79" t="s">
        <v>1318</v>
      </c>
      <c r="H79" t="s">
        <v>1406</v>
      </c>
      <c r="I79" t="s">
        <v>1412</v>
      </c>
    </row>
    <row r="80" spans="1:9" x14ac:dyDescent="0.3">
      <c r="A80" t="s">
        <v>1413</v>
      </c>
      <c r="B80">
        <v>94</v>
      </c>
      <c r="C80" t="s">
        <v>1405</v>
      </c>
      <c r="D80">
        <v>190.5</v>
      </c>
      <c r="E80">
        <v>190.5</v>
      </c>
      <c r="F80" t="s">
        <v>61</v>
      </c>
      <c r="G80" t="s">
        <v>1318</v>
      </c>
      <c r="H80" t="s">
        <v>1406</v>
      </c>
      <c r="I80" t="s">
        <v>1414</v>
      </c>
    </row>
    <row r="81" spans="1:9" x14ac:dyDescent="0.3">
      <c r="A81" t="s">
        <v>1415</v>
      </c>
      <c r="B81">
        <v>95</v>
      </c>
      <c r="C81" t="s">
        <v>1405</v>
      </c>
      <c r="D81">
        <v>190.5</v>
      </c>
      <c r="E81">
        <v>190.5</v>
      </c>
      <c r="F81" t="s">
        <v>61</v>
      </c>
      <c r="G81" t="s">
        <v>1318</v>
      </c>
      <c r="H81" t="s">
        <v>1406</v>
      </c>
      <c r="I81" t="s">
        <v>1414</v>
      </c>
    </row>
    <row r="82" spans="1:9" x14ac:dyDescent="0.3">
      <c r="A82" t="s">
        <v>1416</v>
      </c>
      <c r="B82">
        <v>96</v>
      </c>
      <c r="C82" t="s">
        <v>1322</v>
      </c>
      <c r="E82">
        <v>1.62</v>
      </c>
      <c r="F82" t="s">
        <v>1349</v>
      </c>
      <c r="I82" t="s">
        <v>1324</v>
      </c>
    </row>
    <row r="83" spans="1:9" x14ac:dyDescent="0.3">
      <c r="A83" t="s">
        <v>1417</v>
      </c>
      <c r="B83">
        <v>97</v>
      </c>
      <c r="C83" t="s">
        <v>1322</v>
      </c>
      <c r="E83">
        <v>0.46300000000000002</v>
      </c>
      <c r="F83" t="s">
        <v>1323</v>
      </c>
      <c r="I83" t="s">
        <v>1324</v>
      </c>
    </row>
    <row r="84" spans="1:9" x14ac:dyDescent="0.3">
      <c r="A84" t="s">
        <v>1418</v>
      </c>
      <c r="B84">
        <v>98</v>
      </c>
      <c r="C84" t="s">
        <v>1405</v>
      </c>
      <c r="D84">
        <v>145.69999999999999</v>
      </c>
      <c r="E84">
        <v>145.69999999999999</v>
      </c>
      <c r="F84" t="s">
        <v>61</v>
      </c>
      <c r="G84" t="s">
        <v>1318</v>
      </c>
      <c r="H84" t="s">
        <v>1406</v>
      </c>
      <c r="I84" t="s">
        <v>1419</v>
      </c>
    </row>
    <row r="85" spans="1:9" x14ac:dyDescent="0.3">
      <c r="A85" t="s">
        <v>1420</v>
      </c>
      <c r="B85">
        <v>99</v>
      </c>
      <c r="C85" t="s">
        <v>1331</v>
      </c>
      <c r="E85">
        <v>9</v>
      </c>
      <c r="F85" t="s">
        <v>1421</v>
      </c>
      <c r="I85" t="s">
        <v>1332</v>
      </c>
    </row>
    <row r="86" spans="1:9" x14ac:dyDescent="0.3">
      <c r="A86" t="s">
        <v>1422</v>
      </c>
      <c r="B86">
        <v>100</v>
      </c>
      <c r="C86" t="s">
        <v>1331</v>
      </c>
      <c r="E86">
        <v>8</v>
      </c>
      <c r="F86" t="s">
        <v>1349</v>
      </c>
      <c r="I86" t="s">
        <v>1332</v>
      </c>
    </row>
    <row r="87" spans="1:9" x14ac:dyDescent="0.3">
      <c r="A87" t="s">
        <v>1423</v>
      </c>
      <c r="B87">
        <v>102</v>
      </c>
      <c r="C87" t="s">
        <v>1331</v>
      </c>
      <c r="E87">
        <v>23.1</v>
      </c>
      <c r="F87" t="s">
        <v>1349</v>
      </c>
      <c r="I87" t="s">
        <v>1332</v>
      </c>
    </row>
    <row r="88" spans="1:9" x14ac:dyDescent="0.3">
      <c r="A88" t="s">
        <v>1424</v>
      </c>
      <c r="B88">
        <v>103</v>
      </c>
      <c r="C88" t="s">
        <v>1322</v>
      </c>
      <c r="E88">
        <v>41.79</v>
      </c>
      <c r="F88" t="s">
        <v>1349</v>
      </c>
      <c r="I88" t="s">
        <v>1324</v>
      </c>
    </row>
    <row r="89" spans="1:9" x14ac:dyDescent="0.3">
      <c r="A89" t="s">
        <v>1425</v>
      </c>
      <c r="B89">
        <v>104</v>
      </c>
      <c r="C89" t="s">
        <v>1322</v>
      </c>
      <c r="E89">
        <v>71.19</v>
      </c>
      <c r="F89" t="s">
        <v>1349</v>
      </c>
      <c r="I89" t="s">
        <v>1324</v>
      </c>
    </row>
    <row r="90" spans="1:9" x14ac:dyDescent="0.3">
      <c r="A90" t="s">
        <v>1426</v>
      </c>
      <c r="B90">
        <v>105</v>
      </c>
      <c r="C90" t="s">
        <v>1322</v>
      </c>
      <c r="E90">
        <v>15.54</v>
      </c>
      <c r="F90" t="s">
        <v>1349</v>
      </c>
      <c r="I90" t="s">
        <v>1324</v>
      </c>
    </row>
    <row r="91" spans="1:9" x14ac:dyDescent="0.3">
      <c r="A91" t="s">
        <v>1427</v>
      </c>
      <c r="B91">
        <v>106</v>
      </c>
      <c r="C91" t="s">
        <v>1322</v>
      </c>
      <c r="E91">
        <v>72</v>
      </c>
      <c r="F91" t="s">
        <v>1349</v>
      </c>
      <c r="I91" t="s">
        <v>1324</v>
      </c>
    </row>
    <row r="92" spans="1:9" x14ac:dyDescent="0.3">
      <c r="A92" t="s">
        <v>1428</v>
      </c>
      <c r="B92">
        <v>107</v>
      </c>
      <c r="C92" t="s">
        <v>1322</v>
      </c>
      <c r="E92">
        <v>2.27</v>
      </c>
      <c r="F92" t="s">
        <v>1323</v>
      </c>
      <c r="I92" t="s">
        <v>1324</v>
      </c>
    </row>
    <row r="93" spans="1:9" x14ac:dyDescent="0.3">
      <c r="A93" t="s">
        <v>1429</v>
      </c>
      <c r="B93">
        <v>108</v>
      </c>
      <c r="C93" t="s">
        <v>1322</v>
      </c>
      <c r="E93">
        <v>252</v>
      </c>
      <c r="F93" t="s">
        <v>1349</v>
      </c>
      <c r="I93" t="s">
        <v>1324</v>
      </c>
    </row>
    <row r="94" spans="1:9" x14ac:dyDescent="0.3">
      <c r="A94" t="s">
        <v>1430</v>
      </c>
      <c r="B94">
        <v>109</v>
      </c>
      <c r="C94" t="s">
        <v>1322</v>
      </c>
      <c r="E94">
        <v>2.88</v>
      </c>
      <c r="F94" t="s">
        <v>1349</v>
      </c>
      <c r="I94" t="s">
        <v>1324</v>
      </c>
    </row>
    <row r="95" spans="1:9" x14ac:dyDescent="0.3">
      <c r="A95" t="s">
        <v>1431</v>
      </c>
      <c r="B95">
        <v>110</v>
      </c>
      <c r="C95" t="s">
        <v>1322</v>
      </c>
      <c r="E95">
        <v>0.42899999999999999</v>
      </c>
      <c r="F95" t="s">
        <v>1323</v>
      </c>
      <c r="I95" t="s">
        <v>1324</v>
      </c>
    </row>
    <row r="96" spans="1:9" x14ac:dyDescent="0.3">
      <c r="A96" t="s">
        <v>1432</v>
      </c>
      <c r="B96">
        <v>111</v>
      </c>
      <c r="C96" t="s">
        <v>1331</v>
      </c>
      <c r="E96">
        <v>39</v>
      </c>
      <c r="F96" t="s">
        <v>1349</v>
      </c>
      <c r="I96" t="s">
        <v>1332</v>
      </c>
    </row>
    <row r="97" spans="1:9" x14ac:dyDescent="0.3">
      <c r="A97" t="s">
        <v>1433</v>
      </c>
      <c r="B97">
        <v>112</v>
      </c>
      <c r="C97" t="s">
        <v>1322</v>
      </c>
      <c r="E97">
        <v>37.520000000000003</v>
      </c>
      <c r="F97" t="s">
        <v>1349</v>
      </c>
      <c r="I97" t="s">
        <v>1324</v>
      </c>
    </row>
    <row r="98" spans="1:9" x14ac:dyDescent="0.3">
      <c r="A98" t="s">
        <v>1434</v>
      </c>
      <c r="B98">
        <v>113</v>
      </c>
      <c r="C98" t="s">
        <v>1322</v>
      </c>
      <c r="E98">
        <v>46</v>
      </c>
      <c r="F98" t="s">
        <v>1421</v>
      </c>
      <c r="I98" t="s">
        <v>1324</v>
      </c>
    </row>
    <row r="99" spans="1:9" x14ac:dyDescent="0.3">
      <c r="A99" t="s">
        <v>1435</v>
      </c>
      <c r="B99">
        <v>114</v>
      </c>
      <c r="C99" t="s">
        <v>1322</v>
      </c>
      <c r="E99">
        <v>0.20899999999999999</v>
      </c>
      <c r="F99" t="s">
        <v>1317</v>
      </c>
      <c r="I99" t="s">
        <v>1324</v>
      </c>
    </row>
    <row r="100" spans="1:9" x14ac:dyDescent="0.3">
      <c r="A100" t="s">
        <v>1436</v>
      </c>
      <c r="B100">
        <v>115</v>
      </c>
      <c r="C100" t="s">
        <v>1322</v>
      </c>
      <c r="E100">
        <v>8.9999999999999993E-3</v>
      </c>
      <c r="F100" t="s">
        <v>1323</v>
      </c>
      <c r="I100" t="s">
        <v>1324</v>
      </c>
    </row>
    <row r="101" spans="1:9" x14ac:dyDescent="0.3">
      <c r="A101" t="s">
        <v>1437</v>
      </c>
      <c r="B101">
        <v>116</v>
      </c>
      <c r="C101" t="s">
        <v>1322</v>
      </c>
      <c r="E101">
        <v>4.8000000000000001E-2</v>
      </c>
      <c r="F101" t="s">
        <v>1323</v>
      </c>
      <c r="I101" t="s">
        <v>1324</v>
      </c>
    </row>
    <row r="102" spans="1:9" x14ac:dyDescent="0.3">
      <c r="A102" t="s">
        <v>1438</v>
      </c>
      <c r="B102">
        <v>118</v>
      </c>
      <c r="C102" t="s">
        <v>1405</v>
      </c>
      <c r="D102">
        <v>1344</v>
      </c>
      <c r="E102">
        <v>1344</v>
      </c>
      <c r="F102" t="s">
        <v>1349</v>
      </c>
      <c r="G102" t="s">
        <v>1318</v>
      </c>
      <c r="H102" t="s">
        <v>1406</v>
      </c>
      <c r="I102" t="s">
        <v>1439</v>
      </c>
    </row>
    <row r="103" spans="1:9" x14ac:dyDescent="0.3">
      <c r="A103" t="s">
        <v>1440</v>
      </c>
      <c r="B103">
        <v>119</v>
      </c>
      <c r="C103" t="s">
        <v>1386</v>
      </c>
      <c r="D103">
        <v>1344</v>
      </c>
      <c r="E103">
        <v>1344</v>
      </c>
      <c r="F103" t="s">
        <v>1349</v>
      </c>
      <c r="G103" t="s">
        <v>1386</v>
      </c>
      <c r="I103" t="s">
        <v>1441</v>
      </c>
    </row>
    <row r="104" spans="1:9" x14ac:dyDescent="0.3">
      <c r="A104" t="s">
        <v>1442</v>
      </c>
      <c r="B104">
        <v>120</v>
      </c>
      <c r="C104" t="s">
        <v>1322</v>
      </c>
      <c r="E104">
        <v>1.5329999999999999</v>
      </c>
      <c r="F104" t="s">
        <v>1317</v>
      </c>
      <c r="I104" t="s">
        <v>1324</v>
      </c>
    </row>
    <row r="105" spans="1:9" x14ac:dyDescent="0.3">
      <c r="A105" t="s">
        <v>1443</v>
      </c>
      <c r="B105">
        <v>121</v>
      </c>
      <c r="C105" t="s">
        <v>1322</v>
      </c>
      <c r="E105">
        <v>5.8999999999999997E-2</v>
      </c>
      <c r="F105" t="s">
        <v>1323</v>
      </c>
      <c r="I105" t="s">
        <v>1324</v>
      </c>
    </row>
    <row r="106" spans="1:9" x14ac:dyDescent="0.3">
      <c r="A106" t="s">
        <v>1444</v>
      </c>
      <c r="B106">
        <v>122</v>
      </c>
      <c r="C106" t="s">
        <v>1322</v>
      </c>
      <c r="E106">
        <v>5.8999999999999997E-2</v>
      </c>
      <c r="F106" t="s">
        <v>1323</v>
      </c>
      <c r="I106" t="s">
        <v>1324</v>
      </c>
    </row>
    <row r="107" spans="1:9" x14ac:dyDescent="0.3">
      <c r="A107" t="s">
        <v>1445</v>
      </c>
      <c r="B107">
        <v>123</v>
      </c>
      <c r="C107" t="s">
        <v>1405</v>
      </c>
      <c r="D107">
        <v>43.8</v>
      </c>
      <c r="E107">
        <v>43.8</v>
      </c>
      <c r="F107" t="s">
        <v>1349</v>
      </c>
      <c r="G107" t="s">
        <v>1318</v>
      </c>
      <c r="H107" t="s">
        <v>1406</v>
      </c>
      <c r="I107" t="s">
        <v>1446</v>
      </c>
    </row>
    <row r="108" spans="1:9" x14ac:dyDescent="0.3">
      <c r="A108" t="s">
        <v>1447</v>
      </c>
      <c r="B108">
        <v>124</v>
      </c>
      <c r="C108" t="s">
        <v>1405</v>
      </c>
      <c r="D108">
        <v>43.8</v>
      </c>
      <c r="E108">
        <v>43.8</v>
      </c>
      <c r="F108" t="s">
        <v>1349</v>
      </c>
      <c r="G108" t="s">
        <v>1318</v>
      </c>
      <c r="H108" t="s">
        <v>1406</v>
      </c>
      <c r="I108" t="s">
        <v>1446</v>
      </c>
    </row>
    <row r="109" spans="1:9" x14ac:dyDescent="0.3">
      <c r="A109" t="s">
        <v>1448</v>
      </c>
      <c r="B109">
        <v>125</v>
      </c>
      <c r="C109" t="s">
        <v>1386</v>
      </c>
      <c r="D109">
        <v>43.8</v>
      </c>
      <c r="E109">
        <v>43.8</v>
      </c>
      <c r="F109" t="s">
        <v>1349</v>
      </c>
      <c r="G109" t="s">
        <v>1386</v>
      </c>
      <c r="I109" t="s">
        <v>1449</v>
      </c>
    </row>
    <row r="110" spans="1:9" x14ac:dyDescent="0.3">
      <c r="A110" t="s">
        <v>1450</v>
      </c>
      <c r="B110">
        <v>126</v>
      </c>
      <c r="C110" t="s">
        <v>1386</v>
      </c>
      <c r="D110">
        <v>43.8</v>
      </c>
      <c r="E110">
        <v>43.8</v>
      </c>
      <c r="F110" t="s">
        <v>1349</v>
      </c>
      <c r="G110" t="s">
        <v>1386</v>
      </c>
      <c r="I110" t="s">
        <v>1451</v>
      </c>
    </row>
    <row r="111" spans="1:9" x14ac:dyDescent="0.3">
      <c r="A111" t="s">
        <v>1452</v>
      </c>
      <c r="B111">
        <v>127</v>
      </c>
      <c r="C111" t="s">
        <v>1405</v>
      </c>
      <c r="D111">
        <v>43.8</v>
      </c>
      <c r="E111">
        <v>43.8</v>
      </c>
      <c r="F111" t="s">
        <v>1349</v>
      </c>
      <c r="G111" t="s">
        <v>1318</v>
      </c>
      <c r="H111" t="s">
        <v>1406</v>
      </c>
      <c r="I111" t="s">
        <v>1446</v>
      </c>
    </row>
    <row r="112" spans="1:9" x14ac:dyDescent="0.3">
      <c r="A112" t="s">
        <v>1453</v>
      </c>
      <c r="B112">
        <v>128</v>
      </c>
      <c r="C112" t="s">
        <v>1405</v>
      </c>
      <c r="D112">
        <v>43.8</v>
      </c>
      <c r="E112">
        <v>43.8</v>
      </c>
      <c r="F112" t="s">
        <v>1349</v>
      </c>
      <c r="G112" t="s">
        <v>1318</v>
      </c>
      <c r="H112" t="s">
        <v>1406</v>
      </c>
      <c r="I112" t="s">
        <v>1454</v>
      </c>
    </row>
    <row r="113" spans="1:9" x14ac:dyDescent="0.3">
      <c r="A113" t="s">
        <v>1455</v>
      </c>
      <c r="B113">
        <v>129</v>
      </c>
      <c r="C113" t="s">
        <v>1331</v>
      </c>
      <c r="E113">
        <v>665.3</v>
      </c>
      <c r="F113" t="s">
        <v>1349</v>
      </c>
      <c r="I113" t="s">
        <v>1332</v>
      </c>
    </row>
    <row r="114" spans="1:9" x14ac:dyDescent="0.3">
      <c r="A114" t="s">
        <v>1456</v>
      </c>
      <c r="B114">
        <v>130</v>
      </c>
      <c r="C114" t="s">
        <v>1331</v>
      </c>
      <c r="E114">
        <v>665.3</v>
      </c>
      <c r="F114" t="s">
        <v>1349</v>
      </c>
      <c r="I114" t="s">
        <v>1332</v>
      </c>
    </row>
    <row r="115" spans="1:9" x14ac:dyDescent="0.3">
      <c r="A115" t="s">
        <v>1457</v>
      </c>
      <c r="B115">
        <v>131</v>
      </c>
      <c r="C115" t="s">
        <v>1322</v>
      </c>
      <c r="E115">
        <v>130</v>
      </c>
      <c r="F115" t="s">
        <v>1349</v>
      </c>
      <c r="I115" t="s">
        <v>1324</v>
      </c>
    </row>
    <row r="116" spans="1:9" x14ac:dyDescent="0.3">
      <c r="A116" t="s">
        <v>1458</v>
      </c>
      <c r="B116">
        <v>132</v>
      </c>
      <c r="C116" t="s">
        <v>1322</v>
      </c>
      <c r="E116">
        <v>104</v>
      </c>
      <c r="F116" t="s">
        <v>1349</v>
      </c>
      <c r="I116" t="s">
        <v>1324</v>
      </c>
    </row>
    <row r="117" spans="1:9" x14ac:dyDescent="0.3">
      <c r="A117" t="s">
        <v>1459</v>
      </c>
      <c r="B117">
        <v>133</v>
      </c>
      <c r="C117" t="s">
        <v>1322</v>
      </c>
      <c r="E117">
        <v>7.28</v>
      </c>
      <c r="F117" t="s">
        <v>1317</v>
      </c>
      <c r="I117" t="s">
        <v>1324</v>
      </c>
    </row>
    <row r="118" spans="1:9" x14ac:dyDescent="0.3">
      <c r="A118" t="s">
        <v>1460</v>
      </c>
      <c r="B118">
        <v>134</v>
      </c>
      <c r="C118" t="s">
        <v>1322</v>
      </c>
      <c r="E118">
        <v>130</v>
      </c>
      <c r="F118" t="s">
        <v>1349</v>
      </c>
      <c r="I118" t="s">
        <v>1324</v>
      </c>
    </row>
    <row r="119" spans="1:9" x14ac:dyDescent="0.3">
      <c r="A119" t="s">
        <v>1461</v>
      </c>
      <c r="B119">
        <v>135</v>
      </c>
      <c r="C119" t="s">
        <v>1322</v>
      </c>
      <c r="E119">
        <v>130</v>
      </c>
      <c r="F119" t="s">
        <v>1349</v>
      </c>
      <c r="I119" t="s">
        <v>1324</v>
      </c>
    </row>
    <row r="120" spans="1:9" x14ac:dyDescent="0.3">
      <c r="A120" t="s">
        <v>1462</v>
      </c>
      <c r="B120">
        <v>136</v>
      </c>
      <c r="C120" t="s">
        <v>1322</v>
      </c>
      <c r="E120">
        <v>130</v>
      </c>
      <c r="F120" t="s">
        <v>1349</v>
      </c>
      <c r="I120" t="s">
        <v>1324</v>
      </c>
    </row>
    <row r="121" spans="1:9" x14ac:dyDescent="0.3">
      <c r="A121" t="s">
        <v>1463</v>
      </c>
      <c r="B121">
        <v>137</v>
      </c>
      <c r="C121" t="s">
        <v>1322</v>
      </c>
      <c r="E121">
        <v>26</v>
      </c>
      <c r="F121" t="s">
        <v>130</v>
      </c>
      <c r="I121" t="s">
        <v>1324</v>
      </c>
    </row>
    <row r="122" spans="1:9" x14ac:dyDescent="0.3">
      <c r="A122" t="s">
        <v>1464</v>
      </c>
      <c r="B122">
        <v>138</v>
      </c>
      <c r="C122" t="s">
        <v>1322</v>
      </c>
      <c r="E122">
        <v>130</v>
      </c>
      <c r="F122" t="s">
        <v>1349</v>
      </c>
      <c r="I122" t="s">
        <v>1324</v>
      </c>
    </row>
    <row r="123" spans="1:9" x14ac:dyDescent="0.3">
      <c r="A123" t="s">
        <v>1465</v>
      </c>
      <c r="B123">
        <v>139</v>
      </c>
      <c r="C123" t="s">
        <v>1405</v>
      </c>
      <c r="D123">
        <v>230.6</v>
      </c>
      <c r="E123">
        <v>230.6</v>
      </c>
      <c r="F123" t="s">
        <v>1349</v>
      </c>
      <c r="G123" t="s">
        <v>1318</v>
      </c>
      <c r="H123" t="s">
        <v>1406</v>
      </c>
      <c r="I123" t="s">
        <v>1466</v>
      </c>
    </row>
    <row r="124" spans="1:9" x14ac:dyDescent="0.3">
      <c r="A124" t="s">
        <v>1467</v>
      </c>
      <c r="B124">
        <v>140</v>
      </c>
      <c r="C124" t="s">
        <v>1322</v>
      </c>
      <c r="E124">
        <v>184.5</v>
      </c>
      <c r="F124" t="s">
        <v>1349</v>
      </c>
      <c r="I124" t="s">
        <v>1324</v>
      </c>
    </row>
    <row r="125" spans="1:9" x14ac:dyDescent="0.3">
      <c r="A125" t="s">
        <v>1468</v>
      </c>
      <c r="B125">
        <v>141</v>
      </c>
      <c r="C125" t="s">
        <v>1322</v>
      </c>
      <c r="E125">
        <v>12.914999999999999</v>
      </c>
      <c r="F125" t="s">
        <v>1317</v>
      </c>
      <c r="I125" t="s">
        <v>1324</v>
      </c>
    </row>
    <row r="126" spans="1:9" x14ac:dyDescent="0.3">
      <c r="A126" t="s">
        <v>1469</v>
      </c>
      <c r="B126">
        <v>142</v>
      </c>
      <c r="C126" t="s">
        <v>1386</v>
      </c>
      <c r="D126">
        <v>230.6</v>
      </c>
      <c r="E126">
        <v>230.6</v>
      </c>
      <c r="F126" t="s">
        <v>1349</v>
      </c>
      <c r="G126" t="s">
        <v>1386</v>
      </c>
      <c r="I126" t="s">
        <v>1470</v>
      </c>
    </row>
    <row r="127" spans="1:9" x14ac:dyDescent="0.3">
      <c r="A127" t="s">
        <v>1471</v>
      </c>
      <c r="B127">
        <v>143</v>
      </c>
      <c r="C127" t="s">
        <v>1386</v>
      </c>
      <c r="D127">
        <v>230.6</v>
      </c>
      <c r="E127">
        <v>230.6</v>
      </c>
      <c r="F127" t="s">
        <v>1349</v>
      </c>
      <c r="G127" t="s">
        <v>1386</v>
      </c>
      <c r="I127" t="s">
        <v>1472</v>
      </c>
    </row>
    <row r="128" spans="1:9" x14ac:dyDescent="0.3">
      <c r="A128" t="s">
        <v>1473</v>
      </c>
      <c r="B128">
        <v>144</v>
      </c>
      <c r="C128" t="s">
        <v>1322</v>
      </c>
      <c r="E128">
        <v>100</v>
      </c>
      <c r="F128" t="s">
        <v>1421</v>
      </c>
      <c r="I128" t="s">
        <v>1324</v>
      </c>
    </row>
    <row r="129" spans="1:9" x14ac:dyDescent="0.3">
      <c r="A129" t="s">
        <v>1474</v>
      </c>
      <c r="B129">
        <v>145</v>
      </c>
      <c r="C129" t="s">
        <v>1386</v>
      </c>
      <c r="D129">
        <v>230.6</v>
      </c>
      <c r="E129">
        <v>230.6</v>
      </c>
      <c r="F129" t="s">
        <v>1349</v>
      </c>
      <c r="G129" t="s">
        <v>1386</v>
      </c>
      <c r="I129" t="s">
        <v>1475</v>
      </c>
    </row>
    <row r="130" spans="1:9" x14ac:dyDescent="0.3">
      <c r="A130" t="s">
        <v>1476</v>
      </c>
      <c r="B130">
        <v>146</v>
      </c>
      <c r="C130" t="s">
        <v>1331</v>
      </c>
      <c r="E130">
        <v>104.6</v>
      </c>
      <c r="F130" t="s">
        <v>1349</v>
      </c>
      <c r="I130" t="s">
        <v>1332</v>
      </c>
    </row>
    <row r="131" spans="1:9" x14ac:dyDescent="0.3">
      <c r="A131" t="s">
        <v>1477</v>
      </c>
      <c r="B131">
        <v>147</v>
      </c>
      <c r="C131" t="s">
        <v>1322</v>
      </c>
      <c r="E131">
        <v>7.3220000000000001</v>
      </c>
      <c r="F131" t="s">
        <v>1317</v>
      </c>
      <c r="I131" t="s">
        <v>1324</v>
      </c>
    </row>
    <row r="132" spans="1:9" x14ac:dyDescent="0.3">
      <c r="A132" t="s">
        <v>1478</v>
      </c>
      <c r="B132">
        <v>148</v>
      </c>
      <c r="C132" t="s">
        <v>1322</v>
      </c>
      <c r="E132">
        <v>0.14099999999999999</v>
      </c>
      <c r="F132" t="s">
        <v>1323</v>
      </c>
      <c r="I132" t="s">
        <v>1324</v>
      </c>
    </row>
    <row r="133" spans="1:9" x14ac:dyDescent="0.3">
      <c r="A133" t="s">
        <v>1479</v>
      </c>
      <c r="B133">
        <v>149</v>
      </c>
      <c r="C133" t="s">
        <v>1322</v>
      </c>
      <c r="E133">
        <v>0.14099999999999999</v>
      </c>
      <c r="F133" t="s">
        <v>1323</v>
      </c>
      <c r="I133" t="s">
        <v>1324</v>
      </c>
    </row>
    <row r="134" spans="1:9" x14ac:dyDescent="0.3">
      <c r="A134" t="s">
        <v>1480</v>
      </c>
      <c r="B134">
        <v>150</v>
      </c>
      <c r="C134" t="s">
        <v>1331</v>
      </c>
      <c r="E134">
        <v>104.6</v>
      </c>
      <c r="F134" t="s">
        <v>1349</v>
      </c>
      <c r="I134" t="s">
        <v>1332</v>
      </c>
    </row>
    <row r="135" spans="1:9" x14ac:dyDescent="0.3">
      <c r="A135" t="s">
        <v>1481</v>
      </c>
      <c r="B135">
        <v>151</v>
      </c>
      <c r="C135" t="s">
        <v>1331</v>
      </c>
      <c r="E135">
        <v>104.6</v>
      </c>
      <c r="F135" t="s">
        <v>1349</v>
      </c>
      <c r="I135" t="s">
        <v>1332</v>
      </c>
    </row>
    <row r="136" spans="1:9" x14ac:dyDescent="0.3">
      <c r="A136" t="s">
        <v>1482</v>
      </c>
      <c r="B136">
        <v>152</v>
      </c>
      <c r="C136" t="s">
        <v>1331</v>
      </c>
      <c r="E136">
        <v>104.6</v>
      </c>
      <c r="F136" t="s">
        <v>1349</v>
      </c>
      <c r="I136" t="s">
        <v>1332</v>
      </c>
    </row>
    <row r="137" spans="1:9" x14ac:dyDescent="0.3">
      <c r="A137" t="s">
        <v>1483</v>
      </c>
      <c r="B137">
        <v>153</v>
      </c>
      <c r="C137" t="s">
        <v>1331</v>
      </c>
      <c r="E137">
        <v>188.2</v>
      </c>
      <c r="F137" t="s">
        <v>1349</v>
      </c>
      <c r="I137" t="s">
        <v>1332</v>
      </c>
    </row>
    <row r="138" spans="1:9" x14ac:dyDescent="0.3">
      <c r="A138" t="s">
        <v>1484</v>
      </c>
      <c r="B138">
        <v>154</v>
      </c>
      <c r="C138" t="s">
        <v>1322</v>
      </c>
      <c r="E138">
        <v>13.173999999999999</v>
      </c>
      <c r="F138" t="s">
        <v>1317</v>
      </c>
      <c r="I138" t="s">
        <v>1324</v>
      </c>
    </row>
    <row r="139" spans="1:9" x14ac:dyDescent="0.3">
      <c r="A139" t="s">
        <v>1485</v>
      </c>
      <c r="B139">
        <v>155</v>
      </c>
      <c r="C139" t="s">
        <v>1322</v>
      </c>
      <c r="E139">
        <v>0.254</v>
      </c>
      <c r="F139" t="s">
        <v>1323</v>
      </c>
      <c r="I139" t="s">
        <v>1324</v>
      </c>
    </row>
    <row r="140" spans="1:9" x14ac:dyDescent="0.3">
      <c r="A140" t="s">
        <v>1486</v>
      </c>
      <c r="B140">
        <v>156</v>
      </c>
      <c r="C140" t="s">
        <v>1322</v>
      </c>
      <c r="E140">
        <v>0.254</v>
      </c>
      <c r="F140" t="s">
        <v>1323</v>
      </c>
      <c r="I140" t="s">
        <v>1324</v>
      </c>
    </row>
    <row r="141" spans="1:9" x14ac:dyDescent="0.3">
      <c r="A141" t="s">
        <v>1487</v>
      </c>
      <c r="B141">
        <v>157</v>
      </c>
      <c r="C141" t="s">
        <v>1405</v>
      </c>
      <c r="D141">
        <v>188.2</v>
      </c>
      <c r="E141">
        <v>188.2</v>
      </c>
      <c r="F141" t="s">
        <v>1349</v>
      </c>
      <c r="G141" t="s">
        <v>1318</v>
      </c>
      <c r="H141" t="s">
        <v>1406</v>
      </c>
      <c r="I141" t="s">
        <v>1488</v>
      </c>
    </row>
    <row r="142" spans="1:9" x14ac:dyDescent="0.3">
      <c r="A142" t="s">
        <v>1489</v>
      </c>
      <c r="B142">
        <v>158</v>
      </c>
      <c r="C142" t="s">
        <v>1405</v>
      </c>
      <c r="D142">
        <v>188.2</v>
      </c>
      <c r="E142">
        <v>188.2</v>
      </c>
      <c r="F142" t="s">
        <v>1349</v>
      </c>
      <c r="G142" t="s">
        <v>1318</v>
      </c>
      <c r="H142" t="s">
        <v>1406</v>
      </c>
      <c r="I142" t="s">
        <v>1488</v>
      </c>
    </row>
    <row r="143" spans="1:9" x14ac:dyDescent="0.3">
      <c r="A143" t="s">
        <v>1490</v>
      </c>
      <c r="B143">
        <v>159</v>
      </c>
      <c r="C143" t="s">
        <v>1386</v>
      </c>
      <c r="D143">
        <v>188.2</v>
      </c>
      <c r="E143">
        <v>188.2</v>
      </c>
      <c r="F143" t="s">
        <v>1349</v>
      </c>
      <c r="G143" t="s">
        <v>1386</v>
      </c>
      <c r="I143" t="s">
        <v>1491</v>
      </c>
    </row>
    <row r="144" spans="1:9" x14ac:dyDescent="0.3">
      <c r="A144" t="s">
        <v>1492</v>
      </c>
      <c r="B144">
        <v>160</v>
      </c>
      <c r="C144" t="s">
        <v>1386</v>
      </c>
      <c r="D144">
        <v>188.2</v>
      </c>
      <c r="E144">
        <v>188.2</v>
      </c>
      <c r="F144" t="s">
        <v>1349</v>
      </c>
      <c r="G144" t="s">
        <v>1386</v>
      </c>
      <c r="I144" t="s">
        <v>1493</v>
      </c>
    </row>
    <row r="145" spans="1:9" x14ac:dyDescent="0.3">
      <c r="A145" t="s">
        <v>1494</v>
      </c>
      <c r="B145">
        <v>161</v>
      </c>
      <c r="C145" t="s">
        <v>1405</v>
      </c>
      <c r="D145">
        <v>188.2</v>
      </c>
      <c r="E145">
        <v>188.2</v>
      </c>
      <c r="F145" t="s">
        <v>1349</v>
      </c>
      <c r="G145" t="s">
        <v>1318</v>
      </c>
      <c r="H145" t="s">
        <v>1406</v>
      </c>
      <c r="I145" t="s">
        <v>1488</v>
      </c>
    </row>
    <row r="146" spans="1:9" x14ac:dyDescent="0.3">
      <c r="A146" t="s">
        <v>1495</v>
      </c>
      <c r="B146">
        <v>162</v>
      </c>
      <c r="C146" t="s">
        <v>1405</v>
      </c>
      <c r="D146">
        <v>188.2</v>
      </c>
      <c r="E146">
        <v>188.2</v>
      </c>
      <c r="F146" t="s">
        <v>1349</v>
      </c>
      <c r="G146" t="s">
        <v>1318</v>
      </c>
      <c r="H146" t="s">
        <v>1406</v>
      </c>
      <c r="I146" t="s">
        <v>1496</v>
      </c>
    </row>
    <row r="147" spans="1:9" x14ac:dyDescent="0.3">
      <c r="A147" t="s">
        <v>1497</v>
      </c>
      <c r="B147">
        <v>163</v>
      </c>
      <c r="C147" t="s">
        <v>1331</v>
      </c>
      <c r="E147">
        <v>39</v>
      </c>
      <c r="F147" t="s">
        <v>1349</v>
      </c>
      <c r="I147" t="s">
        <v>1332</v>
      </c>
    </row>
    <row r="148" spans="1:9" x14ac:dyDescent="0.3">
      <c r="A148" t="s">
        <v>1498</v>
      </c>
      <c r="B148">
        <v>164</v>
      </c>
      <c r="C148" t="s">
        <v>1331</v>
      </c>
      <c r="E148">
        <v>39</v>
      </c>
      <c r="F148" t="s">
        <v>1349</v>
      </c>
      <c r="I148" t="s">
        <v>1332</v>
      </c>
    </row>
    <row r="149" spans="1:9" x14ac:dyDescent="0.3">
      <c r="A149" t="s">
        <v>1499</v>
      </c>
      <c r="B149">
        <v>165</v>
      </c>
      <c r="C149" t="s">
        <v>1331</v>
      </c>
      <c r="E149">
        <v>39</v>
      </c>
      <c r="F149" t="s">
        <v>1349</v>
      </c>
      <c r="I149" t="s">
        <v>1332</v>
      </c>
    </row>
    <row r="150" spans="1:9" x14ac:dyDescent="0.3">
      <c r="A150" t="s">
        <v>1500</v>
      </c>
      <c r="B150">
        <v>166</v>
      </c>
      <c r="C150" t="s">
        <v>1331</v>
      </c>
      <c r="E150">
        <v>14</v>
      </c>
      <c r="F150" t="s">
        <v>1349</v>
      </c>
      <c r="I150" t="s">
        <v>1332</v>
      </c>
    </row>
    <row r="151" spans="1:9" x14ac:dyDescent="0.3">
      <c r="A151" t="s">
        <v>1501</v>
      </c>
      <c r="B151">
        <v>167</v>
      </c>
      <c r="C151" t="s">
        <v>1322</v>
      </c>
      <c r="E151">
        <v>0.98</v>
      </c>
      <c r="F151" t="s">
        <v>1317</v>
      </c>
      <c r="I151" t="s">
        <v>1324</v>
      </c>
    </row>
    <row r="152" spans="1:9" x14ac:dyDescent="0.3">
      <c r="A152" t="s">
        <v>1502</v>
      </c>
      <c r="B152">
        <v>168</v>
      </c>
      <c r="C152" t="s">
        <v>1322</v>
      </c>
      <c r="E152">
        <v>1.9E-2</v>
      </c>
      <c r="F152" t="s">
        <v>1323</v>
      </c>
      <c r="I152" t="s">
        <v>1324</v>
      </c>
    </row>
    <row r="153" spans="1:9" x14ac:dyDescent="0.3">
      <c r="A153" t="s">
        <v>1503</v>
      </c>
      <c r="B153">
        <v>169</v>
      </c>
      <c r="C153" t="s">
        <v>1322</v>
      </c>
      <c r="E153">
        <v>1.9E-2</v>
      </c>
      <c r="F153" t="s">
        <v>1323</v>
      </c>
      <c r="I153" t="s">
        <v>1324</v>
      </c>
    </row>
    <row r="154" spans="1:9" x14ac:dyDescent="0.3">
      <c r="A154" t="s">
        <v>1504</v>
      </c>
      <c r="B154">
        <v>170</v>
      </c>
      <c r="C154" t="s">
        <v>1331</v>
      </c>
      <c r="E154">
        <v>14</v>
      </c>
      <c r="F154" t="s">
        <v>1349</v>
      </c>
      <c r="I154" t="s">
        <v>1332</v>
      </c>
    </row>
    <row r="155" spans="1:9" x14ac:dyDescent="0.3">
      <c r="A155" t="s">
        <v>1505</v>
      </c>
      <c r="B155">
        <v>171</v>
      </c>
      <c r="C155" t="s">
        <v>1331</v>
      </c>
      <c r="E155">
        <v>14</v>
      </c>
      <c r="F155" t="s">
        <v>1349</v>
      </c>
      <c r="I155" t="s">
        <v>1332</v>
      </c>
    </row>
    <row r="156" spans="1:9" x14ac:dyDescent="0.3">
      <c r="A156" t="s">
        <v>1506</v>
      </c>
      <c r="B156">
        <v>172</v>
      </c>
      <c r="C156" t="s">
        <v>1331</v>
      </c>
      <c r="E156">
        <v>14</v>
      </c>
      <c r="F156" t="s">
        <v>1349</v>
      </c>
      <c r="I156" t="s">
        <v>1332</v>
      </c>
    </row>
    <row r="157" spans="1:9" x14ac:dyDescent="0.3">
      <c r="A157" t="s">
        <v>1507</v>
      </c>
      <c r="B157">
        <v>173</v>
      </c>
      <c r="C157" t="s">
        <v>1331</v>
      </c>
      <c r="E157">
        <v>538.4</v>
      </c>
      <c r="F157" t="s">
        <v>1349</v>
      </c>
      <c r="I157" t="s">
        <v>1332</v>
      </c>
    </row>
    <row r="158" spans="1:9" x14ac:dyDescent="0.3">
      <c r="A158" t="s">
        <v>1508</v>
      </c>
      <c r="B158">
        <v>174</v>
      </c>
      <c r="C158" t="s">
        <v>1331</v>
      </c>
      <c r="E158">
        <v>538.4</v>
      </c>
      <c r="F158" t="s">
        <v>1349</v>
      </c>
      <c r="I158" t="s">
        <v>1332</v>
      </c>
    </row>
    <row r="159" spans="1:9" x14ac:dyDescent="0.3">
      <c r="A159" t="s">
        <v>1509</v>
      </c>
      <c r="B159">
        <v>175</v>
      </c>
      <c r="C159" t="s">
        <v>1322</v>
      </c>
      <c r="E159">
        <v>21.54</v>
      </c>
      <c r="F159" t="s">
        <v>1317</v>
      </c>
      <c r="I159" t="s">
        <v>1324</v>
      </c>
    </row>
    <row r="160" spans="1:9" x14ac:dyDescent="0.3">
      <c r="A160" t="s">
        <v>1510</v>
      </c>
      <c r="B160">
        <v>176</v>
      </c>
      <c r="C160" t="s">
        <v>1405</v>
      </c>
      <c r="D160">
        <v>538.4</v>
      </c>
      <c r="E160">
        <v>538.4</v>
      </c>
      <c r="F160" t="s">
        <v>1349</v>
      </c>
      <c r="G160" t="s">
        <v>1318</v>
      </c>
      <c r="H160" t="s">
        <v>1406</v>
      </c>
      <c r="I160" t="s">
        <v>1511</v>
      </c>
    </row>
    <row r="161" spans="1:9" x14ac:dyDescent="0.3">
      <c r="A161" t="s">
        <v>1512</v>
      </c>
      <c r="B161">
        <v>177</v>
      </c>
      <c r="C161" t="s">
        <v>1405</v>
      </c>
      <c r="D161">
        <v>538.4</v>
      </c>
      <c r="E161">
        <v>538.4</v>
      </c>
      <c r="F161" t="s">
        <v>1349</v>
      </c>
      <c r="G161" t="s">
        <v>1318</v>
      </c>
      <c r="H161" t="s">
        <v>1406</v>
      </c>
      <c r="I161" t="s">
        <v>1511</v>
      </c>
    </row>
    <row r="162" spans="1:9" x14ac:dyDescent="0.3">
      <c r="A162" t="s">
        <v>1513</v>
      </c>
      <c r="B162">
        <v>178</v>
      </c>
      <c r="C162" t="s">
        <v>1386</v>
      </c>
      <c r="D162">
        <v>538.4</v>
      </c>
      <c r="E162">
        <v>538.4</v>
      </c>
      <c r="F162" t="s">
        <v>1349</v>
      </c>
      <c r="G162" t="s">
        <v>1386</v>
      </c>
      <c r="I162" t="s">
        <v>1514</v>
      </c>
    </row>
    <row r="163" spans="1:9" x14ac:dyDescent="0.3">
      <c r="A163" t="s">
        <v>1515</v>
      </c>
      <c r="B163">
        <v>179</v>
      </c>
      <c r="C163" t="s">
        <v>1322</v>
      </c>
      <c r="E163">
        <v>1.56</v>
      </c>
      <c r="F163" t="s">
        <v>1317</v>
      </c>
      <c r="I163" t="s">
        <v>1324</v>
      </c>
    </row>
    <row r="164" spans="1:9" x14ac:dyDescent="0.3">
      <c r="A164" t="s">
        <v>1516</v>
      </c>
      <c r="B164">
        <v>180</v>
      </c>
      <c r="C164" t="s">
        <v>1322</v>
      </c>
      <c r="E164">
        <v>5.2999999999999999E-2</v>
      </c>
      <c r="F164" t="s">
        <v>1323</v>
      </c>
      <c r="I164" t="s">
        <v>1324</v>
      </c>
    </row>
    <row r="165" spans="1:9" x14ac:dyDescent="0.3">
      <c r="A165" t="s">
        <v>1517</v>
      </c>
      <c r="B165">
        <v>181</v>
      </c>
      <c r="C165" t="s">
        <v>1322</v>
      </c>
      <c r="E165">
        <v>5.2999999999999999E-2</v>
      </c>
      <c r="F165" t="s">
        <v>1323</v>
      </c>
      <c r="I165" t="s">
        <v>1324</v>
      </c>
    </row>
    <row r="166" spans="1:9" x14ac:dyDescent="0.3">
      <c r="A166" t="s">
        <v>1518</v>
      </c>
      <c r="B166">
        <v>182</v>
      </c>
      <c r="C166" t="s">
        <v>1331</v>
      </c>
      <c r="E166">
        <v>39</v>
      </c>
      <c r="F166" t="s">
        <v>1349</v>
      </c>
      <c r="I166" t="s">
        <v>1332</v>
      </c>
    </row>
    <row r="167" spans="1:9" x14ac:dyDescent="0.3">
      <c r="A167" t="s">
        <v>1519</v>
      </c>
      <c r="B167">
        <v>183</v>
      </c>
      <c r="C167" t="s">
        <v>1331</v>
      </c>
      <c r="E167">
        <v>39</v>
      </c>
      <c r="F167" t="s">
        <v>1349</v>
      </c>
      <c r="I167" t="s">
        <v>1332</v>
      </c>
    </row>
    <row r="168" spans="1:9" x14ac:dyDescent="0.3">
      <c r="A168" t="s">
        <v>1520</v>
      </c>
      <c r="B168">
        <v>184</v>
      </c>
      <c r="C168" t="s">
        <v>1331</v>
      </c>
      <c r="E168">
        <v>39</v>
      </c>
      <c r="F168" t="s">
        <v>1349</v>
      </c>
      <c r="I168" t="s">
        <v>1332</v>
      </c>
    </row>
    <row r="169" spans="1:9" x14ac:dyDescent="0.3">
      <c r="A169" t="s">
        <v>1521</v>
      </c>
      <c r="B169">
        <v>185</v>
      </c>
      <c r="C169" t="s">
        <v>1331</v>
      </c>
      <c r="E169">
        <v>39</v>
      </c>
      <c r="F169" t="s">
        <v>1349</v>
      </c>
      <c r="I169" t="s">
        <v>1332</v>
      </c>
    </row>
    <row r="170" spans="1:9" x14ac:dyDescent="0.3">
      <c r="A170" t="s">
        <v>1522</v>
      </c>
      <c r="B170">
        <v>186</v>
      </c>
      <c r="C170" t="s">
        <v>1331</v>
      </c>
      <c r="E170">
        <v>39</v>
      </c>
      <c r="F170" t="s">
        <v>1349</v>
      </c>
      <c r="I170" t="s">
        <v>1332</v>
      </c>
    </row>
    <row r="171" spans="1:9" x14ac:dyDescent="0.3">
      <c r="A171" t="s">
        <v>1523</v>
      </c>
      <c r="B171">
        <v>187</v>
      </c>
      <c r="C171" t="s">
        <v>1331</v>
      </c>
      <c r="E171">
        <v>39</v>
      </c>
      <c r="F171" t="s">
        <v>1349</v>
      </c>
      <c r="I171" t="s">
        <v>1332</v>
      </c>
    </row>
    <row r="172" spans="1:9" x14ac:dyDescent="0.3">
      <c r="A172" t="s">
        <v>1524</v>
      </c>
      <c r="B172">
        <v>188</v>
      </c>
      <c r="C172" t="s">
        <v>1405</v>
      </c>
      <c r="D172">
        <v>39</v>
      </c>
      <c r="E172">
        <v>39</v>
      </c>
      <c r="F172" t="s">
        <v>1349</v>
      </c>
      <c r="G172" t="s">
        <v>1318</v>
      </c>
      <c r="H172" t="s">
        <v>1406</v>
      </c>
      <c r="I172" t="s">
        <v>1525</v>
      </c>
    </row>
    <row r="173" spans="1:9" x14ac:dyDescent="0.3">
      <c r="A173" t="s">
        <v>1526</v>
      </c>
      <c r="B173">
        <v>189</v>
      </c>
      <c r="C173" t="s">
        <v>1322</v>
      </c>
      <c r="E173">
        <v>6.4</v>
      </c>
      <c r="F173" t="s">
        <v>1317</v>
      </c>
      <c r="I173" t="s">
        <v>1324</v>
      </c>
    </row>
    <row r="174" spans="1:9" x14ac:dyDescent="0.3">
      <c r="A174" t="s">
        <v>1527</v>
      </c>
      <c r="B174">
        <v>190</v>
      </c>
      <c r="C174" t="s">
        <v>1322</v>
      </c>
      <c r="E174">
        <v>0.216</v>
      </c>
      <c r="F174" t="s">
        <v>1323</v>
      </c>
      <c r="I174" t="s">
        <v>1324</v>
      </c>
    </row>
    <row r="175" spans="1:9" x14ac:dyDescent="0.3">
      <c r="A175" t="s">
        <v>1528</v>
      </c>
      <c r="B175">
        <v>191</v>
      </c>
      <c r="C175" t="s">
        <v>1322</v>
      </c>
      <c r="E175">
        <v>0.216</v>
      </c>
      <c r="F175" t="s">
        <v>1323</v>
      </c>
      <c r="I175" t="s">
        <v>1324</v>
      </c>
    </row>
    <row r="176" spans="1:9" x14ac:dyDescent="0.3">
      <c r="A176" t="s">
        <v>1529</v>
      </c>
      <c r="B176">
        <v>192</v>
      </c>
      <c r="C176" t="s">
        <v>1331</v>
      </c>
      <c r="E176">
        <v>160</v>
      </c>
      <c r="F176" t="s">
        <v>1349</v>
      </c>
      <c r="I176" t="s">
        <v>1332</v>
      </c>
    </row>
    <row r="177" spans="1:9" x14ac:dyDescent="0.3">
      <c r="A177" t="s">
        <v>1530</v>
      </c>
      <c r="B177">
        <v>193</v>
      </c>
      <c r="C177" t="s">
        <v>1331</v>
      </c>
      <c r="E177">
        <v>160</v>
      </c>
      <c r="F177" t="s">
        <v>1349</v>
      </c>
      <c r="I177" t="s">
        <v>1332</v>
      </c>
    </row>
    <row r="178" spans="1:9" x14ac:dyDescent="0.3">
      <c r="A178" t="s">
        <v>1531</v>
      </c>
      <c r="B178">
        <v>194</v>
      </c>
      <c r="C178" t="s">
        <v>1331</v>
      </c>
      <c r="E178">
        <v>160</v>
      </c>
      <c r="F178" t="s">
        <v>1349</v>
      </c>
      <c r="I178" t="s">
        <v>1332</v>
      </c>
    </row>
    <row r="179" spans="1:9" x14ac:dyDescent="0.3">
      <c r="A179" t="s">
        <v>1532</v>
      </c>
      <c r="B179">
        <v>195</v>
      </c>
      <c r="C179" t="s">
        <v>1331</v>
      </c>
      <c r="E179">
        <v>35.4</v>
      </c>
      <c r="F179" t="s">
        <v>1349</v>
      </c>
      <c r="I179" t="s">
        <v>1332</v>
      </c>
    </row>
    <row r="180" spans="1:9" x14ac:dyDescent="0.3">
      <c r="A180" t="s">
        <v>1533</v>
      </c>
      <c r="B180">
        <v>196</v>
      </c>
      <c r="C180" t="s">
        <v>1331</v>
      </c>
      <c r="E180">
        <v>35.4</v>
      </c>
      <c r="F180" t="s">
        <v>1349</v>
      </c>
      <c r="I180" t="s">
        <v>1332</v>
      </c>
    </row>
    <row r="181" spans="1:9" x14ac:dyDescent="0.3">
      <c r="A181" t="s">
        <v>1534</v>
      </c>
      <c r="B181">
        <v>197</v>
      </c>
      <c r="C181" t="s">
        <v>1405</v>
      </c>
      <c r="D181">
        <v>35.4</v>
      </c>
      <c r="E181">
        <v>35.4</v>
      </c>
      <c r="F181" t="s">
        <v>1349</v>
      </c>
      <c r="G181" t="s">
        <v>1318</v>
      </c>
      <c r="H181" t="s">
        <v>1406</v>
      </c>
      <c r="I181" t="s">
        <v>1535</v>
      </c>
    </row>
    <row r="182" spans="1:9" x14ac:dyDescent="0.3">
      <c r="A182" t="s">
        <v>1536</v>
      </c>
      <c r="B182">
        <v>199</v>
      </c>
      <c r="C182" t="s">
        <v>1322</v>
      </c>
      <c r="E182">
        <v>1333.6</v>
      </c>
      <c r="F182" t="s">
        <v>1349</v>
      </c>
      <c r="I182" t="s">
        <v>1324</v>
      </c>
    </row>
    <row r="183" spans="1:9" x14ac:dyDescent="0.3">
      <c r="A183" t="s">
        <v>1537</v>
      </c>
      <c r="B183">
        <v>200</v>
      </c>
      <c r="C183" t="s">
        <v>1322</v>
      </c>
      <c r="E183">
        <v>1983.9</v>
      </c>
      <c r="F183" t="s">
        <v>1349</v>
      </c>
      <c r="I183" t="s">
        <v>1324</v>
      </c>
    </row>
    <row r="184" spans="1:9" x14ac:dyDescent="0.3">
      <c r="A184" t="s">
        <v>1538</v>
      </c>
      <c r="B184">
        <v>201</v>
      </c>
      <c r="C184" t="s">
        <v>1322</v>
      </c>
      <c r="E184">
        <v>1983.9</v>
      </c>
      <c r="F184" t="s">
        <v>1349</v>
      </c>
      <c r="I184" t="s">
        <v>1324</v>
      </c>
    </row>
    <row r="185" spans="1:9" x14ac:dyDescent="0.3">
      <c r="A185" t="s">
        <v>1539</v>
      </c>
      <c r="B185">
        <v>202</v>
      </c>
      <c r="C185" t="s">
        <v>1331</v>
      </c>
      <c r="E185">
        <v>96</v>
      </c>
      <c r="F185" t="s">
        <v>1349</v>
      </c>
      <c r="I185" t="s">
        <v>1332</v>
      </c>
    </row>
    <row r="186" spans="1:9" x14ac:dyDescent="0.3">
      <c r="A186" t="s">
        <v>1540</v>
      </c>
      <c r="B186">
        <v>203</v>
      </c>
      <c r="C186" t="s">
        <v>1331</v>
      </c>
      <c r="E186">
        <v>96</v>
      </c>
      <c r="F186" t="s">
        <v>1349</v>
      </c>
      <c r="I186" t="s">
        <v>1332</v>
      </c>
    </row>
    <row r="187" spans="1:9" x14ac:dyDescent="0.3">
      <c r="A187" t="s">
        <v>1541</v>
      </c>
      <c r="B187">
        <v>204</v>
      </c>
      <c r="C187" t="s">
        <v>1322</v>
      </c>
      <c r="E187">
        <v>86.6</v>
      </c>
      <c r="F187" t="s">
        <v>1349</v>
      </c>
      <c r="I187" t="s">
        <v>1324</v>
      </c>
    </row>
    <row r="188" spans="1:9" x14ac:dyDescent="0.3">
      <c r="A188" t="s">
        <v>1542</v>
      </c>
      <c r="B188">
        <v>205</v>
      </c>
      <c r="C188" t="s">
        <v>1322</v>
      </c>
      <c r="E188">
        <v>3260</v>
      </c>
      <c r="F188" t="s">
        <v>1349</v>
      </c>
      <c r="I188" t="s">
        <v>1324</v>
      </c>
    </row>
    <row r="189" spans="1:9" x14ac:dyDescent="0.3">
      <c r="A189" t="s">
        <v>1543</v>
      </c>
      <c r="B189">
        <v>206</v>
      </c>
      <c r="C189" t="s">
        <v>1322</v>
      </c>
      <c r="E189">
        <v>3260</v>
      </c>
      <c r="F189" t="s">
        <v>1349</v>
      </c>
      <c r="I189" t="s">
        <v>1324</v>
      </c>
    </row>
    <row r="190" spans="1:9" x14ac:dyDescent="0.3">
      <c r="A190" t="s">
        <v>1544</v>
      </c>
      <c r="B190">
        <v>207</v>
      </c>
      <c r="C190" t="s">
        <v>1322</v>
      </c>
      <c r="E190">
        <v>3647</v>
      </c>
      <c r="F190" t="s">
        <v>1349</v>
      </c>
      <c r="I190" t="s">
        <v>1324</v>
      </c>
    </row>
    <row r="191" spans="1:9" x14ac:dyDescent="0.3">
      <c r="A191" t="s">
        <v>1545</v>
      </c>
      <c r="B191">
        <v>208</v>
      </c>
      <c r="C191" t="s">
        <v>1322</v>
      </c>
      <c r="E191">
        <v>3647</v>
      </c>
      <c r="F191" t="s">
        <v>1349</v>
      </c>
      <c r="I191" t="s">
        <v>1324</v>
      </c>
    </row>
    <row r="192" spans="1:9" x14ac:dyDescent="0.3">
      <c r="A192" t="s">
        <v>1546</v>
      </c>
      <c r="B192">
        <v>209</v>
      </c>
      <c r="C192" t="s">
        <v>1322</v>
      </c>
      <c r="E192">
        <v>474.2</v>
      </c>
      <c r="F192" t="s">
        <v>1349</v>
      </c>
      <c r="I192" t="s">
        <v>1324</v>
      </c>
    </row>
    <row r="193" spans="1:9" x14ac:dyDescent="0.3">
      <c r="A193" t="s">
        <v>1547</v>
      </c>
      <c r="B193">
        <v>210</v>
      </c>
      <c r="C193" t="s">
        <v>1322</v>
      </c>
      <c r="E193">
        <v>474.2</v>
      </c>
      <c r="F193" t="s">
        <v>1349</v>
      </c>
      <c r="I193" t="s">
        <v>1324</v>
      </c>
    </row>
    <row r="194" spans="1:9" x14ac:dyDescent="0.3">
      <c r="A194" t="s">
        <v>1548</v>
      </c>
      <c r="B194">
        <v>212</v>
      </c>
      <c r="C194" t="s">
        <v>1405</v>
      </c>
      <c r="D194">
        <v>860</v>
      </c>
      <c r="E194">
        <v>860</v>
      </c>
      <c r="F194" t="s">
        <v>1349</v>
      </c>
      <c r="G194" t="s">
        <v>1318</v>
      </c>
      <c r="H194" t="s">
        <v>1406</v>
      </c>
      <c r="I194" t="s">
        <v>1549</v>
      </c>
    </row>
    <row r="195" spans="1:9" x14ac:dyDescent="0.3">
      <c r="A195" t="s">
        <v>1550</v>
      </c>
      <c r="B195">
        <v>213</v>
      </c>
      <c r="C195" t="s">
        <v>1405</v>
      </c>
      <c r="D195">
        <v>860</v>
      </c>
      <c r="E195">
        <v>860</v>
      </c>
      <c r="F195" t="s">
        <v>1349</v>
      </c>
      <c r="G195" t="s">
        <v>1318</v>
      </c>
      <c r="H195" t="s">
        <v>1406</v>
      </c>
      <c r="I195" t="s">
        <v>1551</v>
      </c>
    </row>
    <row r="196" spans="1:9" x14ac:dyDescent="0.3">
      <c r="A196" t="s">
        <v>1552</v>
      </c>
      <c r="B196">
        <v>214</v>
      </c>
      <c r="C196" t="s">
        <v>1322</v>
      </c>
      <c r="E196">
        <v>43</v>
      </c>
      <c r="F196" t="s">
        <v>1317</v>
      </c>
      <c r="I196" t="s">
        <v>1324</v>
      </c>
    </row>
    <row r="197" spans="1:9" x14ac:dyDescent="0.3">
      <c r="A197" t="s">
        <v>1553</v>
      </c>
      <c r="B197">
        <v>215</v>
      </c>
      <c r="C197" t="s">
        <v>1331</v>
      </c>
      <c r="E197">
        <v>120</v>
      </c>
      <c r="F197" t="s">
        <v>1349</v>
      </c>
      <c r="I197" t="s">
        <v>1332</v>
      </c>
    </row>
    <row r="198" spans="1:9" x14ac:dyDescent="0.3">
      <c r="A198" t="s">
        <v>1554</v>
      </c>
      <c r="B198">
        <v>216</v>
      </c>
      <c r="C198" t="s">
        <v>1322</v>
      </c>
      <c r="E198">
        <v>1360</v>
      </c>
      <c r="F198" t="s">
        <v>1349</v>
      </c>
      <c r="I198" t="s">
        <v>1324</v>
      </c>
    </row>
    <row r="199" spans="1:9" x14ac:dyDescent="0.3">
      <c r="A199" t="s">
        <v>1555</v>
      </c>
      <c r="B199">
        <v>218</v>
      </c>
      <c r="C199" t="s">
        <v>1322</v>
      </c>
      <c r="E199">
        <v>17.5</v>
      </c>
      <c r="F199" t="s">
        <v>1317</v>
      </c>
      <c r="I199" t="s">
        <v>1324</v>
      </c>
    </row>
    <row r="200" spans="1:9" x14ac:dyDescent="0.3">
      <c r="A200" t="s">
        <v>1556</v>
      </c>
      <c r="B200">
        <v>219</v>
      </c>
      <c r="C200" t="s">
        <v>1331</v>
      </c>
      <c r="E200">
        <v>4</v>
      </c>
      <c r="F200" t="s">
        <v>1317</v>
      </c>
      <c r="I200" t="s">
        <v>1332</v>
      </c>
    </row>
    <row r="201" spans="1:9" x14ac:dyDescent="0.3">
      <c r="A201" t="s">
        <v>1557</v>
      </c>
      <c r="B201">
        <v>220</v>
      </c>
      <c r="C201" t="s">
        <v>1322</v>
      </c>
      <c r="E201">
        <v>3.6</v>
      </c>
      <c r="F201" t="s">
        <v>1317</v>
      </c>
      <c r="I201" t="s">
        <v>1324</v>
      </c>
    </row>
    <row r="202" spans="1:9" x14ac:dyDescent="0.3">
      <c r="A202" t="s">
        <v>1558</v>
      </c>
      <c r="B202">
        <v>221</v>
      </c>
      <c r="C202" t="s">
        <v>1322</v>
      </c>
      <c r="E202">
        <v>12.1</v>
      </c>
      <c r="F202" t="s">
        <v>1317</v>
      </c>
      <c r="I202" t="s">
        <v>1324</v>
      </c>
    </row>
    <row r="203" spans="1:9" x14ac:dyDescent="0.3">
      <c r="A203" t="s">
        <v>1559</v>
      </c>
      <c r="B203">
        <v>222</v>
      </c>
      <c r="C203" t="s">
        <v>1331</v>
      </c>
      <c r="E203">
        <v>0.02</v>
      </c>
      <c r="F203" t="s">
        <v>1323</v>
      </c>
      <c r="I203" t="s">
        <v>1332</v>
      </c>
    </row>
    <row r="204" spans="1:9" x14ac:dyDescent="0.3">
      <c r="A204" t="s">
        <v>1560</v>
      </c>
      <c r="B204">
        <v>223</v>
      </c>
      <c r="C204" t="s">
        <v>1322</v>
      </c>
      <c r="E204">
        <v>1.1160000000000001</v>
      </c>
      <c r="F204" t="s">
        <v>1323</v>
      </c>
      <c r="I204" t="s">
        <v>1324</v>
      </c>
    </row>
    <row r="205" spans="1:9" x14ac:dyDescent="0.3">
      <c r="A205" t="s">
        <v>1561</v>
      </c>
      <c r="B205">
        <v>224</v>
      </c>
      <c r="C205" t="s">
        <v>1322</v>
      </c>
      <c r="E205">
        <v>35.28</v>
      </c>
      <c r="F205" t="s">
        <v>1317</v>
      </c>
      <c r="I205" t="s">
        <v>1324</v>
      </c>
    </row>
    <row r="206" spans="1:9" x14ac:dyDescent="0.3">
      <c r="A206" t="s">
        <v>1562</v>
      </c>
      <c r="B206">
        <v>225</v>
      </c>
      <c r="C206" t="s">
        <v>1322</v>
      </c>
      <c r="E206">
        <v>4.7E-2</v>
      </c>
      <c r="F206" t="s">
        <v>1323</v>
      </c>
      <c r="I206" t="s">
        <v>1324</v>
      </c>
    </row>
    <row r="207" spans="1:9" x14ac:dyDescent="0.3">
      <c r="A207" t="s">
        <v>1563</v>
      </c>
      <c r="B207">
        <v>226</v>
      </c>
      <c r="C207" t="s">
        <v>1322</v>
      </c>
      <c r="E207">
        <v>1.9430000000000001</v>
      </c>
      <c r="F207" t="s">
        <v>1323</v>
      </c>
      <c r="I207" t="s">
        <v>1324</v>
      </c>
    </row>
    <row r="208" spans="1:9" x14ac:dyDescent="0.3">
      <c r="A208" t="s">
        <v>1564</v>
      </c>
      <c r="B208">
        <v>227</v>
      </c>
      <c r="C208" t="s">
        <v>1322</v>
      </c>
      <c r="E208">
        <v>3.6</v>
      </c>
      <c r="F208" t="s">
        <v>1317</v>
      </c>
      <c r="I208" t="s">
        <v>1324</v>
      </c>
    </row>
    <row r="209" spans="1:9" x14ac:dyDescent="0.3">
      <c r="A209" t="s">
        <v>1565</v>
      </c>
      <c r="B209">
        <v>228</v>
      </c>
      <c r="C209" t="s">
        <v>1331</v>
      </c>
      <c r="E209">
        <v>0.1</v>
      </c>
      <c r="F209" t="s">
        <v>1323</v>
      </c>
      <c r="I209" t="s">
        <v>1332</v>
      </c>
    </row>
    <row r="210" spans="1:9" x14ac:dyDescent="0.3">
      <c r="A210" t="s">
        <v>1566</v>
      </c>
      <c r="B210">
        <v>229</v>
      </c>
      <c r="C210" t="s">
        <v>1322</v>
      </c>
      <c r="E210">
        <v>0.21299999999999999</v>
      </c>
      <c r="F210" t="s">
        <v>1323</v>
      </c>
      <c r="I210" t="s">
        <v>1324</v>
      </c>
    </row>
    <row r="211" spans="1:9" x14ac:dyDescent="0.3">
      <c r="A211" t="s">
        <v>1567</v>
      </c>
      <c r="B211">
        <v>230</v>
      </c>
      <c r="C211" t="s">
        <v>1322</v>
      </c>
      <c r="E211">
        <v>0.63200000000000001</v>
      </c>
      <c r="F211" t="s">
        <v>1323</v>
      </c>
      <c r="I211" t="s">
        <v>1324</v>
      </c>
    </row>
    <row r="212" spans="1:9" x14ac:dyDescent="0.3">
      <c r="A212" t="s">
        <v>1568</v>
      </c>
      <c r="B212">
        <v>231</v>
      </c>
      <c r="C212" t="s">
        <v>1322</v>
      </c>
      <c r="E212">
        <v>1.4</v>
      </c>
      <c r="F212" t="s">
        <v>1317</v>
      </c>
      <c r="I212" t="s">
        <v>1324</v>
      </c>
    </row>
    <row r="213" spans="1:9" x14ac:dyDescent="0.3">
      <c r="A213" t="s">
        <v>1569</v>
      </c>
      <c r="B213">
        <v>232</v>
      </c>
      <c r="C213" t="s">
        <v>1322</v>
      </c>
      <c r="E213">
        <v>1.4</v>
      </c>
      <c r="F213" t="s">
        <v>1317</v>
      </c>
      <c r="I213" t="s">
        <v>1324</v>
      </c>
    </row>
    <row r="214" spans="1:9" x14ac:dyDescent="0.3">
      <c r="A214" t="s">
        <v>1570</v>
      </c>
      <c r="B214">
        <v>233</v>
      </c>
      <c r="C214" t="s">
        <v>1331</v>
      </c>
      <c r="E214">
        <v>0.7</v>
      </c>
      <c r="F214" t="s">
        <v>1317</v>
      </c>
      <c r="I214" t="s">
        <v>1332</v>
      </c>
    </row>
    <row r="215" spans="1:9" x14ac:dyDescent="0.3">
      <c r="A215" t="s">
        <v>1571</v>
      </c>
      <c r="B215">
        <v>234</v>
      </c>
      <c r="C215" t="s">
        <v>1322</v>
      </c>
      <c r="E215">
        <v>1.4</v>
      </c>
      <c r="F215" t="s">
        <v>1317</v>
      </c>
      <c r="I215" t="s">
        <v>1324</v>
      </c>
    </row>
    <row r="216" spans="1:9" x14ac:dyDescent="0.3">
      <c r="A216" t="s">
        <v>1572</v>
      </c>
      <c r="B216">
        <v>235</v>
      </c>
      <c r="C216" t="s">
        <v>1322</v>
      </c>
      <c r="E216">
        <v>0.124</v>
      </c>
      <c r="F216" t="s">
        <v>1323</v>
      </c>
      <c r="I216" t="s">
        <v>1324</v>
      </c>
    </row>
    <row r="217" spans="1:9" x14ac:dyDescent="0.3">
      <c r="A217" t="s">
        <v>1573</v>
      </c>
      <c r="B217">
        <v>236</v>
      </c>
      <c r="C217" t="s">
        <v>1331</v>
      </c>
      <c r="E217">
        <v>1.8</v>
      </c>
      <c r="F217" t="s">
        <v>1317</v>
      </c>
      <c r="I217" t="s">
        <v>1332</v>
      </c>
    </row>
    <row r="218" spans="1:9" x14ac:dyDescent="0.3">
      <c r="A218" t="s">
        <v>1574</v>
      </c>
      <c r="B218">
        <v>238</v>
      </c>
      <c r="C218" t="s">
        <v>1322</v>
      </c>
      <c r="E218">
        <v>1.5</v>
      </c>
      <c r="F218" t="s">
        <v>1317</v>
      </c>
      <c r="I218" t="s">
        <v>1324</v>
      </c>
    </row>
    <row r="219" spans="1:9" x14ac:dyDescent="0.3">
      <c r="A219" t="s">
        <v>1575</v>
      </c>
      <c r="B219">
        <v>239</v>
      </c>
      <c r="C219" t="s">
        <v>1322</v>
      </c>
      <c r="E219">
        <v>1.5</v>
      </c>
      <c r="F219" t="s">
        <v>1317</v>
      </c>
      <c r="I219" t="s">
        <v>1324</v>
      </c>
    </row>
    <row r="220" spans="1:9" x14ac:dyDescent="0.3">
      <c r="A220" t="s">
        <v>1576</v>
      </c>
      <c r="B220">
        <v>240</v>
      </c>
      <c r="C220" t="s">
        <v>1322</v>
      </c>
      <c r="E220">
        <v>3.16</v>
      </c>
      <c r="F220" t="s">
        <v>1317</v>
      </c>
      <c r="I220" t="s">
        <v>1324</v>
      </c>
    </row>
    <row r="221" spans="1:9" x14ac:dyDescent="0.3">
      <c r="A221" t="s">
        <v>1577</v>
      </c>
      <c r="B221">
        <v>241</v>
      </c>
      <c r="C221" t="s">
        <v>1331</v>
      </c>
      <c r="E221">
        <v>0.06</v>
      </c>
      <c r="F221" t="s">
        <v>1323</v>
      </c>
      <c r="I221" t="s">
        <v>1332</v>
      </c>
    </row>
    <row r="222" spans="1:9" x14ac:dyDescent="0.3">
      <c r="A222" t="s">
        <v>1578</v>
      </c>
      <c r="B222">
        <v>242</v>
      </c>
      <c r="C222" t="s">
        <v>1322</v>
      </c>
      <c r="E222">
        <v>0.14199999999999999</v>
      </c>
      <c r="F222" t="s">
        <v>1323</v>
      </c>
      <c r="I222" t="s">
        <v>1324</v>
      </c>
    </row>
    <row r="223" spans="1:9" x14ac:dyDescent="0.3">
      <c r="A223" t="s">
        <v>1579</v>
      </c>
      <c r="B223">
        <v>243</v>
      </c>
      <c r="C223" t="s">
        <v>1331</v>
      </c>
      <c r="E223">
        <v>18.5</v>
      </c>
      <c r="F223" t="s">
        <v>1349</v>
      </c>
      <c r="I223" t="s">
        <v>1332</v>
      </c>
    </row>
    <row r="224" spans="1:9" x14ac:dyDescent="0.3">
      <c r="A224" t="s">
        <v>1580</v>
      </c>
      <c r="B224">
        <v>244</v>
      </c>
      <c r="C224" t="s">
        <v>1331</v>
      </c>
      <c r="E224">
        <v>18.5</v>
      </c>
      <c r="F224" t="s">
        <v>1349</v>
      </c>
      <c r="I224" t="s">
        <v>1332</v>
      </c>
    </row>
    <row r="225" spans="1:9" x14ac:dyDescent="0.3">
      <c r="A225" t="s">
        <v>1581</v>
      </c>
      <c r="B225">
        <v>245</v>
      </c>
      <c r="C225" t="s">
        <v>1405</v>
      </c>
      <c r="D225">
        <v>13.2</v>
      </c>
      <c r="E225">
        <v>13.2</v>
      </c>
      <c r="F225" t="s">
        <v>61</v>
      </c>
      <c r="G225" t="s">
        <v>1318</v>
      </c>
      <c r="H225" t="s">
        <v>1406</v>
      </c>
      <c r="I225" t="s">
        <v>1582</v>
      </c>
    </row>
    <row r="226" spans="1:9" x14ac:dyDescent="0.3">
      <c r="A226" t="s">
        <v>1583</v>
      </c>
      <c r="B226">
        <v>246</v>
      </c>
      <c r="C226" t="s">
        <v>1322</v>
      </c>
      <c r="E226">
        <v>8.7999999999999995E-2</v>
      </c>
      <c r="F226" t="s">
        <v>1323</v>
      </c>
      <c r="I226" t="s">
        <v>1324</v>
      </c>
    </row>
    <row r="227" spans="1:9" x14ac:dyDescent="0.3">
      <c r="A227" t="s">
        <v>1584</v>
      </c>
      <c r="B227">
        <v>248</v>
      </c>
      <c r="C227" t="s">
        <v>1322</v>
      </c>
      <c r="E227">
        <v>3.1</v>
      </c>
      <c r="F227" t="s">
        <v>1317</v>
      </c>
      <c r="I227" t="s">
        <v>1324</v>
      </c>
    </row>
    <row r="228" spans="1:9" x14ac:dyDescent="0.3">
      <c r="A228" t="s">
        <v>1585</v>
      </c>
      <c r="B228">
        <v>249</v>
      </c>
      <c r="C228" t="s">
        <v>1322</v>
      </c>
      <c r="E228">
        <v>3.1</v>
      </c>
      <c r="F228" t="s">
        <v>1317</v>
      </c>
      <c r="I228" t="s">
        <v>1324</v>
      </c>
    </row>
    <row r="229" spans="1:9" x14ac:dyDescent="0.3">
      <c r="A229" t="s">
        <v>1586</v>
      </c>
      <c r="B229">
        <v>250</v>
      </c>
      <c r="C229" t="s">
        <v>1331</v>
      </c>
      <c r="E229">
        <v>3.78</v>
      </c>
      <c r="F229" t="s">
        <v>1317</v>
      </c>
      <c r="I229" t="s">
        <v>1332</v>
      </c>
    </row>
    <row r="230" spans="1:9" x14ac:dyDescent="0.3">
      <c r="A230" t="s">
        <v>1587</v>
      </c>
      <c r="B230">
        <v>251</v>
      </c>
      <c r="C230" t="s">
        <v>1322</v>
      </c>
      <c r="E230">
        <v>6.9000000000000006E-2</v>
      </c>
      <c r="F230" t="s">
        <v>1323</v>
      </c>
      <c r="I230" t="s">
        <v>1324</v>
      </c>
    </row>
    <row r="231" spans="1:9" x14ac:dyDescent="0.3">
      <c r="A231" t="s">
        <v>1588</v>
      </c>
      <c r="B231">
        <v>252</v>
      </c>
      <c r="C231" t="s">
        <v>1331</v>
      </c>
      <c r="E231">
        <v>6.4000000000000001E-2</v>
      </c>
      <c r="F231" t="s">
        <v>1323</v>
      </c>
      <c r="I231" t="s">
        <v>1332</v>
      </c>
    </row>
    <row r="232" spans="1:9" x14ac:dyDescent="0.3">
      <c r="A232" t="s">
        <v>1589</v>
      </c>
      <c r="B232">
        <v>253</v>
      </c>
      <c r="C232" t="s">
        <v>1322</v>
      </c>
      <c r="E232">
        <v>2.4900000000000002</v>
      </c>
      <c r="F232" t="s">
        <v>1317</v>
      </c>
      <c r="I232" t="s">
        <v>1324</v>
      </c>
    </row>
    <row r="233" spans="1:9" x14ac:dyDescent="0.3">
      <c r="A233" t="s">
        <v>1590</v>
      </c>
      <c r="B233">
        <v>254</v>
      </c>
      <c r="C233" t="s">
        <v>1322</v>
      </c>
      <c r="E233">
        <v>5.0999999999999997E-2</v>
      </c>
      <c r="F233" t="s">
        <v>1323</v>
      </c>
      <c r="I233" t="s">
        <v>1324</v>
      </c>
    </row>
    <row r="234" spans="1:9" x14ac:dyDescent="0.3">
      <c r="A234" t="s">
        <v>1591</v>
      </c>
      <c r="B234">
        <v>255</v>
      </c>
      <c r="C234" t="s">
        <v>1322</v>
      </c>
      <c r="E234">
        <v>0.182</v>
      </c>
      <c r="F234" t="s">
        <v>1323</v>
      </c>
      <c r="I234" t="s">
        <v>1324</v>
      </c>
    </row>
    <row r="235" spans="1:9" x14ac:dyDescent="0.3">
      <c r="A235" t="s">
        <v>1592</v>
      </c>
      <c r="B235">
        <v>256</v>
      </c>
      <c r="C235" t="s">
        <v>1331</v>
      </c>
      <c r="E235">
        <v>24.6</v>
      </c>
      <c r="F235" t="s">
        <v>1349</v>
      </c>
      <c r="I235" t="s">
        <v>1332</v>
      </c>
    </row>
    <row r="236" spans="1:9" x14ac:dyDescent="0.3">
      <c r="A236" t="s">
        <v>1593</v>
      </c>
      <c r="B236">
        <v>257</v>
      </c>
      <c r="C236" t="s">
        <v>1331</v>
      </c>
      <c r="E236">
        <v>24.6</v>
      </c>
      <c r="F236" t="s">
        <v>1349</v>
      </c>
      <c r="I236" t="s">
        <v>1332</v>
      </c>
    </row>
    <row r="237" spans="1:9" x14ac:dyDescent="0.3">
      <c r="A237" t="s">
        <v>1594</v>
      </c>
      <c r="B237">
        <v>258</v>
      </c>
      <c r="C237" t="s">
        <v>1405</v>
      </c>
      <c r="D237">
        <v>24.6</v>
      </c>
      <c r="E237">
        <v>24.6</v>
      </c>
      <c r="F237" t="s">
        <v>1349</v>
      </c>
      <c r="G237" t="s">
        <v>1318</v>
      </c>
      <c r="H237" t="s">
        <v>1406</v>
      </c>
      <c r="I237" t="s">
        <v>1595</v>
      </c>
    </row>
    <row r="238" spans="1:9" x14ac:dyDescent="0.3">
      <c r="A238" t="s">
        <v>1596</v>
      </c>
      <c r="B238">
        <v>260</v>
      </c>
      <c r="C238" t="s">
        <v>1322</v>
      </c>
      <c r="E238">
        <v>173</v>
      </c>
      <c r="F238" t="s">
        <v>61</v>
      </c>
      <c r="I238" t="s">
        <v>1324</v>
      </c>
    </row>
    <row r="239" spans="1:9" x14ac:dyDescent="0.3">
      <c r="A239" t="s">
        <v>1597</v>
      </c>
      <c r="B239">
        <v>261</v>
      </c>
      <c r="C239" t="s">
        <v>1322</v>
      </c>
      <c r="E239">
        <v>173</v>
      </c>
      <c r="F239" t="s">
        <v>61</v>
      </c>
      <c r="I239" t="s">
        <v>1324</v>
      </c>
    </row>
    <row r="240" spans="1:9" x14ac:dyDescent="0.3">
      <c r="A240" t="s">
        <v>1598</v>
      </c>
      <c r="B240">
        <v>262</v>
      </c>
      <c r="C240" t="s">
        <v>1322</v>
      </c>
      <c r="E240">
        <v>43</v>
      </c>
      <c r="F240" t="s">
        <v>61</v>
      </c>
      <c r="I240" t="s">
        <v>1324</v>
      </c>
    </row>
    <row r="241" spans="1:9" x14ac:dyDescent="0.3">
      <c r="A241" t="s">
        <v>1599</v>
      </c>
      <c r="B241">
        <v>263</v>
      </c>
      <c r="C241" t="s">
        <v>1322</v>
      </c>
      <c r="E241">
        <v>43</v>
      </c>
      <c r="F241" t="s">
        <v>61</v>
      </c>
      <c r="I241" t="s">
        <v>1324</v>
      </c>
    </row>
    <row r="242" spans="1:9" x14ac:dyDescent="0.3">
      <c r="A242" t="s">
        <v>1600</v>
      </c>
      <c r="B242">
        <v>264</v>
      </c>
      <c r="C242" t="s">
        <v>1322</v>
      </c>
      <c r="E242">
        <v>216</v>
      </c>
      <c r="F242" t="s">
        <v>61</v>
      </c>
      <c r="I242" t="s">
        <v>1324</v>
      </c>
    </row>
    <row r="243" spans="1:9" x14ac:dyDescent="0.3">
      <c r="A243" t="s">
        <v>1601</v>
      </c>
      <c r="B243">
        <v>265</v>
      </c>
      <c r="C243" t="s">
        <v>1322</v>
      </c>
      <c r="E243">
        <v>3</v>
      </c>
      <c r="F243" t="s">
        <v>61</v>
      </c>
      <c r="I243" t="s">
        <v>1324</v>
      </c>
    </row>
    <row r="244" spans="1:9" x14ac:dyDescent="0.3">
      <c r="A244" t="s">
        <v>1602</v>
      </c>
      <c r="B244">
        <v>266</v>
      </c>
      <c r="C244" t="s">
        <v>1322</v>
      </c>
      <c r="E244">
        <v>15</v>
      </c>
      <c r="F244" t="s">
        <v>61</v>
      </c>
      <c r="I244" t="s">
        <v>1324</v>
      </c>
    </row>
    <row r="245" spans="1:9" x14ac:dyDescent="0.3">
      <c r="A245" t="s">
        <v>1603</v>
      </c>
      <c r="B245">
        <v>267</v>
      </c>
      <c r="C245" t="s">
        <v>1322</v>
      </c>
      <c r="E245">
        <v>15</v>
      </c>
      <c r="F245" t="s">
        <v>61</v>
      </c>
      <c r="I245" t="s">
        <v>1324</v>
      </c>
    </row>
    <row r="246" spans="1:9" x14ac:dyDescent="0.3">
      <c r="A246" t="s">
        <v>1604</v>
      </c>
      <c r="B246">
        <v>268</v>
      </c>
      <c r="C246" t="s">
        <v>1331</v>
      </c>
      <c r="E246">
        <v>10</v>
      </c>
      <c r="F246" t="s">
        <v>61</v>
      </c>
      <c r="I246" t="s">
        <v>1332</v>
      </c>
    </row>
    <row r="247" spans="1:9" x14ac:dyDescent="0.3">
      <c r="A247" t="s">
        <v>1605</v>
      </c>
      <c r="B247">
        <v>269</v>
      </c>
      <c r="C247" t="s">
        <v>1331</v>
      </c>
      <c r="E247">
        <v>10</v>
      </c>
      <c r="F247" t="s">
        <v>61</v>
      </c>
      <c r="I247" t="s">
        <v>1332</v>
      </c>
    </row>
    <row r="248" spans="1:9" x14ac:dyDescent="0.3">
      <c r="A248" t="s">
        <v>1606</v>
      </c>
      <c r="B248">
        <v>270</v>
      </c>
      <c r="C248" t="s">
        <v>1322</v>
      </c>
      <c r="E248">
        <v>3</v>
      </c>
      <c r="F248" t="s">
        <v>61</v>
      </c>
      <c r="I248" t="s">
        <v>1324</v>
      </c>
    </row>
    <row r="249" spans="1:9" x14ac:dyDescent="0.3">
      <c r="A249" t="s">
        <v>1607</v>
      </c>
      <c r="B249">
        <v>271</v>
      </c>
      <c r="C249" t="s">
        <v>1322</v>
      </c>
      <c r="E249">
        <v>3</v>
      </c>
      <c r="F249" t="s">
        <v>61</v>
      </c>
      <c r="I249" t="s">
        <v>1324</v>
      </c>
    </row>
    <row r="250" spans="1:9" x14ac:dyDescent="0.3">
      <c r="A250" t="s">
        <v>1608</v>
      </c>
      <c r="B250">
        <v>272</v>
      </c>
      <c r="C250" t="s">
        <v>1322</v>
      </c>
      <c r="E250">
        <v>28</v>
      </c>
      <c r="F250" t="s">
        <v>61</v>
      </c>
      <c r="I250" t="s">
        <v>1324</v>
      </c>
    </row>
    <row r="251" spans="1:9" x14ac:dyDescent="0.3">
      <c r="A251" t="s">
        <v>1609</v>
      </c>
      <c r="B251">
        <v>273</v>
      </c>
      <c r="C251" t="s">
        <v>1331</v>
      </c>
      <c r="E251">
        <v>10</v>
      </c>
      <c r="F251" t="s">
        <v>61</v>
      </c>
      <c r="I251" t="s">
        <v>1332</v>
      </c>
    </row>
    <row r="252" spans="1:9" x14ac:dyDescent="0.3">
      <c r="A252" t="s">
        <v>1610</v>
      </c>
      <c r="B252">
        <v>274</v>
      </c>
      <c r="C252" t="s">
        <v>1331</v>
      </c>
      <c r="E252">
        <v>10</v>
      </c>
      <c r="F252" t="s">
        <v>61</v>
      </c>
      <c r="I252" t="s">
        <v>1332</v>
      </c>
    </row>
    <row r="253" spans="1:9" x14ac:dyDescent="0.3">
      <c r="A253" t="s">
        <v>1611</v>
      </c>
      <c r="B253">
        <v>275</v>
      </c>
      <c r="C253" t="s">
        <v>1331</v>
      </c>
      <c r="E253">
        <v>11</v>
      </c>
      <c r="F253" t="s">
        <v>61</v>
      </c>
      <c r="I253" t="s">
        <v>1332</v>
      </c>
    </row>
    <row r="254" spans="1:9" x14ac:dyDescent="0.3">
      <c r="A254" t="s">
        <v>1612</v>
      </c>
      <c r="B254">
        <v>276</v>
      </c>
      <c r="C254" t="s">
        <v>1331</v>
      </c>
      <c r="E254">
        <v>11</v>
      </c>
      <c r="F254" t="s">
        <v>61</v>
      </c>
      <c r="I254" t="s">
        <v>1332</v>
      </c>
    </row>
    <row r="255" spans="1:9" x14ac:dyDescent="0.3">
      <c r="A255" t="s">
        <v>1613</v>
      </c>
      <c r="B255">
        <v>277</v>
      </c>
      <c r="C255" t="s">
        <v>1322</v>
      </c>
      <c r="E255">
        <v>73</v>
      </c>
      <c r="F255" t="s">
        <v>61</v>
      </c>
      <c r="I255" t="s">
        <v>1324</v>
      </c>
    </row>
    <row r="256" spans="1:9" x14ac:dyDescent="0.3">
      <c r="A256" t="s">
        <v>1614</v>
      </c>
      <c r="B256">
        <v>278</v>
      </c>
      <c r="C256" t="s">
        <v>1322</v>
      </c>
      <c r="E256">
        <v>73</v>
      </c>
      <c r="F256" t="s">
        <v>61</v>
      </c>
      <c r="I256" t="s">
        <v>1324</v>
      </c>
    </row>
    <row r="257" spans="1:9" x14ac:dyDescent="0.3">
      <c r="A257" t="s">
        <v>1615</v>
      </c>
      <c r="B257">
        <v>279</v>
      </c>
      <c r="C257" t="s">
        <v>1322</v>
      </c>
      <c r="E257">
        <v>13</v>
      </c>
      <c r="F257" t="s">
        <v>1421</v>
      </c>
      <c r="I257" t="s">
        <v>1324</v>
      </c>
    </row>
    <row r="258" spans="1:9" x14ac:dyDescent="0.3">
      <c r="A258" t="s">
        <v>1616</v>
      </c>
      <c r="B258">
        <v>280</v>
      </c>
      <c r="C258" t="s">
        <v>1322</v>
      </c>
      <c r="E258">
        <v>13</v>
      </c>
      <c r="F258" t="s">
        <v>1421</v>
      </c>
      <c r="I258" t="s">
        <v>1324</v>
      </c>
    </row>
    <row r="259" spans="1:9" x14ac:dyDescent="0.3">
      <c r="A259" t="s">
        <v>1617</v>
      </c>
      <c r="B259">
        <v>281</v>
      </c>
      <c r="C259" t="s">
        <v>1322</v>
      </c>
      <c r="E259">
        <v>26</v>
      </c>
      <c r="F259" t="s">
        <v>1421</v>
      </c>
      <c r="I259" t="s">
        <v>1324</v>
      </c>
    </row>
    <row r="260" spans="1:9" x14ac:dyDescent="0.3">
      <c r="A260" t="s">
        <v>1618</v>
      </c>
      <c r="B260">
        <v>282</v>
      </c>
      <c r="C260" t="s">
        <v>1322</v>
      </c>
      <c r="E260">
        <v>2</v>
      </c>
      <c r="F260" t="s">
        <v>1421</v>
      </c>
      <c r="I260" t="s">
        <v>1324</v>
      </c>
    </row>
    <row r="261" spans="1:9" x14ac:dyDescent="0.3">
      <c r="A261" t="s">
        <v>1619</v>
      </c>
      <c r="B261">
        <v>283</v>
      </c>
      <c r="C261" t="s">
        <v>1331</v>
      </c>
      <c r="E261">
        <v>5</v>
      </c>
      <c r="F261" t="s">
        <v>1421</v>
      </c>
      <c r="I261" t="s">
        <v>1332</v>
      </c>
    </row>
    <row r="262" spans="1:9" x14ac:dyDescent="0.3">
      <c r="A262" t="s">
        <v>1620</v>
      </c>
      <c r="B262">
        <v>284</v>
      </c>
      <c r="C262" t="s">
        <v>1331</v>
      </c>
      <c r="E262">
        <v>5</v>
      </c>
      <c r="F262" t="s">
        <v>1421</v>
      </c>
      <c r="I262" t="s">
        <v>1332</v>
      </c>
    </row>
    <row r="263" spans="1:9" x14ac:dyDescent="0.3">
      <c r="A263" t="s">
        <v>1621</v>
      </c>
      <c r="B263">
        <v>285</v>
      </c>
      <c r="C263" t="s">
        <v>1331</v>
      </c>
      <c r="E263">
        <v>20</v>
      </c>
      <c r="F263" t="s">
        <v>1421</v>
      </c>
      <c r="I263" t="s">
        <v>1332</v>
      </c>
    </row>
    <row r="264" spans="1:9" x14ac:dyDescent="0.3">
      <c r="A264" t="s">
        <v>1622</v>
      </c>
      <c r="B264">
        <v>286</v>
      </c>
      <c r="C264" t="s">
        <v>1331</v>
      </c>
      <c r="E264">
        <v>14</v>
      </c>
      <c r="F264" t="s">
        <v>1421</v>
      </c>
      <c r="I264" t="s">
        <v>1332</v>
      </c>
    </row>
    <row r="265" spans="1:9" x14ac:dyDescent="0.3">
      <c r="A265" t="s">
        <v>1623</v>
      </c>
      <c r="B265">
        <v>287</v>
      </c>
      <c r="C265" t="s">
        <v>1331</v>
      </c>
      <c r="E265">
        <v>280</v>
      </c>
      <c r="F265" t="s">
        <v>61</v>
      </c>
      <c r="I265" t="s">
        <v>1332</v>
      </c>
    </row>
    <row r="266" spans="1:9" x14ac:dyDescent="0.3">
      <c r="A266" t="s">
        <v>1624</v>
      </c>
      <c r="B266">
        <v>288</v>
      </c>
      <c r="C266" t="s">
        <v>1331</v>
      </c>
      <c r="E266">
        <v>1</v>
      </c>
      <c r="F266" t="s">
        <v>1421</v>
      </c>
      <c r="I266" t="s">
        <v>1332</v>
      </c>
    </row>
    <row r="267" spans="1:9" x14ac:dyDescent="0.3">
      <c r="A267" t="s">
        <v>1625</v>
      </c>
      <c r="B267">
        <v>289</v>
      </c>
      <c r="C267" t="s">
        <v>1331</v>
      </c>
      <c r="E267">
        <v>1</v>
      </c>
      <c r="F267" t="s">
        <v>1421</v>
      </c>
      <c r="I267" t="s">
        <v>1332</v>
      </c>
    </row>
    <row r="268" spans="1:9" x14ac:dyDescent="0.3">
      <c r="A268" t="s">
        <v>1626</v>
      </c>
      <c r="B268">
        <v>290</v>
      </c>
      <c r="C268" t="s">
        <v>1331</v>
      </c>
      <c r="E268">
        <v>10</v>
      </c>
      <c r="F268" t="s">
        <v>61</v>
      </c>
      <c r="I268" t="s">
        <v>1332</v>
      </c>
    </row>
    <row r="269" spans="1:9" x14ac:dyDescent="0.3">
      <c r="A269" t="s">
        <v>1627</v>
      </c>
      <c r="B269">
        <v>291</v>
      </c>
      <c r="C269" t="s">
        <v>1331</v>
      </c>
      <c r="E269">
        <v>9</v>
      </c>
      <c r="F269" t="s">
        <v>1349</v>
      </c>
      <c r="I269" t="s">
        <v>1332</v>
      </c>
    </row>
    <row r="270" spans="1:9" x14ac:dyDescent="0.3">
      <c r="A270" t="s">
        <v>1628</v>
      </c>
      <c r="B270">
        <v>292</v>
      </c>
      <c r="C270" t="s">
        <v>1331</v>
      </c>
      <c r="E270">
        <v>1</v>
      </c>
      <c r="F270" t="s">
        <v>1421</v>
      </c>
      <c r="I270" t="s">
        <v>1332</v>
      </c>
    </row>
    <row r="271" spans="1:9" x14ac:dyDescent="0.3">
      <c r="A271" t="s">
        <v>1629</v>
      </c>
      <c r="B271">
        <v>293</v>
      </c>
      <c r="C271" t="s">
        <v>1331</v>
      </c>
      <c r="E271">
        <v>9</v>
      </c>
      <c r="F271" t="s">
        <v>1349</v>
      </c>
      <c r="I271" t="s">
        <v>1332</v>
      </c>
    </row>
    <row r="272" spans="1:9" x14ac:dyDescent="0.3">
      <c r="A272" t="s">
        <v>1630</v>
      </c>
      <c r="B272">
        <v>294</v>
      </c>
      <c r="C272" t="s">
        <v>1322</v>
      </c>
      <c r="E272">
        <v>0.36</v>
      </c>
      <c r="F272" t="s">
        <v>1317</v>
      </c>
      <c r="I272" t="s">
        <v>1324</v>
      </c>
    </row>
    <row r="273" spans="1:9" x14ac:dyDescent="0.3">
      <c r="A273" t="s">
        <v>1631</v>
      </c>
      <c r="B273">
        <v>295</v>
      </c>
      <c r="C273" t="s">
        <v>1331</v>
      </c>
      <c r="E273">
        <v>5</v>
      </c>
      <c r="F273" t="s">
        <v>1349</v>
      </c>
      <c r="I273" t="s">
        <v>1332</v>
      </c>
    </row>
    <row r="274" spans="1:9" x14ac:dyDescent="0.3">
      <c r="A274" t="s">
        <v>1632</v>
      </c>
      <c r="B274">
        <v>296</v>
      </c>
      <c r="C274" t="s">
        <v>1331</v>
      </c>
      <c r="E274">
        <v>12</v>
      </c>
      <c r="F274" t="s">
        <v>61</v>
      </c>
      <c r="I274" t="s">
        <v>1332</v>
      </c>
    </row>
    <row r="275" spans="1:9" x14ac:dyDescent="0.3">
      <c r="A275" t="s">
        <v>1633</v>
      </c>
      <c r="B275">
        <v>297</v>
      </c>
      <c r="C275" t="s">
        <v>1331</v>
      </c>
      <c r="E275">
        <v>12</v>
      </c>
      <c r="F275" t="s">
        <v>61</v>
      </c>
      <c r="I275" t="s">
        <v>1332</v>
      </c>
    </row>
    <row r="276" spans="1:9" x14ac:dyDescent="0.3">
      <c r="A276" t="s">
        <v>1634</v>
      </c>
      <c r="B276">
        <v>298</v>
      </c>
      <c r="C276" t="s">
        <v>1331</v>
      </c>
      <c r="E276">
        <v>8</v>
      </c>
      <c r="F276" t="s">
        <v>61</v>
      </c>
      <c r="I276" t="s">
        <v>1332</v>
      </c>
    </row>
    <row r="277" spans="1:9" x14ac:dyDescent="0.3">
      <c r="A277" t="s">
        <v>1635</v>
      </c>
      <c r="B277">
        <v>299</v>
      </c>
      <c r="C277" t="s">
        <v>1331</v>
      </c>
      <c r="E277">
        <v>8</v>
      </c>
      <c r="F277" t="s">
        <v>61</v>
      </c>
      <c r="I277" t="s">
        <v>1332</v>
      </c>
    </row>
    <row r="278" spans="1:9" x14ac:dyDescent="0.3">
      <c r="A278" t="s">
        <v>1636</v>
      </c>
      <c r="B278">
        <v>300</v>
      </c>
      <c r="C278" t="s">
        <v>1322</v>
      </c>
      <c r="E278">
        <v>2</v>
      </c>
      <c r="F278" t="s">
        <v>1421</v>
      </c>
      <c r="I278" t="s">
        <v>1324</v>
      </c>
    </row>
    <row r="279" spans="1:9" x14ac:dyDescent="0.3">
      <c r="A279" t="s">
        <v>1637</v>
      </c>
      <c r="B279">
        <v>301</v>
      </c>
      <c r="C279" t="s">
        <v>1331</v>
      </c>
      <c r="E279">
        <v>4</v>
      </c>
      <c r="F279" t="s">
        <v>1421</v>
      </c>
      <c r="I279" t="s">
        <v>1332</v>
      </c>
    </row>
    <row r="280" spans="1:9" x14ac:dyDescent="0.3">
      <c r="A280" t="s">
        <v>1638</v>
      </c>
      <c r="B280">
        <v>303</v>
      </c>
      <c r="C280" t="s">
        <v>1331</v>
      </c>
      <c r="E280">
        <v>20</v>
      </c>
      <c r="F280" t="s">
        <v>61</v>
      </c>
      <c r="I280" t="s">
        <v>1332</v>
      </c>
    </row>
    <row r="281" spans="1:9" x14ac:dyDescent="0.3">
      <c r="A281" t="s">
        <v>1639</v>
      </c>
      <c r="B281">
        <v>304</v>
      </c>
      <c r="C281" t="s">
        <v>1331</v>
      </c>
      <c r="E281">
        <v>20</v>
      </c>
      <c r="F281" t="s">
        <v>61</v>
      </c>
      <c r="I281" t="s">
        <v>1332</v>
      </c>
    </row>
    <row r="282" spans="1:9" x14ac:dyDescent="0.3">
      <c r="A282" t="s">
        <v>1640</v>
      </c>
      <c r="B282">
        <v>305</v>
      </c>
      <c r="C282" t="s">
        <v>1331</v>
      </c>
      <c r="E282">
        <v>68</v>
      </c>
      <c r="F282" t="s">
        <v>61</v>
      </c>
      <c r="I282" t="s">
        <v>1332</v>
      </c>
    </row>
    <row r="283" spans="1:9" x14ac:dyDescent="0.3">
      <c r="A283" t="s">
        <v>1641</v>
      </c>
      <c r="B283">
        <v>306</v>
      </c>
      <c r="C283" t="s">
        <v>1331</v>
      </c>
      <c r="E283">
        <v>68</v>
      </c>
      <c r="F283" t="s">
        <v>61</v>
      </c>
      <c r="I283" t="s">
        <v>1332</v>
      </c>
    </row>
    <row r="284" spans="1:9" x14ac:dyDescent="0.3">
      <c r="A284" t="s">
        <v>1642</v>
      </c>
      <c r="B284">
        <v>307</v>
      </c>
      <c r="C284" t="s">
        <v>1331</v>
      </c>
      <c r="E284">
        <v>16</v>
      </c>
      <c r="F284" t="s">
        <v>61</v>
      </c>
      <c r="I284" t="s">
        <v>1332</v>
      </c>
    </row>
    <row r="285" spans="1:9" x14ac:dyDescent="0.3">
      <c r="A285" t="s">
        <v>1643</v>
      </c>
      <c r="B285">
        <v>308</v>
      </c>
      <c r="C285" t="s">
        <v>1331</v>
      </c>
      <c r="E285">
        <v>16</v>
      </c>
      <c r="F285" t="s">
        <v>61</v>
      </c>
      <c r="I285" t="s">
        <v>1332</v>
      </c>
    </row>
    <row r="286" spans="1:9" x14ac:dyDescent="0.3">
      <c r="A286" t="s">
        <v>1644</v>
      </c>
      <c r="B286">
        <v>309</v>
      </c>
      <c r="C286" t="s">
        <v>1322</v>
      </c>
      <c r="E286">
        <v>75</v>
      </c>
      <c r="F286" t="s">
        <v>61</v>
      </c>
      <c r="I286" t="s">
        <v>1324</v>
      </c>
    </row>
    <row r="287" spans="1:9" x14ac:dyDescent="0.3">
      <c r="A287" t="s">
        <v>1645</v>
      </c>
      <c r="B287">
        <v>310</v>
      </c>
      <c r="C287" t="s">
        <v>1322</v>
      </c>
      <c r="E287">
        <v>75</v>
      </c>
      <c r="F287" t="s">
        <v>61</v>
      </c>
      <c r="I287" t="s">
        <v>1324</v>
      </c>
    </row>
    <row r="288" spans="1:9" x14ac:dyDescent="0.3">
      <c r="A288" t="s">
        <v>1646</v>
      </c>
      <c r="B288">
        <v>311</v>
      </c>
      <c r="C288" t="s">
        <v>1322</v>
      </c>
      <c r="E288">
        <v>179</v>
      </c>
      <c r="F288" t="s">
        <v>61</v>
      </c>
      <c r="I288" t="s">
        <v>1324</v>
      </c>
    </row>
    <row r="289" spans="1:9" x14ac:dyDescent="0.3">
      <c r="A289" t="s">
        <v>1647</v>
      </c>
      <c r="B289">
        <v>312</v>
      </c>
      <c r="C289" t="s">
        <v>1331</v>
      </c>
      <c r="E289">
        <v>21</v>
      </c>
      <c r="F289" t="s">
        <v>61</v>
      </c>
      <c r="I289" t="s">
        <v>1332</v>
      </c>
    </row>
    <row r="290" spans="1:9" x14ac:dyDescent="0.3">
      <c r="A290" t="s">
        <v>1648</v>
      </c>
      <c r="B290">
        <v>313</v>
      </c>
      <c r="C290" t="s">
        <v>1331</v>
      </c>
      <c r="E290">
        <v>21</v>
      </c>
      <c r="F290" t="s">
        <v>61</v>
      </c>
      <c r="I290" t="s">
        <v>1332</v>
      </c>
    </row>
    <row r="291" spans="1:9" x14ac:dyDescent="0.3">
      <c r="A291" t="s">
        <v>1649</v>
      </c>
      <c r="B291">
        <v>314</v>
      </c>
      <c r="C291" t="s">
        <v>1331</v>
      </c>
      <c r="E291">
        <v>11</v>
      </c>
      <c r="F291" t="s">
        <v>61</v>
      </c>
      <c r="I291" t="s">
        <v>1332</v>
      </c>
    </row>
    <row r="292" spans="1:9" x14ac:dyDescent="0.3">
      <c r="A292" t="s">
        <v>1650</v>
      </c>
      <c r="B292">
        <v>315</v>
      </c>
      <c r="C292" t="s">
        <v>1331</v>
      </c>
      <c r="E292">
        <v>11</v>
      </c>
      <c r="F292" t="s">
        <v>61</v>
      </c>
      <c r="I292" t="s">
        <v>1332</v>
      </c>
    </row>
    <row r="293" spans="1:9" x14ac:dyDescent="0.3">
      <c r="A293" t="s">
        <v>1651</v>
      </c>
      <c r="B293">
        <v>316</v>
      </c>
      <c r="C293" t="s">
        <v>1322</v>
      </c>
      <c r="E293">
        <v>89</v>
      </c>
      <c r="F293" t="s">
        <v>61</v>
      </c>
      <c r="I293" t="s">
        <v>1324</v>
      </c>
    </row>
    <row r="294" spans="1:9" x14ac:dyDescent="0.3">
      <c r="A294" t="s">
        <v>1652</v>
      </c>
      <c r="B294">
        <v>317</v>
      </c>
      <c r="C294" t="s">
        <v>1322</v>
      </c>
      <c r="E294">
        <v>89</v>
      </c>
      <c r="F294" t="s">
        <v>61</v>
      </c>
      <c r="I294" t="s">
        <v>1324</v>
      </c>
    </row>
    <row r="295" spans="1:9" x14ac:dyDescent="0.3">
      <c r="A295" t="s">
        <v>1653</v>
      </c>
      <c r="B295">
        <v>318</v>
      </c>
      <c r="C295" t="s">
        <v>1331</v>
      </c>
      <c r="E295">
        <v>1</v>
      </c>
      <c r="F295" t="s">
        <v>1421</v>
      </c>
      <c r="I295" t="s">
        <v>1332</v>
      </c>
    </row>
    <row r="296" spans="1:9" x14ac:dyDescent="0.3">
      <c r="A296" t="s">
        <v>1654</v>
      </c>
      <c r="B296">
        <v>319</v>
      </c>
      <c r="C296" t="s">
        <v>1331</v>
      </c>
      <c r="E296">
        <v>6</v>
      </c>
      <c r="F296" t="s">
        <v>1421</v>
      </c>
      <c r="I296" t="s">
        <v>1332</v>
      </c>
    </row>
    <row r="297" spans="1:9" x14ac:dyDescent="0.3">
      <c r="A297" t="s">
        <v>1655</v>
      </c>
      <c r="B297">
        <v>320</v>
      </c>
      <c r="C297" t="s">
        <v>1331</v>
      </c>
      <c r="E297">
        <v>5</v>
      </c>
      <c r="F297" t="s">
        <v>1421</v>
      </c>
      <c r="I297" t="s">
        <v>1332</v>
      </c>
    </row>
    <row r="298" spans="1:9" x14ac:dyDescent="0.3">
      <c r="A298" t="s">
        <v>1656</v>
      </c>
      <c r="B298">
        <v>321</v>
      </c>
      <c r="C298" t="s">
        <v>1331</v>
      </c>
      <c r="E298">
        <v>5</v>
      </c>
      <c r="F298" t="s">
        <v>1421</v>
      </c>
      <c r="I298" t="s">
        <v>1332</v>
      </c>
    </row>
    <row r="299" spans="1:9" x14ac:dyDescent="0.3">
      <c r="A299" t="s">
        <v>1657</v>
      </c>
      <c r="B299">
        <v>322</v>
      </c>
      <c r="C299" t="s">
        <v>1322</v>
      </c>
      <c r="E299">
        <v>15</v>
      </c>
      <c r="F299" t="s">
        <v>1421</v>
      </c>
      <c r="I299" t="s">
        <v>1324</v>
      </c>
    </row>
    <row r="300" spans="1:9" x14ac:dyDescent="0.3">
      <c r="A300" t="s">
        <v>1658</v>
      </c>
      <c r="B300">
        <v>323</v>
      </c>
      <c r="C300" t="s">
        <v>1322</v>
      </c>
      <c r="E300">
        <v>15</v>
      </c>
      <c r="F300" t="s">
        <v>1659</v>
      </c>
      <c r="I300" t="s">
        <v>1324</v>
      </c>
    </row>
    <row r="301" spans="1:9" x14ac:dyDescent="0.3">
      <c r="A301" t="s">
        <v>1660</v>
      </c>
      <c r="B301">
        <v>324</v>
      </c>
      <c r="C301" t="s">
        <v>1331</v>
      </c>
      <c r="E301">
        <v>10</v>
      </c>
      <c r="F301" t="s">
        <v>1421</v>
      </c>
      <c r="I301" t="s">
        <v>1332</v>
      </c>
    </row>
    <row r="302" spans="1:9" x14ac:dyDescent="0.3">
      <c r="A302" t="s">
        <v>1661</v>
      </c>
      <c r="B302">
        <v>325</v>
      </c>
      <c r="C302" t="s">
        <v>1331</v>
      </c>
      <c r="E302">
        <v>10</v>
      </c>
      <c r="F302" t="s">
        <v>1421</v>
      </c>
      <c r="I302" t="s">
        <v>1332</v>
      </c>
    </row>
    <row r="303" spans="1:9" x14ac:dyDescent="0.3">
      <c r="A303" t="s">
        <v>1662</v>
      </c>
      <c r="B303">
        <v>326</v>
      </c>
      <c r="C303" t="s">
        <v>1322</v>
      </c>
      <c r="E303">
        <v>2</v>
      </c>
      <c r="F303" t="s">
        <v>1421</v>
      </c>
      <c r="I303" t="s">
        <v>1324</v>
      </c>
    </row>
    <row r="304" spans="1:9" x14ac:dyDescent="0.3">
      <c r="A304" t="s">
        <v>1663</v>
      </c>
      <c r="B304">
        <v>327</v>
      </c>
      <c r="C304" t="s">
        <v>1331</v>
      </c>
      <c r="E304">
        <v>1</v>
      </c>
      <c r="F304" t="s">
        <v>1421</v>
      </c>
      <c r="I304" t="s">
        <v>1332</v>
      </c>
    </row>
    <row r="305" spans="1:9" x14ac:dyDescent="0.3">
      <c r="A305" t="s">
        <v>1664</v>
      </c>
      <c r="B305">
        <v>328</v>
      </c>
      <c r="C305" t="s">
        <v>1331</v>
      </c>
      <c r="E305">
        <v>10</v>
      </c>
      <c r="F305" t="s">
        <v>61</v>
      </c>
      <c r="I305" t="s">
        <v>1332</v>
      </c>
    </row>
    <row r="306" spans="1:9" x14ac:dyDescent="0.3">
      <c r="A306" t="s">
        <v>1665</v>
      </c>
      <c r="B306">
        <v>330</v>
      </c>
      <c r="C306" t="s">
        <v>1322</v>
      </c>
      <c r="E306">
        <v>176</v>
      </c>
      <c r="F306" t="s">
        <v>61</v>
      </c>
      <c r="I306" t="s">
        <v>1324</v>
      </c>
    </row>
    <row r="307" spans="1:9" x14ac:dyDescent="0.3">
      <c r="A307" t="s">
        <v>1666</v>
      </c>
      <c r="B307">
        <v>331</v>
      </c>
      <c r="C307" t="s">
        <v>1322</v>
      </c>
      <c r="E307">
        <v>176</v>
      </c>
      <c r="F307" t="s">
        <v>61</v>
      </c>
      <c r="I307" t="s">
        <v>1324</v>
      </c>
    </row>
    <row r="308" spans="1:9" x14ac:dyDescent="0.3">
      <c r="A308" t="s">
        <v>1667</v>
      </c>
      <c r="B308">
        <v>332</v>
      </c>
      <c r="C308" t="s">
        <v>1322</v>
      </c>
      <c r="E308">
        <v>42</v>
      </c>
      <c r="F308" t="s">
        <v>61</v>
      </c>
      <c r="I308" t="s">
        <v>1324</v>
      </c>
    </row>
    <row r="309" spans="1:9" x14ac:dyDescent="0.3">
      <c r="A309" t="s">
        <v>1668</v>
      </c>
      <c r="B309">
        <v>333</v>
      </c>
      <c r="C309" t="s">
        <v>1322</v>
      </c>
      <c r="E309">
        <v>42</v>
      </c>
      <c r="F309" t="s">
        <v>61</v>
      </c>
      <c r="I309" t="s">
        <v>1324</v>
      </c>
    </row>
    <row r="310" spans="1:9" x14ac:dyDescent="0.3">
      <c r="A310" t="s">
        <v>1669</v>
      </c>
      <c r="B310">
        <v>334</v>
      </c>
      <c r="C310" t="s">
        <v>1331</v>
      </c>
      <c r="E310">
        <v>10</v>
      </c>
      <c r="F310" t="s">
        <v>1421</v>
      </c>
      <c r="I310" t="s">
        <v>1332</v>
      </c>
    </row>
    <row r="311" spans="1:9" x14ac:dyDescent="0.3">
      <c r="A311" t="s">
        <v>1670</v>
      </c>
      <c r="B311">
        <v>335</v>
      </c>
      <c r="C311" t="s">
        <v>1331</v>
      </c>
      <c r="E311">
        <v>14</v>
      </c>
      <c r="F311" t="s">
        <v>1659</v>
      </c>
      <c r="I311" t="s">
        <v>1332</v>
      </c>
    </row>
    <row r="312" spans="1:9" x14ac:dyDescent="0.3">
      <c r="A312" t="s">
        <v>1671</v>
      </c>
      <c r="B312">
        <v>336</v>
      </c>
      <c r="C312" t="s">
        <v>1331</v>
      </c>
      <c r="E312">
        <v>14</v>
      </c>
      <c r="F312" t="s">
        <v>1659</v>
      </c>
      <c r="I312" t="s">
        <v>1332</v>
      </c>
    </row>
    <row r="313" spans="1:9" x14ac:dyDescent="0.3">
      <c r="A313" t="s">
        <v>1672</v>
      </c>
      <c r="B313">
        <v>337</v>
      </c>
      <c r="C313" t="s">
        <v>1322</v>
      </c>
      <c r="E313">
        <v>15</v>
      </c>
      <c r="F313" t="s">
        <v>1659</v>
      </c>
      <c r="I313" t="s">
        <v>1324</v>
      </c>
    </row>
    <row r="314" spans="1:9" x14ac:dyDescent="0.3">
      <c r="A314" t="s">
        <v>1673</v>
      </c>
      <c r="B314">
        <v>338</v>
      </c>
      <c r="C314" t="s">
        <v>1322</v>
      </c>
      <c r="E314">
        <v>15</v>
      </c>
      <c r="F314" t="s">
        <v>1421</v>
      </c>
      <c r="I314" t="s">
        <v>1324</v>
      </c>
    </row>
    <row r="315" spans="1:9" x14ac:dyDescent="0.3">
      <c r="A315" t="s">
        <v>1674</v>
      </c>
      <c r="B315">
        <v>339</v>
      </c>
      <c r="C315" t="s">
        <v>1331</v>
      </c>
      <c r="E315">
        <v>5</v>
      </c>
      <c r="F315" t="s">
        <v>1659</v>
      </c>
      <c r="I315" t="s">
        <v>1332</v>
      </c>
    </row>
    <row r="316" spans="1:9" x14ac:dyDescent="0.3">
      <c r="A316" t="s">
        <v>1675</v>
      </c>
      <c r="B316">
        <v>340</v>
      </c>
      <c r="C316" t="s">
        <v>1331</v>
      </c>
      <c r="E316">
        <v>5</v>
      </c>
      <c r="F316" t="s">
        <v>1659</v>
      </c>
      <c r="I316" t="s">
        <v>1332</v>
      </c>
    </row>
    <row r="317" spans="1:9" x14ac:dyDescent="0.3">
      <c r="A317" t="s">
        <v>1676</v>
      </c>
      <c r="B317">
        <v>341</v>
      </c>
      <c r="C317" t="s">
        <v>1331</v>
      </c>
      <c r="E317">
        <v>5</v>
      </c>
      <c r="F317" t="s">
        <v>1421</v>
      </c>
      <c r="I317" t="s">
        <v>1332</v>
      </c>
    </row>
    <row r="318" spans="1:9" x14ac:dyDescent="0.3">
      <c r="A318" t="s">
        <v>1677</v>
      </c>
      <c r="B318">
        <v>342</v>
      </c>
      <c r="C318" t="s">
        <v>1331</v>
      </c>
      <c r="E318">
        <v>1</v>
      </c>
      <c r="F318" t="s">
        <v>1659</v>
      </c>
      <c r="I318" t="s">
        <v>1332</v>
      </c>
    </row>
    <row r="319" spans="1:9" x14ac:dyDescent="0.3">
      <c r="A319" t="s">
        <v>1678</v>
      </c>
      <c r="B319">
        <v>343</v>
      </c>
      <c r="C319" t="s">
        <v>1331</v>
      </c>
      <c r="E319">
        <v>17</v>
      </c>
      <c r="F319" t="s">
        <v>1659</v>
      </c>
      <c r="I319" t="s">
        <v>1332</v>
      </c>
    </row>
    <row r="320" spans="1:9" x14ac:dyDescent="0.3">
      <c r="A320" t="s">
        <v>1679</v>
      </c>
      <c r="B320">
        <v>344</v>
      </c>
      <c r="C320" t="s">
        <v>1322</v>
      </c>
      <c r="E320">
        <v>2</v>
      </c>
      <c r="F320" t="s">
        <v>61</v>
      </c>
      <c r="I320" t="s">
        <v>1324</v>
      </c>
    </row>
    <row r="321" spans="1:9" x14ac:dyDescent="0.3">
      <c r="A321" t="s">
        <v>1680</v>
      </c>
      <c r="B321">
        <v>345</v>
      </c>
      <c r="C321" t="s">
        <v>1322</v>
      </c>
      <c r="E321">
        <v>2</v>
      </c>
      <c r="F321" t="s">
        <v>61</v>
      </c>
      <c r="I321" t="s">
        <v>1324</v>
      </c>
    </row>
    <row r="322" spans="1:9" x14ac:dyDescent="0.3">
      <c r="A322" t="s">
        <v>1681</v>
      </c>
      <c r="B322">
        <v>346</v>
      </c>
      <c r="C322" t="s">
        <v>1322</v>
      </c>
      <c r="E322">
        <v>2</v>
      </c>
      <c r="F322" t="s">
        <v>61</v>
      </c>
      <c r="I322" t="s">
        <v>1324</v>
      </c>
    </row>
    <row r="323" spans="1:9" x14ac:dyDescent="0.3">
      <c r="A323" t="s">
        <v>1682</v>
      </c>
      <c r="B323">
        <v>348</v>
      </c>
      <c r="C323" t="s">
        <v>1331</v>
      </c>
      <c r="E323">
        <v>5</v>
      </c>
      <c r="F323" t="s">
        <v>61</v>
      </c>
      <c r="I323" t="s">
        <v>1332</v>
      </c>
    </row>
    <row r="324" spans="1:9" x14ac:dyDescent="0.3">
      <c r="A324" t="s">
        <v>1683</v>
      </c>
      <c r="B324">
        <v>349</v>
      </c>
      <c r="C324" t="s">
        <v>1331</v>
      </c>
      <c r="E324">
        <v>5</v>
      </c>
      <c r="F324" t="s">
        <v>61</v>
      </c>
      <c r="I324" t="s">
        <v>1332</v>
      </c>
    </row>
    <row r="325" spans="1:9" x14ac:dyDescent="0.3">
      <c r="A325" t="s">
        <v>1684</v>
      </c>
      <c r="B325">
        <v>350</v>
      </c>
      <c r="C325" t="s">
        <v>1331</v>
      </c>
      <c r="E325">
        <v>5</v>
      </c>
      <c r="F325" t="s">
        <v>61</v>
      </c>
      <c r="I325" t="s">
        <v>1332</v>
      </c>
    </row>
    <row r="326" spans="1:9" x14ac:dyDescent="0.3">
      <c r="A326" t="s">
        <v>1685</v>
      </c>
      <c r="B326">
        <v>351</v>
      </c>
      <c r="C326" t="s">
        <v>1331</v>
      </c>
      <c r="E326">
        <v>9</v>
      </c>
      <c r="F326" t="s">
        <v>61</v>
      </c>
      <c r="I326" t="s">
        <v>1332</v>
      </c>
    </row>
    <row r="327" spans="1:9" x14ac:dyDescent="0.3">
      <c r="A327" t="s">
        <v>1686</v>
      </c>
      <c r="B327">
        <v>352</v>
      </c>
      <c r="C327" t="s">
        <v>1331</v>
      </c>
      <c r="E327">
        <v>9</v>
      </c>
      <c r="F327" t="s">
        <v>61</v>
      </c>
      <c r="I327" t="s">
        <v>1332</v>
      </c>
    </row>
    <row r="328" spans="1:9" x14ac:dyDescent="0.3">
      <c r="A328" t="s">
        <v>1687</v>
      </c>
      <c r="B328">
        <v>353</v>
      </c>
      <c r="C328" t="s">
        <v>1331</v>
      </c>
      <c r="E328">
        <v>11</v>
      </c>
      <c r="F328" t="s">
        <v>61</v>
      </c>
      <c r="I328" t="s">
        <v>1332</v>
      </c>
    </row>
    <row r="329" spans="1:9" x14ac:dyDescent="0.3">
      <c r="A329" t="s">
        <v>1688</v>
      </c>
      <c r="B329">
        <v>354</v>
      </c>
      <c r="C329" t="s">
        <v>1331</v>
      </c>
      <c r="E329">
        <v>11</v>
      </c>
      <c r="F329" t="s">
        <v>61</v>
      </c>
      <c r="I329" t="s">
        <v>1332</v>
      </c>
    </row>
    <row r="330" spans="1:9" x14ac:dyDescent="0.3">
      <c r="A330" t="s">
        <v>1689</v>
      </c>
      <c r="B330">
        <v>355</v>
      </c>
      <c r="C330" t="s">
        <v>1331</v>
      </c>
      <c r="E330">
        <v>4</v>
      </c>
      <c r="F330" t="s">
        <v>1659</v>
      </c>
      <c r="I330" t="s">
        <v>1332</v>
      </c>
    </row>
    <row r="331" spans="1:9" x14ac:dyDescent="0.3">
      <c r="A331" t="s">
        <v>1690</v>
      </c>
      <c r="B331">
        <v>356</v>
      </c>
      <c r="C331" t="s">
        <v>1331</v>
      </c>
      <c r="E331">
        <v>4</v>
      </c>
      <c r="F331" t="s">
        <v>1659</v>
      </c>
      <c r="I331" t="s">
        <v>1332</v>
      </c>
    </row>
    <row r="332" spans="1:9" x14ac:dyDescent="0.3">
      <c r="A332" t="s">
        <v>1691</v>
      </c>
      <c r="B332">
        <v>357</v>
      </c>
      <c r="C332" t="s">
        <v>1331</v>
      </c>
      <c r="E332">
        <v>4</v>
      </c>
      <c r="F332" t="s">
        <v>1659</v>
      </c>
      <c r="I332" t="s">
        <v>1332</v>
      </c>
    </row>
    <row r="333" spans="1:9" x14ac:dyDescent="0.3">
      <c r="A333" t="s">
        <v>1692</v>
      </c>
      <c r="B333">
        <v>358</v>
      </c>
      <c r="C333" t="s">
        <v>1331</v>
      </c>
      <c r="E333">
        <v>4</v>
      </c>
      <c r="F333" t="s">
        <v>1421</v>
      </c>
      <c r="I333" t="s">
        <v>1332</v>
      </c>
    </row>
    <row r="334" spans="1:9" x14ac:dyDescent="0.3">
      <c r="A334" t="s">
        <v>1693</v>
      </c>
      <c r="B334">
        <v>359</v>
      </c>
      <c r="C334" t="s">
        <v>1331</v>
      </c>
      <c r="E334">
        <v>1</v>
      </c>
      <c r="F334" t="s">
        <v>1659</v>
      </c>
      <c r="I334" t="s">
        <v>1332</v>
      </c>
    </row>
    <row r="335" spans="1:9" x14ac:dyDescent="0.3">
      <c r="A335" t="s">
        <v>1694</v>
      </c>
      <c r="B335">
        <v>360</v>
      </c>
      <c r="C335" t="s">
        <v>1322</v>
      </c>
      <c r="E335">
        <v>3</v>
      </c>
      <c r="F335" t="s">
        <v>1659</v>
      </c>
      <c r="I335" t="s">
        <v>1324</v>
      </c>
    </row>
    <row r="336" spans="1:9" x14ac:dyDescent="0.3">
      <c r="A336" t="s">
        <v>1695</v>
      </c>
      <c r="B336">
        <v>361</v>
      </c>
      <c r="C336" t="s">
        <v>1331</v>
      </c>
      <c r="E336">
        <v>1</v>
      </c>
      <c r="F336" t="s">
        <v>1421</v>
      </c>
      <c r="I336" t="s">
        <v>1332</v>
      </c>
    </row>
    <row r="337" spans="1:9" x14ac:dyDescent="0.3">
      <c r="A337" t="s">
        <v>1696</v>
      </c>
      <c r="B337">
        <v>362</v>
      </c>
      <c r="C337" t="s">
        <v>1331</v>
      </c>
      <c r="E337">
        <v>1</v>
      </c>
      <c r="F337" t="s">
        <v>1421</v>
      </c>
      <c r="I337" t="s">
        <v>1332</v>
      </c>
    </row>
    <row r="338" spans="1:9" x14ac:dyDescent="0.3">
      <c r="A338" t="s">
        <v>1697</v>
      </c>
      <c r="B338">
        <v>363</v>
      </c>
      <c r="C338" t="s">
        <v>1322</v>
      </c>
      <c r="E338">
        <v>2</v>
      </c>
      <c r="F338" t="s">
        <v>1421</v>
      </c>
      <c r="I338" t="s">
        <v>1324</v>
      </c>
    </row>
    <row r="339" spans="1:9" x14ac:dyDescent="0.3">
      <c r="A339" t="s">
        <v>1698</v>
      </c>
      <c r="B339">
        <v>364</v>
      </c>
      <c r="C339" t="s">
        <v>1331</v>
      </c>
      <c r="E339">
        <v>1</v>
      </c>
      <c r="F339" t="s">
        <v>1421</v>
      </c>
      <c r="I339" t="s">
        <v>1332</v>
      </c>
    </row>
    <row r="340" spans="1:9" x14ac:dyDescent="0.3">
      <c r="A340" t="s">
        <v>1699</v>
      </c>
      <c r="B340">
        <v>365</v>
      </c>
      <c r="C340" t="s">
        <v>1331</v>
      </c>
      <c r="E340">
        <v>1</v>
      </c>
      <c r="F340" t="s">
        <v>1421</v>
      </c>
      <c r="I340" t="s">
        <v>1332</v>
      </c>
    </row>
    <row r="341" spans="1:9" x14ac:dyDescent="0.3">
      <c r="A341" t="s">
        <v>1700</v>
      </c>
      <c r="B341">
        <v>366</v>
      </c>
      <c r="C341" t="s">
        <v>1331</v>
      </c>
      <c r="E341">
        <v>1</v>
      </c>
      <c r="F341" t="s">
        <v>1421</v>
      </c>
      <c r="I341" t="s">
        <v>1332</v>
      </c>
    </row>
    <row r="342" spans="1:9" x14ac:dyDescent="0.3">
      <c r="A342" t="s">
        <v>1701</v>
      </c>
      <c r="B342">
        <v>367</v>
      </c>
      <c r="C342" t="s">
        <v>1331</v>
      </c>
      <c r="E342">
        <v>1</v>
      </c>
      <c r="F342" t="s">
        <v>1421</v>
      </c>
      <c r="I342" t="s">
        <v>1332</v>
      </c>
    </row>
    <row r="343" spans="1:9" x14ac:dyDescent="0.3">
      <c r="A343" t="s">
        <v>1702</v>
      </c>
      <c r="B343">
        <v>369</v>
      </c>
      <c r="C343" t="s">
        <v>1322</v>
      </c>
      <c r="E343">
        <v>31</v>
      </c>
      <c r="F343" t="s">
        <v>61</v>
      </c>
      <c r="I343" t="s">
        <v>1324</v>
      </c>
    </row>
    <row r="344" spans="1:9" x14ac:dyDescent="0.3">
      <c r="A344" t="s">
        <v>1703</v>
      </c>
      <c r="B344">
        <v>370</v>
      </c>
      <c r="C344" t="s">
        <v>1322</v>
      </c>
      <c r="E344">
        <v>31</v>
      </c>
      <c r="F344" t="s">
        <v>61</v>
      </c>
      <c r="I344" t="s">
        <v>1324</v>
      </c>
    </row>
    <row r="345" spans="1:9" x14ac:dyDescent="0.3">
      <c r="A345" t="s">
        <v>1704</v>
      </c>
      <c r="B345">
        <v>371</v>
      </c>
      <c r="C345" t="s">
        <v>1331</v>
      </c>
      <c r="E345">
        <v>36</v>
      </c>
      <c r="F345" t="s">
        <v>61</v>
      </c>
      <c r="I345" t="s">
        <v>1332</v>
      </c>
    </row>
    <row r="346" spans="1:9" x14ac:dyDescent="0.3">
      <c r="A346" t="s">
        <v>1705</v>
      </c>
      <c r="B346">
        <v>372</v>
      </c>
      <c r="C346" t="s">
        <v>1331</v>
      </c>
      <c r="E346">
        <v>36</v>
      </c>
      <c r="F346" t="s">
        <v>61</v>
      </c>
      <c r="I346" t="s">
        <v>1332</v>
      </c>
    </row>
    <row r="347" spans="1:9" x14ac:dyDescent="0.3">
      <c r="A347" t="s">
        <v>1706</v>
      </c>
      <c r="B347">
        <v>373</v>
      </c>
      <c r="C347" t="s">
        <v>1331</v>
      </c>
      <c r="E347">
        <v>5</v>
      </c>
      <c r="F347" t="s">
        <v>1421</v>
      </c>
      <c r="I347" t="s">
        <v>1332</v>
      </c>
    </row>
    <row r="348" spans="1:9" x14ac:dyDescent="0.3">
      <c r="A348" t="s">
        <v>1707</v>
      </c>
      <c r="B348">
        <v>374</v>
      </c>
      <c r="C348" t="s">
        <v>1322</v>
      </c>
      <c r="E348">
        <v>2</v>
      </c>
      <c r="F348" t="s">
        <v>1659</v>
      </c>
      <c r="I348" t="s">
        <v>1324</v>
      </c>
    </row>
    <row r="349" spans="1:9" x14ac:dyDescent="0.3">
      <c r="A349" t="s">
        <v>1708</v>
      </c>
      <c r="B349">
        <v>375</v>
      </c>
      <c r="C349" t="s">
        <v>1322</v>
      </c>
      <c r="E349">
        <v>2</v>
      </c>
      <c r="F349" t="s">
        <v>1421</v>
      </c>
      <c r="I349" t="s">
        <v>1324</v>
      </c>
    </row>
    <row r="350" spans="1:9" x14ac:dyDescent="0.3">
      <c r="A350" t="s">
        <v>1709</v>
      </c>
      <c r="B350">
        <v>376</v>
      </c>
      <c r="C350" t="s">
        <v>1322</v>
      </c>
      <c r="E350">
        <v>2</v>
      </c>
      <c r="F350" t="s">
        <v>1421</v>
      </c>
      <c r="I350" t="s">
        <v>1324</v>
      </c>
    </row>
    <row r="351" spans="1:9" x14ac:dyDescent="0.3">
      <c r="A351" t="s">
        <v>1710</v>
      </c>
      <c r="B351">
        <v>377</v>
      </c>
      <c r="C351" t="s">
        <v>1322</v>
      </c>
      <c r="E351">
        <v>3</v>
      </c>
      <c r="F351" t="s">
        <v>1421</v>
      </c>
      <c r="I351" t="s">
        <v>1324</v>
      </c>
    </row>
    <row r="352" spans="1:9" x14ac:dyDescent="0.3">
      <c r="A352" t="s">
        <v>1711</v>
      </c>
      <c r="B352">
        <v>378</v>
      </c>
      <c r="C352" t="s">
        <v>1331</v>
      </c>
      <c r="E352">
        <v>1</v>
      </c>
      <c r="F352" t="s">
        <v>1659</v>
      </c>
      <c r="I352" t="s">
        <v>1332</v>
      </c>
    </row>
    <row r="353" spans="1:9" x14ac:dyDescent="0.3">
      <c r="A353" t="s">
        <v>1712</v>
      </c>
      <c r="B353">
        <v>379</v>
      </c>
      <c r="C353" t="s">
        <v>1322</v>
      </c>
      <c r="E353">
        <v>2</v>
      </c>
      <c r="F353" t="s">
        <v>61</v>
      </c>
      <c r="I353" t="s">
        <v>1324</v>
      </c>
    </row>
    <row r="354" spans="1:9" x14ac:dyDescent="0.3">
      <c r="A354" t="s">
        <v>1713</v>
      </c>
      <c r="B354">
        <v>380</v>
      </c>
      <c r="C354" t="s">
        <v>1322</v>
      </c>
      <c r="E354">
        <v>2</v>
      </c>
      <c r="F354" t="s">
        <v>61</v>
      </c>
      <c r="I354" t="s">
        <v>1324</v>
      </c>
    </row>
    <row r="355" spans="1:9" x14ac:dyDescent="0.3">
      <c r="A355" t="s">
        <v>1714</v>
      </c>
      <c r="B355">
        <v>381</v>
      </c>
      <c r="C355" t="s">
        <v>1322</v>
      </c>
      <c r="E355">
        <v>2</v>
      </c>
      <c r="F355" t="s">
        <v>61</v>
      </c>
      <c r="I355" t="s">
        <v>1324</v>
      </c>
    </row>
    <row r="356" spans="1:9" x14ac:dyDescent="0.3">
      <c r="A356" t="s">
        <v>1715</v>
      </c>
      <c r="B356">
        <v>383</v>
      </c>
      <c r="C356" t="s">
        <v>1322</v>
      </c>
      <c r="E356">
        <v>23</v>
      </c>
      <c r="F356" t="s">
        <v>61</v>
      </c>
      <c r="I356" t="s">
        <v>1324</v>
      </c>
    </row>
    <row r="357" spans="1:9" x14ac:dyDescent="0.3">
      <c r="A357" t="s">
        <v>1716</v>
      </c>
      <c r="B357">
        <v>384</v>
      </c>
      <c r="C357" t="s">
        <v>1322</v>
      </c>
      <c r="E357">
        <v>23</v>
      </c>
      <c r="F357" t="s">
        <v>61</v>
      </c>
      <c r="I357" t="s">
        <v>1324</v>
      </c>
    </row>
    <row r="358" spans="1:9" x14ac:dyDescent="0.3">
      <c r="A358" t="s">
        <v>1717</v>
      </c>
      <c r="B358">
        <v>385</v>
      </c>
      <c r="C358" t="s">
        <v>1331</v>
      </c>
      <c r="E358">
        <v>11</v>
      </c>
      <c r="F358" t="s">
        <v>61</v>
      </c>
      <c r="I358" t="s">
        <v>1332</v>
      </c>
    </row>
    <row r="359" spans="1:9" x14ac:dyDescent="0.3">
      <c r="A359" t="s">
        <v>1718</v>
      </c>
      <c r="B359">
        <v>386</v>
      </c>
      <c r="C359" t="s">
        <v>1331</v>
      </c>
      <c r="E359">
        <v>11</v>
      </c>
      <c r="F359" t="s">
        <v>61</v>
      </c>
      <c r="I359" t="s">
        <v>1332</v>
      </c>
    </row>
    <row r="360" spans="1:9" x14ac:dyDescent="0.3">
      <c r="A360" t="s">
        <v>1719</v>
      </c>
      <c r="B360">
        <v>387</v>
      </c>
      <c r="C360" t="s">
        <v>1331</v>
      </c>
      <c r="E360">
        <v>11</v>
      </c>
      <c r="F360" t="s">
        <v>61</v>
      </c>
      <c r="I360" t="s">
        <v>1332</v>
      </c>
    </row>
    <row r="361" spans="1:9" x14ac:dyDescent="0.3">
      <c r="A361" t="s">
        <v>1720</v>
      </c>
      <c r="B361">
        <v>388</v>
      </c>
      <c r="C361" t="s">
        <v>1322</v>
      </c>
      <c r="E361">
        <v>2</v>
      </c>
      <c r="F361" t="s">
        <v>1421</v>
      </c>
      <c r="I361" t="s">
        <v>1324</v>
      </c>
    </row>
    <row r="362" spans="1:9" x14ac:dyDescent="0.3">
      <c r="A362" t="s">
        <v>1721</v>
      </c>
      <c r="B362">
        <v>389</v>
      </c>
      <c r="C362" t="s">
        <v>1322</v>
      </c>
      <c r="E362">
        <v>2</v>
      </c>
      <c r="F362" t="s">
        <v>1421</v>
      </c>
      <c r="I362" t="s">
        <v>1324</v>
      </c>
    </row>
    <row r="363" spans="1:9" x14ac:dyDescent="0.3">
      <c r="A363" t="s">
        <v>1722</v>
      </c>
      <c r="B363">
        <v>390</v>
      </c>
      <c r="C363" t="s">
        <v>1331</v>
      </c>
      <c r="E363">
        <v>4</v>
      </c>
      <c r="F363" t="s">
        <v>1421</v>
      </c>
      <c r="I363" t="s">
        <v>1332</v>
      </c>
    </row>
    <row r="364" spans="1:9" x14ac:dyDescent="0.3">
      <c r="A364" t="s">
        <v>1723</v>
      </c>
      <c r="B364">
        <v>391</v>
      </c>
      <c r="C364" t="s">
        <v>1322</v>
      </c>
      <c r="E364">
        <v>2</v>
      </c>
      <c r="F364" t="s">
        <v>1421</v>
      </c>
      <c r="I364" t="s">
        <v>1324</v>
      </c>
    </row>
    <row r="365" spans="1:9" x14ac:dyDescent="0.3">
      <c r="A365" t="s">
        <v>1724</v>
      </c>
      <c r="B365">
        <v>392</v>
      </c>
      <c r="C365" t="s">
        <v>1322</v>
      </c>
      <c r="E365">
        <v>3</v>
      </c>
      <c r="F365" t="s">
        <v>1421</v>
      </c>
      <c r="I365" t="s">
        <v>1324</v>
      </c>
    </row>
    <row r="366" spans="1:9" x14ac:dyDescent="0.3">
      <c r="A366" t="s">
        <v>1725</v>
      </c>
      <c r="B366">
        <v>393</v>
      </c>
      <c r="C366" t="s">
        <v>1322</v>
      </c>
      <c r="E366">
        <v>3</v>
      </c>
      <c r="F366" t="s">
        <v>1421</v>
      </c>
      <c r="I366" t="s">
        <v>1324</v>
      </c>
    </row>
    <row r="367" spans="1:9" x14ac:dyDescent="0.3">
      <c r="A367" t="s">
        <v>1726</v>
      </c>
      <c r="B367">
        <v>394</v>
      </c>
      <c r="C367" t="s">
        <v>1331</v>
      </c>
      <c r="E367">
        <v>5</v>
      </c>
      <c r="F367" t="s">
        <v>1421</v>
      </c>
      <c r="I367" t="s">
        <v>1332</v>
      </c>
    </row>
    <row r="368" spans="1:9" x14ac:dyDescent="0.3">
      <c r="A368" t="s">
        <v>1727</v>
      </c>
      <c r="B368">
        <v>395</v>
      </c>
      <c r="C368" t="s">
        <v>1331</v>
      </c>
      <c r="E368">
        <v>5</v>
      </c>
      <c r="F368" t="s">
        <v>1421</v>
      </c>
      <c r="I368" t="s">
        <v>1332</v>
      </c>
    </row>
    <row r="369" spans="1:9" x14ac:dyDescent="0.3">
      <c r="A369" t="s">
        <v>1728</v>
      </c>
      <c r="B369">
        <v>396</v>
      </c>
      <c r="C369" t="s">
        <v>1331</v>
      </c>
      <c r="E369">
        <v>5</v>
      </c>
      <c r="F369" t="s">
        <v>1421</v>
      </c>
      <c r="I369" t="s">
        <v>1332</v>
      </c>
    </row>
    <row r="370" spans="1:9" x14ac:dyDescent="0.3">
      <c r="A370" t="s">
        <v>1729</v>
      </c>
      <c r="B370">
        <v>398</v>
      </c>
      <c r="C370" t="s">
        <v>1322</v>
      </c>
      <c r="E370">
        <v>320</v>
      </c>
      <c r="F370" t="s">
        <v>61</v>
      </c>
      <c r="I370" t="s">
        <v>1324</v>
      </c>
    </row>
    <row r="371" spans="1:9" x14ac:dyDescent="0.3">
      <c r="A371" t="s">
        <v>1730</v>
      </c>
      <c r="B371">
        <v>399</v>
      </c>
      <c r="C371" t="s">
        <v>1322</v>
      </c>
      <c r="E371">
        <v>320</v>
      </c>
      <c r="F371" t="s">
        <v>61</v>
      </c>
      <c r="I371" t="s">
        <v>1324</v>
      </c>
    </row>
    <row r="372" spans="1:9" x14ac:dyDescent="0.3">
      <c r="A372" t="s">
        <v>1731</v>
      </c>
      <c r="B372">
        <v>400</v>
      </c>
      <c r="C372" t="s">
        <v>1331</v>
      </c>
      <c r="E372">
        <v>120</v>
      </c>
      <c r="F372" t="s">
        <v>61</v>
      </c>
      <c r="I372" t="s">
        <v>1332</v>
      </c>
    </row>
    <row r="373" spans="1:9" x14ac:dyDescent="0.3">
      <c r="A373" t="s">
        <v>1732</v>
      </c>
      <c r="B373">
        <v>401</v>
      </c>
      <c r="C373" t="s">
        <v>1331</v>
      </c>
      <c r="E373">
        <v>120</v>
      </c>
      <c r="F373" t="s">
        <v>61</v>
      </c>
      <c r="I373" t="s">
        <v>1332</v>
      </c>
    </row>
    <row r="374" spans="1:9" x14ac:dyDescent="0.3">
      <c r="A374" t="s">
        <v>1733</v>
      </c>
      <c r="B374">
        <v>402</v>
      </c>
      <c r="C374" t="s">
        <v>1322</v>
      </c>
      <c r="E374">
        <v>75</v>
      </c>
      <c r="F374" t="s">
        <v>61</v>
      </c>
      <c r="I374" t="s">
        <v>1324</v>
      </c>
    </row>
    <row r="375" spans="1:9" x14ac:dyDescent="0.3">
      <c r="A375" t="s">
        <v>1734</v>
      </c>
      <c r="B375">
        <v>403</v>
      </c>
      <c r="C375" t="s">
        <v>1322</v>
      </c>
      <c r="E375">
        <v>75</v>
      </c>
      <c r="F375" t="s">
        <v>61</v>
      </c>
      <c r="I375" t="s">
        <v>1324</v>
      </c>
    </row>
    <row r="376" spans="1:9" x14ac:dyDescent="0.3">
      <c r="A376" t="s">
        <v>1735</v>
      </c>
      <c r="B376">
        <v>404</v>
      </c>
      <c r="C376" t="s">
        <v>1322</v>
      </c>
      <c r="E376">
        <v>155</v>
      </c>
      <c r="F376" t="s">
        <v>61</v>
      </c>
      <c r="I376" t="s">
        <v>1324</v>
      </c>
    </row>
    <row r="377" spans="1:9" x14ac:dyDescent="0.3">
      <c r="A377" t="s">
        <v>1736</v>
      </c>
      <c r="B377">
        <v>405</v>
      </c>
      <c r="C377" t="s">
        <v>1322</v>
      </c>
      <c r="E377">
        <v>155</v>
      </c>
      <c r="F377" t="s">
        <v>61</v>
      </c>
      <c r="I377" t="s">
        <v>1324</v>
      </c>
    </row>
    <row r="378" spans="1:9" x14ac:dyDescent="0.3">
      <c r="A378" t="s">
        <v>1737</v>
      </c>
      <c r="B378">
        <v>406</v>
      </c>
      <c r="C378" t="s">
        <v>1322</v>
      </c>
      <c r="E378">
        <v>60</v>
      </c>
      <c r="F378" t="s">
        <v>61</v>
      </c>
      <c r="I378" t="s">
        <v>1324</v>
      </c>
    </row>
    <row r="379" spans="1:9" x14ac:dyDescent="0.3">
      <c r="A379" t="s">
        <v>1738</v>
      </c>
      <c r="B379">
        <v>407</v>
      </c>
      <c r="C379" t="s">
        <v>1322</v>
      </c>
      <c r="E379">
        <v>60</v>
      </c>
      <c r="F379" t="s">
        <v>61</v>
      </c>
      <c r="I379" t="s">
        <v>1324</v>
      </c>
    </row>
    <row r="380" spans="1:9" x14ac:dyDescent="0.3">
      <c r="A380" t="s">
        <v>1739</v>
      </c>
      <c r="B380">
        <v>408</v>
      </c>
      <c r="C380" t="s">
        <v>1322</v>
      </c>
      <c r="E380">
        <v>85</v>
      </c>
      <c r="F380" t="s">
        <v>61</v>
      </c>
      <c r="I380" t="s">
        <v>1324</v>
      </c>
    </row>
    <row r="381" spans="1:9" x14ac:dyDescent="0.3">
      <c r="A381" t="s">
        <v>1740</v>
      </c>
      <c r="B381">
        <v>409</v>
      </c>
      <c r="C381" t="s">
        <v>1322</v>
      </c>
      <c r="E381">
        <v>85</v>
      </c>
      <c r="F381" t="s">
        <v>61</v>
      </c>
      <c r="I381" t="s">
        <v>1324</v>
      </c>
    </row>
    <row r="382" spans="1:9" x14ac:dyDescent="0.3">
      <c r="A382" t="s">
        <v>1741</v>
      </c>
      <c r="B382">
        <v>410</v>
      </c>
      <c r="C382" t="s">
        <v>1322</v>
      </c>
      <c r="E382">
        <v>43</v>
      </c>
      <c r="F382" t="s">
        <v>61</v>
      </c>
      <c r="I382" t="s">
        <v>1324</v>
      </c>
    </row>
    <row r="383" spans="1:9" x14ac:dyDescent="0.3">
      <c r="A383" t="s">
        <v>1742</v>
      </c>
      <c r="B383">
        <v>411</v>
      </c>
      <c r="C383" t="s">
        <v>1322</v>
      </c>
      <c r="E383">
        <v>43</v>
      </c>
      <c r="F383" t="s">
        <v>1421</v>
      </c>
      <c r="I383" t="s">
        <v>1324</v>
      </c>
    </row>
    <row r="384" spans="1:9" x14ac:dyDescent="0.3">
      <c r="A384" t="s">
        <v>1743</v>
      </c>
      <c r="B384">
        <v>412</v>
      </c>
      <c r="C384" t="s">
        <v>1322</v>
      </c>
      <c r="E384">
        <v>3</v>
      </c>
      <c r="F384" t="s">
        <v>1421</v>
      </c>
      <c r="I384" t="s">
        <v>1324</v>
      </c>
    </row>
    <row r="385" spans="1:9" x14ac:dyDescent="0.3">
      <c r="A385" t="s">
        <v>1744</v>
      </c>
      <c r="B385">
        <v>413</v>
      </c>
      <c r="C385" t="s">
        <v>1322</v>
      </c>
      <c r="E385">
        <v>3</v>
      </c>
      <c r="F385" t="s">
        <v>1421</v>
      </c>
      <c r="I385" t="s">
        <v>1324</v>
      </c>
    </row>
    <row r="386" spans="1:9" x14ac:dyDescent="0.3">
      <c r="A386" t="s">
        <v>1745</v>
      </c>
      <c r="B386">
        <v>414</v>
      </c>
      <c r="C386" t="s">
        <v>1331</v>
      </c>
      <c r="E386">
        <v>9</v>
      </c>
      <c r="F386" t="s">
        <v>1421</v>
      </c>
      <c r="I386" t="s">
        <v>1332</v>
      </c>
    </row>
    <row r="387" spans="1:9" x14ac:dyDescent="0.3">
      <c r="A387" t="s">
        <v>1746</v>
      </c>
      <c r="B387">
        <v>415</v>
      </c>
      <c r="C387" t="s">
        <v>1331</v>
      </c>
      <c r="E387">
        <v>5</v>
      </c>
      <c r="F387" t="s">
        <v>1421</v>
      </c>
      <c r="I387" t="s">
        <v>1332</v>
      </c>
    </row>
    <row r="388" spans="1:9" x14ac:dyDescent="0.3">
      <c r="A388" t="s">
        <v>1747</v>
      </c>
      <c r="B388">
        <v>416</v>
      </c>
      <c r="C388" t="s">
        <v>1331</v>
      </c>
      <c r="E388">
        <v>6</v>
      </c>
      <c r="F388" t="s">
        <v>1421</v>
      </c>
      <c r="I388" t="s">
        <v>1332</v>
      </c>
    </row>
    <row r="389" spans="1:9" x14ac:dyDescent="0.3">
      <c r="A389" t="s">
        <v>1748</v>
      </c>
      <c r="B389">
        <v>417</v>
      </c>
      <c r="C389" t="s">
        <v>1331</v>
      </c>
      <c r="E389">
        <v>5</v>
      </c>
      <c r="F389" t="s">
        <v>1421</v>
      </c>
      <c r="I389" t="s">
        <v>1332</v>
      </c>
    </row>
    <row r="390" spans="1:9" x14ac:dyDescent="0.3">
      <c r="A390" t="s">
        <v>1749</v>
      </c>
      <c r="B390">
        <v>418</v>
      </c>
      <c r="C390" t="s">
        <v>1331</v>
      </c>
      <c r="E390">
        <v>9</v>
      </c>
      <c r="F390" t="s">
        <v>1421</v>
      </c>
      <c r="I390" t="s">
        <v>1332</v>
      </c>
    </row>
    <row r="391" spans="1:9" x14ac:dyDescent="0.3">
      <c r="A391" t="s">
        <v>1750</v>
      </c>
      <c r="B391">
        <v>419</v>
      </c>
      <c r="C391" t="s">
        <v>1331</v>
      </c>
      <c r="E391">
        <v>5</v>
      </c>
      <c r="F391" t="s">
        <v>1421</v>
      </c>
      <c r="I391" t="s">
        <v>1332</v>
      </c>
    </row>
    <row r="392" spans="1:9" x14ac:dyDescent="0.3">
      <c r="A392" t="s">
        <v>1751</v>
      </c>
      <c r="B392">
        <v>420</v>
      </c>
      <c r="C392" t="s">
        <v>1322</v>
      </c>
      <c r="E392">
        <v>3</v>
      </c>
      <c r="F392" t="s">
        <v>1421</v>
      </c>
      <c r="I392" t="s">
        <v>1324</v>
      </c>
    </row>
    <row r="393" spans="1:9" x14ac:dyDescent="0.3">
      <c r="A393" t="s">
        <v>1752</v>
      </c>
      <c r="B393">
        <v>421</v>
      </c>
      <c r="C393" t="s">
        <v>1331</v>
      </c>
      <c r="E393">
        <v>1</v>
      </c>
      <c r="F393" t="s">
        <v>1421</v>
      </c>
      <c r="I393" t="s">
        <v>1332</v>
      </c>
    </row>
    <row r="394" spans="1:9" x14ac:dyDescent="0.3">
      <c r="A394" t="s">
        <v>1753</v>
      </c>
      <c r="B394">
        <v>422</v>
      </c>
      <c r="C394" t="s">
        <v>1322</v>
      </c>
      <c r="E394">
        <v>3</v>
      </c>
      <c r="F394" t="s">
        <v>1421</v>
      </c>
      <c r="I394" t="s">
        <v>1324</v>
      </c>
    </row>
    <row r="395" spans="1:9" x14ac:dyDescent="0.3">
      <c r="A395" t="s">
        <v>1754</v>
      </c>
      <c r="B395">
        <v>423</v>
      </c>
      <c r="C395" t="s">
        <v>1322</v>
      </c>
      <c r="E395">
        <v>2</v>
      </c>
      <c r="F395" t="s">
        <v>1421</v>
      </c>
      <c r="I395" t="s">
        <v>1324</v>
      </c>
    </row>
    <row r="396" spans="1:9" x14ac:dyDescent="0.3">
      <c r="A396" t="s">
        <v>1755</v>
      </c>
      <c r="B396">
        <v>424</v>
      </c>
      <c r="C396" t="s">
        <v>1322</v>
      </c>
      <c r="E396">
        <v>464</v>
      </c>
      <c r="F396" t="s">
        <v>1421</v>
      </c>
      <c r="I396" t="s">
        <v>1324</v>
      </c>
    </row>
    <row r="397" spans="1:9" x14ac:dyDescent="0.3">
      <c r="A397" t="s">
        <v>1756</v>
      </c>
      <c r="B397">
        <v>425</v>
      </c>
      <c r="C397" t="s">
        <v>1331</v>
      </c>
      <c r="E397">
        <v>4</v>
      </c>
      <c r="F397" t="s">
        <v>1421</v>
      </c>
      <c r="I397" t="s">
        <v>1332</v>
      </c>
    </row>
    <row r="398" spans="1:9" x14ac:dyDescent="0.3">
      <c r="A398" t="s">
        <v>1757</v>
      </c>
      <c r="B398">
        <v>426</v>
      </c>
      <c r="C398" t="s">
        <v>1331</v>
      </c>
      <c r="E398">
        <v>4</v>
      </c>
      <c r="F398" t="s">
        <v>1421</v>
      </c>
      <c r="I398" t="s">
        <v>1332</v>
      </c>
    </row>
    <row r="399" spans="1:9" x14ac:dyDescent="0.3">
      <c r="A399" t="s">
        <v>1758</v>
      </c>
      <c r="B399">
        <v>427</v>
      </c>
      <c r="C399" t="s">
        <v>1331</v>
      </c>
      <c r="E399">
        <v>54</v>
      </c>
      <c r="F399" t="s">
        <v>1421</v>
      </c>
      <c r="I399" t="s">
        <v>1332</v>
      </c>
    </row>
    <row r="400" spans="1:9" x14ac:dyDescent="0.3">
      <c r="A400" t="s">
        <v>1759</v>
      </c>
      <c r="B400">
        <v>428</v>
      </c>
      <c r="C400" t="s">
        <v>1322</v>
      </c>
      <c r="E400">
        <v>28</v>
      </c>
      <c r="F400" t="s">
        <v>1659</v>
      </c>
      <c r="I400" t="s">
        <v>1324</v>
      </c>
    </row>
    <row r="401" spans="1:9" x14ac:dyDescent="0.3">
      <c r="A401" t="s">
        <v>1760</v>
      </c>
      <c r="B401">
        <v>429</v>
      </c>
      <c r="C401" t="s">
        <v>1322</v>
      </c>
      <c r="E401">
        <v>28</v>
      </c>
      <c r="F401" t="s">
        <v>1421</v>
      </c>
      <c r="I401" t="s">
        <v>1324</v>
      </c>
    </row>
    <row r="402" spans="1:9" x14ac:dyDescent="0.3">
      <c r="A402" t="s">
        <v>1761</v>
      </c>
      <c r="B402">
        <v>430</v>
      </c>
      <c r="C402" t="s">
        <v>1331</v>
      </c>
      <c r="E402">
        <v>10</v>
      </c>
      <c r="F402" t="s">
        <v>1421</v>
      </c>
      <c r="I402" t="s">
        <v>1332</v>
      </c>
    </row>
    <row r="403" spans="1:9" x14ac:dyDescent="0.3">
      <c r="A403" t="s">
        <v>1762</v>
      </c>
      <c r="B403">
        <v>431</v>
      </c>
      <c r="C403" t="s">
        <v>1331</v>
      </c>
      <c r="E403">
        <v>10</v>
      </c>
      <c r="F403" t="s">
        <v>1421</v>
      </c>
      <c r="I403" t="s">
        <v>1332</v>
      </c>
    </row>
    <row r="404" spans="1:9" x14ac:dyDescent="0.3">
      <c r="A404" t="s">
        <v>1763</v>
      </c>
      <c r="B404">
        <v>432</v>
      </c>
      <c r="C404" t="s">
        <v>1331</v>
      </c>
      <c r="E404">
        <v>20</v>
      </c>
      <c r="F404" t="s">
        <v>1421</v>
      </c>
      <c r="I404" t="s">
        <v>1332</v>
      </c>
    </row>
    <row r="405" spans="1:9" x14ac:dyDescent="0.3">
      <c r="A405" t="s">
        <v>1764</v>
      </c>
      <c r="B405">
        <v>433</v>
      </c>
      <c r="C405" t="s">
        <v>1331</v>
      </c>
      <c r="E405">
        <v>4</v>
      </c>
      <c r="F405" t="s">
        <v>1421</v>
      </c>
      <c r="I405" t="s">
        <v>1332</v>
      </c>
    </row>
    <row r="406" spans="1:9" x14ac:dyDescent="0.3">
      <c r="A406" t="s">
        <v>1765</v>
      </c>
      <c r="B406">
        <v>434</v>
      </c>
      <c r="C406" t="s">
        <v>1331</v>
      </c>
      <c r="E406">
        <v>14</v>
      </c>
      <c r="F406" t="s">
        <v>1421</v>
      </c>
      <c r="I406" t="s">
        <v>1332</v>
      </c>
    </row>
    <row r="407" spans="1:9" x14ac:dyDescent="0.3">
      <c r="A407" t="s">
        <v>1766</v>
      </c>
      <c r="B407">
        <v>435</v>
      </c>
      <c r="C407" t="s">
        <v>1322</v>
      </c>
      <c r="E407">
        <v>2</v>
      </c>
      <c r="F407" t="s">
        <v>1421</v>
      </c>
      <c r="I407" t="s">
        <v>1324</v>
      </c>
    </row>
    <row r="408" spans="1:9" x14ac:dyDescent="0.3">
      <c r="A408" t="s">
        <v>1767</v>
      </c>
      <c r="B408">
        <v>436</v>
      </c>
      <c r="C408" t="s">
        <v>1322</v>
      </c>
      <c r="E408">
        <v>2</v>
      </c>
      <c r="F408" t="s">
        <v>1421</v>
      </c>
      <c r="I408" t="s">
        <v>1324</v>
      </c>
    </row>
    <row r="409" spans="1:9" x14ac:dyDescent="0.3">
      <c r="A409" t="s">
        <v>1768</v>
      </c>
      <c r="B409">
        <v>437</v>
      </c>
      <c r="C409" t="s">
        <v>1331</v>
      </c>
      <c r="E409">
        <v>5</v>
      </c>
      <c r="F409" t="s">
        <v>1421</v>
      </c>
      <c r="I409" t="s">
        <v>1332</v>
      </c>
    </row>
    <row r="410" spans="1:9" x14ac:dyDescent="0.3">
      <c r="A410" t="s">
        <v>1769</v>
      </c>
      <c r="B410">
        <v>438</v>
      </c>
      <c r="C410" t="s">
        <v>1331</v>
      </c>
      <c r="E410">
        <v>1</v>
      </c>
      <c r="F410" t="s">
        <v>1421</v>
      </c>
      <c r="I410" t="s">
        <v>1332</v>
      </c>
    </row>
    <row r="411" spans="1:9" x14ac:dyDescent="0.3">
      <c r="A411" t="s">
        <v>1770</v>
      </c>
      <c r="B411">
        <v>439</v>
      </c>
      <c r="C411" t="s">
        <v>1331</v>
      </c>
      <c r="E411">
        <v>4</v>
      </c>
      <c r="F411" t="s">
        <v>1421</v>
      </c>
      <c r="I411" t="s">
        <v>1332</v>
      </c>
    </row>
    <row r="412" spans="1:9" x14ac:dyDescent="0.3">
      <c r="A412" t="s">
        <v>1771</v>
      </c>
      <c r="B412">
        <v>440</v>
      </c>
      <c r="C412" t="s">
        <v>1331</v>
      </c>
      <c r="E412">
        <v>4</v>
      </c>
      <c r="F412" t="s">
        <v>1421</v>
      </c>
      <c r="I412" t="s">
        <v>1332</v>
      </c>
    </row>
    <row r="413" spans="1:9" x14ac:dyDescent="0.3">
      <c r="A413" t="s">
        <v>1772</v>
      </c>
      <c r="B413">
        <v>441</v>
      </c>
      <c r="C413" t="s">
        <v>1331</v>
      </c>
      <c r="E413">
        <v>4</v>
      </c>
      <c r="F413" t="s">
        <v>1421</v>
      </c>
      <c r="I413" t="s">
        <v>1332</v>
      </c>
    </row>
    <row r="414" spans="1:9" x14ac:dyDescent="0.3">
      <c r="A414" t="s">
        <v>1773</v>
      </c>
      <c r="B414">
        <v>442</v>
      </c>
      <c r="C414" t="s">
        <v>1322</v>
      </c>
      <c r="E414">
        <v>55</v>
      </c>
      <c r="F414" t="s">
        <v>1421</v>
      </c>
      <c r="I414" t="s">
        <v>1324</v>
      </c>
    </row>
    <row r="415" spans="1:9" x14ac:dyDescent="0.3">
      <c r="A415" t="s">
        <v>1774</v>
      </c>
      <c r="B415">
        <v>443</v>
      </c>
      <c r="C415" t="s">
        <v>1331</v>
      </c>
      <c r="E415">
        <v>11</v>
      </c>
      <c r="F415" t="s">
        <v>1659</v>
      </c>
      <c r="I415" t="s">
        <v>1332</v>
      </c>
    </row>
    <row r="416" spans="1:9" x14ac:dyDescent="0.3">
      <c r="A416" t="s">
        <v>1775</v>
      </c>
      <c r="B416">
        <v>444</v>
      </c>
      <c r="C416" t="s">
        <v>1331</v>
      </c>
      <c r="E416">
        <v>11</v>
      </c>
      <c r="F416" t="s">
        <v>1421</v>
      </c>
      <c r="I416" t="s">
        <v>1332</v>
      </c>
    </row>
    <row r="417" spans="1:9" x14ac:dyDescent="0.3">
      <c r="A417" t="s">
        <v>1776</v>
      </c>
      <c r="B417">
        <v>445</v>
      </c>
      <c r="C417" t="s">
        <v>1322</v>
      </c>
      <c r="E417">
        <v>2</v>
      </c>
      <c r="F417" t="s">
        <v>1659</v>
      </c>
      <c r="I417" t="s">
        <v>1324</v>
      </c>
    </row>
    <row r="418" spans="1:9" x14ac:dyDescent="0.3">
      <c r="A418" t="s">
        <v>1777</v>
      </c>
      <c r="B418">
        <v>446</v>
      </c>
      <c r="C418" t="s">
        <v>1322</v>
      </c>
      <c r="E418">
        <v>2</v>
      </c>
      <c r="F418" t="s">
        <v>1421</v>
      </c>
      <c r="I418" t="s">
        <v>1324</v>
      </c>
    </row>
    <row r="419" spans="1:9" x14ac:dyDescent="0.3">
      <c r="A419" t="s">
        <v>1778</v>
      </c>
      <c r="B419">
        <v>447</v>
      </c>
      <c r="C419" t="s">
        <v>1405</v>
      </c>
      <c r="D419">
        <v>2.92</v>
      </c>
      <c r="E419">
        <v>2.92</v>
      </c>
      <c r="F419" t="s">
        <v>1317</v>
      </c>
      <c r="G419" t="s">
        <v>1318</v>
      </c>
      <c r="H419" t="s">
        <v>1779</v>
      </c>
      <c r="I419" t="s">
        <v>1780</v>
      </c>
    </row>
    <row r="420" spans="1:9" x14ac:dyDescent="0.3">
      <c r="A420" t="s">
        <v>1781</v>
      </c>
      <c r="B420">
        <v>449</v>
      </c>
      <c r="C420" t="s">
        <v>1331</v>
      </c>
      <c r="E420">
        <v>10</v>
      </c>
      <c r="F420" t="s">
        <v>1421</v>
      </c>
      <c r="I420" t="s">
        <v>1332</v>
      </c>
    </row>
    <row r="421" spans="1:9" x14ac:dyDescent="0.3">
      <c r="A421" t="s">
        <v>1782</v>
      </c>
      <c r="B421">
        <v>450</v>
      </c>
      <c r="C421" t="s">
        <v>1322</v>
      </c>
      <c r="E421">
        <v>3</v>
      </c>
      <c r="F421" t="s">
        <v>1421</v>
      </c>
      <c r="I421" t="s">
        <v>1324</v>
      </c>
    </row>
    <row r="422" spans="1:9" x14ac:dyDescent="0.3">
      <c r="A422" t="s">
        <v>1783</v>
      </c>
      <c r="B422">
        <v>451</v>
      </c>
      <c r="C422" t="s">
        <v>1322</v>
      </c>
      <c r="E422">
        <v>3</v>
      </c>
      <c r="F422" t="s">
        <v>1421</v>
      </c>
      <c r="I422" t="s">
        <v>1324</v>
      </c>
    </row>
    <row r="423" spans="1:9" x14ac:dyDescent="0.3">
      <c r="A423" t="s">
        <v>1784</v>
      </c>
      <c r="B423">
        <v>452</v>
      </c>
      <c r="C423" t="s">
        <v>1322</v>
      </c>
      <c r="E423">
        <v>2</v>
      </c>
      <c r="F423" t="s">
        <v>1421</v>
      </c>
      <c r="I423" t="s">
        <v>1324</v>
      </c>
    </row>
    <row r="424" spans="1:9" x14ac:dyDescent="0.3">
      <c r="A424" t="s">
        <v>1785</v>
      </c>
      <c r="B424">
        <v>453</v>
      </c>
      <c r="C424" t="s">
        <v>1322</v>
      </c>
      <c r="E424">
        <v>2</v>
      </c>
      <c r="F424" t="s">
        <v>1421</v>
      </c>
      <c r="I424" t="s">
        <v>1324</v>
      </c>
    </row>
    <row r="425" spans="1:9" x14ac:dyDescent="0.3">
      <c r="A425" t="s">
        <v>1786</v>
      </c>
      <c r="B425">
        <v>454</v>
      </c>
      <c r="C425" t="s">
        <v>1331</v>
      </c>
      <c r="E425">
        <v>7</v>
      </c>
      <c r="F425" t="s">
        <v>1421</v>
      </c>
      <c r="I425" t="s">
        <v>1332</v>
      </c>
    </row>
    <row r="426" spans="1:9" x14ac:dyDescent="0.3">
      <c r="A426" t="s">
        <v>1787</v>
      </c>
      <c r="B426">
        <v>455</v>
      </c>
      <c r="C426" t="s">
        <v>1331</v>
      </c>
      <c r="E426">
        <v>6</v>
      </c>
      <c r="F426" t="s">
        <v>1421</v>
      </c>
      <c r="I426" t="s">
        <v>1332</v>
      </c>
    </row>
    <row r="427" spans="1:9" x14ac:dyDescent="0.3">
      <c r="A427" t="s">
        <v>1788</v>
      </c>
      <c r="B427">
        <v>456</v>
      </c>
      <c r="C427" t="s">
        <v>1331</v>
      </c>
      <c r="E427">
        <v>4</v>
      </c>
      <c r="F427" t="s">
        <v>1421</v>
      </c>
      <c r="I427" t="s">
        <v>1332</v>
      </c>
    </row>
    <row r="428" spans="1:9" x14ac:dyDescent="0.3">
      <c r="A428" t="s">
        <v>1789</v>
      </c>
      <c r="B428">
        <v>457</v>
      </c>
      <c r="C428" t="s">
        <v>1331</v>
      </c>
      <c r="E428">
        <v>12</v>
      </c>
      <c r="F428" t="s">
        <v>1421</v>
      </c>
      <c r="I428" t="s">
        <v>1332</v>
      </c>
    </row>
    <row r="429" spans="1:9" x14ac:dyDescent="0.3">
      <c r="A429" t="s">
        <v>1790</v>
      </c>
      <c r="B429">
        <v>458</v>
      </c>
      <c r="C429" t="s">
        <v>1331</v>
      </c>
      <c r="E429">
        <v>12</v>
      </c>
      <c r="F429" t="s">
        <v>1421</v>
      </c>
      <c r="I429" t="s">
        <v>1332</v>
      </c>
    </row>
    <row r="430" spans="1:9" x14ac:dyDescent="0.3">
      <c r="A430" t="s">
        <v>1791</v>
      </c>
      <c r="B430">
        <v>459</v>
      </c>
      <c r="C430" t="s">
        <v>1331</v>
      </c>
      <c r="E430">
        <v>4</v>
      </c>
      <c r="F430" t="s">
        <v>1421</v>
      </c>
      <c r="I430" t="s">
        <v>1332</v>
      </c>
    </row>
    <row r="431" spans="1:9" x14ac:dyDescent="0.3">
      <c r="A431" t="s">
        <v>1792</v>
      </c>
      <c r="B431">
        <v>460</v>
      </c>
      <c r="C431" t="s">
        <v>1322</v>
      </c>
      <c r="E431">
        <v>2</v>
      </c>
      <c r="F431" t="s">
        <v>1421</v>
      </c>
      <c r="I431" t="s">
        <v>1324</v>
      </c>
    </row>
    <row r="432" spans="1:9" x14ac:dyDescent="0.3">
      <c r="A432" t="s">
        <v>1793</v>
      </c>
      <c r="B432">
        <v>461</v>
      </c>
      <c r="C432" t="s">
        <v>1331</v>
      </c>
      <c r="E432">
        <v>10</v>
      </c>
      <c r="F432" t="s">
        <v>1421</v>
      </c>
      <c r="I432" t="s">
        <v>1332</v>
      </c>
    </row>
    <row r="433" spans="1:9" x14ac:dyDescent="0.3">
      <c r="A433" t="s">
        <v>1794</v>
      </c>
      <c r="B433">
        <v>462</v>
      </c>
      <c r="C433" t="s">
        <v>1322</v>
      </c>
      <c r="E433">
        <v>35.1</v>
      </c>
      <c r="F433" t="s">
        <v>1349</v>
      </c>
      <c r="I433" t="s">
        <v>1324</v>
      </c>
    </row>
    <row r="434" spans="1:9" x14ac:dyDescent="0.3">
      <c r="A434" t="s">
        <v>1795</v>
      </c>
      <c r="B434">
        <v>463</v>
      </c>
      <c r="C434" t="s">
        <v>1331</v>
      </c>
      <c r="E434">
        <v>22</v>
      </c>
      <c r="F434" t="s">
        <v>1349</v>
      </c>
      <c r="I434" t="s">
        <v>1332</v>
      </c>
    </row>
    <row r="435" spans="1:9" x14ac:dyDescent="0.3">
      <c r="A435" t="s">
        <v>1796</v>
      </c>
      <c r="B435">
        <v>464</v>
      </c>
      <c r="C435" t="s">
        <v>1331</v>
      </c>
      <c r="E435">
        <v>35.200000000000003</v>
      </c>
      <c r="F435" t="s">
        <v>1349</v>
      </c>
      <c r="I435" t="s">
        <v>1332</v>
      </c>
    </row>
    <row r="436" spans="1:9" x14ac:dyDescent="0.3">
      <c r="A436" t="s">
        <v>1797</v>
      </c>
      <c r="B436">
        <v>465</v>
      </c>
      <c r="C436" t="s">
        <v>1316</v>
      </c>
      <c r="D436">
        <v>6</v>
      </c>
      <c r="E436">
        <v>6</v>
      </c>
      <c r="F436" t="s">
        <v>61</v>
      </c>
      <c r="G436" t="s">
        <v>1798</v>
      </c>
      <c r="H436" t="s">
        <v>1799</v>
      </c>
      <c r="I436" t="s">
        <v>1800</v>
      </c>
    </row>
    <row r="437" spans="1:9" x14ac:dyDescent="0.3">
      <c r="A437" t="s">
        <v>1801</v>
      </c>
      <c r="B437">
        <v>467</v>
      </c>
      <c r="C437" t="s">
        <v>1322</v>
      </c>
      <c r="E437">
        <v>13</v>
      </c>
      <c r="F437" t="s">
        <v>1659</v>
      </c>
      <c r="I437" t="s">
        <v>1324</v>
      </c>
    </row>
    <row r="438" spans="1:9" x14ac:dyDescent="0.3">
      <c r="A438" t="s">
        <v>1802</v>
      </c>
      <c r="B438">
        <v>468</v>
      </c>
      <c r="C438" t="s">
        <v>1322</v>
      </c>
      <c r="E438">
        <v>13</v>
      </c>
      <c r="F438" t="s">
        <v>1421</v>
      </c>
      <c r="I438" t="s">
        <v>1324</v>
      </c>
    </row>
    <row r="439" spans="1:9" x14ac:dyDescent="0.3">
      <c r="A439" t="s">
        <v>1803</v>
      </c>
      <c r="B439">
        <v>469</v>
      </c>
      <c r="C439" t="s">
        <v>1322</v>
      </c>
      <c r="E439">
        <v>3</v>
      </c>
      <c r="F439" t="s">
        <v>1421</v>
      </c>
      <c r="I439" t="s">
        <v>1324</v>
      </c>
    </row>
    <row r="440" spans="1:9" x14ac:dyDescent="0.3">
      <c r="A440" t="s">
        <v>1804</v>
      </c>
      <c r="B440">
        <v>470</v>
      </c>
      <c r="C440" t="s">
        <v>1322</v>
      </c>
      <c r="E440">
        <v>2</v>
      </c>
      <c r="F440" t="s">
        <v>1659</v>
      </c>
      <c r="I440" t="s">
        <v>1324</v>
      </c>
    </row>
    <row r="441" spans="1:9" x14ac:dyDescent="0.3">
      <c r="A441" t="s">
        <v>1805</v>
      </c>
      <c r="B441">
        <v>471</v>
      </c>
      <c r="C441" t="s">
        <v>1322</v>
      </c>
      <c r="E441">
        <v>2</v>
      </c>
      <c r="F441" t="s">
        <v>1421</v>
      </c>
      <c r="I441" t="s">
        <v>1324</v>
      </c>
    </row>
    <row r="442" spans="1:9" x14ac:dyDescent="0.3">
      <c r="A442" t="s">
        <v>1806</v>
      </c>
      <c r="B442">
        <v>473</v>
      </c>
      <c r="C442" t="s">
        <v>1331</v>
      </c>
      <c r="E442">
        <v>1</v>
      </c>
      <c r="F442" t="s">
        <v>1421</v>
      </c>
      <c r="I442" t="s">
        <v>1332</v>
      </c>
    </row>
    <row r="443" spans="1:9" x14ac:dyDescent="0.3">
      <c r="A443" t="s">
        <v>1807</v>
      </c>
      <c r="B443">
        <v>474</v>
      </c>
      <c r="C443" t="s">
        <v>1331</v>
      </c>
      <c r="E443">
        <v>1</v>
      </c>
      <c r="F443" t="s">
        <v>1421</v>
      </c>
      <c r="I443" t="s">
        <v>1332</v>
      </c>
    </row>
    <row r="444" spans="1:9" x14ac:dyDescent="0.3">
      <c r="A444" t="s">
        <v>1808</v>
      </c>
      <c r="B444">
        <v>475</v>
      </c>
      <c r="C444" t="s">
        <v>1331</v>
      </c>
      <c r="E444">
        <v>1</v>
      </c>
      <c r="F444" t="s">
        <v>1421</v>
      </c>
      <c r="I444" t="s">
        <v>1332</v>
      </c>
    </row>
    <row r="445" spans="1:9" x14ac:dyDescent="0.3">
      <c r="A445" t="s">
        <v>1809</v>
      </c>
      <c r="B445">
        <v>476</v>
      </c>
      <c r="C445" t="s">
        <v>1331</v>
      </c>
      <c r="E445">
        <v>1</v>
      </c>
      <c r="F445" t="s">
        <v>1421</v>
      </c>
      <c r="I445" t="s">
        <v>1332</v>
      </c>
    </row>
    <row r="446" spans="1:9" x14ac:dyDescent="0.3">
      <c r="A446" t="s">
        <v>1810</v>
      </c>
      <c r="B446">
        <v>477</v>
      </c>
      <c r="C446" t="s">
        <v>1331</v>
      </c>
      <c r="E446">
        <v>1</v>
      </c>
      <c r="F446" t="s">
        <v>1421</v>
      </c>
      <c r="I446" t="s">
        <v>1332</v>
      </c>
    </row>
    <row r="447" spans="1:9" x14ac:dyDescent="0.3">
      <c r="A447" t="s">
        <v>1811</v>
      </c>
      <c r="B447">
        <v>478</v>
      </c>
      <c r="C447" t="s">
        <v>1322</v>
      </c>
      <c r="E447">
        <v>3</v>
      </c>
      <c r="F447" t="s">
        <v>1421</v>
      </c>
      <c r="I447" t="s">
        <v>1324</v>
      </c>
    </row>
    <row r="448" spans="1:9" x14ac:dyDescent="0.3">
      <c r="A448" t="s">
        <v>1812</v>
      </c>
      <c r="B448">
        <v>479</v>
      </c>
      <c r="C448" t="s">
        <v>1331</v>
      </c>
      <c r="E448">
        <v>1</v>
      </c>
      <c r="F448" t="s">
        <v>1421</v>
      </c>
      <c r="I448" t="s">
        <v>1332</v>
      </c>
    </row>
    <row r="449" spans="1:9" x14ac:dyDescent="0.3">
      <c r="A449" t="s">
        <v>1813</v>
      </c>
      <c r="B449">
        <v>480</v>
      </c>
      <c r="C449" t="s">
        <v>1331</v>
      </c>
      <c r="E449">
        <v>1</v>
      </c>
      <c r="F449" t="s">
        <v>1421</v>
      </c>
      <c r="I449" t="s">
        <v>1332</v>
      </c>
    </row>
    <row r="450" spans="1:9" x14ac:dyDescent="0.3">
      <c r="A450" t="s">
        <v>1814</v>
      </c>
      <c r="B450">
        <v>481</v>
      </c>
      <c r="C450" t="s">
        <v>1331</v>
      </c>
      <c r="E450">
        <v>5</v>
      </c>
      <c r="F450" t="s">
        <v>1421</v>
      </c>
      <c r="I450" t="s">
        <v>1332</v>
      </c>
    </row>
    <row r="451" spans="1:9" x14ac:dyDescent="0.3">
      <c r="A451" t="s">
        <v>1815</v>
      </c>
      <c r="B451">
        <v>482</v>
      </c>
      <c r="C451" t="s">
        <v>1322</v>
      </c>
      <c r="E451">
        <v>2</v>
      </c>
      <c r="F451" t="s">
        <v>1421</v>
      </c>
      <c r="I451" t="s">
        <v>1324</v>
      </c>
    </row>
    <row r="452" spans="1:9" x14ac:dyDescent="0.3">
      <c r="A452" t="s">
        <v>1816</v>
      </c>
      <c r="B452">
        <v>483</v>
      </c>
      <c r="C452" t="s">
        <v>1331</v>
      </c>
      <c r="E452">
        <v>1</v>
      </c>
      <c r="F452" t="s">
        <v>1421</v>
      </c>
      <c r="I452" t="s">
        <v>1332</v>
      </c>
    </row>
    <row r="453" spans="1:9" x14ac:dyDescent="0.3">
      <c r="A453" t="s">
        <v>1817</v>
      </c>
      <c r="B453">
        <v>484</v>
      </c>
      <c r="C453" t="s">
        <v>1331</v>
      </c>
      <c r="E453">
        <v>16</v>
      </c>
      <c r="F453" t="s">
        <v>1421</v>
      </c>
      <c r="I453" t="s">
        <v>1332</v>
      </c>
    </row>
    <row r="454" spans="1:9" x14ac:dyDescent="0.3">
      <c r="A454" t="s">
        <v>1818</v>
      </c>
      <c r="B454">
        <v>485</v>
      </c>
      <c r="C454" t="s">
        <v>1331</v>
      </c>
      <c r="E454">
        <v>1</v>
      </c>
      <c r="F454" t="s">
        <v>1421</v>
      </c>
      <c r="I454" t="s">
        <v>1332</v>
      </c>
    </row>
    <row r="455" spans="1:9" x14ac:dyDescent="0.3">
      <c r="A455" t="s">
        <v>1819</v>
      </c>
      <c r="B455">
        <v>486</v>
      </c>
      <c r="C455" t="s">
        <v>1331</v>
      </c>
      <c r="E455">
        <v>1</v>
      </c>
      <c r="F455" t="s">
        <v>1421</v>
      </c>
      <c r="I455" t="s">
        <v>1332</v>
      </c>
    </row>
    <row r="456" spans="1:9" x14ac:dyDescent="0.3">
      <c r="A456" t="s">
        <v>1820</v>
      </c>
      <c r="B456">
        <v>487</v>
      </c>
      <c r="C456" t="s">
        <v>1322</v>
      </c>
      <c r="E456">
        <v>3</v>
      </c>
      <c r="F456" t="s">
        <v>1421</v>
      </c>
      <c r="I456" t="s">
        <v>1324</v>
      </c>
    </row>
    <row r="457" spans="1:9" x14ac:dyDescent="0.3">
      <c r="A457" t="s">
        <v>1821</v>
      </c>
      <c r="B457">
        <v>488</v>
      </c>
      <c r="C457" t="s">
        <v>1322</v>
      </c>
      <c r="E457">
        <v>3</v>
      </c>
      <c r="F457" t="s">
        <v>1421</v>
      </c>
      <c r="I457" t="s">
        <v>1324</v>
      </c>
    </row>
    <row r="458" spans="1:9" x14ac:dyDescent="0.3">
      <c r="A458" t="s">
        <v>1822</v>
      </c>
      <c r="B458">
        <v>489</v>
      </c>
      <c r="C458" t="s">
        <v>1331</v>
      </c>
      <c r="E458">
        <v>1</v>
      </c>
      <c r="F458" t="s">
        <v>1421</v>
      </c>
      <c r="I458" t="s">
        <v>1332</v>
      </c>
    </row>
    <row r="459" spans="1:9" x14ac:dyDescent="0.3">
      <c r="A459" t="s">
        <v>1823</v>
      </c>
      <c r="B459">
        <v>490</v>
      </c>
      <c r="C459" t="s">
        <v>1331</v>
      </c>
      <c r="E459">
        <v>1</v>
      </c>
      <c r="F459" t="s">
        <v>1421</v>
      </c>
      <c r="I459" t="s">
        <v>1332</v>
      </c>
    </row>
    <row r="460" spans="1:9" x14ac:dyDescent="0.3">
      <c r="A460" t="s">
        <v>1824</v>
      </c>
      <c r="B460">
        <v>491</v>
      </c>
      <c r="C460" t="s">
        <v>1331</v>
      </c>
      <c r="E460">
        <v>1</v>
      </c>
      <c r="F460" t="s">
        <v>1421</v>
      </c>
      <c r="I460" t="s">
        <v>1332</v>
      </c>
    </row>
    <row r="461" spans="1:9" x14ac:dyDescent="0.3">
      <c r="A461" t="s">
        <v>1825</v>
      </c>
      <c r="B461">
        <v>492</v>
      </c>
      <c r="C461" t="s">
        <v>1331</v>
      </c>
      <c r="E461">
        <v>1</v>
      </c>
      <c r="F461" t="s">
        <v>1421</v>
      </c>
      <c r="I461" t="s">
        <v>1332</v>
      </c>
    </row>
    <row r="462" spans="1:9" x14ac:dyDescent="0.3">
      <c r="A462" t="s">
        <v>1826</v>
      </c>
      <c r="B462">
        <v>493</v>
      </c>
      <c r="C462" t="s">
        <v>1331</v>
      </c>
      <c r="E462">
        <v>1</v>
      </c>
      <c r="F462" t="s">
        <v>1421</v>
      </c>
      <c r="I462" t="s">
        <v>1332</v>
      </c>
    </row>
    <row r="463" spans="1:9" x14ac:dyDescent="0.3">
      <c r="A463" t="s">
        <v>1827</v>
      </c>
      <c r="B463">
        <v>494</v>
      </c>
      <c r="C463" t="s">
        <v>1331</v>
      </c>
      <c r="E463">
        <v>1</v>
      </c>
      <c r="F463" t="s">
        <v>1421</v>
      </c>
      <c r="I463" t="s">
        <v>1332</v>
      </c>
    </row>
    <row r="464" spans="1:9" x14ac:dyDescent="0.3">
      <c r="A464" t="s">
        <v>1828</v>
      </c>
      <c r="B464">
        <v>495</v>
      </c>
      <c r="C464" t="s">
        <v>1322</v>
      </c>
      <c r="E464">
        <v>3</v>
      </c>
      <c r="F464" t="s">
        <v>1421</v>
      </c>
      <c r="I464" t="s">
        <v>1324</v>
      </c>
    </row>
    <row r="465" spans="1:9" x14ac:dyDescent="0.3">
      <c r="A465" t="s">
        <v>1829</v>
      </c>
      <c r="B465">
        <v>496</v>
      </c>
      <c r="C465" t="s">
        <v>1331</v>
      </c>
      <c r="E465">
        <v>1</v>
      </c>
      <c r="F465" t="s">
        <v>1421</v>
      </c>
      <c r="I465" t="s">
        <v>1332</v>
      </c>
    </row>
    <row r="466" spans="1:9" x14ac:dyDescent="0.3">
      <c r="A466" t="s">
        <v>1830</v>
      </c>
      <c r="B466">
        <v>497</v>
      </c>
      <c r="C466" t="s">
        <v>1331</v>
      </c>
      <c r="E466">
        <v>1</v>
      </c>
      <c r="F466" t="s">
        <v>1421</v>
      </c>
      <c r="I466" t="s">
        <v>1332</v>
      </c>
    </row>
    <row r="467" spans="1:9" x14ac:dyDescent="0.3">
      <c r="A467" t="s">
        <v>1831</v>
      </c>
      <c r="B467">
        <v>498</v>
      </c>
      <c r="C467" t="s">
        <v>1331</v>
      </c>
      <c r="E467">
        <v>7</v>
      </c>
      <c r="F467" t="s">
        <v>1421</v>
      </c>
      <c r="I467" t="s">
        <v>1332</v>
      </c>
    </row>
    <row r="468" spans="1:9" x14ac:dyDescent="0.3">
      <c r="A468" t="s">
        <v>1832</v>
      </c>
      <c r="B468">
        <v>499</v>
      </c>
      <c r="C468" t="s">
        <v>1331</v>
      </c>
      <c r="E468">
        <v>1</v>
      </c>
      <c r="F468" t="s">
        <v>1421</v>
      </c>
      <c r="I468" t="s">
        <v>1332</v>
      </c>
    </row>
    <row r="469" spans="1:9" x14ac:dyDescent="0.3">
      <c r="A469" t="s">
        <v>1833</v>
      </c>
      <c r="B469">
        <v>500</v>
      </c>
      <c r="C469" t="s">
        <v>1331</v>
      </c>
      <c r="E469">
        <v>1</v>
      </c>
      <c r="F469" t="s">
        <v>1421</v>
      </c>
      <c r="I469" t="s">
        <v>1332</v>
      </c>
    </row>
    <row r="470" spans="1:9" x14ac:dyDescent="0.3">
      <c r="A470" t="s">
        <v>1834</v>
      </c>
      <c r="B470">
        <v>501</v>
      </c>
      <c r="C470" t="s">
        <v>1331</v>
      </c>
      <c r="E470">
        <v>1</v>
      </c>
      <c r="F470" t="s">
        <v>1421</v>
      </c>
      <c r="I470" t="s">
        <v>1332</v>
      </c>
    </row>
    <row r="471" spans="1:9" x14ac:dyDescent="0.3">
      <c r="A471" t="s">
        <v>1835</v>
      </c>
      <c r="B471">
        <v>502</v>
      </c>
      <c r="C471" t="s">
        <v>1331</v>
      </c>
      <c r="E471">
        <v>1</v>
      </c>
      <c r="F471" t="s">
        <v>1421</v>
      </c>
      <c r="I471" t="s">
        <v>1332</v>
      </c>
    </row>
    <row r="472" spans="1:9" x14ac:dyDescent="0.3">
      <c r="A472" t="s">
        <v>1836</v>
      </c>
      <c r="B472">
        <v>503</v>
      </c>
      <c r="C472" t="s">
        <v>1331</v>
      </c>
      <c r="E472">
        <v>1</v>
      </c>
      <c r="F472" t="s">
        <v>1421</v>
      </c>
      <c r="I472" t="s">
        <v>1332</v>
      </c>
    </row>
    <row r="473" spans="1:9" x14ac:dyDescent="0.3">
      <c r="A473" t="s">
        <v>1837</v>
      </c>
      <c r="B473">
        <v>504</v>
      </c>
      <c r="C473" t="s">
        <v>1331</v>
      </c>
      <c r="E473">
        <v>1</v>
      </c>
      <c r="F473" t="s">
        <v>1421</v>
      </c>
      <c r="I473" t="s">
        <v>1332</v>
      </c>
    </row>
    <row r="474" spans="1:9" x14ac:dyDescent="0.3">
      <c r="A474" t="s">
        <v>1838</v>
      </c>
      <c r="B474">
        <v>505</v>
      </c>
      <c r="C474" t="s">
        <v>1331</v>
      </c>
      <c r="E474">
        <v>7</v>
      </c>
      <c r="F474" t="s">
        <v>1421</v>
      </c>
      <c r="I474" t="s">
        <v>1332</v>
      </c>
    </row>
    <row r="475" spans="1:9" x14ac:dyDescent="0.3">
      <c r="A475" t="s">
        <v>1839</v>
      </c>
      <c r="B475">
        <v>506</v>
      </c>
      <c r="C475" t="s">
        <v>1331</v>
      </c>
      <c r="E475">
        <v>6</v>
      </c>
      <c r="F475" t="s">
        <v>1421</v>
      </c>
      <c r="I475" t="s">
        <v>1332</v>
      </c>
    </row>
    <row r="476" spans="1:9" x14ac:dyDescent="0.3">
      <c r="A476" t="s">
        <v>1840</v>
      </c>
      <c r="B476">
        <v>507</v>
      </c>
      <c r="C476" t="s">
        <v>1322</v>
      </c>
      <c r="E476">
        <v>15</v>
      </c>
      <c r="F476" t="s">
        <v>1421</v>
      </c>
      <c r="I476" t="s">
        <v>1324</v>
      </c>
    </row>
    <row r="477" spans="1:9" x14ac:dyDescent="0.3">
      <c r="A477" t="s">
        <v>1841</v>
      </c>
      <c r="B477">
        <v>508</v>
      </c>
      <c r="C477" t="s">
        <v>1331</v>
      </c>
      <c r="E477">
        <v>1</v>
      </c>
      <c r="F477" t="s">
        <v>1421</v>
      </c>
      <c r="I477" t="s">
        <v>1332</v>
      </c>
    </row>
    <row r="478" spans="1:9" x14ac:dyDescent="0.3">
      <c r="A478" t="s">
        <v>1842</v>
      </c>
      <c r="B478">
        <v>509</v>
      </c>
      <c r="C478" t="s">
        <v>1331</v>
      </c>
      <c r="E478">
        <v>1</v>
      </c>
      <c r="F478" t="s">
        <v>1421</v>
      </c>
      <c r="I478" t="s">
        <v>1332</v>
      </c>
    </row>
    <row r="479" spans="1:9" x14ac:dyDescent="0.3">
      <c r="A479" t="s">
        <v>1843</v>
      </c>
      <c r="B479">
        <v>510</v>
      </c>
      <c r="C479" t="s">
        <v>1331</v>
      </c>
      <c r="E479">
        <v>1</v>
      </c>
      <c r="F479" t="s">
        <v>1421</v>
      </c>
      <c r="I479" t="s">
        <v>1332</v>
      </c>
    </row>
    <row r="480" spans="1:9" x14ac:dyDescent="0.3">
      <c r="A480" t="s">
        <v>1844</v>
      </c>
      <c r="B480">
        <v>511</v>
      </c>
      <c r="C480" t="s">
        <v>1322</v>
      </c>
      <c r="E480">
        <v>2</v>
      </c>
      <c r="F480" t="s">
        <v>1421</v>
      </c>
      <c r="I480" t="s">
        <v>1324</v>
      </c>
    </row>
    <row r="481" spans="1:9" x14ac:dyDescent="0.3">
      <c r="A481" t="s">
        <v>1845</v>
      </c>
      <c r="B481">
        <v>512</v>
      </c>
      <c r="C481" t="s">
        <v>1331</v>
      </c>
      <c r="E481">
        <v>1</v>
      </c>
      <c r="F481" t="s">
        <v>1421</v>
      </c>
      <c r="I481" t="s">
        <v>1332</v>
      </c>
    </row>
    <row r="482" spans="1:9" x14ac:dyDescent="0.3">
      <c r="A482" t="s">
        <v>1846</v>
      </c>
      <c r="B482">
        <v>513</v>
      </c>
      <c r="C482" t="s">
        <v>1331</v>
      </c>
      <c r="E482">
        <v>12</v>
      </c>
      <c r="F482" t="s">
        <v>1421</v>
      </c>
      <c r="I482" t="s">
        <v>1332</v>
      </c>
    </row>
    <row r="483" spans="1:9" x14ac:dyDescent="0.3">
      <c r="A483" t="s">
        <v>1847</v>
      </c>
      <c r="B483">
        <v>514</v>
      </c>
      <c r="C483" t="s">
        <v>1331</v>
      </c>
      <c r="E483">
        <v>10</v>
      </c>
      <c r="F483" t="s">
        <v>1421</v>
      </c>
      <c r="I483" t="s">
        <v>1332</v>
      </c>
    </row>
    <row r="484" spans="1:9" x14ac:dyDescent="0.3">
      <c r="A484" t="s">
        <v>1848</v>
      </c>
      <c r="B484">
        <v>515</v>
      </c>
      <c r="C484" t="s">
        <v>1322</v>
      </c>
      <c r="E484">
        <v>26</v>
      </c>
      <c r="F484" t="s">
        <v>1421</v>
      </c>
      <c r="I484" t="s">
        <v>1324</v>
      </c>
    </row>
    <row r="485" spans="1:9" x14ac:dyDescent="0.3">
      <c r="A485" t="s">
        <v>1849</v>
      </c>
      <c r="B485">
        <v>516</v>
      </c>
      <c r="C485" t="s">
        <v>1331</v>
      </c>
      <c r="E485">
        <v>1</v>
      </c>
      <c r="F485" t="s">
        <v>1421</v>
      </c>
      <c r="I485" t="s">
        <v>1332</v>
      </c>
    </row>
    <row r="486" spans="1:9" x14ac:dyDescent="0.3">
      <c r="A486" t="s">
        <v>1850</v>
      </c>
      <c r="B486">
        <v>517</v>
      </c>
      <c r="C486" t="s">
        <v>1331</v>
      </c>
      <c r="E486">
        <v>1</v>
      </c>
      <c r="F486" t="s">
        <v>1421</v>
      </c>
      <c r="I486" t="s">
        <v>1332</v>
      </c>
    </row>
    <row r="487" spans="1:9" x14ac:dyDescent="0.3">
      <c r="A487" t="s">
        <v>1851</v>
      </c>
      <c r="B487">
        <v>518</v>
      </c>
      <c r="C487" t="s">
        <v>1331</v>
      </c>
      <c r="E487">
        <v>1</v>
      </c>
      <c r="F487" t="s">
        <v>1421</v>
      </c>
      <c r="I487" t="s">
        <v>1332</v>
      </c>
    </row>
    <row r="488" spans="1:9" x14ac:dyDescent="0.3">
      <c r="A488" t="s">
        <v>1852</v>
      </c>
      <c r="B488">
        <v>519</v>
      </c>
      <c r="C488" t="s">
        <v>1331</v>
      </c>
      <c r="E488">
        <v>1</v>
      </c>
      <c r="F488" t="s">
        <v>1421</v>
      </c>
      <c r="I488" t="s">
        <v>1332</v>
      </c>
    </row>
    <row r="489" spans="1:9" x14ac:dyDescent="0.3">
      <c r="A489" t="s">
        <v>1853</v>
      </c>
      <c r="B489">
        <v>520</v>
      </c>
      <c r="C489" t="s">
        <v>1331</v>
      </c>
      <c r="E489">
        <v>1</v>
      </c>
      <c r="F489" t="s">
        <v>1421</v>
      </c>
      <c r="I489" t="s">
        <v>1332</v>
      </c>
    </row>
    <row r="490" spans="1:9" x14ac:dyDescent="0.3">
      <c r="A490" t="s">
        <v>1854</v>
      </c>
      <c r="B490">
        <v>521</v>
      </c>
      <c r="C490" t="s">
        <v>1322</v>
      </c>
      <c r="E490">
        <v>2</v>
      </c>
      <c r="F490" t="s">
        <v>1421</v>
      </c>
      <c r="I490" t="s">
        <v>1324</v>
      </c>
    </row>
    <row r="491" spans="1:9" x14ac:dyDescent="0.3">
      <c r="A491" t="s">
        <v>1855</v>
      </c>
      <c r="B491">
        <v>522</v>
      </c>
      <c r="C491" t="s">
        <v>1331</v>
      </c>
      <c r="E491">
        <v>16</v>
      </c>
      <c r="F491" t="s">
        <v>1421</v>
      </c>
      <c r="I491" t="s">
        <v>1332</v>
      </c>
    </row>
    <row r="492" spans="1:9" x14ac:dyDescent="0.3">
      <c r="A492" t="s">
        <v>1856</v>
      </c>
      <c r="B492">
        <v>523</v>
      </c>
      <c r="C492" t="s">
        <v>1331</v>
      </c>
      <c r="E492">
        <v>6</v>
      </c>
      <c r="F492" t="s">
        <v>1421</v>
      </c>
      <c r="I492" t="s">
        <v>1332</v>
      </c>
    </row>
    <row r="493" spans="1:9" x14ac:dyDescent="0.3">
      <c r="A493" t="s">
        <v>1857</v>
      </c>
      <c r="B493">
        <v>524</v>
      </c>
      <c r="C493" t="s">
        <v>1322</v>
      </c>
      <c r="E493">
        <v>27</v>
      </c>
      <c r="F493" t="s">
        <v>1421</v>
      </c>
      <c r="I493" t="s">
        <v>1324</v>
      </c>
    </row>
    <row r="494" spans="1:9" x14ac:dyDescent="0.3">
      <c r="A494" t="s">
        <v>1858</v>
      </c>
      <c r="B494">
        <v>525</v>
      </c>
      <c r="C494" t="s">
        <v>1331</v>
      </c>
      <c r="E494">
        <v>1</v>
      </c>
      <c r="F494" t="s">
        <v>1421</v>
      </c>
      <c r="I494" t="s">
        <v>1332</v>
      </c>
    </row>
    <row r="495" spans="1:9" x14ac:dyDescent="0.3">
      <c r="A495" t="s">
        <v>1859</v>
      </c>
      <c r="B495">
        <v>526</v>
      </c>
      <c r="C495" t="s">
        <v>1331</v>
      </c>
      <c r="E495">
        <v>1</v>
      </c>
      <c r="F495" t="s">
        <v>1421</v>
      </c>
      <c r="I495" t="s">
        <v>1332</v>
      </c>
    </row>
    <row r="496" spans="1:9" x14ac:dyDescent="0.3">
      <c r="A496" t="s">
        <v>1860</v>
      </c>
      <c r="B496">
        <v>527</v>
      </c>
      <c r="C496" t="s">
        <v>1331</v>
      </c>
      <c r="E496">
        <v>1</v>
      </c>
      <c r="F496" t="s">
        <v>1421</v>
      </c>
      <c r="I496" t="s">
        <v>1332</v>
      </c>
    </row>
    <row r="497" spans="1:9" x14ac:dyDescent="0.3">
      <c r="A497" t="s">
        <v>1861</v>
      </c>
      <c r="B497">
        <v>528</v>
      </c>
      <c r="C497" t="s">
        <v>1331</v>
      </c>
      <c r="E497">
        <v>1</v>
      </c>
      <c r="F497" t="s">
        <v>1421</v>
      </c>
      <c r="I497" t="s">
        <v>1332</v>
      </c>
    </row>
    <row r="498" spans="1:9" x14ac:dyDescent="0.3">
      <c r="A498" t="s">
        <v>1862</v>
      </c>
      <c r="B498">
        <v>529</v>
      </c>
      <c r="C498" t="s">
        <v>1331</v>
      </c>
      <c r="E498">
        <v>0.5</v>
      </c>
      <c r="F498" t="s">
        <v>61</v>
      </c>
      <c r="I498" t="s">
        <v>1332</v>
      </c>
    </row>
    <row r="499" spans="1:9" x14ac:dyDescent="0.3">
      <c r="A499" t="s">
        <v>1863</v>
      </c>
      <c r="B499">
        <v>530</v>
      </c>
      <c r="C499" t="s">
        <v>1331</v>
      </c>
      <c r="E499">
        <v>1</v>
      </c>
      <c r="F499" t="s">
        <v>1421</v>
      </c>
      <c r="I499" t="s">
        <v>1332</v>
      </c>
    </row>
    <row r="500" spans="1:9" x14ac:dyDescent="0.3">
      <c r="A500" t="s">
        <v>1864</v>
      </c>
      <c r="B500">
        <v>531</v>
      </c>
      <c r="C500" t="s">
        <v>1331</v>
      </c>
      <c r="E500">
        <v>1</v>
      </c>
      <c r="F500" t="s">
        <v>1421</v>
      </c>
      <c r="I500" t="s">
        <v>1332</v>
      </c>
    </row>
    <row r="501" spans="1:9" x14ac:dyDescent="0.3">
      <c r="A501" t="s">
        <v>1865</v>
      </c>
      <c r="B501">
        <v>532</v>
      </c>
      <c r="C501" t="s">
        <v>1331</v>
      </c>
      <c r="E501">
        <v>1</v>
      </c>
      <c r="F501" t="s">
        <v>1421</v>
      </c>
      <c r="I501" t="s">
        <v>1332</v>
      </c>
    </row>
    <row r="502" spans="1:9" x14ac:dyDescent="0.3">
      <c r="A502" t="s">
        <v>1866</v>
      </c>
      <c r="B502">
        <v>533</v>
      </c>
      <c r="C502" t="s">
        <v>1331</v>
      </c>
      <c r="E502">
        <v>1</v>
      </c>
      <c r="F502" t="s">
        <v>1421</v>
      </c>
      <c r="I502" t="s">
        <v>1332</v>
      </c>
    </row>
    <row r="503" spans="1:9" x14ac:dyDescent="0.3">
      <c r="A503" t="s">
        <v>1867</v>
      </c>
      <c r="B503">
        <v>534</v>
      </c>
      <c r="C503" t="s">
        <v>1331</v>
      </c>
      <c r="E503">
        <v>1</v>
      </c>
      <c r="F503" t="s">
        <v>1421</v>
      </c>
      <c r="I503" t="s">
        <v>1332</v>
      </c>
    </row>
    <row r="504" spans="1:9" x14ac:dyDescent="0.3">
      <c r="A504" t="s">
        <v>1868</v>
      </c>
      <c r="B504">
        <v>535</v>
      </c>
      <c r="C504" t="s">
        <v>1331</v>
      </c>
      <c r="E504">
        <v>4</v>
      </c>
      <c r="F504" t="s">
        <v>1421</v>
      </c>
      <c r="I504" t="s">
        <v>1332</v>
      </c>
    </row>
    <row r="505" spans="1:9" x14ac:dyDescent="0.3">
      <c r="A505" t="s">
        <v>1869</v>
      </c>
      <c r="B505">
        <v>536</v>
      </c>
      <c r="C505" t="s">
        <v>1331</v>
      </c>
      <c r="E505">
        <v>20</v>
      </c>
      <c r="F505" t="s">
        <v>1421</v>
      </c>
      <c r="I505" t="s">
        <v>1332</v>
      </c>
    </row>
    <row r="506" spans="1:9" x14ac:dyDescent="0.3">
      <c r="A506" t="s">
        <v>1870</v>
      </c>
      <c r="B506">
        <v>537</v>
      </c>
      <c r="C506" t="s">
        <v>1331</v>
      </c>
      <c r="E506">
        <v>6</v>
      </c>
      <c r="F506" t="s">
        <v>1421</v>
      </c>
      <c r="I506" t="s">
        <v>1332</v>
      </c>
    </row>
    <row r="507" spans="1:9" x14ac:dyDescent="0.3">
      <c r="A507" t="s">
        <v>1871</v>
      </c>
      <c r="B507">
        <v>538</v>
      </c>
      <c r="C507" t="s">
        <v>1322</v>
      </c>
      <c r="E507">
        <v>33</v>
      </c>
      <c r="F507" t="s">
        <v>1421</v>
      </c>
      <c r="I507" t="s">
        <v>1324</v>
      </c>
    </row>
    <row r="508" spans="1:9" x14ac:dyDescent="0.3">
      <c r="A508" t="s">
        <v>1872</v>
      </c>
      <c r="B508">
        <v>539</v>
      </c>
      <c r="C508" t="s">
        <v>1331</v>
      </c>
      <c r="E508">
        <v>1</v>
      </c>
      <c r="F508" t="s">
        <v>1421</v>
      </c>
      <c r="I508" t="s">
        <v>1332</v>
      </c>
    </row>
    <row r="509" spans="1:9" x14ac:dyDescent="0.3">
      <c r="A509" t="s">
        <v>1873</v>
      </c>
      <c r="B509">
        <v>540</v>
      </c>
      <c r="C509" t="s">
        <v>1331</v>
      </c>
      <c r="E509">
        <v>1</v>
      </c>
      <c r="F509" t="s">
        <v>1421</v>
      </c>
      <c r="I509" t="s">
        <v>1332</v>
      </c>
    </row>
    <row r="510" spans="1:9" x14ac:dyDescent="0.3">
      <c r="A510" t="s">
        <v>1874</v>
      </c>
      <c r="B510">
        <v>541</v>
      </c>
      <c r="C510" t="s">
        <v>1331</v>
      </c>
      <c r="E510">
        <v>1</v>
      </c>
      <c r="F510" t="s">
        <v>1421</v>
      </c>
      <c r="I510" t="s">
        <v>1332</v>
      </c>
    </row>
    <row r="511" spans="1:9" x14ac:dyDescent="0.3">
      <c r="A511" t="s">
        <v>1875</v>
      </c>
      <c r="B511">
        <v>542</v>
      </c>
      <c r="C511" t="s">
        <v>1331</v>
      </c>
      <c r="E511">
        <v>1</v>
      </c>
      <c r="F511" t="s">
        <v>1421</v>
      </c>
      <c r="I511" t="s">
        <v>1332</v>
      </c>
    </row>
    <row r="512" spans="1:9" x14ac:dyDescent="0.3">
      <c r="A512" t="s">
        <v>1876</v>
      </c>
      <c r="B512">
        <v>543</v>
      </c>
      <c r="C512" t="s">
        <v>1331</v>
      </c>
      <c r="E512">
        <v>0.5</v>
      </c>
      <c r="F512" t="s">
        <v>61</v>
      </c>
      <c r="I512" t="s">
        <v>1332</v>
      </c>
    </row>
    <row r="513" spans="1:9" x14ac:dyDescent="0.3">
      <c r="A513" t="s">
        <v>1877</v>
      </c>
      <c r="B513">
        <v>544</v>
      </c>
      <c r="C513" t="s">
        <v>1331</v>
      </c>
      <c r="E513">
        <v>1</v>
      </c>
      <c r="F513" t="s">
        <v>1421</v>
      </c>
      <c r="I513" t="s">
        <v>1332</v>
      </c>
    </row>
    <row r="514" spans="1:9" x14ac:dyDescent="0.3">
      <c r="A514" t="s">
        <v>1878</v>
      </c>
      <c r="B514">
        <v>545</v>
      </c>
      <c r="C514" t="s">
        <v>1331</v>
      </c>
      <c r="E514">
        <v>1</v>
      </c>
      <c r="F514" t="s">
        <v>1421</v>
      </c>
      <c r="I514" t="s">
        <v>1332</v>
      </c>
    </row>
    <row r="515" spans="1:9" x14ac:dyDescent="0.3">
      <c r="A515" t="s">
        <v>1879</v>
      </c>
      <c r="B515">
        <v>546</v>
      </c>
      <c r="C515" t="s">
        <v>1331</v>
      </c>
      <c r="E515">
        <v>1</v>
      </c>
      <c r="F515" t="s">
        <v>1421</v>
      </c>
      <c r="I515" t="s">
        <v>1332</v>
      </c>
    </row>
    <row r="516" spans="1:9" x14ac:dyDescent="0.3">
      <c r="A516" t="s">
        <v>1880</v>
      </c>
      <c r="B516">
        <v>547</v>
      </c>
      <c r="C516" t="s">
        <v>1331</v>
      </c>
      <c r="E516">
        <v>1</v>
      </c>
      <c r="F516" t="s">
        <v>1421</v>
      </c>
      <c r="I516" t="s">
        <v>1332</v>
      </c>
    </row>
    <row r="517" spans="1:9" x14ac:dyDescent="0.3">
      <c r="A517" t="s">
        <v>1881</v>
      </c>
      <c r="B517">
        <v>548</v>
      </c>
      <c r="C517" t="s">
        <v>1331</v>
      </c>
      <c r="E517">
        <v>6</v>
      </c>
      <c r="F517" t="s">
        <v>1421</v>
      </c>
      <c r="I517" t="s">
        <v>1332</v>
      </c>
    </row>
    <row r="518" spans="1:9" x14ac:dyDescent="0.3">
      <c r="A518" t="s">
        <v>1882</v>
      </c>
      <c r="B518">
        <v>549</v>
      </c>
      <c r="C518" t="s">
        <v>1331</v>
      </c>
      <c r="E518">
        <v>11</v>
      </c>
      <c r="F518" t="s">
        <v>1421</v>
      </c>
      <c r="I518" t="s">
        <v>1332</v>
      </c>
    </row>
    <row r="519" spans="1:9" x14ac:dyDescent="0.3">
      <c r="A519" t="s">
        <v>1883</v>
      </c>
      <c r="B519">
        <v>550</v>
      </c>
      <c r="C519" t="s">
        <v>1331</v>
      </c>
      <c r="E519">
        <v>19</v>
      </c>
      <c r="F519" t="s">
        <v>1421</v>
      </c>
      <c r="I519" t="s">
        <v>1332</v>
      </c>
    </row>
    <row r="520" spans="1:9" x14ac:dyDescent="0.3">
      <c r="A520" t="s">
        <v>1884</v>
      </c>
      <c r="B520">
        <v>551</v>
      </c>
      <c r="C520" t="s">
        <v>1331</v>
      </c>
      <c r="E520">
        <v>1</v>
      </c>
      <c r="F520" t="s">
        <v>1421</v>
      </c>
      <c r="I520" t="s">
        <v>1332</v>
      </c>
    </row>
    <row r="521" spans="1:9" x14ac:dyDescent="0.3">
      <c r="A521" t="s">
        <v>1885</v>
      </c>
      <c r="B521">
        <v>552</v>
      </c>
      <c r="C521" t="s">
        <v>1331</v>
      </c>
      <c r="E521">
        <v>1</v>
      </c>
      <c r="F521" t="s">
        <v>1421</v>
      </c>
      <c r="I521" t="s">
        <v>1332</v>
      </c>
    </row>
    <row r="522" spans="1:9" x14ac:dyDescent="0.3">
      <c r="A522" t="s">
        <v>1886</v>
      </c>
      <c r="B522">
        <v>553</v>
      </c>
      <c r="C522" t="s">
        <v>1331</v>
      </c>
      <c r="E522">
        <v>1</v>
      </c>
      <c r="F522" t="s">
        <v>1421</v>
      </c>
      <c r="I522" t="s">
        <v>1332</v>
      </c>
    </row>
    <row r="523" spans="1:9" x14ac:dyDescent="0.3">
      <c r="A523" t="s">
        <v>1887</v>
      </c>
      <c r="B523">
        <v>554</v>
      </c>
      <c r="C523" t="s">
        <v>1331</v>
      </c>
      <c r="E523">
        <v>1</v>
      </c>
      <c r="F523" t="s">
        <v>1421</v>
      </c>
      <c r="I523" t="s">
        <v>1332</v>
      </c>
    </row>
    <row r="524" spans="1:9" x14ac:dyDescent="0.3">
      <c r="A524" t="s">
        <v>1888</v>
      </c>
      <c r="B524">
        <v>555</v>
      </c>
      <c r="C524" t="s">
        <v>1331</v>
      </c>
      <c r="E524">
        <v>0.5</v>
      </c>
      <c r="F524" t="s">
        <v>61</v>
      </c>
      <c r="I524" t="s">
        <v>1332</v>
      </c>
    </row>
    <row r="525" spans="1:9" x14ac:dyDescent="0.3">
      <c r="A525" t="s">
        <v>1889</v>
      </c>
      <c r="B525">
        <v>556</v>
      </c>
      <c r="C525" t="s">
        <v>1331</v>
      </c>
      <c r="E525">
        <v>1</v>
      </c>
      <c r="F525" t="s">
        <v>1421</v>
      </c>
      <c r="I525" t="s">
        <v>1332</v>
      </c>
    </row>
    <row r="526" spans="1:9" x14ac:dyDescent="0.3">
      <c r="A526" t="s">
        <v>1890</v>
      </c>
      <c r="B526">
        <v>557</v>
      </c>
      <c r="C526" t="s">
        <v>1331</v>
      </c>
      <c r="E526">
        <v>1</v>
      </c>
      <c r="F526" t="s">
        <v>1421</v>
      </c>
      <c r="I526" t="s">
        <v>1332</v>
      </c>
    </row>
    <row r="527" spans="1:9" x14ac:dyDescent="0.3">
      <c r="A527" t="s">
        <v>1891</v>
      </c>
      <c r="B527">
        <v>558</v>
      </c>
      <c r="C527" t="s">
        <v>1331</v>
      </c>
      <c r="E527">
        <v>1</v>
      </c>
      <c r="F527" t="s">
        <v>1421</v>
      </c>
      <c r="I527" t="s">
        <v>1332</v>
      </c>
    </row>
    <row r="528" spans="1:9" x14ac:dyDescent="0.3">
      <c r="A528" t="s">
        <v>1892</v>
      </c>
      <c r="B528">
        <v>559</v>
      </c>
      <c r="C528" t="s">
        <v>1322</v>
      </c>
      <c r="E528">
        <v>2</v>
      </c>
      <c r="F528" t="s">
        <v>1421</v>
      </c>
      <c r="I528" t="s">
        <v>1324</v>
      </c>
    </row>
    <row r="529" spans="1:9" x14ac:dyDescent="0.3">
      <c r="A529" t="s">
        <v>1893</v>
      </c>
      <c r="B529">
        <v>560</v>
      </c>
      <c r="C529" t="s">
        <v>1331</v>
      </c>
      <c r="E529">
        <v>1</v>
      </c>
      <c r="F529" t="s">
        <v>1421</v>
      </c>
      <c r="I529" t="s">
        <v>1332</v>
      </c>
    </row>
    <row r="530" spans="1:9" x14ac:dyDescent="0.3">
      <c r="A530" t="s">
        <v>1894</v>
      </c>
      <c r="B530">
        <v>561</v>
      </c>
      <c r="C530" t="s">
        <v>1331</v>
      </c>
      <c r="E530">
        <v>1</v>
      </c>
      <c r="F530" t="s">
        <v>1421</v>
      </c>
      <c r="I530" t="s">
        <v>1332</v>
      </c>
    </row>
    <row r="531" spans="1:9" x14ac:dyDescent="0.3">
      <c r="A531" t="s">
        <v>1895</v>
      </c>
      <c r="B531">
        <v>562</v>
      </c>
      <c r="C531" t="s">
        <v>1331</v>
      </c>
      <c r="E531">
        <v>1</v>
      </c>
      <c r="F531" t="s">
        <v>1421</v>
      </c>
      <c r="I531" t="s">
        <v>1332</v>
      </c>
    </row>
    <row r="532" spans="1:9" x14ac:dyDescent="0.3">
      <c r="A532" t="s">
        <v>1896</v>
      </c>
      <c r="B532">
        <v>563</v>
      </c>
      <c r="C532" t="s">
        <v>1331</v>
      </c>
      <c r="E532">
        <v>6</v>
      </c>
      <c r="F532" t="s">
        <v>1421</v>
      </c>
      <c r="I532" t="s">
        <v>1332</v>
      </c>
    </row>
    <row r="533" spans="1:9" x14ac:dyDescent="0.3">
      <c r="A533" t="s">
        <v>1897</v>
      </c>
      <c r="B533">
        <v>564</v>
      </c>
      <c r="C533" t="s">
        <v>1331</v>
      </c>
      <c r="E533">
        <v>1</v>
      </c>
      <c r="F533" t="s">
        <v>1421</v>
      </c>
      <c r="I533" t="s">
        <v>1332</v>
      </c>
    </row>
    <row r="534" spans="1:9" x14ac:dyDescent="0.3">
      <c r="A534" t="s">
        <v>1898</v>
      </c>
      <c r="B534">
        <v>565</v>
      </c>
      <c r="C534" t="s">
        <v>1331</v>
      </c>
      <c r="E534">
        <v>1</v>
      </c>
      <c r="F534" t="s">
        <v>1421</v>
      </c>
      <c r="I534" t="s">
        <v>1332</v>
      </c>
    </row>
    <row r="535" spans="1:9" x14ac:dyDescent="0.3">
      <c r="A535" t="s">
        <v>1899</v>
      </c>
      <c r="B535">
        <v>566</v>
      </c>
      <c r="C535" t="s">
        <v>1331</v>
      </c>
      <c r="E535">
        <v>1</v>
      </c>
      <c r="F535" t="s">
        <v>1421</v>
      </c>
      <c r="I535" t="s">
        <v>1332</v>
      </c>
    </row>
    <row r="536" spans="1:9" x14ac:dyDescent="0.3">
      <c r="A536" t="s">
        <v>1900</v>
      </c>
      <c r="B536">
        <v>567</v>
      </c>
      <c r="C536" t="s">
        <v>1331</v>
      </c>
      <c r="E536">
        <v>1</v>
      </c>
      <c r="F536" t="s">
        <v>1421</v>
      </c>
      <c r="I536" t="s">
        <v>1332</v>
      </c>
    </row>
    <row r="537" spans="1:9" x14ac:dyDescent="0.3">
      <c r="A537" t="s">
        <v>1901</v>
      </c>
      <c r="B537">
        <v>568</v>
      </c>
      <c r="C537" t="s">
        <v>1331</v>
      </c>
      <c r="E537">
        <v>1</v>
      </c>
      <c r="F537" t="s">
        <v>1421</v>
      </c>
      <c r="I537" t="s">
        <v>1332</v>
      </c>
    </row>
    <row r="538" spans="1:9" x14ac:dyDescent="0.3">
      <c r="A538" t="s">
        <v>1902</v>
      </c>
      <c r="B538">
        <v>569</v>
      </c>
      <c r="C538" t="s">
        <v>1331</v>
      </c>
      <c r="E538">
        <v>8</v>
      </c>
      <c r="F538" t="s">
        <v>1421</v>
      </c>
      <c r="I538" t="s">
        <v>1332</v>
      </c>
    </row>
    <row r="539" spans="1:9" x14ac:dyDescent="0.3">
      <c r="A539" t="s">
        <v>1903</v>
      </c>
      <c r="B539">
        <v>570</v>
      </c>
      <c r="C539" t="s">
        <v>1331</v>
      </c>
      <c r="E539">
        <v>1</v>
      </c>
      <c r="F539" t="s">
        <v>1421</v>
      </c>
      <c r="I539" t="s">
        <v>1332</v>
      </c>
    </row>
    <row r="540" spans="1:9" x14ac:dyDescent="0.3">
      <c r="A540" t="s">
        <v>1904</v>
      </c>
      <c r="B540">
        <v>571</v>
      </c>
      <c r="C540" t="s">
        <v>1331</v>
      </c>
      <c r="E540">
        <v>12</v>
      </c>
      <c r="F540" t="s">
        <v>1421</v>
      </c>
      <c r="I540" t="s">
        <v>1332</v>
      </c>
    </row>
    <row r="541" spans="1:9" x14ac:dyDescent="0.3">
      <c r="A541" t="s">
        <v>1905</v>
      </c>
      <c r="B541">
        <v>572</v>
      </c>
      <c r="C541" t="s">
        <v>1322</v>
      </c>
      <c r="E541">
        <v>125</v>
      </c>
      <c r="F541" t="s">
        <v>1421</v>
      </c>
      <c r="I541" t="s">
        <v>1324</v>
      </c>
    </row>
    <row r="542" spans="1:9" x14ac:dyDescent="0.3">
      <c r="A542" t="s">
        <v>1906</v>
      </c>
      <c r="B542">
        <v>573</v>
      </c>
      <c r="C542" t="s">
        <v>1322</v>
      </c>
      <c r="E542">
        <v>24</v>
      </c>
      <c r="F542" t="s">
        <v>1421</v>
      </c>
      <c r="I542" t="s">
        <v>1324</v>
      </c>
    </row>
    <row r="543" spans="1:9" x14ac:dyDescent="0.3">
      <c r="A543" t="s">
        <v>1907</v>
      </c>
      <c r="B543">
        <v>574</v>
      </c>
      <c r="C543" t="s">
        <v>1331</v>
      </c>
      <c r="E543">
        <v>10</v>
      </c>
      <c r="F543" t="s">
        <v>1421</v>
      </c>
      <c r="I543" t="s">
        <v>1332</v>
      </c>
    </row>
    <row r="544" spans="1:9" x14ac:dyDescent="0.3">
      <c r="A544" t="s">
        <v>1908</v>
      </c>
      <c r="B544">
        <v>575</v>
      </c>
      <c r="C544" t="s">
        <v>1322</v>
      </c>
      <c r="E544">
        <v>159</v>
      </c>
      <c r="F544" t="s">
        <v>1421</v>
      </c>
      <c r="I544" t="s">
        <v>1324</v>
      </c>
    </row>
    <row r="545" spans="1:9" x14ac:dyDescent="0.3">
      <c r="A545" t="s">
        <v>1909</v>
      </c>
      <c r="B545">
        <v>576</v>
      </c>
      <c r="C545" t="s">
        <v>1331</v>
      </c>
      <c r="E545">
        <v>30</v>
      </c>
      <c r="F545" t="s">
        <v>1421</v>
      </c>
      <c r="I545" t="s">
        <v>1332</v>
      </c>
    </row>
    <row r="546" spans="1:9" x14ac:dyDescent="0.3">
      <c r="A546" t="s">
        <v>1910</v>
      </c>
      <c r="B546">
        <v>577</v>
      </c>
      <c r="C546" t="s">
        <v>1331</v>
      </c>
      <c r="E546">
        <v>30</v>
      </c>
      <c r="F546" t="s">
        <v>1421</v>
      </c>
      <c r="I546" t="s">
        <v>1332</v>
      </c>
    </row>
    <row r="547" spans="1:9" x14ac:dyDescent="0.3">
      <c r="A547" t="s">
        <v>1911</v>
      </c>
      <c r="B547">
        <v>578</v>
      </c>
      <c r="C547" t="s">
        <v>1322</v>
      </c>
      <c r="E547">
        <v>189</v>
      </c>
      <c r="F547" t="s">
        <v>1421</v>
      </c>
      <c r="I547" t="s">
        <v>1324</v>
      </c>
    </row>
    <row r="548" spans="1:9" x14ac:dyDescent="0.3">
      <c r="A548" t="s">
        <v>1912</v>
      </c>
      <c r="B548">
        <v>579</v>
      </c>
      <c r="C548" t="s">
        <v>1322</v>
      </c>
      <c r="E548">
        <v>70</v>
      </c>
      <c r="F548" t="s">
        <v>1421</v>
      </c>
      <c r="I548" t="s">
        <v>1324</v>
      </c>
    </row>
    <row r="549" spans="1:9" x14ac:dyDescent="0.3">
      <c r="A549" t="s">
        <v>1913</v>
      </c>
      <c r="B549">
        <v>580</v>
      </c>
      <c r="C549" t="s">
        <v>1322</v>
      </c>
      <c r="E549">
        <v>2</v>
      </c>
      <c r="F549" t="s">
        <v>1421</v>
      </c>
      <c r="I549" t="s">
        <v>1324</v>
      </c>
    </row>
    <row r="550" spans="1:9" x14ac:dyDescent="0.3">
      <c r="A550" t="s">
        <v>1914</v>
      </c>
      <c r="B550">
        <v>581</v>
      </c>
      <c r="C550" t="s">
        <v>1331</v>
      </c>
      <c r="E550">
        <v>1</v>
      </c>
      <c r="F550" t="s">
        <v>1421</v>
      </c>
      <c r="I550" t="s">
        <v>1332</v>
      </c>
    </row>
    <row r="551" spans="1:9" x14ac:dyDescent="0.3">
      <c r="A551" t="s">
        <v>1915</v>
      </c>
      <c r="B551">
        <v>582</v>
      </c>
      <c r="C551" t="s">
        <v>1322</v>
      </c>
      <c r="E551">
        <v>3</v>
      </c>
      <c r="F551" t="s">
        <v>1421</v>
      </c>
      <c r="I551" t="s">
        <v>1324</v>
      </c>
    </row>
    <row r="552" spans="1:9" x14ac:dyDescent="0.3">
      <c r="A552" t="s">
        <v>1916</v>
      </c>
      <c r="B552">
        <v>583</v>
      </c>
      <c r="C552" t="s">
        <v>1322</v>
      </c>
      <c r="E552">
        <v>2</v>
      </c>
      <c r="F552" t="s">
        <v>1421</v>
      </c>
      <c r="I552" t="s">
        <v>1324</v>
      </c>
    </row>
    <row r="553" spans="1:9" x14ac:dyDescent="0.3">
      <c r="A553" t="s">
        <v>1917</v>
      </c>
      <c r="B553">
        <v>584</v>
      </c>
      <c r="C553" t="s">
        <v>1322</v>
      </c>
      <c r="E553">
        <v>2</v>
      </c>
      <c r="F553" t="s">
        <v>1421</v>
      </c>
      <c r="I553" t="s">
        <v>1324</v>
      </c>
    </row>
    <row r="554" spans="1:9" x14ac:dyDescent="0.3">
      <c r="A554" t="s">
        <v>1918</v>
      </c>
      <c r="B554">
        <v>585</v>
      </c>
      <c r="C554" t="s">
        <v>1405</v>
      </c>
      <c r="D554">
        <v>2510</v>
      </c>
      <c r="E554">
        <v>2510</v>
      </c>
      <c r="F554" t="s">
        <v>61</v>
      </c>
      <c r="G554" t="s">
        <v>1318</v>
      </c>
      <c r="H554" t="s">
        <v>1919</v>
      </c>
      <c r="I554" t="s">
        <v>1920</v>
      </c>
    </row>
    <row r="555" spans="1:9" x14ac:dyDescent="0.3">
      <c r="A555" t="s">
        <v>1921</v>
      </c>
      <c r="B555">
        <v>586</v>
      </c>
      <c r="C555" t="s">
        <v>1405</v>
      </c>
      <c r="D555">
        <v>2510</v>
      </c>
      <c r="E555">
        <v>2510</v>
      </c>
      <c r="F555" t="s">
        <v>61</v>
      </c>
      <c r="G555" t="s">
        <v>1318</v>
      </c>
      <c r="H555" t="s">
        <v>1919</v>
      </c>
      <c r="I555" t="s">
        <v>1920</v>
      </c>
    </row>
    <row r="556" spans="1:9" x14ac:dyDescent="0.3">
      <c r="A556" t="s">
        <v>1922</v>
      </c>
      <c r="B556">
        <v>587</v>
      </c>
      <c r="C556" t="s">
        <v>1322</v>
      </c>
      <c r="E556">
        <v>232</v>
      </c>
      <c r="F556" t="s">
        <v>61</v>
      </c>
      <c r="I556" t="s">
        <v>1324</v>
      </c>
    </row>
    <row r="557" spans="1:9" x14ac:dyDescent="0.3">
      <c r="A557" t="s">
        <v>1923</v>
      </c>
      <c r="B557">
        <v>588</v>
      </c>
      <c r="C557" t="s">
        <v>1331</v>
      </c>
      <c r="E557">
        <v>50</v>
      </c>
      <c r="F557" t="s">
        <v>61</v>
      </c>
      <c r="I557" t="s">
        <v>1332</v>
      </c>
    </row>
    <row r="558" spans="1:9" x14ac:dyDescent="0.3">
      <c r="A558" t="s">
        <v>1924</v>
      </c>
      <c r="B558">
        <v>589</v>
      </c>
      <c r="C558" t="s">
        <v>1322</v>
      </c>
      <c r="E558">
        <v>282</v>
      </c>
      <c r="F558" t="s">
        <v>61</v>
      </c>
      <c r="I558" t="s">
        <v>1324</v>
      </c>
    </row>
    <row r="559" spans="1:9" x14ac:dyDescent="0.3">
      <c r="A559" t="s">
        <v>1925</v>
      </c>
      <c r="B559">
        <v>590</v>
      </c>
      <c r="C559" t="s">
        <v>1322</v>
      </c>
      <c r="E559">
        <v>60</v>
      </c>
      <c r="F559" t="s">
        <v>61</v>
      </c>
      <c r="I559" t="s">
        <v>1324</v>
      </c>
    </row>
    <row r="560" spans="1:9" x14ac:dyDescent="0.3">
      <c r="A560" t="s">
        <v>1926</v>
      </c>
      <c r="B560">
        <v>591</v>
      </c>
      <c r="C560" t="s">
        <v>1322</v>
      </c>
      <c r="E560">
        <v>60</v>
      </c>
      <c r="F560" t="s">
        <v>61</v>
      </c>
      <c r="I560" t="s">
        <v>1324</v>
      </c>
    </row>
    <row r="561" spans="1:9" x14ac:dyDescent="0.3">
      <c r="A561" t="s">
        <v>1927</v>
      </c>
      <c r="B561">
        <v>592</v>
      </c>
      <c r="C561" t="s">
        <v>1322</v>
      </c>
      <c r="E561">
        <v>90</v>
      </c>
      <c r="F561" t="s">
        <v>61</v>
      </c>
      <c r="I561" t="s">
        <v>1324</v>
      </c>
    </row>
    <row r="562" spans="1:9" x14ac:dyDescent="0.3">
      <c r="A562" t="s">
        <v>1928</v>
      </c>
      <c r="B562">
        <v>593</v>
      </c>
      <c r="C562" t="s">
        <v>1405</v>
      </c>
      <c r="D562">
        <v>2140</v>
      </c>
      <c r="E562">
        <v>2140</v>
      </c>
      <c r="F562" t="s">
        <v>61</v>
      </c>
      <c r="G562" t="s">
        <v>1318</v>
      </c>
      <c r="H562" t="s">
        <v>1919</v>
      </c>
      <c r="I562" t="s">
        <v>1929</v>
      </c>
    </row>
    <row r="563" spans="1:9" x14ac:dyDescent="0.3">
      <c r="A563" t="s">
        <v>1930</v>
      </c>
      <c r="B563">
        <v>594</v>
      </c>
      <c r="C563" t="s">
        <v>1331</v>
      </c>
      <c r="E563">
        <v>25</v>
      </c>
      <c r="F563" t="s">
        <v>61</v>
      </c>
      <c r="I563" t="s">
        <v>1332</v>
      </c>
    </row>
    <row r="564" spans="1:9" x14ac:dyDescent="0.3">
      <c r="A564" t="s">
        <v>1931</v>
      </c>
      <c r="B564">
        <v>595</v>
      </c>
      <c r="C564" t="s">
        <v>1322</v>
      </c>
      <c r="E564">
        <v>60</v>
      </c>
      <c r="F564" t="s">
        <v>61</v>
      </c>
      <c r="I564" t="s">
        <v>1324</v>
      </c>
    </row>
    <row r="565" spans="1:9" x14ac:dyDescent="0.3">
      <c r="A565" t="s">
        <v>1932</v>
      </c>
      <c r="B565">
        <v>596</v>
      </c>
      <c r="C565" t="s">
        <v>1331</v>
      </c>
      <c r="E565">
        <v>30</v>
      </c>
      <c r="F565" t="s">
        <v>61</v>
      </c>
      <c r="I565" t="s">
        <v>1332</v>
      </c>
    </row>
    <row r="566" spans="1:9" x14ac:dyDescent="0.3">
      <c r="A566" t="s">
        <v>1933</v>
      </c>
      <c r="B566">
        <v>597</v>
      </c>
      <c r="C566" t="s">
        <v>1322</v>
      </c>
      <c r="E566">
        <v>60</v>
      </c>
      <c r="F566" t="s">
        <v>61</v>
      </c>
      <c r="I566" t="s">
        <v>1324</v>
      </c>
    </row>
    <row r="567" spans="1:9" x14ac:dyDescent="0.3">
      <c r="A567" t="s">
        <v>1934</v>
      </c>
      <c r="B567">
        <v>598</v>
      </c>
      <c r="C567" t="s">
        <v>1322</v>
      </c>
      <c r="E567">
        <v>105</v>
      </c>
      <c r="F567" t="s">
        <v>61</v>
      </c>
      <c r="I567" t="s">
        <v>1324</v>
      </c>
    </row>
    <row r="568" spans="1:9" x14ac:dyDescent="0.3">
      <c r="A568" t="s">
        <v>1935</v>
      </c>
      <c r="B568">
        <v>599</v>
      </c>
      <c r="C568" t="s">
        <v>1322</v>
      </c>
      <c r="E568">
        <v>60</v>
      </c>
      <c r="F568" t="s">
        <v>61</v>
      </c>
      <c r="I568" t="s">
        <v>1324</v>
      </c>
    </row>
    <row r="569" spans="1:9" x14ac:dyDescent="0.3">
      <c r="A569" t="s">
        <v>1936</v>
      </c>
      <c r="B569">
        <v>600</v>
      </c>
      <c r="C569" t="s">
        <v>1322</v>
      </c>
      <c r="E569">
        <v>70</v>
      </c>
      <c r="F569" t="s">
        <v>61</v>
      </c>
      <c r="I569" t="s">
        <v>1324</v>
      </c>
    </row>
    <row r="570" spans="1:9" x14ac:dyDescent="0.3">
      <c r="A570" t="s">
        <v>1937</v>
      </c>
      <c r="B570">
        <v>601</v>
      </c>
      <c r="C570" t="s">
        <v>1322</v>
      </c>
      <c r="E570">
        <v>162</v>
      </c>
      <c r="F570" t="s">
        <v>61</v>
      </c>
      <c r="I570" t="s">
        <v>1324</v>
      </c>
    </row>
    <row r="571" spans="1:9" x14ac:dyDescent="0.3">
      <c r="A571" t="s">
        <v>1938</v>
      </c>
      <c r="B571">
        <v>602</v>
      </c>
      <c r="C571" t="s">
        <v>1331</v>
      </c>
      <c r="E571">
        <v>50</v>
      </c>
      <c r="F571" t="s">
        <v>61</v>
      </c>
      <c r="I571" t="s">
        <v>1332</v>
      </c>
    </row>
    <row r="572" spans="1:9" x14ac:dyDescent="0.3">
      <c r="A572" t="s">
        <v>1939</v>
      </c>
      <c r="B572">
        <v>603</v>
      </c>
      <c r="C572" t="s">
        <v>1322</v>
      </c>
      <c r="E572">
        <v>2852</v>
      </c>
      <c r="F572" t="s">
        <v>61</v>
      </c>
      <c r="I572" t="s">
        <v>1324</v>
      </c>
    </row>
    <row r="573" spans="1:9" x14ac:dyDescent="0.3">
      <c r="A573" t="s">
        <v>1940</v>
      </c>
      <c r="B573">
        <v>604</v>
      </c>
      <c r="C573" t="s">
        <v>1331</v>
      </c>
      <c r="E573">
        <v>4</v>
      </c>
      <c r="F573" t="s">
        <v>61</v>
      </c>
      <c r="I573" t="s">
        <v>1332</v>
      </c>
    </row>
    <row r="574" spans="1:9" x14ac:dyDescent="0.3">
      <c r="A574" t="s">
        <v>1941</v>
      </c>
      <c r="B574">
        <v>605</v>
      </c>
      <c r="C574" t="s">
        <v>1331</v>
      </c>
      <c r="E574">
        <v>4</v>
      </c>
      <c r="F574" t="s">
        <v>61</v>
      </c>
      <c r="I574" t="s">
        <v>1332</v>
      </c>
    </row>
    <row r="575" spans="1:9" x14ac:dyDescent="0.3">
      <c r="A575" t="s">
        <v>1942</v>
      </c>
      <c r="B575">
        <v>606</v>
      </c>
      <c r="C575" t="s">
        <v>1331</v>
      </c>
      <c r="E575">
        <v>14.5</v>
      </c>
      <c r="F575" t="s">
        <v>130</v>
      </c>
      <c r="I575" t="s">
        <v>1332</v>
      </c>
    </row>
    <row r="576" spans="1:9" x14ac:dyDescent="0.3">
      <c r="A576" t="s">
        <v>1943</v>
      </c>
      <c r="B576">
        <v>607</v>
      </c>
      <c r="C576" t="s">
        <v>1322</v>
      </c>
      <c r="E576">
        <v>3</v>
      </c>
      <c r="F576" t="s">
        <v>1421</v>
      </c>
      <c r="I576" t="s">
        <v>1324</v>
      </c>
    </row>
    <row r="577" spans="1:9" x14ac:dyDescent="0.3">
      <c r="A577" t="s">
        <v>1944</v>
      </c>
      <c r="B577">
        <v>608</v>
      </c>
      <c r="C577" t="s">
        <v>1331</v>
      </c>
      <c r="E577">
        <v>5</v>
      </c>
      <c r="F577" t="s">
        <v>61</v>
      </c>
      <c r="I577" t="s">
        <v>1332</v>
      </c>
    </row>
    <row r="578" spans="1:9" x14ac:dyDescent="0.3">
      <c r="A578" t="s">
        <v>1945</v>
      </c>
      <c r="B578">
        <v>609</v>
      </c>
      <c r="C578" t="s">
        <v>1331</v>
      </c>
      <c r="E578">
        <v>5</v>
      </c>
      <c r="F578" t="s">
        <v>61</v>
      </c>
      <c r="I578" t="s">
        <v>1332</v>
      </c>
    </row>
    <row r="579" spans="1:9" x14ac:dyDescent="0.3">
      <c r="A579" t="s">
        <v>1946</v>
      </c>
      <c r="B579">
        <v>610</v>
      </c>
      <c r="C579" t="s">
        <v>1322</v>
      </c>
      <c r="E579">
        <v>15</v>
      </c>
      <c r="F579" t="s">
        <v>61</v>
      </c>
      <c r="I579" t="s">
        <v>1324</v>
      </c>
    </row>
    <row r="580" spans="1:9" x14ac:dyDescent="0.3">
      <c r="A580" t="s">
        <v>1947</v>
      </c>
      <c r="B580">
        <v>611</v>
      </c>
      <c r="C580" t="s">
        <v>1322</v>
      </c>
      <c r="E580">
        <v>15</v>
      </c>
      <c r="F580" t="s">
        <v>61</v>
      </c>
      <c r="I580" t="s">
        <v>1324</v>
      </c>
    </row>
    <row r="581" spans="1:9" x14ac:dyDescent="0.3">
      <c r="A581" t="s">
        <v>1948</v>
      </c>
      <c r="B581">
        <v>613</v>
      </c>
      <c r="C581" t="s">
        <v>1322</v>
      </c>
      <c r="E581">
        <v>179</v>
      </c>
      <c r="F581" t="s">
        <v>1421</v>
      </c>
      <c r="I581" t="s">
        <v>1324</v>
      </c>
    </row>
    <row r="582" spans="1:9" x14ac:dyDescent="0.3">
      <c r="A582" t="s">
        <v>1949</v>
      </c>
      <c r="B582">
        <v>614</v>
      </c>
      <c r="C582" t="s">
        <v>1322</v>
      </c>
      <c r="E582">
        <v>43</v>
      </c>
      <c r="F582" t="s">
        <v>1421</v>
      </c>
      <c r="I582" t="s">
        <v>1324</v>
      </c>
    </row>
    <row r="583" spans="1:9" x14ac:dyDescent="0.3">
      <c r="A583" t="s">
        <v>1950</v>
      </c>
      <c r="B583">
        <v>615</v>
      </c>
      <c r="C583" t="s">
        <v>1322</v>
      </c>
      <c r="E583">
        <v>28</v>
      </c>
      <c r="F583" t="s">
        <v>1421</v>
      </c>
      <c r="I583" t="s">
        <v>1324</v>
      </c>
    </row>
    <row r="584" spans="1:9" x14ac:dyDescent="0.3">
      <c r="A584" t="s">
        <v>1951</v>
      </c>
      <c r="B584">
        <v>616</v>
      </c>
      <c r="C584" t="s">
        <v>1331</v>
      </c>
      <c r="E584">
        <v>14</v>
      </c>
      <c r="F584" t="s">
        <v>1421</v>
      </c>
      <c r="I584" t="s">
        <v>1332</v>
      </c>
    </row>
    <row r="585" spans="1:9" x14ac:dyDescent="0.3">
      <c r="A585" t="s">
        <v>1952</v>
      </c>
      <c r="B585">
        <v>617</v>
      </c>
      <c r="C585" t="s">
        <v>1331</v>
      </c>
      <c r="E585">
        <v>12</v>
      </c>
      <c r="F585" t="s">
        <v>1421</v>
      </c>
      <c r="I585" t="s">
        <v>1332</v>
      </c>
    </row>
    <row r="586" spans="1:9" x14ac:dyDescent="0.3">
      <c r="A586" t="s">
        <v>1953</v>
      </c>
      <c r="B586">
        <v>618</v>
      </c>
      <c r="C586" t="s">
        <v>1331</v>
      </c>
      <c r="E586">
        <v>22</v>
      </c>
      <c r="F586" t="s">
        <v>1421</v>
      </c>
      <c r="I586" t="s">
        <v>1332</v>
      </c>
    </row>
    <row r="587" spans="1:9" x14ac:dyDescent="0.3">
      <c r="A587" t="s">
        <v>1954</v>
      </c>
      <c r="B587">
        <v>619</v>
      </c>
      <c r="C587" t="s">
        <v>1331</v>
      </c>
      <c r="E587">
        <v>37</v>
      </c>
      <c r="F587" t="s">
        <v>1421</v>
      </c>
      <c r="I587" t="s">
        <v>1332</v>
      </c>
    </row>
    <row r="588" spans="1:9" x14ac:dyDescent="0.3">
      <c r="A588" t="s">
        <v>1955</v>
      </c>
      <c r="B588">
        <v>620</v>
      </c>
      <c r="C588" t="s">
        <v>1331</v>
      </c>
      <c r="E588">
        <v>4</v>
      </c>
      <c r="F588" t="s">
        <v>1421</v>
      </c>
      <c r="I588" t="s">
        <v>1332</v>
      </c>
    </row>
    <row r="589" spans="1:9" x14ac:dyDescent="0.3">
      <c r="A589" t="s">
        <v>1956</v>
      </c>
      <c r="B589">
        <v>621</v>
      </c>
      <c r="C589" t="s">
        <v>1331</v>
      </c>
      <c r="E589">
        <v>140</v>
      </c>
      <c r="F589" t="s">
        <v>1421</v>
      </c>
      <c r="I589" t="s">
        <v>1332</v>
      </c>
    </row>
    <row r="590" spans="1:9" x14ac:dyDescent="0.3">
      <c r="A590" t="s">
        <v>1957</v>
      </c>
      <c r="B590">
        <v>622</v>
      </c>
      <c r="C590" t="s">
        <v>1331</v>
      </c>
      <c r="E590">
        <v>9</v>
      </c>
      <c r="F590" t="s">
        <v>1421</v>
      </c>
      <c r="I590" t="s">
        <v>1332</v>
      </c>
    </row>
    <row r="591" spans="1:9" x14ac:dyDescent="0.3">
      <c r="A591" t="s">
        <v>1958</v>
      </c>
      <c r="B591">
        <v>623</v>
      </c>
      <c r="C591" t="s">
        <v>1322</v>
      </c>
      <c r="E591">
        <v>3</v>
      </c>
      <c r="F591" t="s">
        <v>1421</v>
      </c>
      <c r="I591" t="s">
        <v>1324</v>
      </c>
    </row>
    <row r="592" spans="1:9" x14ac:dyDescent="0.3">
      <c r="A592" t="s">
        <v>1959</v>
      </c>
      <c r="B592">
        <v>624</v>
      </c>
      <c r="C592" t="s">
        <v>1331</v>
      </c>
      <c r="E592">
        <v>4</v>
      </c>
      <c r="F592" t="s">
        <v>1421</v>
      </c>
      <c r="I592" t="s">
        <v>1332</v>
      </c>
    </row>
    <row r="593" spans="1:9" x14ac:dyDescent="0.3">
      <c r="A593" t="s">
        <v>1960</v>
      </c>
      <c r="B593">
        <v>625</v>
      </c>
      <c r="C593" t="s">
        <v>1331</v>
      </c>
      <c r="E593">
        <v>11</v>
      </c>
      <c r="F593" t="s">
        <v>1421</v>
      </c>
      <c r="I593" t="s">
        <v>1332</v>
      </c>
    </row>
    <row r="594" spans="1:9" x14ac:dyDescent="0.3">
      <c r="A594" t="s">
        <v>1961</v>
      </c>
      <c r="B594">
        <v>626</v>
      </c>
      <c r="C594" t="s">
        <v>1322</v>
      </c>
      <c r="E594">
        <v>506</v>
      </c>
      <c r="F594" t="s">
        <v>1421</v>
      </c>
      <c r="I594" t="s">
        <v>1324</v>
      </c>
    </row>
    <row r="595" spans="1:9" x14ac:dyDescent="0.3">
      <c r="A595" t="s">
        <v>1962</v>
      </c>
      <c r="B595">
        <v>627</v>
      </c>
      <c r="C595" t="s">
        <v>1331</v>
      </c>
      <c r="E595">
        <v>11</v>
      </c>
      <c r="F595" t="s">
        <v>1421</v>
      </c>
      <c r="I595" t="s">
        <v>1332</v>
      </c>
    </row>
    <row r="596" spans="1:9" x14ac:dyDescent="0.3">
      <c r="A596" t="s">
        <v>1963</v>
      </c>
      <c r="B596">
        <v>628</v>
      </c>
      <c r="C596" t="s">
        <v>1331</v>
      </c>
      <c r="E596">
        <v>11</v>
      </c>
      <c r="F596" t="s">
        <v>1421</v>
      </c>
      <c r="I596" t="s">
        <v>1332</v>
      </c>
    </row>
    <row r="597" spans="1:9" x14ac:dyDescent="0.3">
      <c r="A597" t="s">
        <v>1964</v>
      </c>
      <c r="B597">
        <v>629</v>
      </c>
      <c r="C597" t="s">
        <v>1331</v>
      </c>
      <c r="E597">
        <v>7</v>
      </c>
      <c r="F597" t="s">
        <v>1421</v>
      </c>
      <c r="I597" t="s">
        <v>1332</v>
      </c>
    </row>
    <row r="598" spans="1:9" x14ac:dyDescent="0.3">
      <c r="A598" t="s">
        <v>1965</v>
      </c>
      <c r="B598">
        <v>630</v>
      </c>
      <c r="C598" t="s">
        <v>1331</v>
      </c>
      <c r="E598">
        <v>7</v>
      </c>
      <c r="F598" t="s">
        <v>1421</v>
      </c>
      <c r="I598" t="s">
        <v>1332</v>
      </c>
    </row>
    <row r="599" spans="1:9" x14ac:dyDescent="0.3">
      <c r="A599" t="s">
        <v>1966</v>
      </c>
      <c r="B599">
        <v>631</v>
      </c>
      <c r="C599" t="s">
        <v>1322</v>
      </c>
      <c r="E599">
        <v>18</v>
      </c>
      <c r="F599" t="s">
        <v>1421</v>
      </c>
      <c r="I599" t="s">
        <v>1324</v>
      </c>
    </row>
    <row r="600" spans="1:9" x14ac:dyDescent="0.3">
      <c r="A600" t="s">
        <v>1967</v>
      </c>
      <c r="B600">
        <v>632</v>
      </c>
      <c r="C600" t="s">
        <v>1322</v>
      </c>
      <c r="E600">
        <v>18</v>
      </c>
      <c r="F600" t="s">
        <v>1421</v>
      </c>
      <c r="I600" t="s">
        <v>1324</v>
      </c>
    </row>
    <row r="601" spans="1:9" x14ac:dyDescent="0.3">
      <c r="A601" t="s">
        <v>1968</v>
      </c>
      <c r="B601">
        <v>633</v>
      </c>
      <c r="C601" t="s">
        <v>1331</v>
      </c>
      <c r="E601">
        <v>10</v>
      </c>
      <c r="F601" t="s">
        <v>1421</v>
      </c>
      <c r="I601" t="s">
        <v>1332</v>
      </c>
    </row>
    <row r="602" spans="1:9" x14ac:dyDescent="0.3">
      <c r="A602" t="s">
        <v>1969</v>
      </c>
      <c r="B602">
        <v>634</v>
      </c>
      <c r="C602" t="s">
        <v>1331</v>
      </c>
      <c r="E602">
        <v>8</v>
      </c>
      <c r="F602" t="s">
        <v>1421</v>
      </c>
      <c r="I602" t="s">
        <v>1332</v>
      </c>
    </row>
    <row r="603" spans="1:9" x14ac:dyDescent="0.3">
      <c r="A603" t="s">
        <v>1970</v>
      </c>
      <c r="B603">
        <v>635</v>
      </c>
      <c r="C603" t="s">
        <v>1331</v>
      </c>
      <c r="E603">
        <v>7</v>
      </c>
      <c r="F603" t="s">
        <v>1421</v>
      </c>
      <c r="I603" t="s">
        <v>1332</v>
      </c>
    </row>
    <row r="604" spans="1:9" x14ac:dyDescent="0.3">
      <c r="A604" t="s">
        <v>1971</v>
      </c>
      <c r="B604">
        <v>636</v>
      </c>
      <c r="C604" t="s">
        <v>1322</v>
      </c>
      <c r="E604">
        <v>2</v>
      </c>
      <c r="F604" t="s">
        <v>1659</v>
      </c>
      <c r="I604" t="s">
        <v>1324</v>
      </c>
    </row>
    <row r="605" spans="1:9" x14ac:dyDescent="0.3">
      <c r="A605" t="s">
        <v>1972</v>
      </c>
      <c r="B605">
        <v>637</v>
      </c>
      <c r="C605" t="s">
        <v>1322</v>
      </c>
      <c r="E605">
        <v>2</v>
      </c>
      <c r="F605" t="s">
        <v>1421</v>
      </c>
      <c r="I605" t="s">
        <v>1324</v>
      </c>
    </row>
    <row r="606" spans="1:9" x14ac:dyDescent="0.3">
      <c r="A606" t="s">
        <v>1973</v>
      </c>
      <c r="B606">
        <v>638</v>
      </c>
      <c r="C606" t="s">
        <v>1331</v>
      </c>
      <c r="E606">
        <v>7</v>
      </c>
      <c r="F606" t="s">
        <v>1421</v>
      </c>
      <c r="I606" t="s">
        <v>1332</v>
      </c>
    </row>
    <row r="607" spans="1:9" x14ac:dyDescent="0.3">
      <c r="A607" t="s">
        <v>1974</v>
      </c>
      <c r="B607">
        <v>639</v>
      </c>
      <c r="C607" t="s">
        <v>1331</v>
      </c>
      <c r="E607">
        <v>7</v>
      </c>
      <c r="F607" t="s">
        <v>1421</v>
      </c>
      <c r="I607" t="s">
        <v>1332</v>
      </c>
    </row>
    <row r="608" spans="1:9" x14ac:dyDescent="0.3">
      <c r="A608" t="s">
        <v>1975</v>
      </c>
      <c r="B608">
        <v>640</v>
      </c>
      <c r="C608" t="s">
        <v>1322</v>
      </c>
      <c r="E608">
        <v>61</v>
      </c>
      <c r="F608" t="s">
        <v>1421</v>
      </c>
      <c r="I608" t="s">
        <v>1324</v>
      </c>
    </row>
    <row r="609" spans="1:9" x14ac:dyDescent="0.3">
      <c r="A609" t="s">
        <v>1976</v>
      </c>
      <c r="B609">
        <v>641</v>
      </c>
      <c r="C609" t="s">
        <v>1331</v>
      </c>
      <c r="E609">
        <v>14</v>
      </c>
      <c r="F609" t="s">
        <v>1421</v>
      </c>
      <c r="I609" t="s">
        <v>1332</v>
      </c>
    </row>
    <row r="610" spans="1:9" x14ac:dyDescent="0.3">
      <c r="A610" t="s">
        <v>1977</v>
      </c>
      <c r="B610">
        <v>642</v>
      </c>
      <c r="C610" t="s">
        <v>1322</v>
      </c>
      <c r="E610">
        <v>75</v>
      </c>
      <c r="F610" t="s">
        <v>1421</v>
      </c>
      <c r="I610" t="s">
        <v>1324</v>
      </c>
    </row>
    <row r="611" spans="1:9" x14ac:dyDescent="0.3">
      <c r="A611" t="s">
        <v>1978</v>
      </c>
      <c r="B611">
        <v>643</v>
      </c>
      <c r="C611" t="s">
        <v>1331</v>
      </c>
      <c r="E611">
        <v>10</v>
      </c>
      <c r="F611" t="s">
        <v>1421</v>
      </c>
      <c r="I611" t="s">
        <v>1332</v>
      </c>
    </row>
    <row r="612" spans="1:9" x14ac:dyDescent="0.3">
      <c r="A612" t="s">
        <v>1979</v>
      </c>
      <c r="B612">
        <v>644</v>
      </c>
      <c r="C612" t="s">
        <v>1331</v>
      </c>
      <c r="E612">
        <v>10</v>
      </c>
      <c r="F612" t="s">
        <v>1421</v>
      </c>
      <c r="I612" t="s">
        <v>1332</v>
      </c>
    </row>
    <row r="613" spans="1:9" x14ac:dyDescent="0.3">
      <c r="A613" t="s">
        <v>1980</v>
      </c>
      <c r="B613">
        <v>645</v>
      </c>
      <c r="C613" t="s">
        <v>1322</v>
      </c>
      <c r="E613">
        <v>92</v>
      </c>
      <c r="F613" t="s">
        <v>1421</v>
      </c>
      <c r="I613" t="s">
        <v>1324</v>
      </c>
    </row>
    <row r="614" spans="1:9" x14ac:dyDescent="0.3">
      <c r="A614" t="s">
        <v>1981</v>
      </c>
      <c r="B614">
        <v>646</v>
      </c>
      <c r="C614" t="s">
        <v>1331</v>
      </c>
      <c r="E614">
        <v>50</v>
      </c>
      <c r="F614" t="s">
        <v>1421</v>
      </c>
      <c r="I614" t="s">
        <v>1332</v>
      </c>
    </row>
    <row r="615" spans="1:9" x14ac:dyDescent="0.3">
      <c r="A615" t="s">
        <v>1982</v>
      </c>
      <c r="B615">
        <v>647</v>
      </c>
      <c r="C615" t="s">
        <v>1322</v>
      </c>
      <c r="E615">
        <v>5480</v>
      </c>
      <c r="F615" t="s">
        <v>61</v>
      </c>
      <c r="I615" t="s">
        <v>1324</v>
      </c>
    </row>
    <row r="616" spans="1:9" x14ac:dyDescent="0.3">
      <c r="A616" t="s">
        <v>1983</v>
      </c>
      <c r="B616">
        <v>648</v>
      </c>
      <c r="C616" t="s">
        <v>1322</v>
      </c>
      <c r="E616">
        <v>5480</v>
      </c>
      <c r="F616" t="s">
        <v>61</v>
      </c>
      <c r="I616" t="s">
        <v>1324</v>
      </c>
    </row>
    <row r="617" spans="1:9" x14ac:dyDescent="0.3">
      <c r="A617" t="s">
        <v>1984</v>
      </c>
      <c r="B617">
        <v>649</v>
      </c>
      <c r="C617" t="s">
        <v>1331</v>
      </c>
      <c r="E617">
        <v>4900</v>
      </c>
      <c r="F617" t="s">
        <v>61</v>
      </c>
      <c r="I617" t="s">
        <v>1332</v>
      </c>
    </row>
    <row r="618" spans="1:9" x14ac:dyDescent="0.3">
      <c r="A618" t="s">
        <v>1985</v>
      </c>
      <c r="B618">
        <v>650</v>
      </c>
      <c r="C618" t="s">
        <v>1322</v>
      </c>
      <c r="E618">
        <v>80</v>
      </c>
      <c r="F618" t="s">
        <v>61</v>
      </c>
      <c r="I618" t="s">
        <v>1324</v>
      </c>
    </row>
    <row r="619" spans="1:9" x14ac:dyDescent="0.3">
      <c r="A619" t="s">
        <v>1986</v>
      </c>
      <c r="B619">
        <v>651</v>
      </c>
      <c r="C619" t="s">
        <v>1322</v>
      </c>
      <c r="E619">
        <v>200</v>
      </c>
      <c r="F619" t="s">
        <v>61</v>
      </c>
      <c r="I619" t="s">
        <v>1324</v>
      </c>
    </row>
    <row r="620" spans="1:9" x14ac:dyDescent="0.3">
      <c r="A620" t="s">
        <v>1987</v>
      </c>
      <c r="B620">
        <v>652</v>
      </c>
      <c r="C620" t="s">
        <v>1322</v>
      </c>
      <c r="E620">
        <v>300</v>
      </c>
      <c r="F620" t="s">
        <v>61</v>
      </c>
      <c r="I620" t="s">
        <v>1324</v>
      </c>
    </row>
    <row r="621" spans="1:9" x14ac:dyDescent="0.3">
      <c r="A621" t="s">
        <v>1988</v>
      </c>
      <c r="B621">
        <v>653</v>
      </c>
      <c r="C621" t="s">
        <v>1322</v>
      </c>
      <c r="E621">
        <v>5480</v>
      </c>
      <c r="F621" t="s">
        <v>61</v>
      </c>
      <c r="I621" t="s">
        <v>1324</v>
      </c>
    </row>
    <row r="622" spans="1:9" x14ac:dyDescent="0.3">
      <c r="A622" t="s">
        <v>1989</v>
      </c>
      <c r="B622">
        <v>655</v>
      </c>
      <c r="C622" t="s">
        <v>1331</v>
      </c>
      <c r="E622">
        <v>1</v>
      </c>
      <c r="F622" t="s">
        <v>1421</v>
      </c>
      <c r="I622" t="s">
        <v>1332</v>
      </c>
    </row>
    <row r="623" spans="1:9" x14ac:dyDescent="0.3">
      <c r="A623" t="s">
        <v>1990</v>
      </c>
      <c r="B623">
        <v>656</v>
      </c>
      <c r="C623" t="s">
        <v>1331</v>
      </c>
      <c r="E623">
        <v>1</v>
      </c>
      <c r="F623" t="s">
        <v>1421</v>
      </c>
      <c r="I623" t="s">
        <v>1332</v>
      </c>
    </row>
    <row r="624" spans="1:9" x14ac:dyDescent="0.3">
      <c r="A624" t="s">
        <v>1991</v>
      </c>
      <c r="B624">
        <v>657</v>
      </c>
      <c r="C624" t="s">
        <v>1331</v>
      </c>
      <c r="E624">
        <v>1</v>
      </c>
      <c r="F624" t="s">
        <v>1421</v>
      </c>
      <c r="I624" t="s">
        <v>1332</v>
      </c>
    </row>
    <row r="625" spans="1:9" x14ac:dyDescent="0.3">
      <c r="A625" t="s">
        <v>1992</v>
      </c>
      <c r="B625">
        <v>658</v>
      </c>
      <c r="C625" t="s">
        <v>1331</v>
      </c>
      <c r="E625">
        <v>1</v>
      </c>
      <c r="F625" t="s">
        <v>1421</v>
      </c>
      <c r="I625" t="s">
        <v>1332</v>
      </c>
    </row>
    <row r="626" spans="1:9" x14ac:dyDescent="0.3">
      <c r="A626" t="s">
        <v>1993</v>
      </c>
      <c r="B626">
        <v>659</v>
      </c>
      <c r="C626" t="s">
        <v>1331</v>
      </c>
      <c r="E626">
        <v>140</v>
      </c>
      <c r="F626" t="s">
        <v>1421</v>
      </c>
      <c r="I626" t="s">
        <v>1332</v>
      </c>
    </row>
    <row r="627" spans="1:9" x14ac:dyDescent="0.3">
      <c r="A627" t="s">
        <v>1994</v>
      </c>
      <c r="B627">
        <v>660</v>
      </c>
      <c r="C627" t="s">
        <v>1331</v>
      </c>
      <c r="E627">
        <v>4</v>
      </c>
      <c r="F627" t="s">
        <v>1421</v>
      </c>
      <c r="I627" t="s">
        <v>1332</v>
      </c>
    </row>
    <row r="628" spans="1:9" x14ac:dyDescent="0.3">
      <c r="A628" t="s">
        <v>1995</v>
      </c>
      <c r="B628">
        <v>661</v>
      </c>
      <c r="C628" t="s">
        <v>1322</v>
      </c>
      <c r="E628">
        <v>144</v>
      </c>
      <c r="F628" t="s">
        <v>1421</v>
      </c>
      <c r="I628" t="s">
        <v>1324</v>
      </c>
    </row>
    <row r="629" spans="1:9" x14ac:dyDescent="0.3">
      <c r="A629" t="s">
        <v>1996</v>
      </c>
      <c r="B629">
        <v>662</v>
      </c>
      <c r="C629" t="s">
        <v>1331</v>
      </c>
      <c r="E629">
        <v>5</v>
      </c>
      <c r="F629" t="s">
        <v>1421</v>
      </c>
      <c r="I629" t="s">
        <v>1332</v>
      </c>
    </row>
    <row r="630" spans="1:9" x14ac:dyDescent="0.3">
      <c r="A630" t="s">
        <v>1997</v>
      </c>
      <c r="B630">
        <v>663</v>
      </c>
      <c r="C630" t="s">
        <v>1331</v>
      </c>
      <c r="E630">
        <v>5</v>
      </c>
      <c r="F630" t="s">
        <v>1421</v>
      </c>
      <c r="I630" t="s">
        <v>1332</v>
      </c>
    </row>
    <row r="631" spans="1:9" x14ac:dyDescent="0.3">
      <c r="A631" t="s">
        <v>1998</v>
      </c>
      <c r="B631">
        <v>664</v>
      </c>
      <c r="C631" t="s">
        <v>1331</v>
      </c>
      <c r="E631">
        <v>1330</v>
      </c>
      <c r="F631" t="s">
        <v>61</v>
      </c>
      <c r="I631" t="s">
        <v>1332</v>
      </c>
    </row>
    <row r="632" spans="1:9" x14ac:dyDescent="0.3">
      <c r="A632" t="s">
        <v>1999</v>
      </c>
      <c r="B632">
        <v>665</v>
      </c>
      <c r="C632" t="s">
        <v>1322</v>
      </c>
      <c r="E632">
        <v>420</v>
      </c>
      <c r="F632" t="s">
        <v>61</v>
      </c>
      <c r="I632" t="s">
        <v>1324</v>
      </c>
    </row>
    <row r="633" spans="1:9" x14ac:dyDescent="0.3">
      <c r="A633" t="s">
        <v>2000</v>
      </c>
      <c r="B633">
        <v>666</v>
      </c>
      <c r="C633" t="s">
        <v>1322</v>
      </c>
      <c r="E633">
        <v>910</v>
      </c>
      <c r="F633" t="s">
        <v>61</v>
      </c>
      <c r="I633" t="s">
        <v>1324</v>
      </c>
    </row>
    <row r="634" spans="1:9" x14ac:dyDescent="0.3">
      <c r="A634" t="s">
        <v>2001</v>
      </c>
      <c r="B634">
        <v>667</v>
      </c>
      <c r="C634" t="s">
        <v>1331</v>
      </c>
      <c r="E634">
        <v>1</v>
      </c>
      <c r="F634" t="s">
        <v>1421</v>
      </c>
      <c r="I634" t="s">
        <v>1332</v>
      </c>
    </row>
    <row r="635" spans="1:9" x14ac:dyDescent="0.3">
      <c r="A635" t="s">
        <v>2002</v>
      </c>
      <c r="B635">
        <v>668</v>
      </c>
      <c r="C635" t="s">
        <v>1331</v>
      </c>
      <c r="E635">
        <v>1</v>
      </c>
      <c r="F635" t="s">
        <v>1421</v>
      </c>
      <c r="I635" t="s">
        <v>1332</v>
      </c>
    </row>
    <row r="636" spans="1:9" x14ac:dyDescent="0.3">
      <c r="A636" t="s">
        <v>2003</v>
      </c>
      <c r="B636">
        <v>669</v>
      </c>
      <c r="C636" t="s">
        <v>1331</v>
      </c>
      <c r="E636">
        <v>140</v>
      </c>
      <c r="F636" t="s">
        <v>1421</v>
      </c>
      <c r="I636" t="s">
        <v>1332</v>
      </c>
    </row>
    <row r="637" spans="1:9" x14ac:dyDescent="0.3">
      <c r="A637" t="s">
        <v>2004</v>
      </c>
      <c r="B637">
        <v>670</v>
      </c>
      <c r="C637" t="s">
        <v>1331</v>
      </c>
      <c r="E637">
        <v>25</v>
      </c>
      <c r="F637" t="s">
        <v>61</v>
      </c>
      <c r="I637" t="s">
        <v>1332</v>
      </c>
    </row>
    <row r="638" spans="1:9" x14ac:dyDescent="0.3">
      <c r="A638" t="s">
        <v>2005</v>
      </c>
      <c r="B638">
        <v>671</v>
      </c>
      <c r="C638" t="s">
        <v>1331</v>
      </c>
      <c r="E638">
        <v>25</v>
      </c>
      <c r="F638" t="s">
        <v>61</v>
      </c>
      <c r="I638" t="s">
        <v>1332</v>
      </c>
    </row>
    <row r="639" spans="1:9" x14ac:dyDescent="0.3">
      <c r="A639" t="s">
        <v>2006</v>
      </c>
      <c r="B639">
        <v>672</v>
      </c>
      <c r="C639" t="s">
        <v>1331</v>
      </c>
      <c r="E639">
        <v>20</v>
      </c>
      <c r="F639" t="s">
        <v>61</v>
      </c>
      <c r="I639" t="s">
        <v>1332</v>
      </c>
    </row>
    <row r="640" spans="1:9" x14ac:dyDescent="0.3">
      <c r="A640" t="s">
        <v>2007</v>
      </c>
      <c r="B640">
        <v>673</v>
      </c>
      <c r="C640" t="s">
        <v>1322</v>
      </c>
      <c r="E640">
        <v>400</v>
      </c>
      <c r="F640" t="s">
        <v>61</v>
      </c>
      <c r="I640" t="s">
        <v>1324</v>
      </c>
    </row>
    <row r="641" spans="1:9" x14ac:dyDescent="0.3">
      <c r="A641" t="s">
        <v>2008</v>
      </c>
      <c r="B641">
        <v>674</v>
      </c>
      <c r="C641" t="s">
        <v>1322</v>
      </c>
      <c r="E641">
        <v>420</v>
      </c>
      <c r="F641" t="s">
        <v>61</v>
      </c>
      <c r="I641" t="s">
        <v>1324</v>
      </c>
    </row>
    <row r="642" spans="1:9" x14ac:dyDescent="0.3">
      <c r="A642" t="s">
        <v>2009</v>
      </c>
      <c r="B642">
        <v>675</v>
      </c>
      <c r="C642" t="s">
        <v>1331</v>
      </c>
      <c r="E642">
        <v>12</v>
      </c>
      <c r="F642" t="s">
        <v>1421</v>
      </c>
      <c r="I642" t="s">
        <v>1332</v>
      </c>
    </row>
    <row r="643" spans="1:9" x14ac:dyDescent="0.3">
      <c r="A643" t="s">
        <v>2010</v>
      </c>
      <c r="B643">
        <v>676</v>
      </c>
      <c r="C643" t="s">
        <v>1331</v>
      </c>
      <c r="E643">
        <v>12</v>
      </c>
      <c r="F643" t="s">
        <v>1421</v>
      </c>
      <c r="I643" t="s">
        <v>1332</v>
      </c>
    </row>
    <row r="644" spans="1:9" x14ac:dyDescent="0.3">
      <c r="A644" t="s">
        <v>2011</v>
      </c>
      <c r="B644">
        <v>678</v>
      </c>
      <c r="C644" t="s">
        <v>1331</v>
      </c>
      <c r="E644">
        <v>1</v>
      </c>
      <c r="F644" t="s">
        <v>1421</v>
      </c>
      <c r="I644" t="s">
        <v>1332</v>
      </c>
    </row>
    <row r="645" spans="1:9" x14ac:dyDescent="0.3">
      <c r="A645" t="s">
        <v>2012</v>
      </c>
      <c r="B645">
        <v>679</v>
      </c>
      <c r="C645" t="s">
        <v>1331</v>
      </c>
      <c r="E645">
        <v>1</v>
      </c>
      <c r="F645" t="s">
        <v>1421</v>
      </c>
      <c r="I645" t="s">
        <v>1332</v>
      </c>
    </row>
    <row r="646" spans="1:9" x14ac:dyDescent="0.3">
      <c r="A646" t="s">
        <v>2013</v>
      </c>
      <c r="B646">
        <v>680</v>
      </c>
      <c r="C646" t="s">
        <v>1331</v>
      </c>
      <c r="E646">
        <v>5</v>
      </c>
      <c r="F646" t="s">
        <v>1659</v>
      </c>
      <c r="I646" t="s">
        <v>1332</v>
      </c>
    </row>
    <row r="647" spans="1:9" x14ac:dyDescent="0.3">
      <c r="A647" t="s">
        <v>2014</v>
      </c>
      <c r="B647">
        <v>681</v>
      </c>
      <c r="C647" t="s">
        <v>1322</v>
      </c>
      <c r="E647">
        <v>13</v>
      </c>
      <c r="F647" t="s">
        <v>1659</v>
      </c>
      <c r="I647" t="s">
        <v>1324</v>
      </c>
    </row>
    <row r="648" spans="1:9" x14ac:dyDescent="0.3">
      <c r="A648" t="s">
        <v>2015</v>
      </c>
      <c r="B648">
        <v>682</v>
      </c>
      <c r="C648" t="s">
        <v>1331</v>
      </c>
      <c r="E648">
        <v>4</v>
      </c>
      <c r="F648" t="s">
        <v>1421</v>
      </c>
      <c r="I648" t="s">
        <v>1332</v>
      </c>
    </row>
    <row r="649" spans="1:9" x14ac:dyDescent="0.3">
      <c r="A649" t="s">
        <v>2016</v>
      </c>
      <c r="B649">
        <v>683</v>
      </c>
      <c r="C649" t="s">
        <v>1331</v>
      </c>
      <c r="E649">
        <v>14</v>
      </c>
      <c r="F649" t="s">
        <v>1421</v>
      </c>
      <c r="I649" t="s">
        <v>1332</v>
      </c>
    </row>
    <row r="650" spans="1:9" x14ac:dyDescent="0.3">
      <c r="A650" t="s">
        <v>2017</v>
      </c>
      <c r="B650">
        <v>684</v>
      </c>
      <c r="C650" t="s">
        <v>1331</v>
      </c>
      <c r="E650">
        <v>1</v>
      </c>
      <c r="F650" t="s">
        <v>1421</v>
      </c>
      <c r="I650" t="s">
        <v>1332</v>
      </c>
    </row>
    <row r="651" spans="1:9" x14ac:dyDescent="0.3">
      <c r="A651" t="s">
        <v>2018</v>
      </c>
      <c r="B651">
        <v>685</v>
      </c>
      <c r="C651" t="s">
        <v>1331</v>
      </c>
      <c r="E651">
        <v>1</v>
      </c>
      <c r="F651" t="s">
        <v>1421</v>
      </c>
      <c r="I651" t="s">
        <v>1332</v>
      </c>
    </row>
    <row r="652" spans="1:9" x14ac:dyDescent="0.3">
      <c r="A652" t="s">
        <v>2019</v>
      </c>
      <c r="B652">
        <v>686</v>
      </c>
      <c r="C652" t="s">
        <v>1322</v>
      </c>
      <c r="E652">
        <v>2</v>
      </c>
      <c r="F652" t="s">
        <v>1421</v>
      </c>
      <c r="I652" t="s">
        <v>1324</v>
      </c>
    </row>
    <row r="653" spans="1:9" x14ac:dyDescent="0.3">
      <c r="A653" t="s">
        <v>2020</v>
      </c>
      <c r="B653">
        <v>687</v>
      </c>
      <c r="C653" t="s">
        <v>1331</v>
      </c>
      <c r="E653">
        <v>36</v>
      </c>
      <c r="F653" t="s">
        <v>1421</v>
      </c>
      <c r="I653" t="s">
        <v>1332</v>
      </c>
    </row>
    <row r="654" spans="1:9" x14ac:dyDescent="0.3">
      <c r="A654" t="s">
        <v>2021</v>
      </c>
      <c r="B654">
        <v>688</v>
      </c>
      <c r="C654" t="s">
        <v>1322</v>
      </c>
      <c r="E654">
        <v>320</v>
      </c>
      <c r="F654" t="s">
        <v>61</v>
      </c>
      <c r="I654" t="s">
        <v>1324</v>
      </c>
    </row>
    <row r="655" spans="1:9" x14ac:dyDescent="0.3">
      <c r="A655" t="s">
        <v>2022</v>
      </c>
      <c r="B655">
        <v>689</v>
      </c>
      <c r="C655" t="s">
        <v>1322</v>
      </c>
      <c r="E655">
        <v>320</v>
      </c>
      <c r="F655" t="s">
        <v>61</v>
      </c>
      <c r="I655" t="s">
        <v>1324</v>
      </c>
    </row>
    <row r="656" spans="1:9" x14ac:dyDescent="0.3">
      <c r="A656" t="s">
        <v>2023</v>
      </c>
      <c r="B656">
        <v>690</v>
      </c>
      <c r="C656" t="s">
        <v>1331</v>
      </c>
      <c r="E656">
        <v>1</v>
      </c>
      <c r="F656" t="s">
        <v>1421</v>
      </c>
      <c r="I656" t="s">
        <v>1332</v>
      </c>
    </row>
    <row r="657" spans="1:9" x14ac:dyDescent="0.3">
      <c r="A657" t="s">
        <v>2024</v>
      </c>
      <c r="B657">
        <v>691</v>
      </c>
      <c r="C657" t="s">
        <v>1331</v>
      </c>
      <c r="E657">
        <v>1</v>
      </c>
      <c r="F657" t="s">
        <v>1421</v>
      </c>
      <c r="I657" t="s">
        <v>1332</v>
      </c>
    </row>
    <row r="658" spans="1:9" x14ac:dyDescent="0.3">
      <c r="A658" t="s">
        <v>2025</v>
      </c>
      <c r="B658">
        <v>692</v>
      </c>
      <c r="C658" t="s">
        <v>1331</v>
      </c>
      <c r="E658">
        <v>4</v>
      </c>
      <c r="F658" t="s">
        <v>1421</v>
      </c>
      <c r="I658" t="s">
        <v>1332</v>
      </c>
    </row>
    <row r="659" spans="1:9" x14ac:dyDescent="0.3">
      <c r="A659" t="s">
        <v>2026</v>
      </c>
      <c r="B659">
        <v>693</v>
      </c>
      <c r="C659" t="s">
        <v>1331</v>
      </c>
      <c r="E659">
        <v>4</v>
      </c>
      <c r="F659" t="s">
        <v>1421</v>
      </c>
      <c r="I659" t="s">
        <v>1332</v>
      </c>
    </row>
    <row r="660" spans="1:9" x14ac:dyDescent="0.3">
      <c r="A660" t="s">
        <v>2027</v>
      </c>
      <c r="B660">
        <v>694</v>
      </c>
      <c r="C660" t="s">
        <v>1322</v>
      </c>
      <c r="E660">
        <v>880</v>
      </c>
      <c r="F660" t="s">
        <v>61</v>
      </c>
      <c r="I660" t="s">
        <v>1324</v>
      </c>
    </row>
    <row r="661" spans="1:9" x14ac:dyDescent="0.3">
      <c r="A661" t="s">
        <v>2028</v>
      </c>
      <c r="B661">
        <v>695</v>
      </c>
      <c r="C661" t="s">
        <v>1322</v>
      </c>
      <c r="E661">
        <v>320</v>
      </c>
      <c r="F661" t="s">
        <v>61</v>
      </c>
      <c r="I661" t="s">
        <v>1324</v>
      </c>
    </row>
    <row r="662" spans="1:9" x14ac:dyDescent="0.3">
      <c r="A662" t="s">
        <v>2029</v>
      </c>
      <c r="B662">
        <v>696</v>
      </c>
      <c r="C662" t="s">
        <v>1322</v>
      </c>
      <c r="E662">
        <v>560</v>
      </c>
      <c r="F662" t="s">
        <v>61</v>
      </c>
      <c r="I662" t="s">
        <v>1324</v>
      </c>
    </row>
    <row r="663" spans="1:9" x14ac:dyDescent="0.3">
      <c r="A663" t="s">
        <v>2030</v>
      </c>
      <c r="B663">
        <v>697</v>
      </c>
      <c r="C663" t="s">
        <v>1322</v>
      </c>
      <c r="E663">
        <v>2</v>
      </c>
      <c r="F663" t="s">
        <v>1421</v>
      </c>
      <c r="I663" t="s">
        <v>1324</v>
      </c>
    </row>
    <row r="664" spans="1:9" x14ac:dyDescent="0.3">
      <c r="A664" t="s">
        <v>2031</v>
      </c>
      <c r="B664">
        <v>699</v>
      </c>
      <c r="C664" t="s">
        <v>1331</v>
      </c>
      <c r="E664">
        <v>1</v>
      </c>
      <c r="F664" t="s">
        <v>1421</v>
      </c>
      <c r="I664" t="s">
        <v>1332</v>
      </c>
    </row>
    <row r="665" spans="1:9" x14ac:dyDescent="0.3">
      <c r="A665" t="s">
        <v>2032</v>
      </c>
      <c r="B665">
        <v>700</v>
      </c>
      <c r="C665" t="s">
        <v>1331</v>
      </c>
      <c r="E665">
        <v>1</v>
      </c>
      <c r="F665" t="s">
        <v>1421</v>
      </c>
      <c r="I665" t="s">
        <v>1332</v>
      </c>
    </row>
    <row r="666" spans="1:9" x14ac:dyDescent="0.3">
      <c r="A666" t="s">
        <v>2033</v>
      </c>
      <c r="B666">
        <v>701</v>
      </c>
      <c r="C666" t="s">
        <v>1322</v>
      </c>
      <c r="E666">
        <v>2</v>
      </c>
      <c r="F666" t="s">
        <v>1421</v>
      </c>
      <c r="I666" t="s">
        <v>1324</v>
      </c>
    </row>
    <row r="667" spans="1:9" x14ac:dyDescent="0.3">
      <c r="A667" t="s">
        <v>2034</v>
      </c>
      <c r="B667">
        <v>702</v>
      </c>
      <c r="C667" t="s">
        <v>1322</v>
      </c>
      <c r="E667">
        <v>2</v>
      </c>
      <c r="F667" t="s">
        <v>1421</v>
      </c>
      <c r="I667" t="s">
        <v>1324</v>
      </c>
    </row>
    <row r="668" spans="1:9" x14ac:dyDescent="0.3">
      <c r="A668" t="s">
        <v>2035</v>
      </c>
      <c r="B668">
        <v>703</v>
      </c>
      <c r="C668" t="s">
        <v>1331</v>
      </c>
      <c r="E668">
        <v>36</v>
      </c>
      <c r="F668" t="s">
        <v>1421</v>
      </c>
      <c r="I668" t="s">
        <v>1332</v>
      </c>
    </row>
    <row r="669" spans="1:9" x14ac:dyDescent="0.3">
      <c r="A669" t="s">
        <v>2036</v>
      </c>
      <c r="B669">
        <v>704</v>
      </c>
      <c r="C669" t="s">
        <v>1331</v>
      </c>
      <c r="E669">
        <v>19</v>
      </c>
      <c r="F669" t="s">
        <v>1659</v>
      </c>
      <c r="I669" t="s">
        <v>1332</v>
      </c>
    </row>
    <row r="670" spans="1:9" x14ac:dyDescent="0.3">
      <c r="A670" t="s">
        <v>2037</v>
      </c>
      <c r="B670">
        <v>705</v>
      </c>
      <c r="C670" t="s">
        <v>1322</v>
      </c>
      <c r="E670">
        <v>55</v>
      </c>
      <c r="F670" t="s">
        <v>1421</v>
      </c>
      <c r="I670" t="s">
        <v>1324</v>
      </c>
    </row>
    <row r="671" spans="1:9" x14ac:dyDescent="0.3">
      <c r="A671" t="s">
        <v>2038</v>
      </c>
      <c r="B671">
        <v>706</v>
      </c>
      <c r="C671" t="s">
        <v>1331</v>
      </c>
      <c r="E671">
        <v>1</v>
      </c>
      <c r="F671" t="s">
        <v>1659</v>
      </c>
      <c r="I671" t="s">
        <v>1332</v>
      </c>
    </row>
    <row r="672" spans="1:9" x14ac:dyDescent="0.3">
      <c r="A672" t="s">
        <v>2039</v>
      </c>
      <c r="B672">
        <v>707</v>
      </c>
      <c r="C672" t="s">
        <v>1331</v>
      </c>
      <c r="E672">
        <v>1</v>
      </c>
      <c r="F672" t="s">
        <v>1421</v>
      </c>
      <c r="I672" t="s">
        <v>1332</v>
      </c>
    </row>
    <row r="673" spans="1:9" x14ac:dyDescent="0.3">
      <c r="A673" t="s">
        <v>2040</v>
      </c>
      <c r="B673">
        <v>708</v>
      </c>
      <c r="C673" t="s">
        <v>1331</v>
      </c>
      <c r="E673">
        <v>1</v>
      </c>
      <c r="F673" t="s">
        <v>1421</v>
      </c>
      <c r="I673" t="s">
        <v>1332</v>
      </c>
    </row>
    <row r="674" spans="1:9" x14ac:dyDescent="0.3">
      <c r="A674" t="s">
        <v>2041</v>
      </c>
      <c r="B674">
        <v>709</v>
      </c>
      <c r="C674" t="s">
        <v>1331</v>
      </c>
      <c r="E674">
        <v>1</v>
      </c>
      <c r="F674" t="s">
        <v>1421</v>
      </c>
      <c r="I674" t="s">
        <v>1332</v>
      </c>
    </row>
    <row r="675" spans="1:9" x14ac:dyDescent="0.3">
      <c r="A675" t="s">
        <v>2042</v>
      </c>
      <c r="B675">
        <v>710</v>
      </c>
      <c r="C675" t="s">
        <v>1331</v>
      </c>
      <c r="E675">
        <v>1</v>
      </c>
      <c r="F675" t="s">
        <v>1421</v>
      </c>
      <c r="I675" t="s">
        <v>1332</v>
      </c>
    </row>
    <row r="676" spans="1:9" x14ac:dyDescent="0.3">
      <c r="A676" t="s">
        <v>2043</v>
      </c>
      <c r="B676">
        <v>711</v>
      </c>
      <c r="C676" t="s">
        <v>1322</v>
      </c>
      <c r="E676">
        <v>740</v>
      </c>
      <c r="F676" t="s">
        <v>61</v>
      </c>
      <c r="I676" t="s">
        <v>1324</v>
      </c>
    </row>
    <row r="677" spans="1:9" x14ac:dyDescent="0.3">
      <c r="A677" t="s">
        <v>2044</v>
      </c>
      <c r="B677">
        <v>712</v>
      </c>
      <c r="C677" t="s">
        <v>1322</v>
      </c>
      <c r="E677">
        <v>40</v>
      </c>
      <c r="F677" t="s">
        <v>61</v>
      </c>
      <c r="I677" t="s">
        <v>1324</v>
      </c>
    </row>
    <row r="678" spans="1:9" x14ac:dyDescent="0.3">
      <c r="A678" t="s">
        <v>2045</v>
      </c>
      <c r="B678">
        <v>713</v>
      </c>
      <c r="C678" t="s">
        <v>1322</v>
      </c>
      <c r="E678">
        <v>40</v>
      </c>
      <c r="F678" t="s">
        <v>61</v>
      </c>
      <c r="I678" t="s">
        <v>1324</v>
      </c>
    </row>
    <row r="679" spans="1:9" x14ac:dyDescent="0.3">
      <c r="A679" t="s">
        <v>2046</v>
      </c>
      <c r="B679">
        <v>714</v>
      </c>
      <c r="C679" t="s">
        <v>1322</v>
      </c>
      <c r="E679">
        <v>400</v>
      </c>
      <c r="F679" t="s">
        <v>61</v>
      </c>
      <c r="I679" t="s">
        <v>1324</v>
      </c>
    </row>
    <row r="680" spans="1:9" x14ac:dyDescent="0.3">
      <c r="A680" t="s">
        <v>2047</v>
      </c>
      <c r="B680">
        <v>715</v>
      </c>
      <c r="C680" t="s">
        <v>1322</v>
      </c>
      <c r="E680">
        <v>420</v>
      </c>
      <c r="F680" t="s">
        <v>61</v>
      </c>
      <c r="I680" t="s">
        <v>1324</v>
      </c>
    </row>
    <row r="681" spans="1:9" x14ac:dyDescent="0.3">
      <c r="A681" t="s">
        <v>2048</v>
      </c>
      <c r="B681">
        <v>716</v>
      </c>
      <c r="C681" t="s">
        <v>1322</v>
      </c>
      <c r="E681">
        <v>400</v>
      </c>
      <c r="F681" t="s">
        <v>61</v>
      </c>
      <c r="I681" t="s">
        <v>1324</v>
      </c>
    </row>
    <row r="682" spans="1:9" x14ac:dyDescent="0.3">
      <c r="A682" t="s">
        <v>2049</v>
      </c>
      <c r="B682">
        <v>717</v>
      </c>
      <c r="C682" t="s">
        <v>1322</v>
      </c>
      <c r="E682">
        <v>400</v>
      </c>
      <c r="F682" t="s">
        <v>61</v>
      </c>
      <c r="I682" t="s">
        <v>1324</v>
      </c>
    </row>
    <row r="683" spans="1:9" x14ac:dyDescent="0.3">
      <c r="A683" t="s">
        <v>2050</v>
      </c>
      <c r="B683">
        <v>718</v>
      </c>
      <c r="C683" t="s">
        <v>1331</v>
      </c>
      <c r="E683">
        <v>1</v>
      </c>
      <c r="F683" t="s">
        <v>1421</v>
      </c>
      <c r="I683" t="s">
        <v>1332</v>
      </c>
    </row>
    <row r="684" spans="1:9" x14ac:dyDescent="0.3">
      <c r="A684" t="s">
        <v>2051</v>
      </c>
      <c r="B684">
        <v>719</v>
      </c>
      <c r="C684" t="s">
        <v>1331</v>
      </c>
      <c r="E684">
        <v>1</v>
      </c>
      <c r="F684" t="s">
        <v>1421</v>
      </c>
      <c r="I684" t="s">
        <v>1332</v>
      </c>
    </row>
    <row r="685" spans="1:9" x14ac:dyDescent="0.3">
      <c r="A685" t="s">
        <v>2052</v>
      </c>
      <c r="B685">
        <v>721</v>
      </c>
      <c r="C685" t="s">
        <v>1331</v>
      </c>
      <c r="E685">
        <v>1</v>
      </c>
      <c r="F685" t="s">
        <v>1421</v>
      </c>
      <c r="I685" t="s">
        <v>1332</v>
      </c>
    </row>
    <row r="686" spans="1:9" x14ac:dyDescent="0.3">
      <c r="A686" t="s">
        <v>2053</v>
      </c>
      <c r="B686">
        <v>722</v>
      </c>
      <c r="C686" t="s">
        <v>1331</v>
      </c>
      <c r="E686">
        <v>1</v>
      </c>
      <c r="F686" t="s">
        <v>1421</v>
      </c>
      <c r="I686" t="s">
        <v>1332</v>
      </c>
    </row>
    <row r="687" spans="1:9" x14ac:dyDescent="0.3">
      <c r="A687" t="s">
        <v>2054</v>
      </c>
      <c r="B687">
        <v>723</v>
      </c>
      <c r="C687" t="s">
        <v>1331</v>
      </c>
      <c r="E687">
        <v>1</v>
      </c>
      <c r="F687" t="s">
        <v>1421</v>
      </c>
      <c r="I687" t="s">
        <v>1332</v>
      </c>
    </row>
    <row r="688" spans="1:9" x14ac:dyDescent="0.3">
      <c r="A688" t="s">
        <v>2055</v>
      </c>
      <c r="B688">
        <v>724</v>
      </c>
      <c r="C688" t="s">
        <v>1322</v>
      </c>
      <c r="E688">
        <v>2</v>
      </c>
      <c r="F688" t="s">
        <v>1421</v>
      </c>
      <c r="I688" t="s">
        <v>1324</v>
      </c>
    </row>
    <row r="689" spans="1:9" x14ac:dyDescent="0.3">
      <c r="A689" t="s">
        <v>2056</v>
      </c>
      <c r="B689">
        <v>725</v>
      </c>
      <c r="C689" t="s">
        <v>1322</v>
      </c>
      <c r="E689">
        <v>2</v>
      </c>
      <c r="F689" t="s">
        <v>1421</v>
      </c>
      <c r="I689" t="s">
        <v>1324</v>
      </c>
    </row>
    <row r="690" spans="1:9" x14ac:dyDescent="0.3">
      <c r="A690" t="s">
        <v>2057</v>
      </c>
      <c r="B690">
        <v>726</v>
      </c>
      <c r="C690" t="s">
        <v>1331</v>
      </c>
      <c r="E690">
        <v>1</v>
      </c>
      <c r="F690" t="s">
        <v>1421</v>
      </c>
      <c r="I690" t="s">
        <v>1332</v>
      </c>
    </row>
    <row r="691" spans="1:9" x14ac:dyDescent="0.3">
      <c r="A691" t="s">
        <v>2058</v>
      </c>
      <c r="B691">
        <v>727</v>
      </c>
      <c r="C691" t="s">
        <v>1331</v>
      </c>
      <c r="E691">
        <v>1</v>
      </c>
      <c r="F691" t="s">
        <v>1421</v>
      </c>
      <c r="I691" t="s">
        <v>1332</v>
      </c>
    </row>
    <row r="692" spans="1:9" x14ac:dyDescent="0.3">
      <c r="A692" t="s">
        <v>2059</v>
      </c>
      <c r="B692">
        <v>728</v>
      </c>
      <c r="C692" t="s">
        <v>1331</v>
      </c>
      <c r="E692">
        <v>1</v>
      </c>
      <c r="F692" t="s">
        <v>1421</v>
      </c>
      <c r="I692" t="s">
        <v>1332</v>
      </c>
    </row>
    <row r="693" spans="1:9" x14ac:dyDescent="0.3">
      <c r="A693" t="s">
        <v>2060</v>
      </c>
      <c r="B693">
        <v>729</v>
      </c>
      <c r="C693" t="s">
        <v>1331</v>
      </c>
      <c r="E693">
        <v>1</v>
      </c>
      <c r="F693" t="s">
        <v>1421</v>
      </c>
      <c r="I693" t="s">
        <v>1332</v>
      </c>
    </row>
    <row r="694" spans="1:9" x14ac:dyDescent="0.3">
      <c r="A694" t="s">
        <v>2061</v>
      </c>
      <c r="B694">
        <v>730</v>
      </c>
      <c r="C694" t="s">
        <v>1322</v>
      </c>
      <c r="E694">
        <v>13</v>
      </c>
      <c r="F694" t="s">
        <v>1421</v>
      </c>
      <c r="I694" t="s">
        <v>1324</v>
      </c>
    </row>
    <row r="695" spans="1:9" x14ac:dyDescent="0.3">
      <c r="A695" t="s">
        <v>2062</v>
      </c>
      <c r="B695">
        <v>731</v>
      </c>
      <c r="C695" t="s">
        <v>1322</v>
      </c>
      <c r="E695">
        <v>13</v>
      </c>
      <c r="F695" t="s">
        <v>1421</v>
      </c>
      <c r="I695" t="s">
        <v>1324</v>
      </c>
    </row>
    <row r="696" spans="1:9" x14ac:dyDescent="0.3">
      <c r="A696" t="s">
        <v>2063</v>
      </c>
      <c r="B696">
        <v>732</v>
      </c>
      <c r="C696" t="s">
        <v>1322</v>
      </c>
      <c r="E696">
        <v>23</v>
      </c>
      <c r="F696" t="s">
        <v>1421</v>
      </c>
      <c r="I696" t="s">
        <v>1324</v>
      </c>
    </row>
    <row r="697" spans="1:9" x14ac:dyDescent="0.3">
      <c r="A697" t="s">
        <v>2064</v>
      </c>
      <c r="B697">
        <v>733</v>
      </c>
      <c r="C697" t="s">
        <v>1322</v>
      </c>
      <c r="E697">
        <v>23</v>
      </c>
      <c r="F697" t="s">
        <v>1421</v>
      </c>
      <c r="I697" t="s">
        <v>1324</v>
      </c>
    </row>
    <row r="698" spans="1:9" x14ac:dyDescent="0.3">
      <c r="A698" t="s">
        <v>2065</v>
      </c>
      <c r="B698">
        <v>734</v>
      </c>
      <c r="C698" t="s">
        <v>1331</v>
      </c>
      <c r="E698">
        <v>1</v>
      </c>
      <c r="F698" t="s">
        <v>1421</v>
      </c>
      <c r="I698" t="s">
        <v>1332</v>
      </c>
    </row>
    <row r="699" spans="1:9" x14ac:dyDescent="0.3">
      <c r="A699" t="s">
        <v>2066</v>
      </c>
      <c r="B699">
        <v>735</v>
      </c>
      <c r="C699" t="s">
        <v>1331</v>
      </c>
      <c r="E699">
        <v>1</v>
      </c>
      <c r="F699" t="s">
        <v>1421</v>
      </c>
      <c r="I699" t="s">
        <v>1332</v>
      </c>
    </row>
    <row r="700" spans="1:9" x14ac:dyDescent="0.3">
      <c r="A700" t="s">
        <v>2067</v>
      </c>
      <c r="B700">
        <v>736</v>
      </c>
      <c r="C700" t="s">
        <v>1322</v>
      </c>
      <c r="E700">
        <v>2</v>
      </c>
      <c r="F700" t="s">
        <v>1421</v>
      </c>
      <c r="I700" t="s">
        <v>1324</v>
      </c>
    </row>
    <row r="701" spans="1:9" x14ac:dyDescent="0.3">
      <c r="A701" t="s">
        <v>2068</v>
      </c>
      <c r="B701">
        <v>737</v>
      </c>
      <c r="C701" t="s">
        <v>1331</v>
      </c>
      <c r="E701">
        <v>1</v>
      </c>
      <c r="F701" t="s">
        <v>1421</v>
      </c>
      <c r="I701" t="s">
        <v>1332</v>
      </c>
    </row>
    <row r="702" spans="1:9" x14ac:dyDescent="0.3">
      <c r="A702" t="s">
        <v>2069</v>
      </c>
      <c r="B702">
        <v>738</v>
      </c>
      <c r="C702" t="s">
        <v>1331</v>
      </c>
      <c r="E702">
        <v>1</v>
      </c>
      <c r="F702" t="s">
        <v>1421</v>
      </c>
      <c r="I702" t="s">
        <v>1332</v>
      </c>
    </row>
    <row r="703" spans="1:9" x14ac:dyDescent="0.3">
      <c r="A703" t="s">
        <v>2070</v>
      </c>
      <c r="B703">
        <v>739</v>
      </c>
      <c r="C703" t="s">
        <v>1331</v>
      </c>
      <c r="E703">
        <v>50</v>
      </c>
      <c r="F703" t="s">
        <v>61</v>
      </c>
      <c r="I703" t="s">
        <v>1332</v>
      </c>
    </row>
    <row r="704" spans="1:9" x14ac:dyDescent="0.3">
      <c r="A704" t="s">
        <v>2071</v>
      </c>
      <c r="B704">
        <v>740</v>
      </c>
      <c r="C704" t="s">
        <v>1405</v>
      </c>
      <c r="D704">
        <v>1580</v>
      </c>
      <c r="E704">
        <v>1580</v>
      </c>
      <c r="F704" t="s">
        <v>61</v>
      </c>
      <c r="G704" t="s">
        <v>1318</v>
      </c>
      <c r="H704" t="s">
        <v>2072</v>
      </c>
      <c r="I704" t="s">
        <v>2073</v>
      </c>
    </row>
    <row r="705" spans="1:9" x14ac:dyDescent="0.3">
      <c r="A705" t="s">
        <v>2074</v>
      </c>
      <c r="B705">
        <v>741</v>
      </c>
      <c r="C705" t="s">
        <v>1331</v>
      </c>
      <c r="E705">
        <v>1630</v>
      </c>
      <c r="F705" t="s">
        <v>61</v>
      </c>
      <c r="I705" t="s">
        <v>1332</v>
      </c>
    </row>
    <row r="706" spans="1:9" x14ac:dyDescent="0.3">
      <c r="A706" t="s">
        <v>2075</v>
      </c>
      <c r="B706">
        <v>742</v>
      </c>
      <c r="C706" t="s">
        <v>1331</v>
      </c>
      <c r="E706">
        <v>1</v>
      </c>
      <c r="F706" t="s">
        <v>1421</v>
      </c>
      <c r="I706" t="s">
        <v>1332</v>
      </c>
    </row>
    <row r="707" spans="1:9" x14ac:dyDescent="0.3">
      <c r="A707" t="s">
        <v>2076</v>
      </c>
      <c r="B707">
        <v>743</v>
      </c>
      <c r="C707" t="s">
        <v>1331</v>
      </c>
      <c r="E707">
        <v>1</v>
      </c>
      <c r="F707" t="s">
        <v>1421</v>
      </c>
      <c r="I707" t="s">
        <v>1332</v>
      </c>
    </row>
    <row r="708" spans="1:9" x14ac:dyDescent="0.3">
      <c r="A708" t="s">
        <v>2077</v>
      </c>
      <c r="B708">
        <v>744</v>
      </c>
      <c r="C708" t="s">
        <v>1331</v>
      </c>
      <c r="E708">
        <v>1</v>
      </c>
      <c r="F708" t="s">
        <v>1421</v>
      </c>
      <c r="I708" t="s">
        <v>1332</v>
      </c>
    </row>
    <row r="709" spans="1:9" x14ac:dyDescent="0.3">
      <c r="A709" t="s">
        <v>2078</v>
      </c>
      <c r="B709">
        <v>746</v>
      </c>
      <c r="C709" t="s">
        <v>1322</v>
      </c>
      <c r="E709">
        <v>2</v>
      </c>
      <c r="F709" t="s">
        <v>1421</v>
      </c>
      <c r="I709" t="s">
        <v>1324</v>
      </c>
    </row>
    <row r="710" spans="1:9" x14ac:dyDescent="0.3">
      <c r="A710" t="s">
        <v>2079</v>
      </c>
      <c r="B710">
        <v>747</v>
      </c>
      <c r="C710" t="s">
        <v>1331</v>
      </c>
      <c r="E710">
        <v>1</v>
      </c>
      <c r="F710" t="s">
        <v>1421</v>
      </c>
      <c r="I710" t="s">
        <v>1332</v>
      </c>
    </row>
    <row r="711" spans="1:9" x14ac:dyDescent="0.3">
      <c r="A711" t="s">
        <v>2080</v>
      </c>
      <c r="B711">
        <v>748</v>
      </c>
      <c r="C711" t="s">
        <v>1331</v>
      </c>
      <c r="E711">
        <v>1</v>
      </c>
      <c r="F711" t="s">
        <v>1421</v>
      </c>
      <c r="I711" t="s">
        <v>1332</v>
      </c>
    </row>
    <row r="712" spans="1:9" x14ac:dyDescent="0.3">
      <c r="A712" t="s">
        <v>2081</v>
      </c>
      <c r="B712">
        <v>749</v>
      </c>
      <c r="C712" t="s">
        <v>1331</v>
      </c>
      <c r="E712">
        <v>1</v>
      </c>
      <c r="F712" t="s">
        <v>1659</v>
      </c>
      <c r="I712" t="s">
        <v>1332</v>
      </c>
    </row>
    <row r="713" spans="1:9" x14ac:dyDescent="0.3">
      <c r="A713" t="s">
        <v>2082</v>
      </c>
      <c r="B713">
        <v>750</v>
      </c>
      <c r="C713" t="s">
        <v>1331</v>
      </c>
      <c r="E713">
        <v>1</v>
      </c>
      <c r="F713" t="s">
        <v>1421</v>
      </c>
      <c r="I713" t="s">
        <v>1332</v>
      </c>
    </row>
    <row r="714" spans="1:9" x14ac:dyDescent="0.3">
      <c r="A714" t="s">
        <v>2083</v>
      </c>
      <c r="B714">
        <v>751</v>
      </c>
      <c r="C714" t="s">
        <v>1331</v>
      </c>
      <c r="E714">
        <v>1</v>
      </c>
      <c r="F714" t="s">
        <v>1421</v>
      </c>
      <c r="I714" t="s">
        <v>1332</v>
      </c>
    </row>
    <row r="715" spans="1:9" x14ac:dyDescent="0.3">
      <c r="A715" t="s">
        <v>2084</v>
      </c>
      <c r="B715">
        <v>752</v>
      </c>
      <c r="C715" t="s">
        <v>1322</v>
      </c>
      <c r="E715">
        <v>2</v>
      </c>
      <c r="F715" t="s">
        <v>1421</v>
      </c>
      <c r="I715" t="s">
        <v>1324</v>
      </c>
    </row>
    <row r="716" spans="1:9" x14ac:dyDescent="0.3">
      <c r="A716" t="s">
        <v>2085</v>
      </c>
      <c r="B716">
        <v>753</v>
      </c>
      <c r="C716" t="s">
        <v>1322</v>
      </c>
      <c r="E716">
        <v>2</v>
      </c>
      <c r="F716" t="s">
        <v>1421</v>
      </c>
      <c r="I716" t="s">
        <v>1324</v>
      </c>
    </row>
    <row r="717" spans="1:9" x14ac:dyDescent="0.3">
      <c r="A717" t="s">
        <v>2086</v>
      </c>
      <c r="B717">
        <v>754</v>
      </c>
      <c r="C717" t="s">
        <v>1322</v>
      </c>
      <c r="E717">
        <v>40</v>
      </c>
      <c r="F717" t="s">
        <v>61</v>
      </c>
      <c r="I717" t="s">
        <v>1324</v>
      </c>
    </row>
    <row r="718" spans="1:9" x14ac:dyDescent="0.3">
      <c r="A718" t="s">
        <v>2087</v>
      </c>
      <c r="B718">
        <v>755</v>
      </c>
      <c r="C718" t="s">
        <v>1322</v>
      </c>
      <c r="E718">
        <v>400</v>
      </c>
      <c r="F718" t="s">
        <v>61</v>
      </c>
      <c r="I718" t="s">
        <v>1324</v>
      </c>
    </row>
    <row r="719" spans="1:9" x14ac:dyDescent="0.3">
      <c r="A719" t="s">
        <v>2088</v>
      </c>
      <c r="B719">
        <v>756</v>
      </c>
      <c r="C719" t="s">
        <v>1322</v>
      </c>
      <c r="E719">
        <v>440</v>
      </c>
      <c r="F719" t="s">
        <v>61</v>
      </c>
      <c r="I719" t="s">
        <v>1324</v>
      </c>
    </row>
    <row r="720" spans="1:9" x14ac:dyDescent="0.3">
      <c r="A720" t="s">
        <v>2089</v>
      </c>
      <c r="B720">
        <v>757</v>
      </c>
      <c r="C720" t="s">
        <v>1322</v>
      </c>
      <c r="E720">
        <v>2</v>
      </c>
      <c r="F720" t="s">
        <v>1421</v>
      </c>
      <c r="I720" t="s">
        <v>1324</v>
      </c>
    </row>
    <row r="721" spans="1:9" x14ac:dyDescent="0.3">
      <c r="A721" t="s">
        <v>2090</v>
      </c>
      <c r="B721">
        <v>758</v>
      </c>
      <c r="C721" t="s">
        <v>1331</v>
      </c>
      <c r="E721">
        <v>10</v>
      </c>
      <c r="F721" t="s">
        <v>1421</v>
      </c>
      <c r="I721" t="s">
        <v>1332</v>
      </c>
    </row>
    <row r="722" spans="1:9" x14ac:dyDescent="0.3">
      <c r="A722" t="s">
        <v>2091</v>
      </c>
      <c r="B722">
        <v>759</v>
      </c>
      <c r="C722" t="s">
        <v>1331</v>
      </c>
      <c r="E722">
        <v>10</v>
      </c>
      <c r="F722" t="s">
        <v>1421</v>
      </c>
      <c r="I722" t="s">
        <v>1332</v>
      </c>
    </row>
    <row r="723" spans="1:9" x14ac:dyDescent="0.3">
      <c r="A723" t="s">
        <v>2092</v>
      </c>
      <c r="B723">
        <v>760</v>
      </c>
      <c r="C723" t="s">
        <v>1331</v>
      </c>
      <c r="E723">
        <v>12</v>
      </c>
      <c r="F723" t="s">
        <v>130</v>
      </c>
      <c r="I723" t="s">
        <v>1332</v>
      </c>
    </row>
    <row r="724" spans="1:9" x14ac:dyDescent="0.3">
      <c r="A724" t="s">
        <v>2093</v>
      </c>
      <c r="B724">
        <v>761</v>
      </c>
      <c r="C724" t="s">
        <v>1331</v>
      </c>
      <c r="E724">
        <v>20</v>
      </c>
      <c r="F724" t="s">
        <v>61</v>
      </c>
      <c r="I724" t="s">
        <v>1332</v>
      </c>
    </row>
    <row r="725" spans="1:9" x14ac:dyDescent="0.3">
      <c r="A725" t="s">
        <v>2094</v>
      </c>
      <c r="B725">
        <v>762</v>
      </c>
      <c r="C725" t="s">
        <v>1331</v>
      </c>
      <c r="E725">
        <v>20</v>
      </c>
      <c r="F725" t="s">
        <v>61</v>
      </c>
      <c r="I725" t="s">
        <v>1332</v>
      </c>
    </row>
    <row r="726" spans="1:9" x14ac:dyDescent="0.3">
      <c r="A726" t="s">
        <v>2095</v>
      </c>
      <c r="B726">
        <v>763</v>
      </c>
      <c r="C726" t="s">
        <v>1322</v>
      </c>
      <c r="E726">
        <v>13.38</v>
      </c>
      <c r="F726" t="s">
        <v>130</v>
      </c>
      <c r="I726" t="s">
        <v>1324</v>
      </c>
    </row>
    <row r="727" spans="1:9" x14ac:dyDescent="0.3">
      <c r="A727" t="s">
        <v>2096</v>
      </c>
      <c r="B727">
        <v>764</v>
      </c>
      <c r="C727" t="s">
        <v>1322</v>
      </c>
      <c r="E727">
        <v>15</v>
      </c>
      <c r="F727" t="s">
        <v>61</v>
      </c>
      <c r="I727" t="s">
        <v>1324</v>
      </c>
    </row>
    <row r="728" spans="1:9" x14ac:dyDescent="0.3">
      <c r="A728" t="s">
        <v>2097</v>
      </c>
      <c r="B728">
        <v>766</v>
      </c>
      <c r="C728" t="s">
        <v>1331</v>
      </c>
      <c r="E728">
        <v>1</v>
      </c>
      <c r="F728" t="s">
        <v>1421</v>
      </c>
      <c r="I728" t="s">
        <v>1332</v>
      </c>
    </row>
    <row r="729" spans="1:9" x14ac:dyDescent="0.3">
      <c r="A729" t="s">
        <v>2098</v>
      </c>
      <c r="B729">
        <v>767</v>
      </c>
      <c r="C729" t="s">
        <v>1331</v>
      </c>
      <c r="E729">
        <v>1</v>
      </c>
      <c r="F729" t="s">
        <v>1421</v>
      </c>
      <c r="I729" t="s">
        <v>1332</v>
      </c>
    </row>
    <row r="730" spans="1:9" x14ac:dyDescent="0.3">
      <c r="A730" t="s">
        <v>2099</v>
      </c>
      <c r="B730">
        <v>768</v>
      </c>
      <c r="C730" t="s">
        <v>1331</v>
      </c>
      <c r="E730">
        <v>1</v>
      </c>
      <c r="F730" t="s">
        <v>1421</v>
      </c>
      <c r="I730" t="s">
        <v>1332</v>
      </c>
    </row>
    <row r="731" spans="1:9" x14ac:dyDescent="0.3">
      <c r="A731" t="s">
        <v>2100</v>
      </c>
      <c r="B731">
        <v>769</v>
      </c>
      <c r="C731" t="s">
        <v>1331</v>
      </c>
      <c r="E731">
        <v>1</v>
      </c>
      <c r="F731" t="s">
        <v>1421</v>
      </c>
      <c r="I731" t="s">
        <v>1332</v>
      </c>
    </row>
    <row r="732" spans="1:9" x14ac:dyDescent="0.3">
      <c r="A732" t="s">
        <v>2101</v>
      </c>
      <c r="B732">
        <v>770</v>
      </c>
      <c r="C732" t="s">
        <v>1331</v>
      </c>
      <c r="E732">
        <v>1</v>
      </c>
      <c r="F732" t="s">
        <v>1421</v>
      </c>
      <c r="I732" t="s">
        <v>1332</v>
      </c>
    </row>
    <row r="733" spans="1:9" x14ac:dyDescent="0.3">
      <c r="A733" t="s">
        <v>2102</v>
      </c>
      <c r="B733">
        <v>771</v>
      </c>
      <c r="C733" t="s">
        <v>1331</v>
      </c>
      <c r="E733">
        <v>1</v>
      </c>
      <c r="F733" t="s">
        <v>1421</v>
      </c>
      <c r="I733" t="s">
        <v>1332</v>
      </c>
    </row>
    <row r="734" spans="1:9" x14ac:dyDescent="0.3">
      <c r="A734" t="s">
        <v>2103</v>
      </c>
      <c r="B734">
        <v>772</v>
      </c>
      <c r="C734" t="s">
        <v>1322</v>
      </c>
      <c r="E734">
        <v>2</v>
      </c>
      <c r="F734" t="s">
        <v>1421</v>
      </c>
      <c r="I734" t="s">
        <v>1324</v>
      </c>
    </row>
    <row r="735" spans="1:9" x14ac:dyDescent="0.3">
      <c r="A735" t="s">
        <v>2104</v>
      </c>
      <c r="B735">
        <v>773</v>
      </c>
      <c r="C735" t="s">
        <v>1322</v>
      </c>
      <c r="E735">
        <v>2</v>
      </c>
      <c r="F735" t="s">
        <v>1421</v>
      </c>
      <c r="I735" t="s">
        <v>1324</v>
      </c>
    </row>
    <row r="736" spans="1:9" x14ac:dyDescent="0.3">
      <c r="A736" t="s">
        <v>2105</v>
      </c>
      <c r="B736">
        <v>774</v>
      </c>
      <c r="C736" t="s">
        <v>1322</v>
      </c>
      <c r="E736">
        <v>60</v>
      </c>
      <c r="F736" t="s">
        <v>61</v>
      </c>
      <c r="I736" t="s">
        <v>1324</v>
      </c>
    </row>
    <row r="737" spans="1:9" x14ac:dyDescent="0.3">
      <c r="A737" t="s">
        <v>2106</v>
      </c>
      <c r="B737">
        <v>775</v>
      </c>
      <c r="C737" t="s">
        <v>1322</v>
      </c>
      <c r="E737">
        <v>100</v>
      </c>
      <c r="F737" t="s">
        <v>61</v>
      </c>
      <c r="I737" t="s">
        <v>1324</v>
      </c>
    </row>
    <row r="738" spans="1:9" x14ac:dyDescent="0.3">
      <c r="A738" t="s">
        <v>2107</v>
      </c>
      <c r="B738">
        <v>776</v>
      </c>
      <c r="C738" t="s">
        <v>1322</v>
      </c>
      <c r="E738">
        <v>55</v>
      </c>
      <c r="F738" t="s">
        <v>61</v>
      </c>
      <c r="I738" t="s">
        <v>1324</v>
      </c>
    </row>
    <row r="739" spans="1:9" x14ac:dyDescent="0.3">
      <c r="A739" t="s">
        <v>2108</v>
      </c>
      <c r="B739">
        <v>777</v>
      </c>
      <c r="C739" t="s">
        <v>1322</v>
      </c>
      <c r="E739">
        <v>105</v>
      </c>
      <c r="F739" t="s">
        <v>61</v>
      </c>
      <c r="I739" t="s">
        <v>1324</v>
      </c>
    </row>
    <row r="740" spans="1:9" x14ac:dyDescent="0.3">
      <c r="A740" t="s">
        <v>2109</v>
      </c>
      <c r="B740">
        <v>778</v>
      </c>
      <c r="C740" t="s">
        <v>1331</v>
      </c>
      <c r="E740">
        <v>1</v>
      </c>
      <c r="F740" t="s">
        <v>1421</v>
      </c>
      <c r="I740" t="s">
        <v>1332</v>
      </c>
    </row>
    <row r="741" spans="1:9" x14ac:dyDescent="0.3">
      <c r="A741" t="s">
        <v>2110</v>
      </c>
      <c r="B741">
        <v>779</v>
      </c>
      <c r="C741" t="s">
        <v>1331</v>
      </c>
      <c r="E741">
        <v>1</v>
      </c>
      <c r="F741" t="s">
        <v>1421</v>
      </c>
      <c r="I741" t="s">
        <v>1332</v>
      </c>
    </row>
    <row r="742" spans="1:9" x14ac:dyDescent="0.3">
      <c r="A742" t="s">
        <v>2111</v>
      </c>
      <c r="B742">
        <v>780</v>
      </c>
      <c r="C742" t="s">
        <v>1331</v>
      </c>
      <c r="E742">
        <v>1</v>
      </c>
      <c r="F742" t="s">
        <v>1421</v>
      </c>
      <c r="I742" t="s">
        <v>1332</v>
      </c>
    </row>
    <row r="743" spans="1:9" x14ac:dyDescent="0.3">
      <c r="A743" t="s">
        <v>2112</v>
      </c>
      <c r="B743">
        <v>781</v>
      </c>
      <c r="C743" t="s">
        <v>1322</v>
      </c>
      <c r="E743">
        <v>55</v>
      </c>
      <c r="F743" t="s">
        <v>61</v>
      </c>
      <c r="I743" t="s">
        <v>1324</v>
      </c>
    </row>
    <row r="744" spans="1:9" x14ac:dyDescent="0.3">
      <c r="A744" t="s">
        <v>2113</v>
      </c>
      <c r="B744">
        <v>782</v>
      </c>
      <c r="C744" t="s">
        <v>1322</v>
      </c>
      <c r="E744">
        <v>55</v>
      </c>
      <c r="F744" t="s">
        <v>61</v>
      </c>
      <c r="I744" t="s">
        <v>1324</v>
      </c>
    </row>
    <row r="745" spans="1:9" x14ac:dyDescent="0.3">
      <c r="A745" t="s">
        <v>2114</v>
      </c>
      <c r="B745">
        <v>784</v>
      </c>
      <c r="C745" t="s">
        <v>1322</v>
      </c>
      <c r="E745">
        <v>2</v>
      </c>
      <c r="F745" t="s">
        <v>61</v>
      </c>
      <c r="I745" t="s">
        <v>1324</v>
      </c>
    </row>
    <row r="746" spans="1:9" x14ac:dyDescent="0.3">
      <c r="A746" t="s">
        <v>2115</v>
      </c>
      <c r="B746">
        <v>785</v>
      </c>
      <c r="C746" t="s">
        <v>1331</v>
      </c>
      <c r="E746">
        <v>1</v>
      </c>
      <c r="F746" t="s">
        <v>1421</v>
      </c>
      <c r="I746" t="s">
        <v>1332</v>
      </c>
    </row>
    <row r="747" spans="1:9" x14ac:dyDescent="0.3">
      <c r="A747" t="s">
        <v>2116</v>
      </c>
      <c r="B747">
        <v>786</v>
      </c>
      <c r="C747" t="s">
        <v>1331</v>
      </c>
      <c r="E747">
        <v>1</v>
      </c>
      <c r="F747" t="s">
        <v>1421</v>
      </c>
      <c r="I747" t="s">
        <v>1332</v>
      </c>
    </row>
    <row r="748" spans="1:9" x14ac:dyDescent="0.3">
      <c r="A748" t="s">
        <v>2117</v>
      </c>
      <c r="B748">
        <v>787</v>
      </c>
      <c r="C748" t="s">
        <v>1331</v>
      </c>
      <c r="E748">
        <v>1</v>
      </c>
      <c r="F748" t="s">
        <v>1421</v>
      </c>
      <c r="I748" t="s">
        <v>1332</v>
      </c>
    </row>
    <row r="749" spans="1:9" x14ac:dyDescent="0.3">
      <c r="A749" t="s">
        <v>2118</v>
      </c>
      <c r="B749">
        <v>788</v>
      </c>
      <c r="C749" t="s">
        <v>1331</v>
      </c>
      <c r="E749">
        <v>1</v>
      </c>
      <c r="F749" t="s">
        <v>1421</v>
      </c>
      <c r="I749" t="s">
        <v>1332</v>
      </c>
    </row>
    <row r="750" spans="1:9" x14ac:dyDescent="0.3">
      <c r="A750" t="s">
        <v>2119</v>
      </c>
      <c r="B750">
        <v>789</v>
      </c>
      <c r="C750" t="s">
        <v>1331</v>
      </c>
      <c r="E750">
        <v>1</v>
      </c>
      <c r="F750" t="s">
        <v>1421</v>
      </c>
      <c r="I750" t="s">
        <v>1332</v>
      </c>
    </row>
    <row r="751" spans="1:9" x14ac:dyDescent="0.3">
      <c r="A751" t="s">
        <v>2120</v>
      </c>
      <c r="B751">
        <v>790</v>
      </c>
      <c r="C751" t="s">
        <v>1331</v>
      </c>
      <c r="E751">
        <v>1</v>
      </c>
      <c r="F751" t="s">
        <v>1421</v>
      </c>
      <c r="I751" t="s">
        <v>1332</v>
      </c>
    </row>
    <row r="752" spans="1:9" x14ac:dyDescent="0.3">
      <c r="A752" t="s">
        <v>2121</v>
      </c>
      <c r="B752">
        <v>791</v>
      </c>
      <c r="C752" t="s">
        <v>1331</v>
      </c>
      <c r="E752">
        <v>1</v>
      </c>
      <c r="F752" t="s">
        <v>1659</v>
      </c>
      <c r="I752" t="s">
        <v>1332</v>
      </c>
    </row>
    <row r="753" spans="1:9" x14ac:dyDescent="0.3">
      <c r="A753" t="s">
        <v>2122</v>
      </c>
      <c r="B753">
        <v>792</v>
      </c>
      <c r="C753" t="s">
        <v>1331</v>
      </c>
      <c r="E753">
        <v>1</v>
      </c>
      <c r="F753" t="s">
        <v>1421</v>
      </c>
      <c r="I753" t="s">
        <v>1332</v>
      </c>
    </row>
    <row r="754" spans="1:9" x14ac:dyDescent="0.3">
      <c r="A754" t="s">
        <v>2123</v>
      </c>
      <c r="B754">
        <v>793</v>
      </c>
      <c r="C754" t="s">
        <v>1331</v>
      </c>
      <c r="E754">
        <v>1</v>
      </c>
      <c r="F754" t="s">
        <v>1421</v>
      </c>
      <c r="I754" t="s">
        <v>1332</v>
      </c>
    </row>
    <row r="755" spans="1:9" x14ac:dyDescent="0.3">
      <c r="A755" t="s">
        <v>2124</v>
      </c>
      <c r="B755">
        <v>794</v>
      </c>
      <c r="C755" t="s">
        <v>1331</v>
      </c>
      <c r="E755">
        <v>1</v>
      </c>
      <c r="F755" t="s">
        <v>1421</v>
      </c>
      <c r="I755" t="s">
        <v>1332</v>
      </c>
    </row>
    <row r="756" spans="1:9" x14ac:dyDescent="0.3">
      <c r="A756" t="s">
        <v>2125</v>
      </c>
      <c r="B756">
        <v>795</v>
      </c>
      <c r="C756" t="s">
        <v>1322</v>
      </c>
      <c r="E756">
        <v>2</v>
      </c>
      <c r="F756" t="s">
        <v>1421</v>
      </c>
      <c r="I756" t="s">
        <v>1324</v>
      </c>
    </row>
    <row r="757" spans="1:9" x14ac:dyDescent="0.3">
      <c r="A757" t="s">
        <v>2126</v>
      </c>
      <c r="B757">
        <v>796</v>
      </c>
      <c r="C757" t="s">
        <v>1331</v>
      </c>
      <c r="E757">
        <v>4</v>
      </c>
      <c r="F757" t="s">
        <v>1659</v>
      </c>
      <c r="I757" t="s">
        <v>1332</v>
      </c>
    </row>
    <row r="758" spans="1:9" x14ac:dyDescent="0.3">
      <c r="A758" t="s">
        <v>2127</v>
      </c>
      <c r="B758">
        <v>797</v>
      </c>
      <c r="C758" t="s">
        <v>1322</v>
      </c>
      <c r="E758">
        <v>2</v>
      </c>
      <c r="F758" t="s">
        <v>1659</v>
      </c>
      <c r="I758" t="s">
        <v>1324</v>
      </c>
    </row>
    <row r="759" spans="1:9" x14ac:dyDescent="0.3">
      <c r="A759" t="s">
        <v>2128</v>
      </c>
      <c r="B759">
        <v>798</v>
      </c>
      <c r="C759" t="s">
        <v>1331</v>
      </c>
      <c r="E759">
        <v>17</v>
      </c>
      <c r="F759" t="s">
        <v>1421</v>
      </c>
      <c r="I759" t="s">
        <v>1332</v>
      </c>
    </row>
    <row r="760" spans="1:9" x14ac:dyDescent="0.3">
      <c r="A760" t="s">
        <v>2129</v>
      </c>
      <c r="B760">
        <v>799</v>
      </c>
      <c r="C760" t="s">
        <v>1331</v>
      </c>
      <c r="E760">
        <v>17</v>
      </c>
      <c r="F760" t="s">
        <v>1421</v>
      </c>
      <c r="I760" t="s">
        <v>1332</v>
      </c>
    </row>
    <row r="761" spans="1:9" x14ac:dyDescent="0.3">
      <c r="A761" t="s">
        <v>2130</v>
      </c>
      <c r="B761">
        <v>800</v>
      </c>
      <c r="C761" t="s">
        <v>1322</v>
      </c>
      <c r="E761">
        <v>26</v>
      </c>
      <c r="F761" t="s">
        <v>1421</v>
      </c>
      <c r="I761" t="s">
        <v>1324</v>
      </c>
    </row>
    <row r="762" spans="1:9" x14ac:dyDescent="0.3">
      <c r="A762" t="s">
        <v>2131</v>
      </c>
      <c r="B762">
        <v>801</v>
      </c>
      <c r="C762" t="s">
        <v>1331</v>
      </c>
      <c r="E762">
        <v>5</v>
      </c>
      <c r="F762" t="s">
        <v>1421</v>
      </c>
      <c r="I762" t="s">
        <v>1332</v>
      </c>
    </row>
    <row r="763" spans="1:9" x14ac:dyDescent="0.3">
      <c r="A763" t="s">
        <v>2132</v>
      </c>
      <c r="B763">
        <v>802</v>
      </c>
      <c r="C763" t="s">
        <v>1331</v>
      </c>
      <c r="E763">
        <v>4</v>
      </c>
      <c r="F763" t="s">
        <v>1421</v>
      </c>
      <c r="I763" t="s">
        <v>1332</v>
      </c>
    </row>
    <row r="764" spans="1:9" x14ac:dyDescent="0.3">
      <c r="A764" t="s">
        <v>2133</v>
      </c>
      <c r="B764">
        <v>803</v>
      </c>
      <c r="C764" t="s">
        <v>1331</v>
      </c>
      <c r="E764">
        <v>8</v>
      </c>
      <c r="F764" t="s">
        <v>1421</v>
      </c>
      <c r="I764" t="s">
        <v>1332</v>
      </c>
    </row>
    <row r="765" spans="1:9" x14ac:dyDescent="0.3">
      <c r="A765" t="s">
        <v>2134</v>
      </c>
      <c r="B765">
        <v>804</v>
      </c>
      <c r="C765" t="s">
        <v>1331</v>
      </c>
      <c r="E765">
        <v>5</v>
      </c>
      <c r="F765" t="s">
        <v>1421</v>
      </c>
      <c r="I765" t="s">
        <v>1332</v>
      </c>
    </row>
    <row r="766" spans="1:9" x14ac:dyDescent="0.3">
      <c r="A766" t="s">
        <v>2135</v>
      </c>
      <c r="B766">
        <v>805</v>
      </c>
      <c r="C766" t="s">
        <v>1331</v>
      </c>
      <c r="E766">
        <v>8</v>
      </c>
      <c r="F766" t="s">
        <v>1421</v>
      </c>
      <c r="I766" t="s">
        <v>1332</v>
      </c>
    </row>
    <row r="767" spans="1:9" x14ac:dyDescent="0.3">
      <c r="A767" t="s">
        <v>2136</v>
      </c>
      <c r="B767">
        <v>806</v>
      </c>
      <c r="C767" t="s">
        <v>1331</v>
      </c>
      <c r="E767">
        <v>4</v>
      </c>
      <c r="F767" t="s">
        <v>1421</v>
      </c>
      <c r="I767" t="s">
        <v>1332</v>
      </c>
    </row>
    <row r="768" spans="1:9" x14ac:dyDescent="0.3">
      <c r="A768" t="s">
        <v>2137</v>
      </c>
      <c r="B768">
        <v>807</v>
      </c>
      <c r="C768" t="s">
        <v>1331</v>
      </c>
      <c r="E768">
        <v>4</v>
      </c>
      <c r="F768" t="s">
        <v>1421</v>
      </c>
      <c r="I768" t="s">
        <v>1332</v>
      </c>
    </row>
    <row r="769" spans="1:9" x14ac:dyDescent="0.3">
      <c r="A769" t="s">
        <v>2138</v>
      </c>
      <c r="B769">
        <v>808</v>
      </c>
      <c r="C769" t="s">
        <v>1322</v>
      </c>
      <c r="E769">
        <v>2</v>
      </c>
      <c r="F769" t="s">
        <v>1421</v>
      </c>
      <c r="I769" t="s">
        <v>1324</v>
      </c>
    </row>
    <row r="770" spans="1:9" x14ac:dyDescent="0.3">
      <c r="A770" t="s">
        <v>2139</v>
      </c>
      <c r="B770">
        <v>809</v>
      </c>
      <c r="C770" t="s">
        <v>1331</v>
      </c>
      <c r="E770">
        <v>1</v>
      </c>
      <c r="F770" t="s">
        <v>1659</v>
      </c>
      <c r="I770" t="s">
        <v>1332</v>
      </c>
    </row>
    <row r="771" spans="1:9" x14ac:dyDescent="0.3">
      <c r="A771" t="s">
        <v>2140</v>
      </c>
      <c r="B771">
        <v>810</v>
      </c>
      <c r="C771" t="s">
        <v>1322</v>
      </c>
      <c r="E771">
        <v>2</v>
      </c>
      <c r="F771" t="s">
        <v>1421</v>
      </c>
      <c r="I771" t="s">
        <v>1324</v>
      </c>
    </row>
    <row r="772" spans="1:9" x14ac:dyDescent="0.3">
      <c r="A772" t="s">
        <v>2141</v>
      </c>
      <c r="B772">
        <v>811</v>
      </c>
      <c r="C772" t="s">
        <v>1331</v>
      </c>
      <c r="E772">
        <v>1</v>
      </c>
      <c r="F772" t="s">
        <v>1421</v>
      </c>
      <c r="I772" t="s">
        <v>1332</v>
      </c>
    </row>
    <row r="773" spans="1:9" x14ac:dyDescent="0.3">
      <c r="A773" t="s">
        <v>2142</v>
      </c>
      <c r="B773">
        <v>812</v>
      </c>
      <c r="C773" t="s">
        <v>1322</v>
      </c>
      <c r="E773">
        <v>2</v>
      </c>
      <c r="F773" t="s">
        <v>1421</v>
      </c>
      <c r="I773" t="s">
        <v>1324</v>
      </c>
    </row>
    <row r="774" spans="1:9" x14ac:dyDescent="0.3">
      <c r="A774" t="s">
        <v>2143</v>
      </c>
      <c r="B774">
        <v>813</v>
      </c>
      <c r="C774" t="s">
        <v>1331</v>
      </c>
      <c r="E774">
        <v>1</v>
      </c>
      <c r="F774" t="s">
        <v>1421</v>
      </c>
      <c r="I774" t="s">
        <v>1332</v>
      </c>
    </row>
    <row r="775" spans="1:9" x14ac:dyDescent="0.3">
      <c r="A775" t="s">
        <v>2144</v>
      </c>
      <c r="B775">
        <v>814</v>
      </c>
      <c r="C775" t="s">
        <v>1331</v>
      </c>
      <c r="E775">
        <v>1</v>
      </c>
      <c r="F775" t="s">
        <v>1421</v>
      </c>
      <c r="I775" t="s">
        <v>1332</v>
      </c>
    </row>
    <row r="776" spans="1:9" x14ac:dyDescent="0.3">
      <c r="A776" t="s">
        <v>2145</v>
      </c>
      <c r="B776">
        <v>815</v>
      </c>
      <c r="C776" t="s">
        <v>1331</v>
      </c>
      <c r="E776">
        <v>68</v>
      </c>
      <c r="F776" t="s">
        <v>1421</v>
      </c>
      <c r="I776" t="s">
        <v>1332</v>
      </c>
    </row>
    <row r="777" spans="1:9" x14ac:dyDescent="0.3">
      <c r="A777" t="s">
        <v>2146</v>
      </c>
      <c r="B777">
        <v>816</v>
      </c>
      <c r="C777" t="s">
        <v>1331</v>
      </c>
      <c r="E777">
        <v>4</v>
      </c>
      <c r="F777" t="s">
        <v>1421</v>
      </c>
      <c r="I777" t="s">
        <v>1332</v>
      </c>
    </row>
    <row r="778" spans="1:9" x14ac:dyDescent="0.3">
      <c r="A778" t="s">
        <v>2147</v>
      </c>
      <c r="B778">
        <v>817</v>
      </c>
      <c r="C778" t="s">
        <v>1331</v>
      </c>
      <c r="E778">
        <v>1</v>
      </c>
      <c r="F778" t="s">
        <v>1421</v>
      </c>
      <c r="I778" t="s">
        <v>1332</v>
      </c>
    </row>
    <row r="779" spans="1:9" x14ac:dyDescent="0.3">
      <c r="A779" t="s">
        <v>2148</v>
      </c>
      <c r="B779">
        <v>818</v>
      </c>
      <c r="C779" t="s">
        <v>1322</v>
      </c>
      <c r="E779">
        <v>15</v>
      </c>
      <c r="F779" t="s">
        <v>1421</v>
      </c>
      <c r="I779" t="s">
        <v>1324</v>
      </c>
    </row>
    <row r="780" spans="1:9" x14ac:dyDescent="0.3">
      <c r="A780" t="s">
        <v>2149</v>
      </c>
      <c r="B780">
        <v>819</v>
      </c>
      <c r="C780" t="s">
        <v>1331</v>
      </c>
      <c r="E780">
        <v>1</v>
      </c>
      <c r="F780" t="s">
        <v>1421</v>
      </c>
      <c r="I780" t="s">
        <v>1332</v>
      </c>
    </row>
    <row r="781" spans="1:9" x14ac:dyDescent="0.3">
      <c r="A781" t="s">
        <v>2150</v>
      </c>
      <c r="B781">
        <v>820</v>
      </c>
      <c r="C781" t="s">
        <v>1331</v>
      </c>
      <c r="E781">
        <v>1</v>
      </c>
      <c r="F781" t="s">
        <v>1421</v>
      </c>
      <c r="I781" t="s">
        <v>1332</v>
      </c>
    </row>
    <row r="782" spans="1:9" x14ac:dyDescent="0.3">
      <c r="A782" t="s">
        <v>2151</v>
      </c>
      <c r="B782">
        <v>821</v>
      </c>
      <c r="C782" t="s">
        <v>1331</v>
      </c>
      <c r="E782">
        <v>1</v>
      </c>
      <c r="F782" t="s">
        <v>1421</v>
      </c>
      <c r="I782" t="s">
        <v>1332</v>
      </c>
    </row>
    <row r="783" spans="1:9" x14ac:dyDescent="0.3">
      <c r="A783" t="s">
        <v>2152</v>
      </c>
      <c r="B783">
        <v>822</v>
      </c>
      <c r="C783" t="s">
        <v>1331</v>
      </c>
      <c r="E783">
        <v>1</v>
      </c>
      <c r="F783" t="s">
        <v>1421</v>
      </c>
      <c r="I783" t="s">
        <v>1332</v>
      </c>
    </row>
    <row r="784" spans="1:9" x14ac:dyDescent="0.3">
      <c r="A784" t="s">
        <v>2153</v>
      </c>
      <c r="B784">
        <v>823</v>
      </c>
      <c r="C784" t="s">
        <v>1331</v>
      </c>
      <c r="E784">
        <v>1</v>
      </c>
      <c r="F784" t="s">
        <v>1421</v>
      </c>
      <c r="I784" t="s">
        <v>1332</v>
      </c>
    </row>
    <row r="785" spans="1:9" x14ac:dyDescent="0.3">
      <c r="A785" t="s">
        <v>2154</v>
      </c>
      <c r="B785">
        <v>824</v>
      </c>
      <c r="C785" t="s">
        <v>1331</v>
      </c>
      <c r="E785">
        <v>1</v>
      </c>
      <c r="F785" t="s">
        <v>1421</v>
      </c>
      <c r="I785" t="s">
        <v>1332</v>
      </c>
    </row>
    <row r="786" spans="1:9" x14ac:dyDescent="0.3">
      <c r="A786" t="s">
        <v>2155</v>
      </c>
      <c r="B786">
        <v>825</v>
      </c>
      <c r="C786" t="s">
        <v>1322</v>
      </c>
      <c r="E786">
        <v>3</v>
      </c>
      <c r="F786" t="s">
        <v>1421</v>
      </c>
      <c r="I786" t="s">
        <v>1324</v>
      </c>
    </row>
    <row r="787" spans="1:9" x14ac:dyDescent="0.3">
      <c r="A787" t="s">
        <v>2156</v>
      </c>
      <c r="B787">
        <v>826</v>
      </c>
      <c r="C787" t="s">
        <v>1331</v>
      </c>
      <c r="E787">
        <v>4</v>
      </c>
      <c r="F787" t="s">
        <v>1421</v>
      </c>
      <c r="I787" t="s">
        <v>1332</v>
      </c>
    </row>
    <row r="788" spans="1:9" x14ac:dyDescent="0.3">
      <c r="A788" t="s">
        <v>2157</v>
      </c>
      <c r="B788">
        <v>827</v>
      </c>
      <c r="C788" t="s">
        <v>1331</v>
      </c>
      <c r="E788">
        <v>4</v>
      </c>
      <c r="F788" t="s">
        <v>1421</v>
      </c>
      <c r="I788" t="s">
        <v>1332</v>
      </c>
    </row>
    <row r="789" spans="1:9" x14ac:dyDescent="0.3">
      <c r="A789" t="s">
        <v>2158</v>
      </c>
      <c r="B789">
        <v>828</v>
      </c>
      <c r="C789" t="s">
        <v>1331</v>
      </c>
      <c r="E789">
        <v>4</v>
      </c>
      <c r="F789" t="s">
        <v>1421</v>
      </c>
      <c r="I789" t="s">
        <v>1332</v>
      </c>
    </row>
    <row r="790" spans="1:9" x14ac:dyDescent="0.3">
      <c r="A790" t="s">
        <v>2159</v>
      </c>
      <c r="B790">
        <v>829</v>
      </c>
      <c r="C790" t="s">
        <v>1322</v>
      </c>
      <c r="E790">
        <v>2</v>
      </c>
      <c r="F790" t="s">
        <v>1421</v>
      </c>
      <c r="I790" t="s">
        <v>1324</v>
      </c>
    </row>
    <row r="791" spans="1:9" x14ac:dyDescent="0.3">
      <c r="A791" t="s">
        <v>2160</v>
      </c>
      <c r="B791">
        <v>830</v>
      </c>
      <c r="C791" t="s">
        <v>1322</v>
      </c>
      <c r="E791">
        <v>2</v>
      </c>
      <c r="F791" t="s">
        <v>1421</v>
      </c>
      <c r="I791" t="s">
        <v>1324</v>
      </c>
    </row>
    <row r="792" spans="1:9" x14ac:dyDescent="0.3">
      <c r="A792" t="s">
        <v>2161</v>
      </c>
      <c r="B792">
        <v>831</v>
      </c>
      <c r="C792" t="s">
        <v>1331</v>
      </c>
      <c r="E792">
        <v>1</v>
      </c>
      <c r="F792" t="s">
        <v>1421</v>
      </c>
      <c r="I792" t="s">
        <v>1332</v>
      </c>
    </row>
    <row r="793" spans="1:9" x14ac:dyDescent="0.3">
      <c r="A793" t="s">
        <v>2162</v>
      </c>
      <c r="B793">
        <v>832</v>
      </c>
      <c r="C793" t="s">
        <v>1331</v>
      </c>
      <c r="E793">
        <v>1</v>
      </c>
      <c r="F793" t="s">
        <v>1421</v>
      </c>
      <c r="I793" t="s">
        <v>1332</v>
      </c>
    </row>
    <row r="794" spans="1:9" x14ac:dyDescent="0.3">
      <c r="A794" t="s">
        <v>2163</v>
      </c>
      <c r="B794">
        <v>833</v>
      </c>
      <c r="C794" t="s">
        <v>1331</v>
      </c>
      <c r="E794">
        <v>1</v>
      </c>
      <c r="F794" t="s">
        <v>1421</v>
      </c>
      <c r="I794" t="s">
        <v>1332</v>
      </c>
    </row>
    <row r="795" spans="1:9" x14ac:dyDescent="0.3">
      <c r="A795" t="s">
        <v>2164</v>
      </c>
      <c r="B795">
        <v>834</v>
      </c>
      <c r="C795" t="s">
        <v>1331</v>
      </c>
      <c r="E795">
        <v>1</v>
      </c>
      <c r="F795" t="s">
        <v>1421</v>
      </c>
      <c r="I795" t="s">
        <v>1332</v>
      </c>
    </row>
    <row r="796" spans="1:9" x14ac:dyDescent="0.3">
      <c r="A796" t="s">
        <v>2165</v>
      </c>
      <c r="B796">
        <v>835</v>
      </c>
      <c r="C796" t="s">
        <v>1322</v>
      </c>
      <c r="E796">
        <v>2</v>
      </c>
      <c r="F796" t="s">
        <v>1421</v>
      </c>
      <c r="I796" t="s">
        <v>1324</v>
      </c>
    </row>
    <row r="797" spans="1:9" x14ac:dyDescent="0.3">
      <c r="A797" t="s">
        <v>2166</v>
      </c>
      <c r="B797">
        <v>837</v>
      </c>
      <c r="C797" t="s">
        <v>1331</v>
      </c>
      <c r="E797">
        <v>1</v>
      </c>
      <c r="F797" t="s">
        <v>1421</v>
      </c>
      <c r="I797" t="s">
        <v>1332</v>
      </c>
    </row>
    <row r="798" spans="1:9" x14ac:dyDescent="0.3">
      <c r="A798" t="s">
        <v>2167</v>
      </c>
      <c r="B798">
        <v>838</v>
      </c>
      <c r="C798" t="s">
        <v>1331</v>
      </c>
      <c r="E798">
        <v>1</v>
      </c>
      <c r="F798" t="s">
        <v>1659</v>
      </c>
      <c r="I798" t="s">
        <v>1332</v>
      </c>
    </row>
    <row r="799" spans="1:9" x14ac:dyDescent="0.3">
      <c r="A799" t="s">
        <v>2168</v>
      </c>
      <c r="B799">
        <v>839</v>
      </c>
      <c r="C799" t="s">
        <v>1331</v>
      </c>
      <c r="E799">
        <v>1</v>
      </c>
      <c r="F799" t="s">
        <v>1421</v>
      </c>
      <c r="I799" t="s">
        <v>1332</v>
      </c>
    </row>
    <row r="800" spans="1:9" x14ac:dyDescent="0.3">
      <c r="A800" t="s">
        <v>2169</v>
      </c>
      <c r="B800">
        <v>840</v>
      </c>
      <c r="C800" t="s">
        <v>1331</v>
      </c>
      <c r="E800">
        <v>4</v>
      </c>
      <c r="F800" t="s">
        <v>1421</v>
      </c>
      <c r="I800" t="s">
        <v>1332</v>
      </c>
    </row>
    <row r="801" spans="1:9" x14ac:dyDescent="0.3">
      <c r="A801" t="s">
        <v>2170</v>
      </c>
      <c r="B801">
        <v>841</v>
      </c>
      <c r="C801" t="s">
        <v>1322</v>
      </c>
      <c r="E801">
        <v>3</v>
      </c>
      <c r="F801" t="s">
        <v>1421</v>
      </c>
      <c r="I801" t="s">
        <v>1324</v>
      </c>
    </row>
    <row r="802" spans="1:9" x14ac:dyDescent="0.3">
      <c r="A802" t="s">
        <v>2171</v>
      </c>
      <c r="B802">
        <v>842</v>
      </c>
      <c r="C802" t="s">
        <v>1331</v>
      </c>
      <c r="E802">
        <v>14</v>
      </c>
      <c r="F802" t="s">
        <v>1421</v>
      </c>
      <c r="I802" t="s">
        <v>1332</v>
      </c>
    </row>
    <row r="803" spans="1:9" x14ac:dyDescent="0.3">
      <c r="A803" t="s">
        <v>2172</v>
      </c>
      <c r="B803">
        <v>843</v>
      </c>
      <c r="C803" t="s">
        <v>1322</v>
      </c>
      <c r="E803">
        <v>2</v>
      </c>
      <c r="F803" t="s">
        <v>1421</v>
      </c>
      <c r="I803" t="s">
        <v>1324</v>
      </c>
    </row>
    <row r="804" spans="1:9" x14ac:dyDescent="0.3">
      <c r="A804" t="s">
        <v>2173</v>
      </c>
      <c r="B804">
        <v>844</v>
      </c>
      <c r="C804" t="s">
        <v>1331</v>
      </c>
      <c r="E804">
        <v>1</v>
      </c>
      <c r="F804" t="s">
        <v>1421</v>
      </c>
      <c r="I804" t="s">
        <v>1332</v>
      </c>
    </row>
    <row r="805" spans="1:9" x14ac:dyDescent="0.3">
      <c r="A805" t="s">
        <v>2174</v>
      </c>
      <c r="B805">
        <v>845</v>
      </c>
      <c r="C805" t="s">
        <v>1322</v>
      </c>
      <c r="E805">
        <v>2</v>
      </c>
      <c r="F805" t="s">
        <v>1421</v>
      </c>
      <c r="I805" t="s">
        <v>1324</v>
      </c>
    </row>
    <row r="806" spans="1:9" x14ac:dyDescent="0.3">
      <c r="A806" t="s">
        <v>2175</v>
      </c>
      <c r="B806">
        <v>846</v>
      </c>
      <c r="C806" t="s">
        <v>1331</v>
      </c>
      <c r="E806">
        <v>6</v>
      </c>
      <c r="F806" t="s">
        <v>1421</v>
      </c>
      <c r="I806" t="s">
        <v>1332</v>
      </c>
    </row>
    <row r="807" spans="1:9" x14ac:dyDescent="0.3">
      <c r="A807" t="s">
        <v>2176</v>
      </c>
      <c r="B807">
        <v>847</v>
      </c>
      <c r="C807" t="s">
        <v>1331</v>
      </c>
      <c r="E807">
        <v>6</v>
      </c>
      <c r="F807" t="s">
        <v>1421</v>
      </c>
      <c r="I807" t="s">
        <v>1332</v>
      </c>
    </row>
    <row r="808" spans="1:9" x14ac:dyDescent="0.3">
      <c r="A808" t="s">
        <v>2177</v>
      </c>
      <c r="B808">
        <v>848</v>
      </c>
      <c r="C808" t="s">
        <v>1322</v>
      </c>
      <c r="E808">
        <v>15</v>
      </c>
      <c r="F808" t="s">
        <v>1421</v>
      </c>
      <c r="I808" t="s">
        <v>1324</v>
      </c>
    </row>
    <row r="809" spans="1:9" x14ac:dyDescent="0.3">
      <c r="A809" t="s">
        <v>2178</v>
      </c>
      <c r="B809">
        <v>849</v>
      </c>
      <c r="C809" t="s">
        <v>1331</v>
      </c>
      <c r="E809">
        <v>16</v>
      </c>
      <c r="F809" t="s">
        <v>1421</v>
      </c>
      <c r="I809" t="s">
        <v>1332</v>
      </c>
    </row>
    <row r="810" spans="1:9" x14ac:dyDescent="0.3">
      <c r="A810" t="s">
        <v>2179</v>
      </c>
      <c r="B810">
        <v>850</v>
      </c>
      <c r="C810" t="s">
        <v>1322</v>
      </c>
      <c r="E810">
        <v>2</v>
      </c>
      <c r="F810" t="s">
        <v>1421</v>
      </c>
      <c r="I810" t="s">
        <v>1324</v>
      </c>
    </row>
    <row r="811" spans="1:9" x14ac:dyDescent="0.3">
      <c r="A811" t="s">
        <v>2180</v>
      </c>
      <c r="B811">
        <v>851</v>
      </c>
      <c r="C811" t="s">
        <v>1331</v>
      </c>
      <c r="E811">
        <v>4</v>
      </c>
      <c r="F811" t="s">
        <v>1421</v>
      </c>
      <c r="I811" t="s">
        <v>1332</v>
      </c>
    </row>
    <row r="812" spans="1:9" x14ac:dyDescent="0.3">
      <c r="A812" t="s">
        <v>2181</v>
      </c>
      <c r="B812">
        <v>852</v>
      </c>
      <c r="C812" t="s">
        <v>1331</v>
      </c>
      <c r="E812">
        <v>1</v>
      </c>
      <c r="F812" t="s">
        <v>1421</v>
      </c>
      <c r="I812" t="s">
        <v>1332</v>
      </c>
    </row>
    <row r="813" spans="1:9" x14ac:dyDescent="0.3">
      <c r="A813" t="s">
        <v>2182</v>
      </c>
      <c r="B813">
        <v>853</v>
      </c>
      <c r="C813" t="s">
        <v>1331</v>
      </c>
      <c r="E813">
        <v>6</v>
      </c>
      <c r="F813" t="s">
        <v>1421</v>
      </c>
      <c r="I813" t="s">
        <v>1332</v>
      </c>
    </row>
    <row r="814" spans="1:9" x14ac:dyDescent="0.3">
      <c r="A814" t="s">
        <v>2183</v>
      </c>
      <c r="B814">
        <v>854</v>
      </c>
      <c r="C814" t="s">
        <v>1331</v>
      </c>
      <c r="E814">
        <v>1</v>
      </c>
      <c r="F814" t="s">
        <v>1421</v>
      </c>
      <c r="I814" t="s">
        <v>1332</v>
      </c>
    </row>
    <row r="815" spans="1:9" x14ac:dyDescent="0.3">
      <c r="A815" t="s">
        <v>2184</v>
      </c>
      <c r="B815">
        <v>855</v>
      </c>
      <c r="C815" t="s">
        <v>1331</v>
      </c>
      <c r="E815">
        <v>5</v>
      </c>
      <c r="F815" t="s">
        <v>1421</v>
      </c>
      <c r="I815" t="s">
        <v>1332</v>
      </c>
    </row>
    <row r="816" spans="1:9" x14ac:dyDescent="0.3">
      <c r="A816" t="s">
        <v>2185</v>
      </c>
      <c r="B816">
        <v>856</v>
      </c>
      <c r="C816" t="s">
        <v>1331</v>
      </c>
      <c r="E816">
        <v>14</v>
      </c>
      <c r="F816" t="s">
        <v>1421</v>
      </c>
      <c r="I816" t="s">
        <v>1332</v>
      </c>
    </row>
    <row r="817" spans="1:9" x14ac:dyDescent="0.3">
      <c r="A817" t="s">
        <v>2186</v>
      </c>
      <c r="B817">
        <v>857</v>
      </c>
      <c r="C817" t="s">
        <v>1331</v>
      </c>
      <c r="E817">
        <v>12</v>
      </c>
      <c r="F817" t="s">
        <v>1421</v>
      </c>
      <c r="I817" t="s">
        <v>1332</v>
      </c>
    </row>
    <row r="818" spans="1:9" x14ac:dyDescent="0.3">
      <c r="A818" t="s">
        <v>2187</v>
      </c>
      <c r="B818">
        <v>858</v>
      </c>
      <c r="C818" t="s">
        <v>1322</v>
      </c>
      <c r="E818">
        <v>18</v>
      </c>
      <c r="F818" t="s">
        <v>1421</v>
      </c>
      <c r="I818" t="s">
        <v>1324</v>
      </c>
    </row>
    <row r="819" spans="1:9" x14ac:dyDescent="0.3">
      <c r="A819" t="s">
        <v>2188</v>
      </c>
      <c r="B819">
        <v>859</v>
      </c>
      <c r="C819" t="s">
        <v>1331</v>
      </c>
      <c r="E819">
        <v>8</v>
      </c>
      <c r="F819" t="s">
        <v>1421</v>
      </c>
      <c r="I819" t="s">
        <v>1332</v>
      </c>
    </row>
    <row r="820" spans="1:9" x14ac:dyDescent="0.3">
      <c r="A820" t="s">
        <v>2189</v>
      </c>
      <c r="B820">
        <v>860</v>
      </c>
      <c r="C820" t="s">
        <v>1331</v>
      </c>
      <c r="E820">
        <v>8</v>
      </c>
      <c r="F820" t="s">
        <v>1421</v>
      </c>
      <c r="I820" t="s">
        <v>1332</v>
      </c>
    </row>
    <row r="821" spans="1:9" x14ac:dyDescent="0.3">
      <c r="A821" t="s">
        <v>2190</v>
      </c>
      <c r="B821">
        <v>861</v>
      </c>
      <c r="C821" t="s">
        <v>1322</v>
      </c>
      <c r="E821">
        <v>24</v>
      </c>
      <c r="F821" t="s">
        <v>1421</v>
      </c>
      <c r="I821" t="s">
        <v>1324</v>
      </c>
    </row>
    <row r="822" spans="1:9" x14ac:dyDescent="0.3">
      <c r="A822" t="s">
        <v>2191</v>
      </c>
      <c r="B822">
        <v>862</v>
      </c>
      <c r="C822" t="s">
        <v>1331</v>
      </c>
      <c r="E822">
        <v>6</v>
      </c>
      <c r="F822" t="s">
        <v>1421</v>
      </c>
      <c r="I822" t="s">
        <v>1332</v>
      </c>
    </row>
    <row r="823" spans="1:9" x14ac:dyDescent="0.3">
      <c r="A823" t="s">
        <v>2192</v>
      </c>
      <c r="B823">
        <v>863</v>
      </c>
      <c r="C823" t="s">
        <v>1331</v>
      </c>
      <c r="E823">
        <v>1</v>
      </c>
      <c r="F823" t="s">
        <v>1421</v>
      </c>
      <c r="I823" t="s">
        <v>1332</v>
      </c>
    </row>
    <row r="824" spans="1:9" x14ac:dyDescent="0.3">
      <c r="A824" t="s">
        <v>2193</v>
      </c>
      <c r="B824">
        <v>864</v>
      </c>
      <c r="C824" t="s">
        <v>1331</v>
      </c>
      <c r="E824">
        <v>7</v>
      </c>
      <c r="F824" t="s">
        <v>1421</v>
      </c>
      <c r="I824" t="s">
        <v>1332</v>
      </c>
    </row>
    <row r="825" spans="1:9" x14ac:dyDescent="0.3">
      <c r="A825" t="s">
        <v>2194</v>
      </c>
      <c r="B825">
        <v>865</v>
      </c>
      <c r="C825" t="s">
        <v>1322</v>
      </c>
      <c r="E825">
        <v>55</v>
      </c>
      <c r="F825" t="s">
        <v>1421</v>
      </c>
      <c r="I825" t="s">
        <v>1324</v>
      </c>
    </row>
    <row r="826" spans="1:9" x14ac:dyDescent="0.3">
      <c r="A826" t="s">
        <v>2195</v>
      </c>
      <c r="B826">
        <v>866</v>
      </c>
      <c r="C826" t="s">
        <v>1331</v>
      </c>
      <c r="E826">
        <v>7</v>
      </c>
      <c r="F826" t="s">
        <v>1659</v>
      </c>
      <c r="I826" t="s">
        <v>1332</v>
      </c>
    </row>
    <row r="827" spans="1:9" x14ac:dyDescent="0.3">
      <c r="A827" t="s">
        <v>2196</v>
      </c>
      <c r="B827">
        <v>867</v>
      </c>
      <c r="C827" t="s">
        <v>1331</v>
      </c>
      <c r="E827">
        <v>1</v>
      </c>
      <c r="F827" t="s">
        <v>61</v>
      </c>
      <c r="I827" t="s">
        <v>1332</v>
      </c>
    </row>
    <row r="828" spans="1:9" x14ac:dyDescent="0.3">
      <c r="A828" t="s">
        <v>2197</v>
      </c>
      <c r="B828">
        <v>868</v>
      </c>
      <c r="C828" t="s">
        <v>1331</v>
      </c>
      <c r="E828">
        <v>1</v>
      </c>
      <c r="F828" t="s">
        <v>1421</v>
      </c>
      <c r="I828" t="s">
        <v>1332</v>
      </c>
    </row>
    <row r="829" spans="1:9" x14ac:dyDescent="0.3">
      <c r="A829" t="s">
        <v>2198</v>
      </c>
      <c r="B829">
        <v>869</v>
      </c>
      <c r="C829" t="s">
        <v>1331</v>
      </c>
      <c r="E829">
        <v>1</v>
      </c>
      <c r="F829" t="s">
        <v>1421</v>
      </c>
      <c r="I829" t="s">
        <v>1332</v>
      </c>
    </row>
    <row r="830" spans="1:9" x14ac:dyDescent="0.3">
      <c r="A830" t="s">
        <v>2199</v>
      </c>
      <c r="B830">
        <v>870</v>
      </c>
      <c r="C830" t="s">
        <v>1331</v>
      </c>
      <c r="E830">
        <v>1</v>
      </c>
      <c r="F830" t="s">
        <v>1421</v>
      </c>
      <c r="I830" t="s">
        <v>1332</v>
      </c>
    </row>
    <row r="831" spans="1:9" x14ac:dyDescent="0.3">
      <c r="A831" t="s">
        <v>2200</v>
      </c>
      <c r="B831">
        <v>871</v>
      </c>
      <c r="C831" t="s">
        <v>1331</v>
      </c>
      <c r="E831">
        <v>1</v>
      </c>
      <c r="F831" t="s">
        <v>1421</v>
      </c>
      <c r="I831" t="s">
        <v>1332</v>
      </c>
    </row>
    <row r="832" spans="1:9" x14ac:dyDescent="0.3">
      <c r="A832" t="s">
        <v>2201</v>
      </c>
      <c r="B832">
        <v>873</v>
      </c>
      <c r="C832" t="s">
        <v>1322</v>
      </c>
      <c r="E832">
        <v>32</v>
      </c>
      <c r="F832" t="s">
        <v>1317</v>
      </c>
      <c r="I832" t="s">
        <v>1324</v>
      </c>
    </row>
    <row r="833" spans="1:9" x14ac:dyDescent="0.3">
      <c r="A833" t="s">
        <v>2202</v>
      </c>
      <c r="B833">
        <v>874</v>
      </c>
      <c r="C833" t="s">
        <v>1322</v>
      </c>
      <c r="E833">
        <v>1</v>
      </c>
      <c r="F833" t="s">
        <v>1317</v>
      </c>
      <c r="I833" t="s">
        <v>1324</v>
      </c>
    </row>
    <row r="834" spans="1:9" x14ac:dyDescent="0.3">
      <c r="A834" t="s">
        <v>2203</v>
      </c>
      <c r="B834">
        <v>875</v>
      </c>
      <c r="C834" t="s">
        <v>1322</v>
      </c>
      <c r="E834">
        <v>21</v>
      </c>
      <c r="F834" t="s">
        <v>1317</v>
      </c>
      <c r="I834" t="s">
        <v>1324</v>
      </c>
    </row>
    <row r="835" spans="1:9" x14ac:dyDescent="0.3">
      <c r="A835" t="s">
        <v>2204</v>
      </c>
      <c r="B835">
        <v>876</v>
      </c>
      <c r="C835" t="s">
        <v>1322</v>
      </c>
      <c r="E835">
        <v>21</v>
      </c>
      <c r="F835" t="s">
        <v>1317</v>
      </c>
      <c r="I835" t="s">
        <v>1324</v>
      </c>
    </row>
    <row r="836" spans="1:9" x14ac:dyDescent="0.3">
      <c r="A836" t="s">
        <v>2205</v>
      </c>
      <c r="B836">
        <v>877</v>
      </c>
      <c r="C836" t="s">
        <v>1322</v>
      </c>
      <c r="E836">
        <v>5</v>
      </c>
      <c r="F836" t="s">
        <v>1317</v>
      </c>
      <c r="I836" t="s">
        <v>1324</v>
      </c>
    </row>
    <row r="837" spans="1:9" x14ac:dyDescent="0.3">
      <c r="A837" t="s">
        <v>2206</v>
      </c>
      <c r="B837">
        <v>879</v>
      </c>
      <c r="C837" t="s">
        <v>1322</v>
      </c>
      <c r="E837">
        <v>2.9</v>
      </c>
      <c r="F837" t="s">
        <v>1317</v>
      </c>
      <c r="I837" t="s">
        <v>1324</v>
      </c>
    </row>
    <row r="838" spans="1:9" x14ac:dyDescent="0.3">
      <c r="A838" t="s">
        <v>2207</v>
      </c>
      <c r="B838">
        <v>880</v>
      </c>
      <c r="C838" t="s">
        <v>1322</v>
      </c>
      <c r="E838">
        <v>2.9</v>
      </c>
      <c r="F838" t="s">
        <v>1317</v>
      </c>
      <c r="I838" t="s">
        <v>1324</v>
      </c>
    </row>
    <row r="839" spans="1:9" x14ac:dyDescent="0.3">
      <c r="A839" t="s">
        <v>2208</v>
      </c>
      <c r="B839">
        <v>881</v>
      </c>
      <c r="C839" t="s">
        <v>1322</v>
      </c>
      <c r="E839">
        <v>0.64</v>
      </c>
      <c r="F839" t="s">
        <v>1317</v>
      </c>
      <c r="I839" t="s">
        <v>1324</v>
      </c>
    </row>
    <row r="840" spans="1:9" x14ac:dyDescent="0.3">
      <c r="A840" t="s">
        <v>2209</v>
      </c>
      <c r="B840">
        <v>882</v>
      </c>
      <c r="C840" t="s">
        <v>1405</v>
      </c>
      <c r="D840">
        <v>1.92</v>
      </c>
      <c r="E840">
        <v>1.92</v>
      </c>
      <c r="F840" t="s">
        <v>1317</v>
      </c>
      <c r="G840" t="s">
        <v>1318</v>
      </c>
      <c r="H840" t="s">
        <v>2210</v>
      </c>
      <c r="I840" t="s">
        <v>2211</v>
      </c>
    </row>
    <row r="841" spans="1:9" x14ac:dyDescent="0.3">
      <c r="A841" t="s">
        <v>2212</v>
      </c>
      <c r="B841">
        <v>883</v>
      </c>
      <c r="C841" t="s">
        <v>1322</v>
      </c>
      <c r="E841">
        <v>3.4000000000000002E-2</v>
      </c>
      <c r="F841" t="s">
        <v>1323</v>
      </c>
      <c r="I841" t="s">
        <v>1324</v>
      </c>
    </row>
    <row r="842" spans="1:9" x14ac:dyDescent="0.3">
      <c r="A842" t="s">
        <v>2213</v>
      </c>
      <c r="B842">
        <v>884</v>
      </c>
      <c r="C842" t="s">
        <v>1322</v>
      </c>
      <c r="E842">
        <v>9.1999999999999998E-2</v>
      </c>
      <c r="F842" t="s">
        <v>1323</v>
      </c>
      <c r="I842" t="s">
        <v>1324</v>
      </c>
    </row>
    <row r="843" spans="1:9" x14ac:dyDescent="0.3">
      <c r="A843" t="s">
        <v>2214</v>
      </c>
      <c r="B843">
        <v>885</v>
      </c>
      <c r="C843" t="s">
        <v>1322</v>
      </c>
      <c r="E843">
        <v>7</v>
      </c>
      <c r="F843" t="s">
        <v>1349</v>
      </c>
      <c r="I843" t="s">
        <v>1324</v>
      </c>
    </row>
    <row r="844" spans="1:9" x14ac:dyDescent="0.3">
      <c r="A844" t="s">
        <v>2215</v>
      </c>
      <c r="B844">
        <v>886</v>
      </c>
      <c r="C844" t="s">
        <v>1322</v>
      </c>
      <c r="E844">
        <v>21</v>
      </c>
      <c r="F844" t="s">
        <v>1349</v>
      </c>
      <c r="I844" t="s">
        <v>1324</v>
      </c>
    </row>
    <row r="845" spans="1:9" x14ac:dyDescent="0.3">
      <c r="A845" t="s">
        <v>2216</v>
      </c>
      <c r="B845">
        <v>887</v>
      </c>
      <c r="C845" t="s">
        <v>1322</v>
      </c>
      <c r="E845">
        <v>0.25600000000000001</v>
      </c>
      <c r="F845" t="s">
        <v>1317</v>
      </c>
      <c r="I845" t="s">
        <v>1324</v>
      </c>
    </row>
    <row r="846" spans="1:9" x14ac:dyDescent="0.3">
      <c r="A846" t="s">
        <v>2217</v>
      </c>
      <c r="B846">
        <v>888</v>
      </c>
      <c r="C846" t="s">
        <v>1322</v>
      </c>
      <c r="E846">
        <v>0.25600000000000001</v>
      </c>
      <c r="F846" t="s">
        <v>1317</v>
      </c>
      <c r="I846" t="s">
        <v>1324</v>
      </c>
    </row>
    <row r="847" spans="1:9" x14ac:dyDescent="0.3">
      <c r="A847" t="s">
        <v>2218</v>
      </c>
      <c r="B847">
        <v>890</v>
      </c>
      <c r="C847" t="s">
        <v>1322</v>
      </c>
      <c r="E847">
        <v>1.56</v>
      </c>
      <c r="F847" t="s">
        <v>1317</v>
      </c>
      <c r="I847" t="s">
        <v>1324</v>
      </c>
    </row>
    <row r="848" spans="1:9" x14ac:dyDescent="0.3">
      <c r="A848" t="s">
        <v>2219</v>
      </c>
      <c r="B848">
        <v>891</v>
      </c>
      <c r="C848" t="s">
        <v>1322</v>
      </c>
      <c r="E848">
        <v>0.111</v>
      </c>
      <c r="F848" t="s">
        <v>1323</v>
      </c>
      <c r="I848" t="s">
        <v>1324</v>
      </c>
    </row>
    <row r="849" spans="1:9" x14ac:dyDescent="0.3">
      <c r="A849" t="s">
        <v>2220</v>
      </c>
      <c r="B849">
        <v>892</v>
      </c>
      <c r="C849" t="s">
        <v>1322</v>
      </c>
      <c r="E849">
        <v>7.1999999999999995E-2</v>
      </c>
      <c r="F849" t="s">
        <v>1323</v>
      </c>
      <c r="I849" t="s">
        <v>1324</v>
      </c>
    </row>
    <row r="850" spans="1:9" x14ac:dyDescent="0.3">
      <c r="A850" t="s">
        <v>2221</v>
      </c>
      <c r="B850">
        <v>893</v>
      </c>
      <c r="C850" t="s">
        <v>1331</v>
      </c>
      <c r="E850">
        <v>0.86</v>
      </c>
      <c r="F850" t="s">
        <v>1317</v>
      </c>
      <c r="I850" t="s">
        <v>1332</v>
      </c>
    </row>
    <row r="851" spans="1:9" x14ac:dyDescent="0.3">
      <c r="A851" t="s">
        <v>2222</v>
      </c>
      <c r="B851">
        <v>894</v>
      </c>
      <c r="C851" t="s">
        <v>1322</v>
      </c>
      <c r="E851">
        <v>5.0000000000000001E-3</v>
      </c>
      <c r="F851" t="s">
        <v>1323</v>
      </c>
      <c r="I851" t="s">
        <v>1324</v>
      </c>
    </row>
    <row r="852" spans="1:9" x14ac:dyDescent="0.3">
      <c r="A852" t="s">
        <v>2223</v>
      </c>
      <c r="B852">
        <v>895</v>
      </c>
      <c r="C852" t="s">
        <v>1322</v>
      </c>
      <c r="E852">
        <v>7.8E-2</v>
      </c>
      <c r="F852" t="s">
        <v>1323</v>
      </c>
      <c r="I852" t="s">
        <v>1324</v>
      </c>
    </row>
    <row r="853" spans="1:9" x14ac:dyDescent="0.3">
      <c r="A853" t="s">
        <v>2224</v>
      </c>
      <c r="B853">
        <v>896</v>
      </c>
      <c r="C853" t="s">
        <v>1331</v>
      </c>
      <c r="E853">
        <v>0.2</v>
      </c>
      <c r="F853" t="s">
        <v>1317</v>
      </c>
      <c r="I853" t="s">
        <v>1332</v>
      </c>
    </row>
    <row r="854" spans="1:9" x14ac:dyDescent="0.3">
      <c r="A854" t="s">
        <v>2225</v>
      </c>
      <c r="B854">
        <v>897</v>
      </c>
      <c r="C854" t="s">
        <v>1331</v>
      </c>
      <c r="E854">
        <v>0.01</v>
      </c>
      <c r="F854" t="s">
        <v>1323</v>
      </c>
      <c r="I854" t="s">
        <v>1332</v>
      </c>
    </row>
    <row r="855" spans="1:9" x14ac:dyDescent="0.3">
      <c r="A855" t="s">
        <v>2226</v>
      </c>
      <c r="B855">
        <v>898</v>
      </c>
      <c r="C855" t="s">
        <v>1322</v>
      </c>
      <c r="E855">
        <v>4.8000000000000001E-2</v>
      </c>
      <c r="F855" t="s">
        <v>1323</v>
      </c>
      <c r="I855" t="s">
        <v>1324</v>
      </c>
    </row>
    <row r="856" spans="1:9" x14ac:dyDescent="0.3">
      <c r="A856" t="s">
        <v>2227</v>
      </c>
      <c r="B856">
        <v>899</v>
      </c>
      <c r="C856" t="s">
        <v>1331</v>
      </c>
      <c r="E856">
        <v>0.14000000000000001</v>
      </c>
      <c r="F856" t="s">
        <v>1317</v>
      </c>
      <c r="I856" t="s">
        <v>1332</v>
      </c>
    </row>
    <row r="857" spans="1:9" x14ac:dyDescent="0.3">
      <c r="A857" t="s">
        <v>2228</v>
      </c>
      <c r="B857">
        <v>900</v>
      </c>
      <c r="C857" t="s">
        <v>1322</v>
      </c>
      <c r="E857">
        <v>1.7000000000000001E-2</v>
      </c>
      <c r="F857" t="s">
        <v>1323</v>
      </c>
      <c r="I857" t="s">
        <v>1324</v>
      </c>
    </row>
    <row r="858" spans="1:9" x14ac:dyDescent="0.3">
      <c r="A858" t="s">
        <v>2229</v>
      </c>
      <c r="B858">
        <v>901</v>
      </c>
      <c r="C858" t="s">
        <v>1322</v>
      </c>
      <c r="E858">
        <v>2.8000000000000001E-2</v>
      </c>
      <c r="F858" t="s">
        <v>1323</v>
      </c>
      <c r="I858" t="s">
        <v>1324</v>
      </c>
    </row>
    <row r="859" spans="1:9" x14ac:dyDescent="0.3">
      <c r="A859" t="s">
        <v>2230</v>
      </c>
      <c r="B859">
        <v>902</v>
      </c>
      <c r="C859" t="s">
        <v>1331</v>
      </c>
      <c r="E859">
        <v>0.28999999999999998</v>
      </c>
      <c r="F859" t="s">
        <v>1317</v>
      </c>
      <c r="I859" t="s">
        <v>1332</v>
      </c>
    </row>
    <row r="860" spans="1:9" x14ac:dyDescent="0.3">
      <c r="A860" t="s">
        <v>2231</v>
      </c>
      <c r="B860">
        <v>903</v>
      </c>
      <c r="C860" t="s">
        <v>1322</v>
      </c>
      <c r="E860">
        <v>8.9999999999999993E-3</v>
      </c>
      <c r="F860" t="s">
        <v>1323</v>
      </c>
      <c r="I860" t="s">
        <v>1324</v>
      </c>
    </row>
    <row r="861" spans="1:9" x14ac:dyDescent="0.3">
      <c r="A861" t="s">
        <v>2232</v>
      </c>
      <c r="B861">
        <v>904</v>
      </c>
      <c r="C861" t="s">
        <v>1322</v>
      </c>
      <c r="E861">
        <v>1.4999999999999999E-2</v>
      </c>
      <c r="F861" t="s">
        <v>1323</v>
      </c>
      <c r="I861" t="s">
        <v>1324</v>
      </c>
    </row>
    <row r="862" spans="1:9" x14ac:dyDescent="0.3">
      <c r="A862" t="s">
        <v>2233</v>
      </c>
      <c r="B862">
        <v>906</v>
      </c>
      <c r="C862" t="s">
        <v>1322</v>
      </c>
      <c r="E862">
        <v>16.5</v>
      </c>
      <c r="F862" t="s">
        <v>1349</v>
      </c>
      <c r="I862" t="s">
        <v>1324</v>
      </c>
    </row>
    <row r="863" spans="1:9" x14ac:dyDescent="0.3">
      <c r="A863" t="s">
        <v>2234</v>
      </c>
      <c r="B863">
        <v>907</v>
      </c>
      <c r="C863" t="s">
        <v>1322</v>
      </c>
      <c r="E863">
        <v>5.5E-2</v>
      </c>
      <c r="F863" t="s">
        <v>1323</v>
      </c>
      <c r="I863" t="s">
        <v>1324</v>
      </c>
    </row>
    <row r="864" spans="1:9" x14ac:dyDescent="0.3">
      <c r="A864" t="s">
        <v>2235</v>
      </c>
      <c r="B864">
        <v>909</v>
      </c>
      <c r="C864" t="s">
        <v>1322</v>
      </c>
      <c r="E864">
        <v>2.56</v>
      </c>
      <c r="F864" t="s">
        <v>1349</v>
      </c>
      <c r="I864" t="s">
        <v>1324</v>
      </c>
    </row>
    <row r="865" spans="1:9" x14ac:dyDescent="0.3">
      <c r="A865" t="s">
        <v>2236</v>
      </c>
      <c r="B865">
        <v>910</v>
      </c>
      <c r="C865" t="s">
        <v>1322</v>
      </c>
      <c r="E865">
        <v>0.154</v>
      </c>
      <c r="F865" t="s">
        <v>1317</v>
      </c>
      <c r="I865" t="s">
        <v>1324</v>
      </c>
    </row>
    <row r="866" spans="1:9" x14ac:dyDescent="0.3">
      <c r="A866" t="s">
        <v>2237</v>
      </c>
      <c r="B866">
        <v>911</v>
      </c>
      <c r="C866" t="s">
        <v>1322</v>
      </c>
      <c r="E866">
        <v>2.56</v>
      </c>
      <c r="F866" t="s">
        <v>1349</v>
      </c>
      <c r="I866" t="s">
        <v>1324</v>
      </c>
    </row>
    <row r="867" spans="1:9" x14ac:dyDescent="0.3">
      <c r="A867" t="s">
        <v>2238</v>
      </c>
      <c r="B867">
        <v>912</v>
      </c>
      <c r="C867" t="s">
        <v>1322</v>
      </c>
      <c r="E867">
        <v>2.56</v>
      </c>
      <c r="F867" t="s">
        <v>1349</v>
      </c>
      <c r="I867" t="s">
        <v>1324</v>
      </c>
    </row>
    <row r="868" spans="1:9" x14ac:dyDescent="0.3">
      <c r="A868" t="s">
        <v>2239</v>
      </c>
      <c r="B868">
        <v>913</v>
      </c>
      <c r="C868" t="s">
        <v>1316</v>
      </c>
      <c r="D868">
        <v>0.23</v>
      </c>
      <c r="E868">
        <v>0.23</v>
      </c>
      <c r="F868" t="s">
        <v>1317</v>
      </c>
      <c r="G868" t="s">
        <v>2240</v>
      </c>
      <c r="H868" t="s">
        <v>2241</v>
      </c>
      <c r="I868" t="s">
        <v>2242</v>
      </c>
    </row>
    <row r="869" spans="1:9" x14ac:dyDescent="0.3">
      <c r="A869" t="s">
        <v>2243</v>
      </c>
      <c r="B869">
        <v>914</v>
      </c>
      <c r="C869" t="s">
        <v>1316</v>
      </c>
      <c r="D869">
        <v>9.6</v>
      </c>
      <c r="E869">
        <v>9.6</v>
      </c>
      <c r="F869" t="s">
        <v>1349</v>
      </c>
      <c r="G869" t="s">
        <v>1318</v>
      </c>
      <c r="H869" t="s">
        <v>2244</v>
      </c>
      <c r="I869" t="s">
        <v>2245</v>
      </c>
    </row>
    <row r="870" spans="1:9" x14ac:dyDescent="0.3">
      <c r="A870" t="s">
        <v>2246</v>
      </c>
      <c r="B870">
        <v>915</v>
      </c>
      <c r="C870" t="s">
        <v>1405</v>
      </c>
      <c r="D870">
        <v>12.8</v>
      </c>
      <c r="E870">
        <v>12.8</v>
      </c>
      <c r="F870" t="s">
        <v>61</v>
      </c>
      <c r="G870" t="s">
        <v>1318</v>
      </c>
      <c r="H870" t="s">
        <v>2247</v>
      </c>
      <c r="I870" t="s">
        <v>2248</v>
      </c>
    </row>
    <row r="871" spans="1:9" x14ac:dyDescent="0.3">
      <c r="A871" t="s">
        <v>2249</v>
      </c>
      <c r="B871">
        <v>916</v>
      </c>
      <c r="C871" t="s">
        <v>1322</v>
      </c>
      <c r="E871">
        <v>6.6</v>
      </c>
      <c r="F871" t="s">
        <v>61</v>
      </c>
      <c r="I871" t="s">
        <v>1324</v>
      </c>
    </row>
    <row r="872" spans="1:9" x14ac:dyDescent="0.3">
      <c r="A872" t="s">
        <v>2250</v>
      </c>
      <c r="B872">
        <v>917</v>
      </c>
      <c r="C872" t="s">
        <v>1322</v>
      </c>
      <c r="E872">
        <v>6.6</v>
      </c>
      <c r="F872" t="s">
        <v>61</v>
      </c>
      <c r="I872" t="s">
        <v>1324</v>
      </c>
    </row>
    <row r="873" spans="1:9" x14ac:dyDescent="0.3">
      <c r="A873" t="s">
        <v>2251</v>
      </c>
      <c r="B873">
        <v>919</v>
      </c>
      <c r="C873" t="s">
        <v>1322</v>
      </c>
      <c r="E873">
        <v>2.64</v>
      </c>
      <c r="F873" t="s">
        <v>1349</v>
      </c>
      <c r="I873" t="s">
        <v>1324</v>
      </c>
    </row>
    <row r="874" spans="1:9" x14ac:dyDescent="0.3">
      <c r="A874" t="s">
        <v>2252</v>
      </c>
      <c r="B874">
        <v>920</v>
      </c>
      <c r="C874" t="s">
        <v>1322</v>
      </c>
      <c r="E874">
        <v>1.68</v>
      </c>
      <c r="F874" t="s">
        <v>1349</v>
      </c>
      <c r="I874" t="s">
        <v>1324</v>
      </c>
    </row>
    <row r="875" spans="1:9" x14ac:dyDescent="0.3">
      <c r="A875" t="s">
        <v>2253</v>
      </c>
      <c r="B875">
        <v>921</v>
      </c>
      <c r="C875" t="s">
        <v>1322</v>
      </c>
      <c r="E875">
        <v>1</v>
      </c>
      <c r="F875" t="s">
        <v>1421</v>
      </c>
      <c r="I875" t="s">
        <v>1324</v>
      </c>
    </row>
    <row r="876" spans="1:9" x14ac:dyDescent="0.3">
      <c r="A876" t="s">
        <v>2254</v>
      </c>
      <c r="B876">
        <v>922</v>
      </c>
      <c r="C876" t="s">
        <v>1322</v>
      </c>
      <c r="E876">
        <v>1</v>
      </c>
      <c r="F876" t="s">
        <v>1421</v>
      </c>
      <c r="I876" t="s">
        <v>1324</v>
      </c>
    </row>
    <row r="877" spans="1:9" x14ac:dyDescent="0.3">
      <c r="A877" t="s">
        <v>2255</v>
      </c>
      <c r="B877">
        <v>924</v>
      </c>
      <c r="C877" t="s">
        <v>1331</v>
      </c>
      <c r="E877">
        <v>2.6</v>
      </c>
      <c r="F877" t="s">
        <v>1349</v>
      </c>
      <c r="I877" t="s">
        <v>1332</v>
      </c>
    </row>
    <row r="878" spans="1:9" x14ac:dyDescent="0.3">
      <c r="A878" t="s">
        <v>2256</v>
      </c>
      <c r="B878">
        <v>925</v>
      </c>
      <c r="C878" t="s">
        <v>1331</v>
      </c>
      <c r="E878">
        <v>2.6</v>
      </c>
      <c r="F878" t="s">
        <v>1349</v>
      </c>
      <c r="I878" t="s">
        <v>1332</v>
      </c>
    </row>
    <row r="879" spans="1:9" x14ac:dyDescent="0.3">
      <c r="A879" t="s">
        <v>2257</v>
      </c>
      <c r="B879">
        <v>926</v>
      </c>
      <c r="C879" t="s">
        <v>1331</v>
      </c>
      <c r="E879">
        <v>2.6</v>
      </c>
      <c r="F879" t="s">
        <v>1349</v>
      </c>
      <c r="I879" t="s">
        <v>1332</v>
      </c>
    </row>
    <row r="880" spans="1:9" x14ac:dyDescent="0.3">
      <c r="A880" t="s">
        <v>2258</v>
      </c>
      <c r="B880">
        <v>928</v>
      </c>
      <c r="C880" t="s">
        <v>1331</v>
      </c>
      <c r="E880">
        <v>2.2000000000000002</v>
      </c>
      <c r="F880" t="s">
        <v>1349</v>
      </c>
      <c r="I880" t="s">
        <v>1332</v>
      </c>
    </row>
    <row r="881" spans="1:9" x14ac:dyDescent="0.3">
      <c r="A881" t="s">
        <v>2259</v>
      </c>
      <c r="B881">
        <v>929</v>
      </c>
      <c r="C881" t="s">
        <v>1331</v>
      </c>
      <c r="E881">
        <v>2.2000000000000002</v>
      </c>
      <c r="F881" t="s">
        <v>1349</v>
      </c>
      <c r="I881" t="s">
        <v>1332</v>
      </c>
    </row>
    <row r="882" spans="1:9" x14ac:dyDescent="0.3">
      <c r="A882" t="s">
        <v>2260</v>
      </c>
      <c r="B882">
        <v>931</v>
      </c>
      <c r="C882" t="s">
        <v>1331</v>
      </c>
      <c r="E882">
        <v>2.6</v>
      </c>
      <c r="F882" t="s">
        <v>1349</v>
      </c>
      <c r="I882" t="s">
        <v>1332</v>
      </c>
    </row>
    <row r="883" spans="1:9" x14ac:dyDescent="0.3">
      <c r="A883" t="s">
        <v>2261</v>
      </c>
      <c r="B883">
        <v>932</v>
      </c>
      <c r="C883" t="s">
        <v>1331</v>
      </c>
      <c r="E883">
        <v>2.6</v>
      </c>
      <c r="F883" t="s">
        <v>1349</v>
      </c>
      <c r="I883" t="s">
        <v>1332</v>
      </c>
    </row>
    <row r="884" spans="1:9" x14ac:dyDescent="0.3">
      <c r="A884" t="s">
        <v>2262</v>
      </c>
      <c r="B884">
        <v>933</v>
      </c>
      <c r="C884" t="s">
        <v>1331</v>
      </c>
      <c r="E884">
        <v>14.94</v>
      </c>
      <c r="F884" t="s">
        <v>1349</v>
      </c>
      <c r="I884" t="s">
        <v>1332</v>
      </c>
    </row>
    <row r="885" spans="1:9" x14ac:dyDescent="0.3">
      <c r="A885" t="s">
        <v>2263</v>
      </c>
      <c r="B885">
        <v>934</v>
      </c>
      <c r="C885" t="s">
        <v>1331</v>
      </c>
      <c r="E885">
        <v>14.94</v>
      </c>
      <c r="F885" t="s">
        <v>1349</v>
      </c>
      <c r="I885" t="s">
        <v>1332</v>
      </c>
    </row>
    <row r="886" spans="1:9" x14ac:dyDescent="0.3">
      <c r="A886" t="s">
        <v>2264</v>
      </c>
      <c r="B886">
        <v>936</v>
      </c>
      <c r="C886" t="s">
        <v>1405</v>
      </c>
      <c r="D886">
        <v>33.200000000000003</v>
      </c>
      <c r="E886">
        <v>33.200000000000003</v>
      </c>
      <c r="F886" t="s">
        <v>1349</v>
      </c>
      <c r="G886" t="s">
        <v>1318</v>
      </c>
      <c r="H886" t="s">
        <v>2265</v>
      </c>
      <c r="I886" t="s">
        <v>2266</v>
      </c>
    </row>
    <row r="887" spans="1:9" x14ac:dyDescent="0.3">
      <c r="A887" t="s">
        <v>2267</v>
      </c>
      <c r="B887">
        <v>937</v>
      </c>
      <c r="C887" t="s">
        <v>1405</v>
      </c>
      <c r="D887">
        <v>33.200000000000003</v>
      </c>
      <c r="E887">
        <v>33.200000000000003</v>
      </c>
      <c r="F887" t="s">
        <v>1349</v>
      </c>
      <c r="G887" t="s">
        <v>1318</v>
      </c>
      <c r="H887" t="s">
        <v>2265</v>
      </c>
      <c r="I887" t="s">
        <v>2268</v>
      </c>
    </row>
    <row r="888" spans="1:9" x14ac:dyDescent="0.3">
      <c r="A888" t="s">
        <v>2269</v>
      </c>
      <c r="B888">
        <v>939</v>
      </c>
      <c r="C888" t="s">
        <v>1322</v>
      </c>
      <c r="E888">
        <v>1</v>
      </c>
      <c r="F888" t="s">
        <v>1421</v>
      </c>
      <c r="I888" t="s">
        <v>1324</v>
      </c>
    </row>
    <row r="889" spans="1:9" x14ac:dyDescent="0.3">
      <c r="A889" t="s">
        <v>2270</v>
      </c>
      <c r="B889">
        <v>940</v>
      </c>
      <c r="C889" t="s">
        <v>1322</v>
      </c>
      <c r="E889">
        <v>1</v>
      </c>
      <c r="F889" t="s">
        <v>1421</v>
      </c>
      <c r="I889" t="s">
        <v>1324</v>
      </c>
    </row>
    <row r="890" spans="1:9" x14ac:dyDescent="0.3">
      <c r="A890" t="s">
        <v>2271</v>
      </c>
      <c r="B890">
        <v>941</v>
      </c>
      <c r="C890" t="s">
        <v>1322</v>
      </c>
      <c r="E890">
        <v>1</v>
      </c>
      <c r="F890" t="s">
        <v>1421</v>
      </c>
      <c r="I890" t="s">
        <v>1324</v>
      </c>
    </row>
    <row r="891" spans="1:9" x14ac:dyDescent="0.3">
      <c r="A891" t="s">
        <v>2272</v>
      </c>
      <c r="B891">
        <v>942</v>
      </c>
      <c r="C891" t="s">
        <v>1322</v>
      </c>
      <c r="E891">
        <v>2</v>
      </c>
      <c r="F891" t="s">
        <v>1421</v>
      </c>
      <c r="I891" t="s">
        <v>1324</v>
      </c>
    </row>
    <row r="892" spans="1:9" x14ac:dyDescent="0.3">
      <c r="A892" t="s">
        <v>2273</v>
      </c>
      <c r="B892">
        <v>943</v>
      </c>
      <c r="C892" t="s">
        <v>1322</v>
      </c>
      <c r="E892">
        <v>4</v>
      </c>
      <c r="F892" t="s">
        <v>1421</v>
      </c>
      <c r="I892" t="s">
        <v>1324</v>
      </c>
    </row>
    <row r="893" spans="1:9" x14ac:dyDescent="0.3">
      <c r="A893" t="s">
        <v>2274</v>
      </c>
      <c r="B893">
        <v>944</v>
      </c>
      <c r="C893" t="s">
        <v>1322</v>
      </c>
      <c r="E893">
        <v>7</v>
      </c>
      <c r="F893" t="s">
        <v>1421</v>
      </c>
      <c r="I893" t="s">
        <v>1324</v>
      </c>
    </row>
    <row r="894" spans="1:9" x14ac:dyDescent="0.3">
      <c r="A894" t="s">
        <v>2275</v>
      </c>
      <c r="B894">
        <v>945</v>
      </c>
      <c r="C894" t="s">
        <v>1322</v>
      </c>
      <c r="E894">
        <v>1</v>
      </c>
      <c r="F894" t="s">
        <v>1421</v>
      </c>
      <c r="I894" t="s">
        <v>1324</v>
      </c>
    </row>
    <row r="895" spans="1:9" x14ac:dyDescent="0.3">
      <c r="A895" t="s">
        <v>2276</v>
      </c>
      <c r="B895">
        <v>946</v>
      </c>
      <c r="C895" t="s">
        <v>1322</v>
      </c>
      <c r="E895">
        <v>1</v>
      </c>
      <c r="F895" t="s">
        <v>1421</v>
      </c>
      <c r="I895" t="s">
        <v>1324</v>
      </c>
    </row>
    <row r="896" spans="1:9" x14ac:dyDescent="0.3">
      <c r="A896" t="s">
        <v>2277</v>
      </c>
      <c r="B896">
        <v>947</v>
      </c>
      <c r="C896" t="s">
        <v>1322</v>
      </c>
      <c r="E896">
        <v>1</v>
      </c>
      <c r="F896" t="s">
        <v>1421</v>
      </c>
      <c r="I896" t="s">
        <v>1324</v>
      </c>
    </row>
    <row r="897" spans="1:9" x14ac:dyDescent="0.3">
      <c r="A897" t="s">
        <v>2278</v>
      </c>
      <c r="B897">
        <v>948</v>
      </c>
      <c r="C897" t="s">
        <v>1322</v>
      </c>
      <c r="E897">
        <v>2</v>
      </c>
      <c r="F897" t="s">
        <v>1421</v>
      </c>
      <c r="I897" t="s">
        <v>1324</v>
      </c>
    </row>
    <row r="898" spans="1:9" x14ac:dyDescent="0.3">
      <c r="A898" t="s">
        <v>2279</v>
      </c>
      <c r="B898">
        <v>949</v>
      </c>
      <c r="C898" t="s">
        <v>1322</v>
      </c>
      <c r="E898">
        <v>3</v>
      </c>
      <c r="F898" t="s">
        <v>1421</v>
      </c>
      <c r="I898" t="s">
        <v>1324</v>
      </c>
    </row>
    <row r="899" spans="1:9" x14ac:dyDescent="0.3">
      <c r="A899" t="s">
        <v>2280</v>
      </c>
      <c r="B899">
        <v>950</v>
      </c>
      <c r="C899" t="s">
        <v>1322</v>
      </c>
      <c r="E899">
        <v>1</v>
      </c>
      <c r="F899" t="s">
        <v>1421</v>
      </c>
      <c r="I899" t="s">
        <v>1324</v>
      </c>
    </row>
    <row r="900" spans="1:9" x14ac:dyDescent="0.3">
      <c r="A900" t="s">
        <v>2281</v>
      </c>
      <c r="B900">
        <v>951</v>
      </c>
      <c r="C900" t="s">
        <v>1322</v>
      </c>
      <c r="E900">
        <v>1</v>
      </c>
      <c r="F900" t="s">
        <v>1421</v>
      </c>
      <c r="I900" t="s">
        <v>1324</v>
      </c>
    </row>
    <row r="901" spans="1:9" x14ac:dyDescent="0.3">
      <c r="A901" t="s">
        <v>2282</v>
      </c>
      <c r="B901">
        <v>952</v>
      </c>
      <c r="C901" t="s">
        <v>1322</v>
      </c>
      <c r="E901">
        <v>1</v>
      </c>
      <c r="F901" t="s">
        <v>1421</v>
      </c>
      <c r="I901" t="s">
        <v>1324</v>
      </c>
    </row>
    <row r="902" spans="1:9" x14ac:dyDescent="0.3">
      <c r="A902" t="s">
        <v>2283</v>
      </c>
      <c r="B902">
        <v>953</v>
      </c>
      <c r="C902" t="s">
        <v>1322</v>
      </c>
      <c r="E902">
        <v>1</v>
      </c>
      <c r="F902" t="s">
        <v>1421</v>
      </c>
      <c r="I902" t="s">
        <v>1324</v>
      </c>
    </row>
    <row r="903" spans="1:9" x14ac:dyDescent="0.3">
      <c r="A903" t="s">
        <v>2284</v>
      </c>
      <c r="B903">
        <v>954</v>
      </c>
      <c r="C903" t="s">
        <v>1322</v>
      </c>
      <c r="E903">
        <v>1</v>
      </c>
      <c r="F903" t="s">
        <v>1421</v>
      </c>
      <c r="I903" t="s">
        <v>1324</v>
      </c>
    </row>
    <row r="904" spans="1:9" x14ac:dyDescent="0.3">
      <c r="A904" t="s">
        <v>2285</v>
      </c>
      <c r="B904">
        <v>955</v>
      </c>
      <c r="C904" t="s">
        <v>1322</v>
      </c>
      <c r="E904">
        <v>2</v>
      </c>
      <c r="F904" t="s">
        <v>1421</v>
      </c>
      <c r="I904" t="s">
        <v>1324</v>
      </c>
    </row>
    <row r="905" spans="1:9" x14ac:dyDescent="0.3">
      <c r="A905" t="s">
        <v>2286</v>
      </c>
      <c r="B905">
        <v>956</v>
      </c>
      <c r="C905" t="s">
        <v>1322</v>
      </c>
      <c r="E905">
        <v>2</v>
      </c>
      <c r="F905" t="s">
        <v>1421</v>
      </c>
      <c r="I905" t="s">
        <v>1324</v>
      </c>
    </row>
    <row r="906" spans="1:9" x14ac:dyDescent="0.3">
      <c r="A906" t="s">
        <v>2287</v>
      </c>
      <c r="B906">
        <v>957</v>
      </c>
      <c r="C906" t="s">
        <v>1322</v>
      </c>
      <c r="E906">
        <v>4</v>
      </c>
      <c r="F906" t="s">
        <v>1421</v>
      </c>
      <c r="I906" t="s">
        <v>1324</v>
      </c>
    </row>
    <row r="907" spans="1:9" x14ac:dyDescent="0.3">
      <c r="A907" t="s">
        <v>2288</v>
      </c>
      <c r="B907">
        <v>958</v>
      </c>
      <c r="C907" t="s">
        <v>1322</v>
      </c>
      <c r="E907">
        <v>5</v>
      </c>
      <c r="F907" t="s">
        <v>1421</v>
      </c>
      <c r="I907" t="s">
        <v>1324</v>
      </c>
    </row>
    <row r="908" spans="1:9" x14ac:dyDescent="0.3">
      <c r="A908" t="s">
        <v>2289</v>
      </c>
      <c r="B908">
        <v>959</v>
      </c>
      <c r="C908" t="s">
        <v>1322</v>
      </c>
      <c r="E908">
        <v>60</v>
      </c>
      <c r="F908" t="s">
        <v>61</v>
      </c>
      <c r="I908" t="s">
        <v>1324</v>
      </c>
    </row>
    <row r="909" spans="1:9" x14ac:dyDescent="0.3">
      <c r="A909" t="s">
        <v>2290</v>
      </c>
      <c r="B909">
        <v>960</v>
      </c>
      <c r="C909" t="s">
        <v>1322</v>
      </c>
      <c r="E909">
        <v>60</v>
      </c>
      <c r="F909" t="s">
        <v>61</v>
      </c>
      <c r="I909" t="s">
        <v>1324</v>
      </c>
    </row>
    <row r="910" spans="1:9" x14ac:dyDescent="0.3">
      <c r="A910" t="s">
        <v>2291</v>
      </c>
      <c r="B910">
        <v>961</v>
      </c>
      <c r="C910" t="s">
        <v>1322</v>
      </c>
      <c r="E910">
        <v>40</v>
      </c>
      <c r="F910" t="s">
        <v>61</v>
      </c>
      <c r="I910" t="s">
        <v>1324</v>
      </c>
    </row>
    <row r="911" spans="1:9" x14ac:dyDescent="0.3">
      <c r="A911" t="s">
        <v>2292</v>
      </c>
      <c r="B911">
        <v>962</v>
      </c>
      <c r="C911" t="s">
        <v>1322</v>
      </c>
      <c r="E911">
        <v>20</v>
      </c>
      <c r="F911" t="s">
        <v>61</v>
      </c>
      <c r="I911" t="s">
        <v>1324</v>
      </c>
    </row>
    <row r="912" spans="1:9" x14ac:dyDescent="0.3">
      <c r="A912" t="s">
        <v>2293</v>
      </c>
      <c r="B912">
        <v>963</v>
      </c>
      <c r="C912" t="s">
        <v>1322</v>
      </c>
      <c r="E912">
        <v>60</v>
      </c>
      <c r="F912" t="s">
        <v>61</v>
      </c>
      <c r="I912" t="s">
        <v>1324</v>
      </c>
    </row>
    <row r="913" spans="1:9" x14ac:dyDescent="0.3">
      <c r="A913" t="s">
        <v>2294</v>
      </c>
      <c r="B913">
        <v>964</v>
      </c>
      <c r="C913" t="s">
        <v>1322</v>
      </c>
      <c r="E913">
        <v>8.0299999999999994</v>
      </c>
      <c r="F913" t="s">
        <v>130</v>
      </c>
      <c r="I913" t="s">
        <v>1324</v>
      </c>
    </row>
    <row r="914" spans="1:9" x14ac:dyDescent="0.3">
      <c r="A914" t="s">
        <v>2295</v>
      </c>
      <c r="B914">
        <v>965</v>
      </c>
      <c r="C914" t="s">
        <v>1322</v>
      </c>
      <c r="E914">
        <v>1</v>
      </c>
      <c r="F914" t="s">
        <v>1421</v>
      </c>
      <c r="I914" t="s">
        <v>1324</v>
      </c>
    </row>
    <row r="915" spans="1:9" x14ac:dyDescent="0.3">
      <c r="A915" t="s">
        <v>2296</v>
      </c>
      <c r="B915">
        <v>966</v>
      </c>
      <c r="C915" t="s">
        <v>1322</v>
      </c>
      <c r="E915">
        <v>5</v>
      </c>
      <c r="F915" t="s">
        <v>61</v>
      </c>
      <c r="I915" t="s">
        <v>1324</v>
      </c>
    </row>
    <row r="916" spans="1:9" x14ac:dyDescent="0.3">
      <c r="A916" t="s">
        <v>2297</v>
      </c>
      <c r="B916">
        <v>967</v>
      </c>
      <c r="C916" t="s">
        <v>1322</v>
      </c>
      <c r="E916">
        <v>5</v>
      </c>
      <c r="F916" t="s">
        <v>61</v>
      </c>
      <c r="I916" t="s">
        <v>1324</v>
      </c>
    </row>
    <row r="917" spans="1:9" x14ac:dyDescent="0.3">
      <c r="A917" t="s">
        <v>2298</v>
      </c>
      <c r="B917">
        <v>968</v>
      </c>
      <c r="C917" t="s">
        <v>1322</v>
      </c>
      <c r="E917">
        <v>5</v>
      </c>
      <c r="F917" t="s">
        <v>61</v>
      </c>
      <c r="I917" t="s">
        <v>1324</v>
      </c>
    </row>
    <row r="918" spans="1:9" x14ac:dyDescent="0.3">
      <c r="A918" t="s">
        <v>2299</v>
      </c>
      <c r="B918">
        <v>969</v>
      </c>
      <c r="C918" t="s">
        <v>1322</v>
      </c>
      <c r="E918">
        <v>5</v>
      </c>
      <c r="F918" t="s">
        <v>61</v>
      </c>
      <c r="I918" t="s">
        <v>1324</v>
      </c>
    </row>
    <row r="919" spans="1:9" x14ac:dyDescent="0.3">
      <c r="A919" t="s">
        <v>2300</v>
      </c>
      <c r="B919">
        <v>971</v>
      </c>
      <c r="C919" t="s">
        <v>1322</v>
      </c>
      <c r="E919">
        <v>1</v>
      </c>
      <c r="F919" t="s">
        <v>1659</v>
      </c>
      <c r="I919" t="s">
        <v>1324</v>
      </c>
    </row>
    <row r="920" spans="1:9" x14ac:dyDescent="0.3">
      <c r="A920" t="s">
        <v>2301</v>
      </c>
      <c r="B920">
        <v>972</v>
      </c>
      <c r="C920" t="s">
        <v>1322</v>
      </c>
      <c r="E920">
        <v>1</v>
      </c>
      <c r="F920" t="s">
        <v>1421</v>
      </c>
      <c r="I920" t="s">
        <v>1324</v>
      </c>
    </row>
    <row r="921" spans="1:9" x14ac:dyDescent="0.3">
      <c r="A921" t="s">
        <v>2302</v>
      </c>
      <c r="B921">
        <v>973</v>
      </c>
      <c r="C921" t="s">
        <v>1322</v>
      </c>
      <c r="E921">
        <v>1</v>
      </c>
      <c r="F921" t="s">
        <v>1421</v>
      </c>
      <c r="I921" t="s">
        <v>1324</v>
      </c>
    </row>
    <row r="922" spans="1:9" x14ac:dyDescent="0.3">
      <c r="A922" t="s">
        <v>2303</v>
      </c>
      <c r="B922">
        <v>974</v>
      </c>
      <c r="C922" t="s">
        <v>1322</v>
      </c>
      <c r="E922">
        <v>1</v>
      </c>
      <c r="F922" t="s">
        <v>1421</v>
      </c>
      <c r="I922" t="s">
        <v>1324</v>
      </c>
    </row>
    <row r="923" spans="1:9" x14ac:dyDescent="0.3">
      <c r="A923" t="s">
        <v>2304</v>
      </c>
      <c r="B923">
        <v>975</v>
      </c>
      <c r="C923" t="s">
        <v>1322</v>
      </c>
      <c r="E923">
        <v>15</v>
      </c>
      <c r="F923" t="s">
        <v>61</v>
      </c>
      <c r="I923" t="s">
        <v>1324</v>
      </c>
    </row>
    <row r="924" spans="1:9" x14ac:dyDescent="0.3">
      <c r="A924" t="s">
        <v>2305</v>
      </c>
      <c r="B924">
        <v>976</v>
      </c>
      <c r="C924" t="s">
        <v>1322</v>
      </c>
      <c r="E924">
        <v>15</v>
      </c>
      <c r="F924" t="s">
        <v>61</v>
      </c>
      <c r="I924" t="s">
        <v>1324</v>
      </c>
    </row>
    <row r="925" spans="1:9" x14ac:dyDescent="0.3">
      <c r="A925" t="s">
        <v>2306</v>
      </c>
      <c r="B925">
        <v>977</v>
      </c>
      <c r="C925" t="s">
        <v>1322</v>
      </c>
      <c r="E925">
        <v>1</v>
      </c>
      <c r="F925" t="s">
        <v>1421</v>
      </c>
      <c r="I925" t="s">
        <v>1324</v>
      </c>
    </row>
    <row r="926" spans="1:9" x14ac:dyDescent="0.3">
      <c r="A926" t="s">
        <v>2307</v>
      </c>
      <c r="B926">
        <v>978</v>
      </c>
      <c r="C926" t="s">
        <v>1322</v>
      </c>
      <c r="E926">
        <v>1</v>
      </c>
      <c r="F926" t="s">
        <v>1421</v>
      </c>
      <c r="I926" t="s">
        <v>1324</v>
      </c>
    </row>
    <row r="927" spans="1:9" x14ac:dyDescent="0.3">
      <c r="A927" t="s">
        <v>2308</v>
      </c>
      <c r="B927">
        <v>979</v>
      </c>
      <c r="C927" t="s">
        <v>1322</v>
      </c>
      <c r="E927">
        <v>20</v>
      </c>
      <c r="F927" t="s">
        <v>61</v>
      </c>
      <c r="I927" t="s">
        <v>1324</v>
      </c>
    </row>
    <row r="928" spans="1:9" x14ac:dyDescent="0.3">
      <c r="A928" t="s">
        <v>2309</v>
      </c>
      <c r="B928">
        <v>980</v>
      </c>
      <c r="C928" t="s">
        <v>1322</v>
      </c>
      <c r="E928">
        <v>15</v>
      </c>
      <c r="F928" t="s">
        <v>61</v>
      </c>
      <c r="I928" t="s">
        <v>1324</v>
      </c>
    </row>
    <row r="929" spans="1:9" x14ac:dyDescent="0.3">
      <c r="A929" t="s">
        <v>2310</v>
      </c>
      <c r="B929">
        <v>981</v>
      </c>
      <c r="C929" t="s">
        <v>1322</v>
      </c>
      <c r="E929">
        <v>5</v>
      </c>
      <c r="F929" t="s">
        <v>61</v>
      </c>
      <c r="I929" t="s">
        <v>1324</v>
      </c>
    </row>
    <row r="930" spans="1:9" x14ac:dyDescent="0.3">
      <c r="A930" t="s">
        <v>2311</v>
      </c>
      <c r="B930">
        <v>983</v>
      </c>
      <c r="C930" t="s">
        <v>1322</v>
      </c>
      <c r="E930">
        <v>1</v>
      </c>
      <c r="F930" t="s">
        <v>1421</v>
      </c>
      <c r="I930" t="s">
        <v>1324</v>
      </c>
    </row>
    <row r="931" spans="1:9" x14ac:dyDescent="0.3">
      <c r="A931" t="s">
        <v>2312</v>
      </c>
      <c r="B931">
        <v>984</v>
      </c>
      <c r="C931" t="s">
        <v>1322</v>
      </c>
      <c r="E931">
        <v>1</v>
      </c>
      <c r="F931" t="s">
        <v>1421</v>
      </c>
      <c r="I931" t="s">
        <v>1324</v>
      </c>
    </row>
    <row r="932" spans="1:9" x14ac:dyDescent="0.3">
      <c r="A932" t="s">
        <v>2313</v>
      </c>
      <c r="B932">
        <v>985</v>
      </c>
      <c r="C932" t="s">
        <v>1322</v>
      </c>
      <c r="E932">
        <v>1</v>
      </c>
      <c r="F932" t="s">
        <v>1421</v>
      </c>
      <c r="I932" t="s">
        <v>1324</v>
      </c>
    </row>
    <row r="933" spans="1:9" x14ac:dyDescent="0.3">
      <c r="A933" t="s">
        <v>2314</v>
      </c>
      <c r="B933">
        <v>986</v>
      </c>
      <c r="C933" t="s">
        <v>1322</v>
      </c>
      <c r="E933">
        <v>1</v>
      </c>
      <c r="F933" t="s">
        <v>1421</v>
      </c>
      <c r="I933" t="s">
        <v>1324</v>
      </c>
    </row>
    <row r="934" spans="1:9" x14ac:dyDescent="0.3">
      <c r="A934" t="s">
        <v>2315</v>
      </c>
      <c r="B934">
        <v>987</v>
      </c>
      <c r="C934" t="s">
        <v>1322</v>
      </c>
      <c r="E934">
        <v>5</v>
      </c>
      <c r="F934" t="s">
        <v>61</v>
      </c>
      <c r="I934" t="s">
        <v>1324</v>
      </c>
    </row>
    <row r="935" spans="1:9" x14ac:dyDescent="0.3">
      <c r="A935" t="s">
        <v>2316</v>
      </c>
      <c r="B935">
        <v>988</v>
      </c>
      <c r="C935" t="s">
        <v>1322</v>
      </c>
      <c r="E935">
        <v>3</v>
      </c>
      <c r="F935" t="s">
        <v>61</v>
      </c>
      <c r="I935" t="s">
        <v>1324</v>
      </c>
    </row>
    <row r="936" spans="1:9" x14ac:dyDescent="0.3">
      <c r="A936" t="s">
        <v>2317</v>
      </c>
      <c r="B936">
        <v>989</v>
      </c>
      <c r="C936" t="s">
        <v>1322</v>
      </c>
      <c r="E936">
        <v>8</v>
      </c>
      <c r="F936" t="s">
        <v>61</v>
      </c>
      <c r="I936" t="s">
        <v>1324</v>
      </c>
    </row>
    <row r="937" spans="1:9" x14ac:dyDescent="0.3">
      <c r="A937" t="s">
        <v>2318</v>
      </c>
      <c r="B937">
        <v>990</v>
      </c>
      <c r="C937" t="s">
        <v>1322</v>
      </c>
      <c r="E937">
        <v>1</v>
      </c>
      <c r="F937" t="s">
        <v>1421</v>
      </c>
      <c r="I937" t="s">
        <v>1324</v>
      </c>
    </row>
    <row r="938" spans="1:9" x14ac:dyDescent="0.3">
      <c r="A938" t="s">
        <v>2319</v>
      </c>
      <c r="B938">
        <v>991</v>
      </c>
      <c r="C938" t="s">
        <v>1322</v>
      </c>
      <c r="E938">
        <v>1</v>
      </c>
      <c r="F938" t="s">
        <v>1421</v>
      </c>
      <c r="I938" t="s">
        <v>1324</v>
      </c>
    </row>
    <row r="939" spans="1:9" x14ac:dyDescent="0.3">
      <c r="A939" t="s">
        <v>2320</v>
      </c>
      <c r="B939">
        <v>993</v>
      </c>
      <c r="C939" t="s">
        <v>1322</v>
      </c>
      <c r="E939">
        <v>203</v>
      </c>
      <c r="F939" t="s">
        <v>1317</v>
      </c>
      <c r="I939" t="s">
        <v>1324</v>
      </c>
    </row>
    <row r="940" spans="1:9" x14ac:dyDescent="0.3">
      <c r="A940" t="s">
        <v>2321</v>
      </c>
      <c r="B940">
        <v>994</v>
      </c>
      <c r="C940" t="s">
        <v>1322</v>
      </c>
      <c r="E940">
        <v>6</v>
      </c>
      <c r="F940" t="s">
        <v>1317</v>
      </c>
      <c r="I940" t="s">
        <v>1324</v>
      </c>
    </row>
    <row r="941" spans="1:9" x14ac:dyDescent="0.3">
      <c r="A941" t="s">
        <v>2322</v>
      </c>
      <c r="B941">
        <v>995</v>
      </c>
      <c r="C941" t="s">
        <v>1322</v>
      </c>
      <c r="E941">
        <v>86</v>
      </c>
      <c r="F941" t="s">
        <v>1317</v>
      </c>
      <c r="I941" t="s">
        <v>1324</v>
      </c>
    </row>
    <row r="942" spans="1:9" x14ac:dyDescent="0.3">
      <c r="A942" t="s">
        <v>2323</v>
      </c>
      <c r="B942">
        <v>996</v>
      </c>
      <c r="C942" t="s">
        <v>1322</v>
      </c>
      <c r="E942">
        <v>21</v>
      </c>
      <c r="F942" t="s">
        <v>1317</v>
      </c>
      <c r="I942" t="s">
        <v>1324</v>
      </c>
    </row>
    <row r="943" spans="1:9" x14ac:dyDescent="0.3">
      <c r="A943" t="s">
        <v>2324</v>
      </c>
      <c r="B943">
        <v>997</v>
      </c>
      <c r="C943" t="s">
        <v>1322</v>
      </c>
      <c r="E943">
        <v>86</v>
      </c>
      <c r="F943" t="s">
        <v>1317</v>
      </c>
      <c r="I943" t="s">
        <v>1324</v>
      </c>
    </row>
    <row r="944" spans="1:9" x14ac:dyDescent="0.3">
      <c r="A944" t="s">
        <v>2325</v>
      </c>
      <c r="B944">
        <v>998</v>
      </c>
      <c r="C944" t="s">
        <v>1322</v>
      </c>
      <c r="E944">
        <v>132</v>
      </c>
      <c r="F944" t="s">
        <v>1317</v>
      </c>
      <c r="I944" t="s">
        <v>1324</v>
      </c>
    </row>
    <row r="945" spans="1:9" x14ac:dyDescent="0.3">
      <c r="A945" t="s">
        <v>2326</v>
      </c>
      <c r="B945">
        <v>1000</v>
      </c>
      <c r="C945" t="s">
        <v>1405</v>
      </c>
      <c r="D945">
        <v>13.86</v>
      </c>
      <c r="E945">
        <v>13.86</v>
      </c>
      <c r="F945" t="s">
        <v>1317</v>
      </c>
      <c r="G945" t="s">
        <v>1386</v>
      </c>
      <c r="H945" t="s">
        <v>2327</v>
      </c>
      <c r="I945" t="s">
        <v>2328</v>
      </c>
    </row>
    <row r="946" spans="1:9" x14ac:dyDescent="0.3">
      <c r="A946" t="s">
        <v>2329</v>
      </c>
      <c r="B946">
        <v>1001</v>
      </c>
      <c r="C946" t="s">
        <v>1322</v>
      </c>
      <c r="E946">
        <v>6.93</v>
      </c>
      <c r="F946" t="s">
        <v>1317</v>
      </c>
      <c r="I946" t="s">
        <v>1324</v>
      </c>
    </row>
    <row r="947" spans="1:9" x14ac:dyDescent="0.3">
      <c r="A947" t="s">
        <v>2330</v>
      </c>
      <c r="B947">
        <v>1002</v>
      </c>
      <c r="C947" t="s">
        <v>1405</v>
      </c>
      <c r="D947">
        <v>52.67</v>
      </c>
      <c r="E947">
        <v>52.67</v>
      </c>
      <c r="F947" t="s">
        <v>1317</v>
      </c>
      <c r="G947" t="s">
        <v>1318</v>
      </c>
      <c r="H947" t="s">
        <v>2327</v>
      </c>
      <c r="I947" t="s">
        <v>2331</v>
      </c>
    </row>
    <row r="948" spans="1:9" x14ac:dyDescent="0.3">
      <c r="A948" t="s">
        <v>2332</v>
      </c>
      <c r="B948">
        <v>1003</v>
      </c>
      <c r="C948" t="s">
        <v>1322</v>
      </c>
      <c r="E948">
        <v>1.7999999999999999E-2</v>
      </c>
      <c r="F948" t="s">
        <v>1323</v>
      </c>
      <c r="I948" t="s">
        <v>1324</v>
      </c>
    </row>
    <row r="949" spans="1:9" x14ac:dyDescent="0.3">
      <c r="A949" t="s">
        <v>2333</v>
      </c>
      <c r="B949">
        <v>1004</v>
      </c>
      <c r="C949" t="s">
        <v>1322</v>
      </c>
      <c r="E949">
        <v>5.8879999999999999</v>
      </c>
      <c r="F949" t="s">
        <v>1323</v>
      </c>
      <c r="I949" t="s">
        <v>1324</v>
      </c>
    </row>
    <row r="950" spans="1:9" x14ac:dyDescent="0.3">
      <c r="A950" t="s">
        <v>2334</v>
      </c>
      <c r="B950">
        <v>1005</v>
      </c>
      <c r="C950" t="s">
        <v>1405</v>
      </c>
      <c r="D950">
        <v>127.2</v>
      </c>
      <c r="E950">
        <v>127.2</v>
      </c>
      <c r="F950" t="s">
        <v>1349</v>
      </c>
      <c r="G950" t="s">
        <v>1386</v>
      </c>
      <c r="H950" t="s">
        <v>2327</v>
      </c>
      <c r="I950" t="s">
        <v>2335</v>
      </c>
    </row>
    <row r="951" spans="1:9" x14ac:dyDescent="0.3">
      <c r="A951" t="s">
        <v>2336</v>
      </c>
      <c r="B951">
        <v>1006</v>
      </c>
      <c r="C951" t="s">
        <v>1405</v>
      </c>
      <c r="D951">
        <v>127.2</v>
      </c>
      <c r="E951">
        <v>127.2</v>
      </c>
      <c r="F951" t="s">
        <v>1349</v>
      </c>
      <c r="G951" t="s">
        <v>1386</v>
      </c>
      <c r="H951" t="s">
        <v>2327</v>
      </c>
      <c r="I951" t="s">
        <v>2335</v>
      </c>
    </row>
    <row r="952" spans="1:9" x14ac:dyDescent="0.3">
      <c r="A952" t="s">
        <v>2337</v>
      </c>
      <c r="B952">
        <v>1007</v>
      </c>
      <c r="C952" t="s">
        <v>1405</v>
      </c>
      <c r="D952">
        <v>156.9</v>
      </c>
      <c r="E952">
        <v>156.9</v>
      </c>
      <c r="F952" t="s">
        <v>1349</v>
      </c>
      <c r="G952" t="s">
        <v>1386</v>
      </c>
      <c r="H952" t="s">
        <v>2327</v>
      </c>
      <c r="I952" t="s">
        <v>2338</v>
      </c>
    </row>
    <row r="953" spans="1:9" x14ac:dyDescent="0.3">
      <c r="A953" t="s">
        <v>2339</v>
      </c>
      <c r="B953">
        <v>1009</v>
      </c>
      <c r="C953" t="s">
        <v>1405</v>
      </c>
      <c r="D953">
        <v>26.84</v>
      </c>
      <c r="E953">
        <v>26.84</v>
      </c>
      <c r="F953" t="s">
        <v>1317</v>
      </c>
      <c r="G953" t="s">
        <v>1386</v>
      </c>
      <c r="H953" t="s">
        <v>2327</v>
      </c>
      <c r="I953" t="s">
        <v>2340</v>
      </c>
    </row>
    <row r="954" spans="1:9" x14ac:dyDescent="0.3">
      <c r="A954" t="s">
        <v>2341</v>
      </c>
      <c r="B954">
        <v>1010</v>
      </c>
      <c r="C954" t="s">
        <v>1322</v>
      </c>
      <c r="E954">
        <v>1.68</v>
      </c>
      <c r="F954" t="s">
        <v>1317</v>
      </c>
      <c r="I954" t="s">
        <v>1324</v>
      </c>
    </row>
    <row r="955" spans="1:9" x14ac:dyDescent="0.3">
      <c r="A955" t="s">
        <v>2342</v>
      </c>
      <c r="B955">
        <v>1011</v>
      </c>
      <c r="C955" t="s">
        <v>1322</v>
      </c>
      <c r="E955">
        <v>0.96</v>
      </c>
      <c r="F955" t="s">
        <v>1323</v>
      </c>
      <c r="I955" t="s">
        <v>1324</v>
      </c>
    </row>
    <row r="956" spans="1:9" x14ac:dyDescent="0.3">
      <c r="A956" t="s">
        <v>2343</v>
      </c>
      <c r="B956">
        <v>1012</v>
      </c>
      <c r="C956" t="s">
        <v>1322</v>
      </c>
      <c r="E956">
        <v>4.7949999999999999</v>
      </c>
      <c r="F956" t="s">
        <v>1323</v>
      </c>
      <c r="I956" t="s">
        <v>1324</v>
      </c>
    </row>
    <row r="957" spans="1:9" x14ac:dyDescent="0.3">
      <c r="A957" t="s">
        <v>2344</v>
      </c>
      <c r="B957">
        <v>1013</v>
      </c>
      <c r="C957" t="s">
        <v>1405</v>
      </c>
      <c r="D957">
        <v>17.84</v>
      </c>
      <c r="E957">
        <v>17.84</v>
      </c>
      <c r="F957" t="s">
        <v>1317</v>
      </c>
      <c r="G957" t="s">
        <v>1386</v>
      </c>
      <c r="H957" t="s">
        <v>2327</v>
      </c>
      <c r="I957" t="s">
        <v>2345</v>
      </c>
    </row>
    <row r="958" spans="1:9" x14ac:dyDescent="0.3">
      <c r="A958" t="s">
        <v>2346</v>
      </c>
      <c r="B958">
        <v>1014</v>
      </c>
      <c r="C958" t="s">
        <v>1322</v>
      </c>
      <c r="E958">
        <v>1.27</v>
      </c>
      <c r="F958" t="s">
        <v>1323</v>
      </c>
      <c r="I958" t="s">
        <v>1324</v>
      </c>
    </row>
    <row r="959" spans="1:9" x14ac:dyDescent="0.3">
      <c r="A959" t="s">
        <v>2347</v>
      </c>
      <c r="B959">
        <v>1015</v>
      </c>
      <c r="C959" t="s">
        <v>1322</v>
      </c>
      <c r="E959">
        <v>4.0599999999999996</v>
      </c>
      <c r="F959" t="s">
        <v>1323</v>
      </c>
      <c r="I959" t="s">
        <v>1324</v>
      </c>
    </row>
    <row r="960" spans="1:9" x14ac:dyDescent="0.3">
      <c r="A960" t="s">
        <v>2348</v>
      </c>
      <c r="B960">
        <v>1016</v>
      </c>
      <c r="C960" t="s">
        <v>1322</v>
      </c>
      <c r="E960">
        <v>3.07</v>
      </c>
      <c r="F960" t="s">
        <v>1317</v>
      </c>
      <c r="I960" t="s">
        <v>1324</v>
      </c>
    </row>
    <row r="961" spans="1:9" x14ac:dyDescent="0.3">
      <c r="A961" t="s">
        <v>2349</v>
      </c>
      <c r="B961">
        <v>1017</v>
      </c>
      <c r="C961" t="s">
        <v>1322</v>
      </c>
      <c r="E961">
        <v>0.184</v>
      </c>
      <c r="F961" t="s">
        <v>1323</v>
      </c>
      <c r="I961" t="s">
        <v>1324</v>
      </c>
    </row>
    <row r="962" spans="1:9" x14ac:dyDescent="0.3">
      <c r="A962" t="s">
        <v>2350</v>
      </c>
      <c r="B962">
        <v>1018</v>
      </c>
      <c r="C962" t="s">
        <v>1322</v>
      </c>
      <c r="E962">
        <v>0.36699999999999999</v>
      </c>
      <c r="F962" t="s">
        <v>1323</v>
      </c>
      <c r="I962" t="s">
        <v>1324</v>
      </c>
    </row>
    <row r="963" spans="1:9" x14ac:dyDescent="0.3">
      <c r="A963" t="s">
        <v>2351</v>
      </c>
      <c r="B963">
        <v>1019</v>
      </c>
      <c r="C963" t="s">
        <v>1405</v>
      </c>
      <c r="D963">
        <v>27.58</v>
      </c>
      <c r="E963">
        <v>27.58</v>
      </c>
      <c r="F963" t="s">
        <v>1317</v>
      </c>
      <c r="G963" t="s">
        <v>1386</v>
      </c>
      <c r="H963" t="s">
        <v>2327</v>
      </c>
      <c r="I963" t="s">
        <v>2352</v>
      </c>
    </row>
    <row r="964" spans="1:9" x14ac:dyDescent="0.3">
      <c r="A964" t="s">
        <v>2353</v>
      </c>
      <c r="B964">
        <v>1020</v>
      </c>
      <c r="C964" t="s">
        <v>1322</v>
      </c>
      <c r="E964">
        <v>0.20799999999999999</v>
      </c>
      <c r="F964" t="s">
        <v>1323</v>
      </c>
      <c r="I964" t="s">
        <v>1324</v>
      </c>
    </row>
    <row r="965" spans="1:9" x14ac:dyDescent="0.3">
      <c r="A965" t="s">
        <v>2354</v>
      </c>
      <c r="B965">
        <v>1021</v>
      </c>
      <c r="C965" t="s">
        <v>1322</v>
      </c>
      <c r="E965">
        <v>3.0960000000000001</v>
      </c>
      <c r="F965" t="s">
        <v>1323</v>
      </c>
      <c r="I965" t="s">
        <v>1324</v>
      </c>
    </row>
    <row r="966" spans="1:9" x14ac:dyDescent="0.3">
      <c r="A966" t="s">
        <v>2355</v>
      </c>
      <c r="B966">
        <v>1022</v>
      </c>
      <c r="C966" t="s">
        <v>1322</v>
      </c>
      <c r="E966">
        <v>9.32</v>
      </c>
      <c r="F966" t="s">
        <v>1317</v>
      </c>
      <c r="I966" t="s">
        <v>1324</v>
      </c>
    </row>
    <row r="967" spans="1:9" x14ac:dyDescent="0.3">
      <c r="A967" t="s">
        <v>2356</v>
      </c>
      <c r="B967">
        <v>1023</v>
      </c>
      <c r="C967" t="s">
        <v>1322</v>
      </c>
      <c r="E967">
        <v>0.255</v>
      </c>
      <c r="F967" t="s">
        <v>1323</v>
      </c>
      <c r="I967" t="s">
        <v>1324</v>
      </c>
    </row>
    <row r="968" spans="1:9" x14ac:dyDescent="0.3">
      <c r="A968" t="s">
        <v>2357</v>
      </c>
      <c r="B968">
        <v>1024</v>
      </c>
      <c r="C968" t="s">
        <v>1322</v>
      </c>
      <c r="E968">
        <v>1.76</v>
      </c>
      <c r="F968" t="s">
        <v>1323</v>
      </c>
      <c r="I968" t="s">
        <v>1324</v>
      </c>
    </row>
    <row r="969" spans="1:9" x14ac:dyDescent="0.3">
      <c r="A969" t="s">
        <v>2358</v>
      </c>
      <c r="B969">
        <v>1025</v>
      </c>
      <c r="C969" t="s">
        <v>1331</v>
      </c>
      <c r="E969">
        <v>4.32</v>
      </c>
      <c r="F969" t="s">
        <v>1317</v>
      </c>
      <c r="I969" t="s">
        <v>1332</v>
      </c>
    </row>
    <row r="970" spans="1:9" x14ac:dyDescent="0.3">
      <c r="A970" t="s">
        <v>2359</v>
      </c>
      <c r="B970">
        <v>1026</v>
      </c>
      <c r="C970" t="s">
        <v>1322</v>
      </c>
      <c r="E970">
        <v>0.216</v>
      </c>
      <c r="F970" t="s">
        <v>1323</v>
      </c>
      <c r="I970" t="s">
        <v>1324</v>
      </c>
    </row>
    <row r="971" spans="1:9" x14ac:dyDescent="0.3">
      <c r="A971" t="s">
        <v>2360</v>
      </c>
      <c r="B971">
        <v>1027</v>
      </c>
      <c r="C971" t="s">
        <v>1322</v>
      </c>
      <c r="E971">
        <v>0.68400000000000005</v>
      </c>
      <c r="F971" t="s">
        <v>1323</v>
      </c>
      <c r="I971" t="s">
        <v>1324</v>
      </c>
    </row>
    <row r="972" spans="1:9" x14ac:dyDescent="0.3">
      <c r="A972" t="s">
        <v>2361</v>
      </c>
      <c r="B972">
        <v>1028</v>
      </c>
      <c r="C972" t="s">
        <v>1322</v>
      </c>
      <c r="E972">
        <v>0.128</v>
      </c>
      <c r="F972" t="s">
        <v>1317</v>
      </c>
      <c r="I972" t="s">
        <v>1324</v>
      </c>
    </row>
    <row r="973" spans="1:9" x14ac:dyDescent="0.3">
      <c r="A973" t="s">
        <v>2362</v>
      </c>
      <c r="B973">
        <v>1029</v>
      </c>
      <c r="C973" t="s">
        <v>1322</v>
      </c>
      <c r="E973">
        <v>1.4999999999999999E-2</v>
      </c>
      <c r="F973" t="s">
        <v>1323</v>
      </c>
      <c r="I973" t="s">
        <v>1324</v>
      </c>
    </row>
    <row r="974" spans="1:9" x14ac:dyDescent="0.3">
      <c r="A974" t="s">
        <v>2363</v>
      </c>
      <c r="B974">
        <v>1030</v>
      </c>
      <c r="C974" t="s">
        <v>1322</v>
      </c>
      <c r="E974">
        <v>1.7000000000000001E-2</v>
      </c>
      <c r="F974" t="s">
        <v>1323</v>
      </c>
      <c r="I974" t="s">
        <v>1324</v>
      </c>
    </row>
    <row r="975" spans="1:9" x14ac:dyDescent="0.3">
      <c r="A975" t="s">
        <v>2364</v>
      </c>
      <c r="B975">
        <v>1031</v>
      </c>
      <c r="C975" t="s">
        <v>1322</v>
      </c>
      <c r="E975">
        <v>0.36</v>
      </c>
      <c r="F975" t="s">
        <v>1317</v>
      </c>
      <c r="I975" t="s">
        <v>1324</v>
      </c>
    </row>
    <row r="976" spans="1:9" x14ac:dyDescent="0.3">
      <c r="A976" t="s">
        <v>2365</v>
      </c>
      <c r="B976">
        <v>1032</v>
      </c>
      <c r="C976" t="s">
        <v>1331</v>
      </c>
      <c r="E976">
        <v>0.01</v>
      </c>
      <c r="F976" t="s">
        <v>1323</v>
      </c>
      <c r="I976" t="s">
        <v>1332</v>
      </c>
    </row>
    <row r="977" spans="1:9" x14ac:dyDescent="0.3">
      <c r="A977" t="s">
        <v>2366</v>
      </c>
      <c r="B977">
        <v>1033</v>
      </c>
      <c r="C977" t="s">
        <v>1322</v>
      </c>
      <c r="E977">
        <v>3.3000000000000002E-2</v>
      </c>
      <c r="F977" t="s">
        <v>1323</v>
      </c>
      <c r="I977" t="s">
        <v>1324</v>
      </c>
    </row>
    <row r="978" spans="1:9" x14ac:dyDescent="0.3">
      <c r="A978" t="s">
        <v>2367</v>
      </c>
      <c r="B978">
        <v>1034</v>
      </c>
      <c r="C978" t="s">
        <v>1322</v>
      </c>
      <c r="E978">
        <v>7</v>
      </c>
      <c r="F978" t="s">
        <v>61</v>
      </c>
      <c r="I978" t="s">
        <v>1324</v>
      </c>
    </row>
    <row r="979" spans="1:9" x14ac:dyDescent="0.3">
      <c r="A979" t="s">
        <v>2368</v>
      </c>
      <c r="B979">
        <v>1035</v>
      </c>
      <c r="C979" t="s">
        <v>1322</v>
      </c>
      <c r="E979">
        <v>0.11</v>
      </c>
      <c r="F979" t="s">
        <v>1323</v>
      </c>
      <c r="I979" t="s">
        <v>1324</v>
      </c>
    </row>
    <row r="980" spans="1:9" x14ac:dyDescent="0.3">
      <c r="A980" t="s">
        <v>2369</v>
      </c>
      <c r="B980">
        <v>1036</v>
      </c>
      <c r="C980" t="s">
        <v>1405</v>
      </c>
      <c r="D980">
        <v>0.25600000000000001</v>
      </c>
      <c r="E980">
        <v>0.25600000000000001</v>
      </c>
      <c r="F980" t="s">
        <v>1317</v>
      </c>
      <c r="G980" t="s">
        <v>1318</v>
      </c>
      <c r="H980" t="s">
        <v>2327</v>
      </c>
      <c r="I980" t="s">
        <v>2370</v>
      </c>
    </row>
    <row r="981" spans="1:9" x14ac:dyDescent="0.3">
      <c r="A981" t="s">
        <v>2371</v>
      </c>
      <c r="B981">
        <v>1037</v>
      </c>
      <c r="C981" t="s">
        <v>1331</v>
      </c>
      <c r="E981">
        <v>0.01</v>
      </c>
      <c r="F981" t="s">
        <v>1323</v>
      </c>
      <c r="I981" t="s">
        <v>1332</v>
      </c>
    </row>
    <row r="982" spans="1:9" x14ac:dyDescent="0.3">
      <c r="A982" t="s">
        <v>2372</v>
      </c>
      <c r="B982">
        <v>1038</v>
      </c>
      <c r="C982" t="s">
        <v>1322</v>
      </c>
      <c r="E982">
        <v>1.6E-2</v>
      </c>
      <c r="F982" t="s">
        <v>1323</v>
      </c>
      <c r="I982" t="s">
        <v>1324</v>
      </c>
    </row>
    <row r="983" spans="1:9" x14ac:dyDescent="0.3">
      <c r="A983" t="s">
        <v>2373</v>
      </c>
      <c r="B983">
        <v>1039</v>
      </c>
      <c r="C983" t="s">
        <v>1405</v>
      </c>
      <c r="D983">
        <v>23.52</v>
      </c>
      <c r="E983">
        <v>23.52</v>
      </c>
      <c r="F983" t="s">
        <v>1349</v>
      </c>
      <c r="G983" t="s">
        <v>1386</v>
      </c>
      <c r="H983" t="s">
        <v>2327</v>
      </c>
      <c r="I983" t="s">
        <v>2374</v>
      </c>
    </row>
    <row r="984" spans="1:9" x14ac:dyDescent="0.3">
      <c r="A984" t="s">
        <v>2375</v>
      </c>
      <c r="B984">
        <v>1040</v>
      </c>
      <c r="C984" t="s">
        <v>1331</v>
      </c>
      <c r="E984">
        <v>2.1</v>
      </c>
      <c r="F984" t="s">
        <v>1317</v>
      </c>
      <c r="I984" t="s">
        <v>1332</v>
      </c>
    </row>
    <row r="985" spans="1:9" x14ac:dyDescent="0.3">
      <c r="A985" t="s">
        <v>2376</v>
      </c>
      <c r="B985">
        <v>1041</v>
      </c>
      <c r="C985" t="s">
        <v>1322</v>
      </c>
      <c r="E985">
        <v>6.2E-2</v>
      </c>
      <c r="F985" t="s">
        <v>1323</v>
      </c>
      <c r="I985" t="s">
        <v>1324</v>
      </c>
    </row>
    <row r="986" spans="1:9" x14ac:dyDescent="0.3">
      <c r="A986" t="s">
        <v>2377</v>
      </c>
      <c r="B986">
        <v>1042</v>
      </c>
      <c r="C986" t="s">
        <v>1322</v>
      </c>
      <c r="E986">
        <v>8.8999999999999996E-2</v>
      </c>
      <c r="F986" t="s">
        <v>1323</v>
      </c>
      <c r="I986" t="s">
        <v>1324</v>
      </c>
    </row>
    <row r="987" spans="1:9" x14ac:dyDescent="0.3">
      <c r="A987" t="s">
        <v>2378</v>
      </c>
      <c r="B987">
        <v>1043</v>
      </c>
      <c r="C987" t="s">
        <v>1322</v>
      </c>
      <c r="E987">
        <v>1.1359999999999999</v>
      </c>
      <c r="F987" t="s">
        <v>1317</v>
      </c>
      <c r="I987" t="s">
        <v>1324</v>
      </c>
    </row>
    <row r="988" spans="1:9" x14ac:dyDescent="0.3">
      <c r="A988" t="s">
        <v>2379</v>
      </c>
      <c r="B988">
        <v>1044</v>
      </c>
      <c r="C988" t="s">
        <v>1322</v>
      </c>
      <c r="E988">
        <v>3.3000000000000002E-2</v>
      </c>
      <c r="F988" t="s">
        <v>1323</v>
      </c>
      <c r="I988" t="s">
        <v>1324</v>
      </c>
    </row>
    <row r="989" spans="1:9" x14ac:dyDescent="0.3">
      <c r="A989" t="s">
        <v>2380</v>
      </c>
      <c r="B989">
        <v>1045</v>
      </c>
      <c r="C989" t="s">
        <v>1322</v>
      </c>
      <c r="E989">
        <v>3.1E-2</v>
      </c>
      <c r="F989" t="s">
        <v>1323</v>
      </c>
      <c r="I989" t="s">
        <v>1324</v>
      </c>
    </row>
    <row r="990" spans="1:9" x14ac:dyDescent="0.3">
      <c r="A990" t="s">
        <v>2381</v>
      </c>
      <c r="B990">
        <v>1046</v>
      </c>
      <c r="C990" t="s">
        <v>1405</v>
      </c>
      <c r="D990">
        <v>24.44</v>
      </c>
      <c r="E990">
        <v>24.44</v>
      </c>
      <c r="F990" t="s">
        <v>1349</v>
      </c>
      <c r="G990" t="s">
        <v>1386</v>
      </c>
      <c r="H990" t="s">
        <v>2327</v>
      </c>
      <c r="I990" t="s">
        <v>2382</v>
      </c>
    </row>
    <row r="991" spans="1:9" x14ac:dyDescent="0.3">
      <c r="A991" t="s">
        <v>2383</v>
      </c>
      <c r="B991">
        <v>1048</v>
      </c>
      <c r="C991" t="s">
        <v>1322</v>
      </c>
      <c r="E991">
        <v>184</v>
      </c>
      <c r="F991" t="s">
        <v>1349</v>
      </c>
      <c r="I991" t="s">
        <v>1324</v>
      </c>
    </row>
    <row r="992" spans="1:9" x14ac:dyDescent="0.3">
      <c r="A992" t="s">
        <v>2384</v>
      </c>
      <c r="B992">
        <v>1049</v>
      </c>
      <c r="C992" t="s">
        <v>1322</v>
      </c>
      <c r="E992">
        <v>5.3</v>
      </c>
      <c r="F992" t="s">
        <v>1317</v>
      </c>
      <c r="I992" t="s">
        <v>1324</v>
      </c>
    </row>
    <row r="993" spans="1:9" x14ac:dyDescent="0.3">
      <c r="A993" t="s">
        <v>2385</v>
      </c>
      <c r="B993">
        <v>1050</v>
      </c>
      <c r="C993" t="s">
        <v>1322</v>
      </c>
      <c r="E993">
        <v>0.29599999999999999</v>
      </c>
      <c r="F993" t="s">
        <v>1323</v>
      </c>
      <c r="I993" t="s">
        <v>1324</v>
      </c>
    </row>
    <row r="994" spans="1:9" x14ac:dyDescent="0.3">
      <c r="A994" t="s">
        <v>2386</v>
      </c>
      <c r="B994">
        <v>1051</v>
      </c>
      <c r="C994" t="s">
        <v>1331</v>
      </c>
      <c r="E994">
        <v>9</v>
      </c>
      <c r="F994" t="s">
        <v>1421</v>
      </c>
      <c r="I994" t="s">
        <v>1332</v>
      </c>
    </row>
    <row r="995" spans="1:9" x14ac:dyDescent="0.3">
      <c r="A995" t="s">
        <v>2387</v>
      </c>
      <c r="B995">
        <v>1052</v>
      </c>
      <c r="C995" t="s">
        <v>1331</v>
      </c>
      <c r="E995">
        <v>9</v>
      </c>
      <c r="F995" t="s">
        <v>1421</v>
      </c>
      <c r="I995" t="s">
        <v>1332</v>
      </c>
    </row>
    <row r="996" spans="1:9" x14ac:dyDescent="0.3">
      <c r="A996" t="s">
        <v>2388</v>
      </c>
      <c r="B996">
        <v>1054</v>
      </c>
      <c r="C996" t="s">
        <v>1322</v>
      </c>
      <c r="E996">
        <v>32</v>
      </c>
      <c r="F996" t="s">
        <v>1349</v>
      </c>
      <c r="I996" t="s">
        <v>1324</v>
      </c>
    </row>
    <row r="997" spans="1:9" x14ac:dyDescent="0.3">
      <c r="A997" t="s">
        <v>2389</v>
      </c>
      <c r="B997">
        <v>1055</v>
      </c>
      <c r="C997" t="s">
        <v>1322</v>
      </c>
      <c r="E997">
        <v>32</v>
      </c>
      <c r="F997" t="s">
        <v>1349</v>
      </c>
      <c r="I997" t="s">
        <v>1324</v>
      </c>
    </row>
    <row r="998" spans="1:9" x14ac:dyDescent="0.3">
      <c r="A998" t="s">
        <v>2390</v>
      </c>
      <c r="B998">
        <v>1056</v>
      </c>
      <c r="C998" t="s">
        <v>1322</v>
      </c>
      <c r="E998">
        <v>2.56</v>
      </c>
      <c r="F998" t="s">
        <v>1317</v>
      </c>
      <c r="I998" t="s">
        <v>1324</v>
      </c>
    </row>
    <row r="999" spans="1:9" x14ac:dyDescent="0.3">
      <c r="A999" t="s">
        <v>2391</v>
      </c>
      <c r="B999">
        <v>1057</v>
      </c>
      <c r="C999" t="s">
        <v>1322</v>
      </c>
      <c r="E999">
        <v>32</v>
      </c>
      <c r="F999" t="s">
        <v>1349</v>
      </c>
      <c r="I999" t="s">
        <v>1324</v>
      </c>
    </row>
    <row r="1000" spans="1:9" x14ac:dyDescent="0.3">
      <c r="A1000" t="s">
        <v>2392</v>
      </c>
      <c r="B1000">
        <v>1058</v>
      </c>
      <c r="C1000" t="s">
        <v>1322</v>
      </c>
      <c r="E1000">
        <v>32</v>
      </c>
      <c r="F1000" t="s">
        <v>1349</v>
      </c>
      <c r="I1000" t="s">
        <v>1324</v>
      </c>
    </row>
    <row r="1001" spans="1:9" x14ac:dyDescent="0.3">
      <c r="A1001" t="s">
        <v>2393</v>
      </c>
      <c r="B1001">
        <v>1059</v>
      </c>
      <c r="C1001" t="s">
        <v>1322</v>
      </c>
      <c r="E1001">
        <v>32</v>
      </c>
      <c r="F1001" t="s">
        <v>1349</v>
      </c>
      <c r="I1001" t="s">
        <v>1324</v>
      </c>
    </row>
    <row r="1002" spans="1:9" x14ac:dyDescent="0.3">
      <c r="A1002" t="s">
        <v>2394</v>
      </c>
      <c r="B1002">
        <v>1060</v>
      </c>
      <c r="C1002" t="s">
        <v>1331</v>
      </c>
      <c r="E1002">
        <v>70.400000000000006</v>
      </c>
      <c r="F1002" t="s">
        <v>1349</v>
      </c>
      <c r="I1002" t="s">
        <v>1332</v>
      </c>
    </row>
    <row r="1003" spans="1:9" x14ac:dyDescent="0.3">
      <c r="A1003" t="s">
        <v>2395</v>
      </c>
      <c r="B1003">
        <v>1061</v>
      </c>
      <c r="C1003" t="s">
        <v>1331</v>
      </c>
      <c r="E1003">
        <v>2.4700000000000002</v>
      </c>
      <c r="F1003" t="s">
        <v>1317</v>
      </c>
      <c r="I1003" t="s">
        <v>1332</v>
      </c>
    </row>
    <row r="1004" spans="1:9" x14ac:dyDescent="0.3">
      <c r="A1004" t="s">
        <v>2396</v>
      </c>
      <c r="B1004">
        <v>1062</v>
      </c>
      <c r="C1004" t="s">
        <v>1322</v>
      </c>
      <c r="E1004">
        <v>2</v>
      </c>
      <c r="F1004" t="s">
        <v>1421</v>
      </c>
      <c r="I1004" t="s">
        <v>1324</v>
      </c>
    </row>
    <row r="1005" spans="1:9" x14ac:dyDescent="0.3">
      <c r="A1005" t="s">
        <v>2397</v>
      </c>
      <c r="B1005">
        <v>1063</v>
      </c>
      <c r="C1005" t="s">
        <v>1405</v>
      </c>
      <c r="D1005">
        <v>16.3</v>
      </c>
      <c r="E1005">
        <v>16.3</v>
      </c>
      <c r="F1005" t="s">
        <v>61</v>
      </c>
      <c r="G1005" t="s">
        <v>1318</v>
      </c>
      <c r="H1005" t="s">
        <v>2398</v>
      </c>
      <c r="I1005" t="s">
        <v>2399</v>
      </c>
    </row>
    <row r="1006" spans="1:9" x14ac:dyDescent="0.3">
      <c r="A1006" t="s">
        <v>2400</v>
      </c>
      <c r="B1006">
        <v>1064</v>
      </c>
      <c r="C1006" t="s">
        <v>1405</v>
      </c>
      <c r="D1006">
        <v>16.3</v>
      </c>
      <c r="E1006">
        <v>16.3</v>
      </c>
      <c r="F1006" t="s">
        <v>61</v>
      </c>
      <c r="G1006" t="s">
        <v>1318</v>
      </c>
      <c r="H1006" t="s">
        <v>2398</v>
      </c>
      <c r="I1006" t="s">
        <v>2399</v>
      </c>
    </row>
    <row r="1007" spans="1:9" x14ac:dyDescent="0.3">
      <c r="A1007" t="s">
        <v>2401</v>
      </c>
      <c r="B1007">
        <v>1065</v>
      </c>
      <c r="C1007" t="s">
        <v>1322</v>
      </c>
      <c r="E1007">
        <v>2</v>
      </c>
      <c r="F1007" t="s">
        <v>1421</v>
      </c>
      <c r="I1007" t="s">
        <v>1324</v>
      </c>
    </row>
    <row r="1008" spans="1:9" x14ac:dyDescent="0.3">
      <c r="A1008" t="s">
        <v>2402</v>
      </c>
      <c r="B1008">
        <v>1066</v>
      </c>
      <c r="C1008" t="s">
        <v>1322</v>
      </c>
      <c r="E1008">
        <v>0.64</v>
      </c>
      <c r="F1008" t="s">
        <v>1349</v>
      </c>
      <c r="I1008" t="s">
        <v>1324</v>
      </c>
    </row>
    <row r="1009" spans="1:9" x14ac:dyDescent="0.3">
      <c r="A1009" t="s">
        <v>2403</v>
      </c>
      <c r="B1009">
        <v>1067</v>
      </c>
      <c r="C1009" t="s">
        <v>1322</v>
      </c>
      <c r="E1009">
        <v>4.7E-2</v>
      </c>
      <c r="F1009" t="s">
        <v>1323</v>
      </c>
      <c r="I1009" t="s">
        <v>1324</v>
      </c>
    </row>
    <row r="1010" spans="1:9" x14ac:dyDescent="0.3">
      <c r="A1010" t="s">
        <v>2404</v>
      </c>
      <c r="B1010">
        <v>1068</v>
      </c>
      <c r="C1010" t="s">
        <v>1322</v>
      </c>
      <c r="E1010">
        <v>1.3</v>
      </c>
      <c r="F1010" t="s">
        <v>1349</v>
      </c>
      <c r="I1010" t="s">
        <v>1324</v>
      </c>
    </row>
    <row r="1011" spans="1:9" x14ac:dyDescent="0.3">
      <c r="A1011" t="s">
        <v>2405</v>
      </c>
      <c r="B1011">
        <v>1069</v>
      </c>
      <c r="C1011" t="s">
        <v>1322</v>
      </c>
      <c r="E1011">
        <v>12.8</v>
      </c>
      <c r="F1011" t="s">
        <v>61</v>
      </c>
      <c r="I1011" t="s">
        <v>1324</v>
      </c>
    </row>
    <row r="1012" spans="1:9" x14ac:dyDescent="0.3">
      <c r="A1012" t="s">
        <v>2406</v>
      </c>
      <c r="B1012">
        <v>1070</v>
      </c>
      <c r="C1012" t="s">
        <v>1322</v>
      </c>
      <c r="E1012">
        <v>13.5</v>
      </c>
      <c r="F1012" t="s">
        <v>1349</v>
      </c>
      <c r="I1012" t="s">
        <v>1324</v>
      </c>
    </row>
    <row r="1013" spans="1:9" x14ac:dyDescent="0.3">
      <c r="A1013" t="s">
        <v>2407</v>
      </c>
      <c r="B1013">
        <v>1071</v>
      </c>
      <c r="C1013" t="s">
        <v>1322</v>
      </c>
      <c r="E1013">
        <v>13.5</v>
      </c>
      <c r="F1013" t="s">
        <v>1349</v>
      </c>
      <c r="I1013" t="s">
        <v>1324</v>
      </c>
    </row>
    <row r="1014" spans="1:9" x14ac:dyDescent="0.3">
      <c r="A1014" t="s">
        <v>2408</v>
      </c>
      <c r="B1014">
        <v>1072</v>
      </c>
      <c r="C1014" t="s">
        <v>1405</v>
      </c>
      <c r="D1014">
        <v>1.08</v>
      </c>
      <c r="E1014">
        <v>1.08</v>
      </c>
      <c r="F1014" t="s">
        <v>1317</v>
      </c>
      <c r="G1014" t="s">
        <v>1318</v>
      </c>
      <c r="H1014" t="s">
        <v>2327</v>
      </c>
      <c r="I1014" t="s">
        <v>2409</v>
      </c>
    </row>
    <row r="1015" spans="1:9" x14ac:dyDescent="0.3">
      <c r="A1015" t="s">
        <v>2410</v>
      </c>
      <c r="B1015">
        <v>1073</v>
      </c>
      <c r="C1015" t="s">
        <v>1322</v>
      </c>
      <c r="E1015">
        <v>13.5</v>
      </c>
      <c r="F1015" t="s">
        <v>1349</v>
      </c>
      <c r="I1015" t="s">
        <v>1324</v>
      </c>
    </row>
    <row r="1016" spans="1:9" x14ac:dyDescent="0.3">
      <c r="A1016" t="s">
        <v>2411</v>
      </c>
      <c r="B1016">
        <v>1074</v>
      </c>
      <c r="C1016" t="s">
        <v>1322</v>
      </c>
      <c r="E1016">
        <v>13.5</v>
      </c>
      <c r="F1016" t="s">
        <v>1349</v>
      </c>
      <c r="I1016" t="s">
        <v>1324</v>
      </c>
    </row>
    <row r="1017" spans="1:9" x14ac:dyDescent="0.3">
      <c r="A1017" t="s">
        <v>2412</v>
      </c>
      <c r="B1017">
        <v>1075</v>
      </c>
      <c r="C1017" t="s">
        <v>1322</v>
      </c>
      <c r="E1017">
        <v>13.5</v>
      </c>
      <c r="F1017" t="s">
        <v>1349</v>
      </c>
      <c r="I1017" t="s">
        <v>1324</v>
      </c>
    </row>
    <row r="1018" spans="1:9" x14ac:dyDescent="0.3">
      <c r="A1018" t="s">
        <v>2413</v>
      </c>
      <c r="B1018">
        <v>1077</v>
      </c>
      <c r="C1018" t="s">
        <v>1322</v>
      </c>
      <c r="E1018">
        <v>37.36</v>
      </c>
      <c r="F1018" t="s">
        <v>1349</v>
      </c>
      <c r="I1018" t="s">
        <v>1324</v>
      </c>
    </row>
    <row r="1019" spans="1:9" x14ac:dyDescent="0.3">
      <c r="A1019" t="s">
        <v>2414</v>
      </c>
      <c r="B1019">
        <v>1078</v>
      </c>
      <c r="C1019" t="s">
        <v>1322</v>
      </c>
      <c r="E1019">
        <v>3.96</v>
      </c>
      <c r="F1019" t="s">
        <v>1349</v>
      </c>
      <c r="I1019" t="s">
        <v>1324</v>
      </c>
    </row>
    <row r="1020" spans="1:9" x14ac:dyDescent="0.3">
      <c r="A1020" t="s">
        <v>2415</v>
      </c>
      <c r="B1020">
        <v>1079</v>
      </c>
      <c r="C1020" t="s">
        <v>1322</v>
      </c>
      <c r="E1020">
        <v>7.56</v>
      </c>
      <c r="F1020" t="s">
        <v>1349</v>
      </c>
      <c r="I1020" t="s">
        <v>1324</v>
      </c>
    </row>
    <row r="1021" spans="1:9" x14ac:dyDescent="0.3">
      <c r="A1021" t="s">
        <v>2416</v>
      </c>
      <c r="B1021">
        <v>1080</v>
      </c>
      <c r="C1021" t="s">
        <v>1322</v>
      </c>
      <c r="E1021">
        <v>9.4499999999999993</v>
      </c>
      <c r="F1021" t="s">
        <v>1349</v>
      </c>
      <c r="I1021" t="s">
        <v>1324</v>
      </c>
    </row>
    <row r="1022" spans="1:9" x14ac:dyDescent="0.3">
      <c r="A1022" t="s">
        <v>2417</v>
      </c>
      <c r="B1022">
        <v>1082</v>
      </c>
      <c r="C1022" t="s">
        <v>1331</v>
      </c>
      <c r="E1022">
        <v>29.71</v>
      </c>
      <c r="F1022" t="s">
        <v>1349</v>
      </c>
      <c r="I1022" t="s">
        <v>1332</v>
      </c>
    </row>
    <row r="1023" spans="1:9" x14ac:dyDescent="0.3">
      <c r="A1023" t="s">
        <v>2418</v>
      </c>
      <c r="B1023">
        <v>1083</v>
      </c>
      <c r="C1023" t="s">
        <v>1331</v>
      </c>
      <c r="E1023">
        <v>29.71</v>
      </c>
      <c r="F1023" t="s">
        <v>1349</v>
      </c>
      <c r="I1023" t="s">
        <v>1332</v>
      </c>
    </row>
    <row r="1024" spans="1:9" x14ac:dyDescent="0.3">
      <c r="A1024" t="s">
        <v>2419</v>
      </c>
      <c r="B1024">
        <v>1084</v>
      </c>
      <c r="C1024" t="s">
        <v>1331</v>
      </c>
      <c r="E1024">
        <v>118.76</v>
      </c>
      <c r="F1024" t="s">
        <v>1349</v>
      </c>
      <c r="I1024" t="s">
        <v>1332</v>
      </c>
    </row>
    <row r="1025" spans="1:9" x14ac:dyDescent="0.3">
      <c r="A1025" t="s">
        <v>2420</v>
      </c>
      <c r="B1025">
        <v>1085</v>
      </c>
      <c r="C1025" t="s">
        <v>1331</v>
      </c>
      <c r="E1025">
        <v>118.76</v>
      </c>
      <c r="F1025" t="s">
        <v>1349</v>
      </c>
      <c r="I1025" t="s">
        <v>1332</v>
      </c>
    </row>
    <row r="1026" spans="1:9" x14ac:dyDescent="0.3">
      <c r="A1026" t="s">
        <v>2421</v>
      </c>
      <c r="B1026">
        <v>1086</v>
      </c>
      <c r="C1026" t="s">
        <v>1331</v>
      </c>
      <c r="E1026">
        <v>118.76</v>
      </c>
      <c r="F1026" t="s">
        <v>1349</v>
      </c>
      <c r="I1026" t="s">
        <v>1332</v>
      </c>
    </row>
    <row r="1027" spans="1:9" x14ac:dyDescent="0.3">
      <c r="A1027" t="s">
        <v>2422</v>
      </c>
      <c r="B1027">
        <v>1087</v>
      </c>
      <c r="C1027" t="s">
        <v>1331</v>
      </c>
      <c r="E1027">
        <v>9</v>
      </c>
      <c r="F1027" t="s">
        <v>1349</v>
      </c>
      <c r="I1027" t="s">
        <v>1332</v>
      </c>
    </row>
    <row r="1028" spans="1:9" x14ac:dyDescent="0.3">
      <c r="A1028" t="s">
        <v>2423</v>
      </c>
      <c r="B1028">
        <v>1089</v>
      </c>
      <c r="C1028" t="s">
        <v>1331</v>
      </c>
      <c r="E1028">
        <v>54.7</v>
      </c>
      <c r="F1028" t="s">
        <v>1349</v>
      </c>
      <c r="I1028" t="s">
        <v>1332</v>
      </c>
    </row>
    <row r="1029" spans="1:9" x14ac:dyDescent="0.3">
      <c r="A1029" t="s">
        <v>2424</v>
      </c>
      <c r="B1029">
        <v>1090</v>
      </c>
      <c r="C1029" t="s">
        <v>1331</v>
      </c>
      <c r="E1029">
        <v>54.7</v>
      </c>
      <c r="F1029" t="s">
        <v>1349</v>
      </c>
      <c r="I1029" t="s">
        <v>1332</v>
      </c>
    </row>
    <row r="1030" spans="1:9" x14ac:dyDescent="0.3">
      <c r="A1030" t="s">
        <v>2425</v>
      </c>
      <c r="B1030">
        <v>1091</v>
      </c>
      <c r="C1030" t="s">
        <v>1331</v>
      </c>
      <c r="E1030">
        <v>532.95000000000005</v>
      </c>
      <c r="F1030" t="s">
        <v>1349</v>
      </c>
      <c r="I1030" t="s">
        <v>1332</v>
      </c>
    </row>
    <row r="1031" spans="1:9" x14ac:dyDescent="0.3">
      <c r="A1031" t="s">
        <v>2426</v>
      </c>
      <c r="B1031">
        <v>1092</v>
      </c>
      <c r="C1031" t="s">
        <v>1331</v>
      </c>
      <c r="E1031">
        <v>532.95000000000005</v>
      </c>
      <c r="F1031" t="s">
        <v>1349</v>
      </c>
      <c r="I1031" t="s">
        <v>1332</v>
      </c>
    </row>
    <row r="1032" spans="1:9" x14ac:dyDescent="0.3">
      <c r="A1032" t="s">
        <v>2427</v>
      </c>
      <c r="B1032">
        <v>1093</v>
      </c>
      <c r="C1032" t="s">
        <v>1322</v>
      </c>
      <c r="E1032">
        <v>101.09</v>
      </c>
      <c r="F1032" t="s">
        <v>1349</v>
      </c>
      <c r="I1032" t="s">
        <v>1324</v>
      </c>
    </row>
    <row r="1033" spans="1:9" x14ac:dyDescent="0.3">
      <c r="A1033" t="s">
        <v>2428</v>
      </c>
      <c r="B1033">
        <v>1094</v>
      </c>
      <c r="C1033" t="s">
        <v>1322</v>
      </c>
      <c r="E1033">
        <v>101.09</v>
      </c>
      <c r="F1033" t="s">
        <v>1349</v>
      </c>
      <c r="I1033" t="s">
        <v>1324</v>
      </c>
    </row>
    <row r="1034" spans="1:9" x14ac:dyDescent="0.3">
      <c r="A1034" t="s">
        <v>2429</v>
      </c>
      <c r="B1034">
        <v>1095</v>
      </c>
      <c r="C1034" t="s">
        <v>1322</v>
      </c>
      <c r="E1034">
        <v>424.8</v>
      </c>
      <c r="F1034" t="s">
        <v>1349</v>
      </c>
      <c r="I1034" t="s">
        <v>1324</v>
      </c>
    </row>
    <row r="1035" spans="1:9" x14ac:dyDescent="0.3">
      <c r="A1035" t="s">
        <v>2430</v>
      </c>
      <c r="B1035">
        <v>1096</v>
      </c>
      <c r="C1035" t="s">
        <v>1322</v>
      </c>
      <c r="E1035">
        <v>424.8</v>
      </c>
      <c r="F1035" t="s">
        <v>1349</v>
      </c>
      <c r="I1035" t="s">
        <v>1324</v>
      </c>
    </row>
    <row r="1036" spans="1:9" x14ac:dyDescent="0.3">
      <c r="A1036" t="s">
        <v>2431</v>
      </c>
      <c r="B1036">
        <v>1097</v>
      </c>
      <c r="C1036" t="s">
        <v>1322</v>
      </c>
      <c r="E1036">
        <v>525.89</v>
      </c>
      <c r="F1036" t="s">
        <v>1349</v>
      </c>
      <c r="I1036" t="s">
        <v>1324</v>
      </c>
    </row>
    <row r="1037" spans="1:9" x14ac:dyDescent="0.3">
      <c r="A1037" t="s">
        <v>2432</v>
      </c>
      <c r="B1037">
        <v>1099</v>
      </c>
      <c r="C1037" t="s">
        <v>1322</v>
      </c>
      <c r="E1037">
        <v>0.47699999999999998</v>
      </c>
      <c r="F1037" t="s">
        <v>1323</v>
      </c>
      <c r="I1037" t="s">
        <v>1324</v>
      </c>
    </row>
    <row r="1038" spans="1:9" x14ac:dyDescent="0.3">
      <c r="A1038" t="s">
        <v>2433</v>
      </c>
      <c r="B1038">
        <v>1100</v>
      </c>
      <c r="C1038" t="s">
        <v>1322</v>
      </c>
      <c r="E1038">
        <v>13.4</v>
      </c>
      <c r="F1038" t="s">
        <v>1349</v>
      </c>
      <c r="I1038" t="s">
        <v>1324</v>
      </c>
    </row>
    <row r="1039" spans="1:9" x14ac:dyDescent="0.3">
      <c r="A1039" t="s">
        <v>2434</v>
      </c>
      <c r="B1039">
        <v>1102</v>
      </c>
      <c r="C1039" t="s">
        <v>1322</v>
      </c>
      <c r="E1039">
        <v>14</v>
      </c>
      <c r="F1039" t="s">
        <v>61</v>
      </c>
      <c r="I1039" t="s">
        <v>1324</v>
      </c>
    </row>
    <row r="1040" spans="1:9" x14ac:dyDescent="0.3">
      <c r="A1040" t="s">
        <v>2435</v>
      </c>
      <c r="B1040">
        <v>1103</v>
      </c>
      <c r="C1040" t="s">
        <v>1322</v>
      </c>
      <c r="E1040">
        <v>14</v>
      </c>
      <c r="F1040" t="s">
        <v>61</v>
      </c>
      <c r="I1040" t="s">
        <v>1324</v>
      </c>
    </row>
    <row r="1041" spans="1:9" x14ac:dyDescent="0.3">
      <c r="A1041" t="s">
        <v>2436</v>
      </c>
      <c r="B1041">
        <v>1104</v>
      </c>
      <c r="C1041" t="s">
        <v>1322</v>
      </c>
      <c r="E1041">
        <v>2</v>
      </c>
      <c r="F1041" t="s">
        <v>1659</v>
      </c>
      <c r="I1041" t="s">
        <v>1324</v>
      </c>
    </row>
    <row r="1042" spans="1:9" x14ac:dyDescent="0.3">
      <c r="A1042" t="s">
        <v>2437</v>
      </c>
      <c r="B1042">
        <v>1106</v>
      </c>
      <c r="C1042" t="s">
        <v>1322</v>
      </c>
      <c r="E1042">
        <v>1</v>
      </c>
      <c r="F1042" t="s">
        <v>1421</v>
      </c>
      <c r="I1042" t="s">
        <v>1324</v>
      </c>
    </row>
    <row r="1043" spans="1:9" x14ac:dyDescent="0.3">
      <c r="A1043" t="s">
        <v>2438</v>
      </c>
      <c r="B1043">
        <v>1107</v>
      </c>
      <c r="C1043" t="s">
        <v>1322</v>
      </c>
      <c r="E1043">
        <v>1</v>
      </c>
      <c r="F1043" t="s">
        <v>1421</v>
      </c>
      <c r="I1043" t="s">
        <v>1324</v>
      </c>
    </row>
    <row r="1044" spans="1:9" x14ac:dyDescent="0.3">
      <c r="A1044" t="s">
        <v>2439</v>
      </c>
      <c r="B1044">
        <v>1108</v>
      </c>
      <c r="C1044" t="s">
        <v>1322</v>
      </c>
      <c r="E1044">
        <v>1</v>
      </c>
      <c r="F1044" t="s">
        <v>1421</v>
      </c>
      <c r="I1044" t="s">
        <v>1324</v>
      </c>
    </row>
    <row r="1045" spans="1:9" x14ac:dyDescent="0.3">
      <c r="A1045" t="s">
        <v>2440</v>
      </c>
      <c r="B1045">
        <v>1109</v>
      </c>
      <c r="C1045" t="s">
        <v>1322</v>
      </c>
      <c r="E1045">
        <v>1</v>
      </c>
      <c r="F1045" t="s">
        <v>1421</v>
      </c>
      <c r="I1045" t="s">
        <v>1324</v>
      </c>
    </row>
    <row r="1046" spans="1:9" x14ac:dyDescent="0.3">
      <c r="A1046" t="s">
        <v>2441</v>
      </c>
      <c r="B1046">
        <v>1110</v>
      </c>
      <c r="C1046" t="s">
        <v>1331</v>
      </c>
      <c r="E1046">
        <v>4</v>
      </c>
      <c r="F1046" t="s">
        <v>1421</v>
      </c>
      <c r="I1046" t="s">
        <v>1332</v>
      </c>
    </row>
    <row r="1047" spans="1:9" x14ac:dyDescent="0.3">
      <c r="A1047" t="s">
        <v>2442</v>
      </c>
      <c r="B1047">
        <v>1111</v>
      </c>
      <c r="C1047" t="s">
        <v>1322</v>
      </c>
      <c r="E1047">
        <v>6</v>
      </c>
      <c r="F1047" t="s">
        <v>1421</v>
      </c>
      <c r="I1047" t="s">
        <v>1324</v>
      </c>
    </row>
    <row r="1048" spans="1:9" x14ac:dyDescent="0.3">
      <c r="A1048" t="s">
        <v>2443</v>
      </c>
      <c r="B1048">
        <v>1112</v>
      </c>
      <c r="C1048" t="s">
        <v>1322</v>
      </c>
      <c r="E1048">
        <v>26</v>
      </c>
      <c r="F1048" t="s">
        <v>1421</v>
      </c>
      <c r="I1048" t="s">
        <v>1324</v>
      </c>
    </row>
    <row r="1049" spans="1:9" x14ac:dyDescent="0.3">
      <c r="A1049" t="s">
        <v>2444</v>
      </c>
      <c r="B1049">
        <v>1113</v>
      </c>
      <c r="C1049" t="s">
        <v>1322</v>
      </c>
      <c r="E1049">
        <v>26</v>
      </c>
      <c r="F1049" t="s">
        <v>1421</v>
      </c>
      <c r="I1049" t="s">
        <v>1324</v>
      </c>
    </row>
    <row r="1050" spans="1:9" x14ac:dyDescent="0.3">
      <c r="A1050" t="s">
        <v>2445</v>
      </c>
      <c r="B1050">
        <v>1114</v>
      </c>
      <c r="C1050" t="s">
        <v>1322</v>
      </c>
      <c r="E1050">
        <v>1</v>
      </c>
      <c r="F1050" t="s">
        <v>1421</v>
      </c>
      <c r="I1050" t="s">
        <v>1324</v>
      </c>
    </row>
    <row r="1051" spans="1:9" x14ac:dyDescent="0.3">
      <c r="A1051" t="s">
        <v>2446</v>
      </c>
      <c r="B1051">
        <v>1115</v>
      </c>
      <c r="C1051" t="s">
        <v>1322</v>
      </c>
      <c r="E1051">
        <v>1</v>
      </c>
      <c r="F1051" t="s">
        <v>1421</v>
      </c>
      <c r="I1051" t="s">
        <v>1324</v>
      </c>
    </row>
    <row r="1052" spans="1:9" x14ac:dyDescent="0.3">
      <c r="A1052" t="s">
        <v>2447</v>
      </c>
      <c r="B1052">
        <v>1116</v>
      </c>
      <c r="C1052" t="s">
        <v>1331</v>
      </c>
      <c r="E1052">
        <v>9</v>
      </c>
      <c r="F1052" t="s">
        <v>1421</v>
      </c>
      <c r="I1052" t="s">
        <v>1332</v>
      </c>
    </row>
    <row r="1053" spans="1:9" x14ac:dyDescent="0.3">
      <c r="A1053" t="s">
        <v>2448</v>
      </c>
      <c r="B1053">
        <v>1117</v>
      </c>
      <c r="C1053" t="s">
        <v>1331</v>
      </c>
      <c r="E1053">
        <v>9</v>
      </c>
      <c r="F1053" t="s">
        <v>1421</v>
      </c>
      <c r="I1053" t="s">
        <v>1332</v>
      </c>
    </row>
    <row r="1054" spans="1:9" x14ac:dyDescent="0.3">
      <c r="A1054" t="s">
        <v>2449</v>
      </c>
      <c r="B1054">
        <v>1118</v>
      </c>
      <c r="C1054" t="s">
        <v>1331</v>
      </c>
      <c r="E1054">
        <v>9</v>
      </c>
      <c r="F1054" t="s">
        <v>1421</v>
      </c>
      <c r="I1054" t="s">
        <v>1332</v>
      </c>
    </row>
    <row r="1055" spans="1:9" x14ac:dyDescent="0.3">
      <c r="A1055" t="s">
        <v>2450</v>
      </c>
      <c r="B1055">
        <v>1119</v>
      </c>
      <c r="C1055" t="s">
        <v>1322</v>
      </c>
      <c r="E1055">
        <v>5</v>
      </c>
      <c r="F1055" t="s">
        <v>1421</v>
      </c>
      <c r="I1055" t="s">
        <v>1324</v>
      </c>
    </row>
    <row r="1056" spans="1:9" x14ac:dyDescent="0.3">
      <c r="A1056" t="s">
        <v>2451</v>
      </c>
      <c r="B1056">
        <v>1120</v>
      </c>
      <c r="C1056" t="s">
        <v>1322</v>
      </c>
      <c r="E1056">
        <v>1</v>
      </c>
      <c r="F1056" t="s">
        <v>1421</v>
      </c>
      <c r="I1056" t="s">
        <v>1324</v>
      </c>
    </row>
    <row r="1057" spans="1:9" x14ac:dyDescent="0.3">
      <c r="A1057" t="s">
        <v>2452</v>
      </c>
      <c r="B1057">
        <v>1121</v>
      </c>
      <c r="C1057" t="s">
        <v>1322</v>
      </c>
      <c r="E1057">
        <v>335</v>
      </c>
      <c r="F1057" t="s">
        <v>61</v>
      </c>
      <c r="I1057" t="s">
        <v>1324</v>
      </c>
    </row>
    <row r="1058" spans="1:9" x14ac:dyDescent="0.3">
      <c r="A1058" t="s">
        <v>2453</v>
      </c>
      <c r="B1058">
        <v>1122</v>
      </c>
      <c r="C1058" t="s">
        <v>1322</v>
      </c>
      <c r="E1058">
        <v>335</v>
      </c>
      <c r="F1058" t="s">
        <v>61</v>
      </c>
      <c r="I1058" t="s">
        <v>1324</v>
      </c>
    </row>
    <row r="1059" spans="1:9" x14ac:dyDescent="0.3">
      <c r="A1059" t="s">
        <v>2454</v>
      </c>
      <c r="B1059">
        <v>1123</v>
      </c>
      <c r="C1059" t="s">
        <v>1322</v>
      </c>
      <c r="E1059">
        <v>300</v>
      </c>
      <c r="F1059" t="s">
        <v>61</v>
      </c>
      <c r="I1059" t="s">
        <v>1324</v>
      </c>
    </row>
    <row r="1060" spans="1:9" x14ac:dyDescent="0.3">
      <c r="A1060" t="s">
        <v>2455</v>
      </c>
      <c r="B1060">
        <v>1124</v>
      </c>
      <c r="C1060" t="s">
        <v>1322</v>
      </c>
      <c r="E1060">
        <v>35</v>
      </c>
      <c r="F1060" t="s">
        <v>61</v>
      </c>
      <c r="I1060" t="s">
        <v>1324</v>
      </c>
    </row>
    <row r="1061" spans="1:9" x14ac:dyDescent="0.3">
      <c r="A1061" t="s">
        <v>2456</v>
      </c>
      <c r="B1061">
        <v>1125</v>
      </c>
      <c r="C1061" t="s">
        <v>1322</v>
      </c>
      <c r="E1061">
        <v>335</v>
      </c>
      <c r="F1061" t="s">
        <v>61</v>
      </c>
      <c r="I1061" t="s">
        <v>1324</v>
      </c>
    </row>
    <row r="1062" spans="1:9" x14ac:dyDescent="0.3">
      <c r="A1062" t="s">
        <v>2457</v>
      </c>
      <c r="B1062">
        <v>1126</v>
      </c>
      <c r="C1062" t="s">
        <v>1322</v>
      </c>
      <c r="E1062">
        <v>20</v>
      </c>
      <c r="F1062" t="s">
        <v>61</v>
      </c>
      <c r="I1062" t="s">
        <v>1324</v>
      </c>
    </row>
    <row r="1063" spans="1:9" x14ac:dyDescent="0.3">
      <c r="A1063" t="s">
        <v>2458</v>
      </c>
      <c r="B1063">
        <v>1127</v>
      </c>
      <c r="C1063" t="s">
        <v>1331</v>
      </c>
      <c r="E1063">
        <v>10</v>
      </c>
      <c r="F1063" t="s">
        <v>61</v>
      </c>
      <c r="I1063" t="s">
        <v>1332</v>
      </c>
    </row>
    <row r="1064" spans="1:9" x14ac:dyDescent="0.3">
      <c r="A1064" t="s">
        <v>2459</v>
      </c>
      <c r="B1064">
        <v>1128</v>
      </c>
      <c r="C1064" t="s">
        <v>1322</v>
      </c>
      <c r="E1064">
        <v>30</v>
      </c>
      <c r="F1064" t="s">
        <v>61</v>
      </c>
      <c r="I1064" t="s">
        <v>1324</v>
      </c>
    </row>
    <row r="1065" spans="1:9" x14ac:dyDescent="0.3">
      <c r="A1065" t="s">
        <v>2460</v>
      </c>
      <c r="B1065">
        <v>1130</v>
      </c>
      <c r="C1065" t="s">
        <v>1322</v>
      </c>
      <c r="E1065">
        <v>1</v>
      </c>
      <c r="F1065" t="s">
        <v>1421</v>
      </c>
      <c r="I1065" t="s">
        <v>1324</v>
      </c>
    </row>
    <row r="1066" spans="1:9" x14ac:dyDescent="0.3">
      <c r="A1066" t="s">
        <v>2461</v>
      </c>
      <c r="B1066">
        <v>1131</v>
      </c>
      <c r="C1066" t="s">
        <v>1322</v>
      </c>
      <c r="E1066">
        <v>1</v>
      </c>
      <c r="F1066" t="s">
        <v>1421</v>
      </c>
      <c r="I1066" t="s">
        <v>1324</v>
      </c>
    </row>
    <row r="1067" spans="1:9" x14ac:dyDescent="0.3">
      <c r="A1067" t="s">
        <v>2462</v>
      </c>
      <c r="B1067">
        <v>1132</v>
      </c>
      <c r="C1067" t="s">
        <v>1316</v>
      </c>
      <c r="D1067">
        <v>12</v>
      </c>
      <c r="E1067">
        <v>12</v>
      </c>
      <c r="F1067" t="s">
        <v>1421</v>
      </c>
      <c r="G1067" t="s">
        <v>2240</v>
      </c>
      <c r="H1067" t="s">
        <v>2463</v>
      </c>
      <c r="I1067" t="s">
        <v>2464</v>
      </c>
    </row>
    <row r="1068" spans="1:9" x14ac:dyDescent="0.3">
      <c r="A1068" t="s">
        <v>2465</v>
      </c>
      <c r="B1068">
        <v>1133</v>
      </c>
      <c r="C1068" t="s">
        <v>1316</v>
      </c>
      <c r="D1068">
        <v>12</v>
      </c>
      <c r="E1068">
        <v>12</v>
      </c>
      <c r="F1068" t="s">
        <v>1421</v>
      </c>
      <c r="G1068" t="s">
        <v>2240</v>
      </c>
      <c r="H1068" t="s">
        <v>2463</v>
      </c>
      <c r="I1068" t="s">
        <v>2464</v>
      </c>
    </row>
    <row r="1069" spans="1:9" x14ac:dyDescent="0.3">
      <c r="A1069" t="s">
        <v>2466</v>
      </c>
      <c r="B1069">
        <v>1134</v>
      </c>
      <c r="C1069" t="s">
        <v>2467</v>
      </c>
      <c r="D1069">
        <v>5</v>
      </c>
      <c r="E1069">
        <v>6</v>
      </c>
      <c r="F1069" t="s">
        <v>1421</v>
      </c>
      <c r="G1069" t="s">
        <v>2240</v>
      </c>
      <c r="H1069" t="s">
        <v>2468</v>
      </c>
      <c r="I1069" t="s">
        <v>2469</v>
      </c>
    </row>
    <row r="1070" spans="1:9" x14ac:dyDescent="0.3">
      <c r="A1070" t="s">
        <v>2470</v>
      </c>
      <c r="B1070">
        <v>1135</v>
      </c>
      <c r="C1070" t="s">
        <v>2467</v>
      </c>
      <c r="D1070">
        <v>5</v>
      </c>
      <c r="E1070">
        <v>6</v>
      </c>
      <c r="F1070" t="s">
        <v>1421</v>
      </c>
      <c r="G1070" t="s">
        <v>2240</v>
      </c>
      <c r="H1070" t="s">
        <v>2468</v>
      </c>
      <c r="I1070" t="s">
        <v>2469</v>
      </c>
    </row>
    <row r="1071" spans="1:9" x14ac:dyDescent="0.3">
      <c r="A1071" t="s">
        <v>2471</v>
      </c>
      <c r="B1071">
        <v>1136</v>
      </c>
      <c r="C1071" t="s">
        <v>1322</v>
      </c>
      <c r="E1071">
        <v>80</v>
      </c>
      <c r="F1071" t="s">
        <v>61</v>
      </c>
      <c r="I1071" t="s">
        <v>1324</v>
      </c>
    </row>
    <row r="1072" spans="1:9" x14ac:dyDescent="0.3">
      <c r="A1072" t="s">
        <v>2472</v>
      </c>
      <c r="B1072">
        <v>1137</v>
      </c>
      <c r="C1072" t="s">
        <v>1322</v>
      </c>
      <c r="E1072">
        <v>70</v>
      </c>
      <c r="F1072" t="s">
        <v>61</v>
      </c>
      <c r="I1072" t="s">
        <v>1324</v>
      </c>
    </row>
    <row r="1073" spans="1:9" x14ac:dyDescent="0.3">
      <c r="A1073" t="s">
        <v>2473</v>
      </c>
      <c r="B1073">
        <v>1138</v>
      </c>
      <c r="C1073" t="s">
        <v>1331</v>
      </c>
      <c r="E1073">
        <v>10</v>
      </c>
      <c r="F1073" t="s">
        <v>61</v>
      </c>
      <c r="I1073" t="s">
        <v>1332</v>
      </c>
    </row>
    <row r="1074" spans="1:9" x14ac:dyDescent="0.3">
      <c r="A1074" t="s">
        <v>2474</v>
      </c>
      <c r="B1074">
        <v>1139</v>
      </c>
      <c r="C1074" t="s">
        <v>1322</v>
      </c>
      <c r="E1074">
        <v>1</v>
      </c>
      <c r="F1074" t="s">
        <v>1421</v>
      </c>
      <c r="I1074" t="s">
        <v>1324</v>
      </c>
    </row>
    <row r="1075" spans="1:9" x14ac:dyDescent="0.3">
      <c r="A1075" t="s">
        <v>2475</v>
      </c>
      <c r="B1075">
        <v>1140</v>
      </c>
      <c r="C1075" t="s">
        <v>1322</v>
      </c>
      <c r="E1075">
        <v>1</v>
      </c>
      <c r="F1075" t="s">
        <v>1421</v>
      </c>
      <c r="I1075" t="s">
        <v>1324</v>
      </c>
    </row>
    <row r="1076" spans="1:9" x14ac:dyDescent="0.3">
      <c r="A1076" t="s">
        <v>2476</v>
      </c>
      <c r="B1076">
        <v>1141</v>
      </c>
      <c r="C1076" t="s">
        <v>1316</v>
      </c>
      <c r="D1076">
        <v>12</v>
      </c>
      <c r="E1076">
        <v>12</v>
      </c>
      <c r="F1076" t="s">
        <v>1421</v>
      </c>
      <c r="G1076" t="s">
        <v>2240</v>
      </c>
      <c r="H1076" t="s">
        <v>2463</v>
      </c>
      <c r="I1076" t="s">
        <v>2464</v>
      </c>
    </row>
    <row r="1077" spans="1:9" x14ac:dyDescent="0.3">
      <c r="A1077" t="s">
        <v>2477</v>
      </c>
      <c r="B1077">
        <v>1142</v>
      </c>
      <c r="C1077" t="s">
        <v>1322</v>
      </c>
      <c r="E1077">
        <v>15</v>
      </c>
      <c r="F1077" t="s">
        <v>61</v>
      </c>
      <c r="I1077" t="s">
        <v>1324</v>
      </c>
    </row>
    <row r="1078" spans="1:9" x14ac:dyDescent="0.3">
      <c r="A1078" t="s">
        <v>2478</v>
      </c>
      <c r="B1078">
        <v>1143</v>
      </c>
      <c r="C1078" t="s">
        <v>1322</v>
      </c>
      <c r="E1078">
        <v>15</v>
      </c>
      <c r="F1078" t="s">
        <v>61</v>
      </c>
      <c r="I1078" t="s">
        <v>1324</v>
      </c>
    </row>
    <row r="1079" spans="1:9" x14ac:dyDescent="0.3">
      <c r="A1079" t="s">
        <v>2479</v>
      </c>
      <c r="B1079">
        <v>1144</v>
      </c>
      <c r="C1079" t="s">
        <v>1322</v>
      </c>
      <c r="E1079">
        <v>15</v>
      </c>
      <c r="F1079" t="s">
        <v>61</v>
      </c>
      <c r="I1079" t="s">
        <v>1324</v>
      </c>
    </row>
    <row r="1080" spans="1:9" x14ac:dyDescent="0.3">
      <c r="A1080" t="s">
        <v>2480</v>
      </c>
      <c r="B1080">
        <v>1145</v>
      </c>
      <c r="C1080" t="s">
        <v>1322</v>
      </c>
      <c r="E1080">
        <v>55</v>
      </c>
      <c r="F1080" t="s">
        <v>61</v>
      </c>
      <c r="I1080" t="s">
        <v>1324</v>
      </c>
    </row>
    <row r="1081" spans="1:9" x14ac:dyDescent="0.3">
      <c r="A1081" t="s">
        <v>2481</v>
      </c>
      <c r="B1081">
        <v>1146</v>
      </c>
      <c r="C1081" t="s">
        <v>1322</v>
      </c>
      <c r="E1081">
        <v>70</v>
      </c>
      <c r="F1081" t="s">
        <v>61</v>
      </c>
      <c r="I1081" t="s">
        <v>1324</v>
      </c>
    </row>
    <row r="1082" spans="1:9" x14ac:dyDescent="0.3">
      <c r="A1082" t="s">
        <v>2482</v>
      </c>
      <c r="B1082">
        <v>1148</v>
      </c>
      <c r="C1082" t="s">
        <v>1322</v>
      </c>
      <c r="E1082">
        <v>1</v>
      </c>
      <c r="F1082" t="s">
        <v>1421</v>
      </c>
      <c r="I1082" t="s">
        <v>1324</v>
      </c>
    </row>
    <row r="1083" spans="1:9" x14ac:dyDescent="0.3">
      <c r="A1083" t="s">
        <v>2483</v>
      </c>
      <c r="B1083">
        <v>1151</v>
      </c>
      <c r="C1083" t="s">
        <v>1322</v>
      </c>
      <c r="E1083">
        <v>160</v>
      </c>
      <c r="F1083" t="s">
        <v>61</v>
      </c>
      <c r="I1083" t="s">
        <v>1324</v>
      </c>
    </row>
    <row r="1084" spans="1:9" x14ac:dyDescent="0.3">
      <c r="A1084" t="s">
        <v>2484</v>
      </c>
      <c r="B1084">
        <v>1152</v>
      </c>
      <c r="C1084" t="s">
        <v>1322</v>
      </c>
      <c r="E1084">
        <v>160</v>
      </c>
      <c r="F1084" t="s">
        <v>61</v>
      </c>
      <c r="I1084" t="s">
        <v>1324</v>
      </c>
    </row>
    <row r="1085" spans="1:9" x14ac:dyDescent="0.3">
      <c r="A1085" t="s">
        <v>2485</v>
      </c>
      <c r="B1085">
        <v>1153</v>
      </c>
      <c r="C1085" t="s">
        <v>1322</v>
      </c>
      <c r="E1085">
        <v>815</v>
      </c>
      <c r="F1085" t="s">
        <v>61</v>
      </c>
      <c r="I1085" t="s">
        <v>1324</v>
      </c>
    </row>
    <row r="1086" spans="1:9" x14ac:dyDescent="0.3">
      <c r="A1086" t="s">
        <v>2486</v>
      </c>
      <c r="B1086">
        <v>1154</v>
      </c>
      <c r="C1086" t="s">
        <v>1322</v>
      </c>
      <c r="E1086">
        <v>815</v>
      </c>
      <c r="F1086" t="s">
        <v>61</v>
      </c>
      <c r="I1086" t="s">
        <v>1324</v>
      </c>
    </row>
    <row r="1087" spans="1:9" x14ac:dyDescent="0.3">
      <c r="A1087" t="s">
        <v>2487</v>
      </c>
      <c r="B1087">
        <v>1155</v>
      </c>
      <c r="C1087" t="s">
        <v>1322</v>
      </c>
      <c r="E1087">
        <v>160</v>
      </c>
      <c r="F1087" t="s">
        <v>61</v>
      </c>
      <c r="I1087" t="s">
        <v>1324</v>
      </c>
    </row>
    <row r="1088" spans="1:9" x14ac:dyDescent="0.3">
      <c r="A1088" t="s">
        <v>2488</v>
      </c>
      <c r="B1088">
        <v>1156</v>
      </c>
      <c r="C1088" t="s">
        <v>1322</v>
      </c>
      <c r="E1088">
        <v>40</v>
      </c>
      <c r="F1088" t="s">
        <v>61</v>
      </c>
      <c r="I1088" t="s">
        <v>1324</v>
      </c>
    </row>
    <row r="1089" spans="1:9" x14ac:dyDescent="0.3">
      <c r="A1089" t="s">
        <v>2489</v>
      </c>
      <c r="B1089">
        <v>1157</v>
      </c>
      <c r="C1089" t="s">
        <v>1322</v>
      </c>
      <c r="E1089">
        <v>505</v>
      </c>
      <c r="F1089" t="s">
        <v>61</v>
      </c>
      <c r="I1089" t="s">
        <v>1324</v>
      </c>
    </row>
    <row r="1090" spans="1:9" x14ac:dyDescent="0.3">
      <c r="A1090" t="s">
        <v>2490</v>
      </c>
      <c r="B1090">
        <v>1158</v>
      </c>
      <c r="C1090" t="s">
        <v>1322</v>
      </c>
      <c r="E1090">
        <v>230</v>
      </c>
      <c r="F1090" t="s">
        <v>61</v>
      </c>
      <c r="I1090" t="s">
        <v>1324</v>
      </c>
    </row>
    <row r="1091" spans="1:9" x14ac:dyDescent="0.3">
      <c r="A1091" t="s">
        <v>2491</v>
      </c>
      <c r="B1091">
        <v>1159</v>
      </c>
      <c r="C1091" t="s">
        <v>1322</v>
      </c>
      <c r="E1091">
        <v>40</v>
      </c>
      <c r="F1091" t="s">
        <v>61</v>
      </c>
      <c r="I1091" t="s">
        <v>1324</v>
      </c>
    </row>
    <row r="1092" spans="1:9" x14ac:dyDescent="0.3">
      <c r="A1092" t="s">
        <v>2492</v>
      </c>
      <c r="B1092">
        <v>1160</v>
      </c>
      <c r="C1092" t="s">
        <v>1322</v>
      </c>
      <c r="E1092">
        <v>975</v>
      </c>
      <c r="F1092" t="s">
        <v>61</v>
      </c>
      <c r="I1092" t="s">
        <v>1324</v>
      </c>
    </row>
    <row r="1093" spans="1:9" x14ac:dyDescent="0.3">
      <c r="A1093" t="s">
        <v>2493</v>
      </c>
      <c r="B1093">
        <v>1161</v>
      </c>
      <c r="C1093" t="s">
        <v>1322</v>
      </c>
      <c r="E1093">
        <v>895</v>
      </c>
      <c r="F1093" t="s">
        <v>61</v>
      </c>
      <c r="I1093" t="s">
        <v>1324</v>
      </c>
    </row>
    <row r="1094" spans="1:9" x14ac:dyDescent="0.3">
      <c r="A1094" t="s">
        <v>2494</v>
      </c>
      <c r="B1094">
        <v>1162</v>
      </c>
      <c r="C1094" t="s">
        <v>1322</v>
      </c>
      <c r="E1094">
        <v>80</v>
      </c>
      <c r="F1094" t="s">
        <v>61</v>
      </c>
      <c r="I1094" t="s">
        <v>1324</v>
      </c>
    </row>
    <row r="1095" spans="1:9" x14ac:dyDescent="0.3">
      <c r="A1095" t="s">
        <v>2495</v>
      </c>
      <c r="B1095">
        <v>1163</v>
      </c>
      <c r="C1095" t="s">
        <v>1331</v>
      </c>
      <c r="E1095">
        <v>20</v>
      </c>
      <c r="F1095" t="s">
        <v>1421</v>
      </c>
      <c r="I1095" t="s">
        <v>1332</v>
      </c>
    </row>
    <row r="1096" spans="1:9" x14ac:dyDescent="0.3">
      <c r="A1096" t="s">
        <v>2496</v>
      </c>
      <c r="B1096">
        <v>1164</v>
      </c>
      <c r="C1096" t="s">
        <v>1322</v>
      </c>
      <c r="E1096">
        <v>8</v>
      </c>
      <c r="F1096" t="s">
        <v>1421</v>
      </c>
      <c r="I1096" t="s">
        <v>1324</v>
      </c>
    </row>
    <row r="1097" spans="1:9" x14ac:dyDescent="0.3">
      <c r="A1097" t="s">
        <v>2497</v>
      </c>
      <c r="B1097">
        <v>1165</v>
      </c>
      <c r="C1097" t="s">
        <v>1322</v>
      </c>
      <c r="E1097">
        <v>28</v>
      </c>
      <c r="F1097" t="s">
        <v>1421</v>
      </c>
      <c r="I1097" t="s">
        <v>1324</v>
      </c>
    </row>
    <row r="1098" spans="1:9" x14ac:dyDescent="0.3">
      <c r="A1098" t="s">
        <v>2498</v>
      </c>
      <c r="B1098">
        <v>1166</v>
      </c>
      <c r="C1098" t="s">
        <v>1322</v>
      </c>
      <c r="E1098">
        <v>291</v>
      </c>
      <c r="F1098" t="s">
        <v>1317</v>
      </c>
      <c r="I1098" t="s">
        <v>1324</v>
      </c>
    </row>
    <row r="1099" spans="1:9" x14ac:dyDescent="0.3">
      <c r="A1099" t="s">
        <v>2499</v>
      </c>
      <c r="B1099">
        <v>1167</v>
      </c>
      <c r="C1099" t="s">
        <v>1331</v>
      </c>
      <c r="E1099">
        <v>22</v>
      </c>
      <c r="F1099" t="s">
        <v>1317</v>
      </c>
      <c r="I1099" t="s">
        <v>1332</v>
      </c>
    </row>
    <row r="1100" spans="1:9" x14ac:dyDescent="0.3">
      <c r="A1100" t="s">
        <v>2500</v>
      </c>
      <c r="B1100">
        <v>1168</v>
      </c>
      <c r="C1100" t="s">
        <v>1322</v>
      </c>
      <c r="E1100">
        <v>235</v>
      </c>
      <c r="F1100" t="s">
        <v>1317</v>
      </c>
      <c r="I1100" t="s">
        <v>1324</v>
      </c>
    </row>
    <row r="1101" spans="1:9" x14ac:dyDescent="0.3">
      <c r="A1101" t="s">
        <v>2501</v>
      </c>
      <c r="B1101">
        <v>1169</v>
      </c>
      <c r="C1101" t="s">
        <v>1322</v>
      </c>
      <c r="E1101">
        <v>78</v>
      </c>
      <c r="F1101" t="s">
        <v>1317</v>
      </c>
      <c r="I1101" t="s">
        <v>1324</v>
      </c>
    </row>
    <row r="1102" spans="1:9" x14ac:dyDescent="0.3">
      <c r="A1102" t="s">
        <v>2502</v>
      </c>
      <c r="B1102">
        <v>1170</v>
      </c>
      <c r="C1102" t="s">
        <v>1322</v>
      </c>
      <c r="E1102">
        <v>235</v>
      </c>
      <c r="F1102" t="s">
        <v>1317</v>
      </c>
      <c r="I1102" t="s">
        <v>1324</v>
      </c>
    </row>
    <row r="1103" spans="1:9" x14ac:dyDescent="0.3">
      <c r="A1103" t="s">
        <v>2503</v>
      </c>
      <c r="B1103">
        <v>1171</v>
      </c>
      <c r="C1103" t="s">
        <v>1322</v>
      </c>
      <c r="E1103">
        <v>1</v>
      </c>
      <c r="F1103" t="s">
        <v>1421</v>
      </c>
      <c r="I1103" t="s">
        <v>1324</v>
      </c>
    </row>
    <row r="1104" spans="1:9" x14ac:dyDescent="0.3">
      <c r="A1104" t="s">
        <v>2504</v>
      </c>
      <c r="B1104">
        <v>1172</v>
      </c>
      <c r="C1104" t="s">
        <v>1322</v>
      </c>
      <c r="E1104">
        <v>1</v>
      </c>
      <c r="F1104" t="s">
        <v>1421</v>
      </c>
      <c r="I1104" t="s">
        <v>1324</v>
      </c>
    </row>
    <row r="1105" spans="1:9" x14ac:dyDescent="0.3">
      <c r="A1105" t="s">
        <v>2505</v>
      </c>
      <c r="B1105">
        <v>1174</v>
      </c>
      <c r="C1105" t="s">
        <v>1322</v>
      </c>
      <c r="E1105">
        <v>1</v>
      </c>
      <c r="F1105" t="s">
        <v>1421</v>
      </c>
      <c r="I1105" t="s">
        <v>1324</v>
      </c>
    </row>
    <row r="1106" spans="1:9" x14ac:dyDescent="0.3">
      <c r="A1106" t="s">
        <v>2506</v>
      </c>
      <c r="B1106">
        <v>1175</v>
      </c>
      <c r="C1106" t="s">
        <v>1322</v>
      </c>
      <c r="E1106">
        <v>1</v>
      </c>
      <c r="F1106" t="s">
        <v>1421</v>
      </c>
      <c r="I1106" t="s">
        <v>1324</v>
      </c>
    </row>
    <row r="1107" spans="1:9" x14ac:dyDescent="0.3">
      <c r="A1107" t="s">
        <v>2507</v>
      </c>
      <c r="B1107">
        <v>1176</v>
      </c>
      <c r="C1107" t="s">
        <v>1322</v>
      </c>
      <c r="E1107">
        <v>7</v>
      </c>
      <c r="F1107" t="s">
        <v>61</v>
      </c>
      <c r="I1107" t="s">
        <v>1324</v>
      </c>
    </row>
    <row r="1108" spans="1:9" x14ac:dyDescent="0.3">
      <c r="A1108" t="s">
        <v>2508</v>
      </c>
      <c r="B1108">
        <v>1177</v>
      </c>
      <c r="C1108" t="s">
        <v>1322</v>
      </c>
      <c r="E1108">
        <v>10</v>
      </c>
      <c r="F1108" t="s">
        <v>61</v>
      </c>
      <c r="I1108" t="s">
        <v>1324</v>
      </c>
    </row>
    <row r="1109" spans="1:9" x14ac:dyDescent="0.3">
      <c r="A1109" t="s">
        <v>2509</v>
      </c>
      <c r="B1109">
        <v>1178</v>
      </c>
      <c r="C1109" t="s">
        <v>1322</v>
      </c>
      <c r="E1109">
        <v>10</v>
      </c>
      <c r="F1109" t="s">
        <v>61</v>
      </c>
      <c r="I1109" t="s">
        <v>1324</v>
      </c>
    </row>
    <row r="1110" spans="1:9" x14ac:dyDescent="0.3">
      <c r="A1110" t="s">
        <v>2510</v>
      </c>
      <c r="B1110">
        <v>1179</v>
      </c>
      <c r="C1110" t="s">
        <v>1322</v>
      </c>
      <c r="E1110">
        <v>4.5999999999999996</v>
      </c>
      <c r="F1110" t="s">
        <v>1317</v>
      </c>
      <c r="I1110" t="s">
        <v>1324</v>
      </c>
    </row>
    <row r="1111" spans="1:9" x14ac:dyDescent="0.3">
      <c r="A1111" t="s">
        <v>2511</v>
      </c>
      <c r="B1111">
        <v>1180</v>
      </c>
      <c r="C1111" t="s">
        <v>1322</v>
      </c>
      <c r="E1111">
        <v>1.1000000000000001</v>
      </c>
      <c r="F1111" t="s">
        <v>1317</v>
      </c>
      <c r="I1111" t="s">
        <v>1324</v>
      </c>
    </row>
    <row r="1112" spans="1:9" x14ac:dyDescent="0.3">
      <c r="A1112" t="s">
        <v>2512</v>
      </c>
      <c r="B1112">
        <v>1181</v>
      </c>
      <c r="C1112" t="s">
        <v>1322</v>
      </c>
      <c r="E1112">
        <v>0.88</v>
      </c>
      <c r="F1112" t="s">
        <v>1317</v>
      </c>
      <c r="I1112" t="s">
        <v>1324</v>
      </c>
    </row>
    <row r="1113" spans="1:9" x14ac:dyDescent="0.3">
      <c r="A1113" t="s">
        <v>2513</v>
      </c>
      <c r="B1113">
        <v>1182</v>
      </c>
      <c r="C1113" t="s">
        <v>1405</v>
      </c>
      <c r="D1113">
        <v>3.05</v>
      </c>
      <c r="E1113">
        <v>3.05</v>
      </c>
      <c r="F1113" t="s">
        <v>1317</v>
      </c>
      <c r="G1113" t="s">
        <v>1318</v>
      </c>
      <c r="H1113" t="s">
        <v>2514</v>
      </c>
      <c r="I1113" t="s">
        <v>2515</v>
      </c>
    </row>
    <row r="1114" spans="1:9" x14ac:dyDescent="0.3">
      <c r="A1114" t="s">
        <v>2516</v>
      </c>
      <c r="B1114">
        <v>1183</v>
      </c>
      <c r="C1114" t="s">
        <v>1322</v>
      </c>
      <c r="E1114">
        <v>4.0000000000000001E-3</v>
      </c>
      <c r="F1114" t="s">
        <v>1323</v>
      </c>
      <c r="I1114" t="s">
        <v>1324</v>
      </c>
    </row>
    <row r="1115" spans="1:9" x14ac:dyDescent="0.3">
      <c r="A1115" t="s">
        <v>2517</v>
      </c>
      <c r="B1115">
        <v>1184</v>
      </c>
      <c r="C1115" t="s">
        <v>1322</v>
      </c>
      <c r="E1115">
        <v>0.126</v>
      </c>
      <c r="F1115" t="s">
        <v>1323</v>
      </c>
      <c r="I1115" t="s">
        <v>1324</v>
      </c>
    </row>
    <row r="1116" spans="1:9" x14ac:dyDescent="0.3">
      <c r="A1116" t="s">
        <v>2518</v>
      </c>
      <c r="B1116">
        <v>1186</v>
      </c>
      <c r="C1116" t="s">
        <v>1322</v>
      </c>
      <c r="E1116">
        <v>4</v>
      </c>
      <c r="F1116" t="s">
        <v>1421</v>
      </c>
      <c r="I1116" t="s">
        <v>1324</v>
      </c>
    </row>
    <row r="1117" spans="1:9" x14ac:dyDescent="0.3">
      <c r="A1117" t="s">
        <v>2519</v>
      </c>
      <c r="B1117">
        <v>1187</v>
      </c>
      <c r="C1117" t="s">
        <v>1322</v>
      </c>
      <c r="E1117">
        <v>4</v>
      </c>
      <c r="F1117" t="s">
        <v>1421</v>
      </c>
      <c r="I1117" t="s">
        <v>1324</v>
      </c>
    </row>
    <row r="1118" spans="1:9" x14ac:dyDescent="0.3">
      <c r="A1118" t="s">
        <v>2520</v>
      </c>
      <c r="B1118">
        <v>1188</v>
      </c>
      <c r="C1118" t="s">
        <v>1322</v>
      </c>
      <c r="E1118">
        <v>4</v>
      </c>
      <c r="F1118" t="s">
        <v>1421</v>
      </c>
      <c r="I1118" t="s">
        <v>1324</v>
      </c>
    </row>
    <row r="1119" spans="1:9" x14ac:dyDescent="0.3">
      <c r="A1119" t="s">
        <v>2521</v>
      </c>
      <c r="B1119">
        <v>1189</v>
      </c>
      <c r="C1119" t="s">
        <v>1322</v>
      </c>
      <c r="E1119">
        <v>190</v>
      </c>
      <c r="F1119" t="s">
        <v>61</v>
      </c>
      <c r="I1119" t="s">
        <v>1324</v>
      </c>
    </row>
    <row r="1120" spans="1:9" x14ac:dyDescent="0.3">
      <c r="A1120" t="s">
        <v>2522</v>
      </c>
      <c r="B1120">
        <v>1190</v>
      </c>
      <c r="C1120" t="s">
        <v>1322</v>
      </c>
      <c r="E1120">
        <v>130</v>
      </c>
      <c r="F1120" t="s">
        <v>61</v>
      </c>
      <c r="I1120" t="s">
        <v>1324</v>
      </c>
    </row>
    <row r="1121" spans="1:9" x14ac:dyDescent="0.3">
      <c r="A1121" t="s">
        <v>2523</v>
      </c>
      <c r="B1121">
        <v>1191</v>
      </c>
      <c r="C1121" t="s">
        <v>1322</v>
      </c>
      <c r="E1121">
        <v>60</v>
      </c>
      <c r="F1121" t="s">
        <v>61</v>
      </c>
      <c r="I1121" t="s">
        <v>1324</v>
      </c>
    </row>
    <row r="1122" spans="1:9" x14ac:dyDescent="0.3">
      <c r="A1122" t="s">
        <v>2524</v>
      </c>
      <c r="B1122">
        <v>1192</v>
      </c>
      <c r="C1122" t="s">
        <v>1322</v>
      </c>
      <c r="E1122">
        <v>60</v>
      </c>
      <c r="F1122" t="s">
        <v>61</v>
      </c>
      <c r="I1122" t="s">
        <v>1324</v>
      </c>
    </row>
    <row r="1123" spans="1:9" x14ac:dyDescent="0.3">
      <c r="A1123" t="s">
        <v>2525</v>
      </c>
      <c r="B1123">
        <v>1193</v>
      </c>
      <c r="C1123" t="s">
        <v>1322</v>
      </c>
      <c r="E1123">
        <v>130</v>
      </c>
      <c r="F1123" t="s">
        <v>61</v>
      </c>
      <c r="I1123" t="s">
        <v>1324</v>
      </c>
    </row>
    <row r="1124" spans="1:9" x14ac:dyDescent="0.3">
      <c r="A1124" t="s">
        <v>2526</v>
      </c>
      <c r="B1124">
        <v>1194</v>
      </c>
      <c r="C1124" t="s">
        <v>1322</v>
      </c>
      <c r="E1124">
        <v>130</v>
      </c>
      <c r="F1124" t="s">
        <v>61</v>
      </c>
      <c r="I1124" t="s">
        <v>1324</v>
      </c>
    </row>
    <row r="1125" spans="1:9" x14ac:dyDescent="0.3">
      <c r="A1125" t="s">
        <v>2527</v>
      </c>
      <c r="B1125">
        <v>1195</v>
      </c>
      <c r="C1125" t="s">
        <v>1331</v>
      </c>
      <c r="E1125">
        <v>77</v>
      </c>
      <c r="F1125" t="s">
        <v>1317</v>
      </c>
      <c r="I1125" t="s">
        <v>1332</v>
      </c>
    </row>
    <row r="1126" spans="1:9" x14ac:dyDescent="0.3">
      <c r="A1126" t="s">
        <v>2528</v>
      </c>
      <c r="B1126">
        <v>1196</v>
      </c>
      <c r="C1126" t="s">
        <v>1322</v>
      </c>
      <c r="E1126">
        <v>5</v>
      </c>
      <c r="F1126" t="s">
        <v>1317</v>
      </c>
      <c r="I1126" t="s">
        <v>1324</v>
      </c>
    </row>
    <row r="1127" spans="1:9" x14ac:dyDescent="0.3">
      <c r="A1127" t="s">
        <v>2529</v>
      </c>
      <c r="B1127">
        <v>1197</v>
      </c>
      <c r="C1127" t="s">
        <v>1322</v>
      </c>
      <c r="E1127">
        <v>69</v>
      </c>
      <c r="F1127" t="s">
        <v>1317</v>
      </c>
      <c r="I1127" t="s">
        <v>1324</v>
      </c>
    </row>
    <row r="1128" spans="1:9" x14ac:dyDescent="0.3">
      <c r="A1128" t="s">
        <v>2530</v>
      </c>
      <c r="B1128">
        <v>1198</v>
      </c>
      <c r="C1128" t="s">
        <v>1322</v>
      </c>
      <c r="E1128">
        <v>8</v>
      </c>
      <c r="F1128" t="s">
        <v>1317</v>
      </c>
      <c r="I1128" t="s">
        <v>1324</v>
      </c>
    </row>
    <row r="1129" spans="1:9" x14ac:dyDescent="0.3">
      <c r="A1129" t="s">
        <v>2531</v>
      </c>
      <c r="B1129">
        <v>1199</v>
      </c>
      <c r="C1129" t="s">
        <v>1331</v>
      </c>
      <c r="E1129">
        <v>77</v>
      </c>
      <c r="F1129" t="s">
        <v>1317</v>
      </c>
      <c r="I1129" t="s">
        <v>1332</v>
      </c>
    </row>
    <row r="1130" spans="1:9" x14ac:dyDescent="0.3">
      <c r="A1130" t="s">
        <v>2532</v>
      </c>
      <c r="B1130">
        <v>1200</v>
      </c>
      <c r="C1130" t="s">
        <v>1331</v>
      </c>
      <c r="E1130">
        <v>4.5</v>
      </c>
      <c r="F1130" t="s">
        <v>1317</v>
      </c>
      <c r="I1130" t="s">
        <v>1332</v>
      </c>
    </row>
    <row r="1131" spans="1:9" x14ac:dyDescent="0.3">
      <c r="A1131" t="s">
        <v>2533</v>
      </c>
      <c r="B1131">
        <v>1201</v>
      </c>
      <c r="C1131" t="s">
        <v>1322</v>
      </c>
      <c r="E1131">
        <v>7.9</v>
      </c>
      <c r="F1131" t="s">
        <v>1323</v>
      </c>
      <c r="I1131" t="s">
        <v>1324</v>
      </c>
    </row>
    <row r="1132" spans="1:9" x14ac:dyDescent="0.3">
      <c r="A1132" t="s">
        <v>2534</v>
      </c>
      <c r="B1132">
        <v>1203</v>
      </c>
      <c r="C1132" t="s">
        <v>1322</v>
      </c>
      <c r="E1132">
        <v>1</v>
      </c>
      <c r="F1132" t="s">
        <v>1421</v>
      </c>
      <c r="I1132" t="s">
        <v>1324</v>
      </c>
    </row>
    <row r="1133" spans="1:9" x14ac:dyDescent="0.3">
      <c r="A1133" t="s">
        <v>2535</v>
      </c>
      <c r="B1133">
        <v>1204</v>
      </c>
      <c r="C1133" t="s">
        <v>1322</v>
      </c>
      <c r="E1133">
        <v>1</v>
      </c>
      <c r="F1133" t="s">
        <v>1421</v>
      </c>
      <c r="I1133" t="s">
        <v>1324</v>
      </c>
    </row>
    <row r="1134" spans="1:9" x14ac:dyDescent="0.3">
      <c r="A1134" t="s">
        <v>2536</v>
      </c>
      <c r="B1134">
        <v>1205</v>
      </c>
      <c r="C1134" t="s">
        <v>1322</v>
      </c>
      <c r="E1134">
        <v>7</v>
      </c>
      <c r="F1134" t="s">
        <v>1659</v>
      </c>
      <c r="I1134" t="s">
        <v>1324</v>
      </c>
    </row>
    <row r="1135" spans="1:9" x14ac:dyDescent="0.3">
      <c r="A1135" t="s">
        <v>2537</v>
      </c>
      <c r="B1135">
        <v>1206</v>
      </c>
      <c r="C1135" t="s">
        <v>1322</v>
      </c>
      <c r="E1135">
        <v>7</v>
      </c>
      <c r="F1135" t="s">
        <v>1421</v>
      </c>
      <c r="I1135" t="s">
        <v>1324</v>
      </c>
    </row>
    <row r="1136" spans="1:9" x14ac:dyDescent="0.3">
      <c r="A1136" t="s">
        <v>2538</v>
      </c>
      <c r="B1136">
        <v>1207</v>
      </c>
      <c r="C1136" t="s">
        <v>1322</v>
      </c>
      <c r="E1136">
        <v>2</v>
      </c>
      <c r="F1136" t="s">
        <v>1421</v>
      </c>
      <c r="I1136" t="s">
        <v>1324</v>
      </c>
    </row>
    <row r="1137" spans="1:9" x14ac:dyDescent="0.3">
      <c r="A1137" t="s">
        <v>2539</v>
      </c>
      <c r="B1137">
        <v>1208</v>
      </c>
      <c r="C1137" t="s">
        <v>1322</v>
      </c>
      <c r="E1137">
        <v>480</v>
      </c>
      <c r="F1137" t="s">
        <v>61</v>
      </c>
      <c r="I1137" t="s">
        <v>1324</v>
      </c>
    </row>
    <row r="1138" spans="1:9" x14ac:dyDescent="0.3">
      <c r="A1138" t="s">
        <v>2540</v>
      </c>
      <c r="B1138">
        <v>1209</v>
      </c>
      <c r="C1138" t="s">
        <v>1322</v>
      </c>
      <c r="E1138">
        <v>220</v>
      </c>
      <c r="F1138" t="s">
        <v>61</v>
      </c>
      <c r="I1138" t="s">
        <v>1324</v>
      </c>
    </row>
    <row r="1139" spans="1:9" x14ac:dyDescent="0.3">
      <c r="A1139" t="s">
        <v>2541</v>
      </c>
      <c r="B1139">
        <v>1210</v>
      </c>
      <c r="C1139" t="s">
        <v>1322</v>
      </c>
      <c r="E1139">
        <v>7</v>
      </c>
      <c r="F1139" t="s">
        <v>61</v>
      </c>
      <c r="I1139" t="s">
        <v>1324</v>
      </c>
    </row>
    <row r="1140" spans="1:9" x14ac:dyDescent="0.3">
      <c r="A1140" t="s">
        <v>2542</v>
      </c>
      <c r="B1140">
        <v>1211</v>
      </c>
      <c r="C1140" t="s">
        <v>1322</v>
      </c>
      <c r="E1140">
        <v>7</v>
      </c>
      <c r="F1140" t="s">
        <v>1421</v>
      </c>
      <c r="I1140" t="s">
        <v>1324</v>
      </c>
    </row>
    <row r="1141" spans="1:9" x14ac:dyDescent="0.3">
      <c r="A1141" t="s">
        <v>2543</v>
      </c>
      <c r="B1141">
        <v>1212</v>
      </c>
      <c r="C1141" t="s">
        <v>1322</v>
      </c>
      <c r="E1141">
        <v>7</v>
      </c>
      <c r="F1141" t="s">
        <v>1421</v>
      </c>
      <c r="I1141" t="s">
        <v>1324</v>
      </c>
    </row>
    <row r="1142" spans="1:9" x14ac:dyDescent="0.3">
      <c r="A1142" t="s">
        <v>2544</v>
      </c>
      <c r="B1142">
        <v>1213</v>
      </c>
      <c r="C1142" t="s">
        <v>1322</v>
      </c>
      <c r="E1142">
        <v>7</v>
      </c>
      <c r="F1142" t="s">
        <v>1421</v>
      </c>
      <c r="I1142" t="s">
        <v>1324</v>
      </c>
    </row>
    <row r="1143" spans="1:9" x14ac:dyDescent="0.3">
      <c r="A1143" t="s">
        <v>2545</v>
      </c>
      <c r="B1143">
        <v>1214</v>
      </c>
      <c r="C1143" t="s">
        <v>1322</v>
      </c>
      <c r="E1143">
        <v>1</v>
      </c>
      <c r="F1143" t="s">
        <v>1421</v>
      </c>
      <c r="I1143" t="s">
        <v>1324</v>
      </c>
    </row>
    <row r="1144" spans="1:9" x14ac:dyDescent="0.3">
      <c r="A1144" t="s">
        <v>2546</v>
      </c>
      <c r="B1144">
        <v>1215</v>
      </c>
      <c r="C1144" t="s">
        <v>1322</v>
      </c>
      <c r="E1144">
        <v>1</v>
      </c>
      <c r="F1144" t="s">
        <v>1421</v>
      </c>
      <c r="I1144" t="s">
        <v>1324</v>
      </c>
    </row>
    <row r="1145" spans="1:9" x14ac:dyDescent="0.3">
      <c r="A1145" t="s">
        <v>2547</v>
      </c>
      <c r="B1145">
        <v>1216</v>
      </c>
      <c r="C1145" t="s">
        <v>1322</v>
      </c>
      <c r="E1145">
        <v>1</v>
      </c>
      <c r="F1145" t="s">
        <v>1421</v>
      </c>
      <c r="I1145" t="s">
        <v>1324</v>
      </c>
    </row>
    <row r="1146" spans="1:9" x14ac:dyDescent="0.3">
      <c r="A1146" t="s">
        <v>2548</v>
      </c>
      <c r="B1146">
        <v>1217</v>
      </c>
      <c r="C1146" t="s">
        <v>1322</v>
      </c>
      <c r="E1146">
        <v>1</v>
      </c>
      <c r="F1146" t="s">
        <v>1421</v>
      </c>
      <c r="I1146" t="s">
        <v>1324</v>
      </c>
    </row>
    <row r="1147" spans="1:9" x14ac:dyDescent="0.3">
      <c r="A1147" t="s">
        <v>2549</v>
      </c>
      <c r="B1147">
        <v>1218</v>
      </c>
      <c r="C1147" t="s">
        <v>1322</v>
      </c>
      <c r="E1147">
        <v>1</v>
      </c>
      <c r="F1147" t="s">
        <v>1659</v>
      </c>
      <c r="I1147" t="s">
        <v>1324</v>
      </c>
    </row>
    <row r="1148" spans="1:9" x14ac:dyDescent="0.3">
      <c r="A1148" t="s">
        <v>2550</v>
      </c>
      <c r="B1148">
        <v>1219</v>
      </c>
      <c r="C1148" t="s">
        <v>1322</v>
      </c>
      <c r="E1148">
        <v>1</v>
      </c>
      <c r="F1148" t="s">
        <v>1421</v>
      </c>
      <c r="I1148" t="s">
        <v>1324</v>
      </c>
    </row>
    <row r="1149" spans="1:9" x14ac:dyDescent="0.3">
      <c r="A1149" t="s">
        <v>2551</v>
      </c>
      <c r="B1149">
        <v>1220</v>
      </c>
      <c r="C1149" t="s">
        <v>1322</v>
      </c>
      <c r="E1149">
        <v>2</v>
      </c>
      <c r="F1149" t="s">
        <v>1421</v>
      </c>
      <c r="I1149" t="s">
        <v>1324</v>
      </c>
    </row>
    <row r="1150" spans="1:9" x14ac:dyDescent="0.3">
      <c r="A1150" t="s">
        <v>2552</v>
      </c>
      <c r="B1150">
        <v>1221</v>
      </c>
      <c r="C1150" t="s">
        <v>1322</v>
      </c>
      <c r="E1150">
        <v>2</v>
      </c>
      <c r="F1150" t="s">
        <v>1421</v>
      </c>
      <c r="I1150" t="s">
        <v>1324</v>
      </c>
    </row>
    <row r="1151" spans="1:9" x14ac:dyDescent="0.3">
      <c r="A1151" t="s">
        <v>2553</v>
      </c>
      <c r="B1151">
        <v>1222</v>
      </c>
      <c r="C1151" t="s">
        <v>1322</v>
      </c>
      <c r="E1151">
        <v>1</v>
      </c>
      <c r="F1151" t="s">
        <v>1659</v>
      </c>
      <c r="I1151" t="s">
        <v>1324</v>
      </c>
    </row>
    <row r="1152" spans="1:9" x14ac:dyDescent="0.3">
      <c r="A1152" t="s">
        <v>2554</v>
      </c>
      <c r="B1152">
        <v>1223</v>
      </c>
      <c r="C1152" t="s">
        <v>1322</v>
      </c>
      <c r="E1152">
        <v>1</v>
      </c>
      <c r="F1152" t="s">
        <v>1421</v>
      </c>
      <c r="I1152" t="s">
        <v>1324</v>
      </c>
    </row>
    <row r="1153" spans="1:9" x14ac:dyDescent="0.3">
      <c r="A1153" t="s">
        <v>2555</v>
      </c>
      <c r="B1153">
        <v>1224</v>
      </c>
      <c r="C1153" t="s">
        <v>1322</v>
      </c>
      <c r="E1153">
        <v>1</v>
      </c>
      <c r="F1153" t="s">
        <v>1421</v>
      </c>
      <c r="I1153" t="s">
        <v>1324</v>
      </c>
    </row>
    <row r="1154" spans="1:9" x14ac:dyDescent="0.3">
      <c r="A1154" t="s">
        <v>2556</v>
      </c>
      <c r="B1154">
        <v>1225</v>
      </c>
      <c r="C1154" t="s">
        <v>1322</v>
      </c>
      <c r="E1154">
        <v>1</v>
      </c>
      <c r="F1154" t="s">
        <v>1421</v>
      </c>
      <c r="I1154" t="s">
        <v>1324</v>
      </c>
    </row>
    <row r="1155" spans="1:9" x14ac:dyDescent="0.3">
      <c r="A1155" t="s">
        <v>2557</v>
      </c>
      <c r="B1155">
        <v>1226</v>
      </c>
      <c r="C1155" t="s">
        <v>1322</v>
      </c>
      <c r="E1155">
        <v>0.49</v>
      </c>
      <c r="F1155" t="s">
        <v>1323</v>
      </c>
      <c r="I1155" t="s">
        <v>1324</v>
      </c>
    </row>
    <row r="1156" spans="1:9" x14ac:dyDescent="0.3">
      <c r="A1156" t="s">
        <v>2558</v>
      </c>
      <c r="B1156">
        <v>1227</v>
      </c>
      <c r="C1156" t="s">
        <v>1331</v>
      </c>
      <c r="E1156">
        <v>1.26</v>
      </c>
      <c r="F1156" t="s">
        <v>1317</v>
      </c>
      <c r="I1156" t="s">
        <v>1332</v>
      </c>
    </row>
    <row r="1157" spans="1:9" x14ac:dyDescent="0.3">
      <c r="A1157" t="s">
        <v>2559</v>
      </c>
      <c r="B1157">
        <v>1228</v>
      </c>
      <c r="C1157" t="s">
        <v>1322</v>
      </c>
      <c r="E1157">
        <v>212.5</v>
      </c>
      <c r="F1157" t="s">
        <v>1317</v>
      </c>
      <c r="I1157" t="s">
        <v>1324</v>
      </c>
    </row>
    <row r="1158" spans="1:9" x14ac:dyDescent="0.3">
      <c r="A1158" t="s">
        <v>2560</v>
      </c>
      <c r="B1158">
        <v>1229</v>
      </c>
      <c r="C1158" t="s">
        <v>1322</v>
      </c>
      <c r="E1158">
        <v>37.5</v>
      </c>
      <c r="F1158" t="s">
        <v>1317</v>
      </c>
      <c r="I1158" t="s">
        <v>1324</v>
      </c>
    </row>
    <row r="1159" spans="1:9" x14ac:dyDescent="0.3">
      <c r="A1159" t="s">
        <v>2561</v>
      </c>
      <c r="B1159">
        <v>1230</v>
      </c>
      <c r="C1159" t="s">
        <v>1322</v>
      </c>
      <c r="E1159">
        <v>220.5</v>
      </c>
      <c r="F1159" t="s">
        <v>1317</v>
      </c>
      <c r="I1159" t="s">
        <v>1324</v>
      </c>
    </row>
    <row r="1160" spans="1:9" x14ac:dyDescent="0.3">
      <c r="A1160" t="s">
        <v>2562</v>
      </c>
      <c r="B1160">
        <v>1231</v>
      </c>
      <c r="C1160" t="s">
        <v>1322</v>
      </c>
      <c r="E1160">
        <v>24.5</v>
      </c>
      <c r="F1160" t="s">
        <v>1317</v>
      </c>
      <c r="I1160" t="s">
        <v>1324</v>
      </c>
    </row>
    <row r="1161" spans="1:9" x14ac:dyDescent="0.3">
      <c r="A1161" t="s">
        <v>2563</v>
      </c>
      <c r="B1161">
        <v>1232</v>
      </c>
      <c r="C1161" t="s">
        <v>1322</v>
      </c>
      <c r="E1161">
        <v>220.5</v>
      </c>
      <c r="F1161" t="s">
        <v>1317</v>
      </c>
      <c r="I1161" t="s">
        <v>1324</v>
      </c>
    </row>
    <row r="1162" spans="1:9" x14ac:dyDescent="0.3">
      <c r="A1162" t="s">
        <v>2564</v>
      </c>
      <c r="B1162">
        <v>1234</v>
      </c>
      <c r="C1162" t="s">
        <v>1322</v>
      </c>
      <c r="E1162">
        <v>113</v>
      </c>
      <c r="F1162" t="s">
        <v>1317</v>
      </c>
      <c r="I1162" t="s">
        <v>1324</v>
      </c>
    </row>
    <row r="1163" spans="1:9" x14ac:dyDescent="0.3">
      <c r="A1163" t="s">
        <v>2565</v>
      </c>
      <c r="B1163">
        <v>1235</v>
      </c>
      <c r="C1163" t="s">
        <v>1322</v>
      </c>
      <c r="E1163">
        <v>4</v>
      </c>
      <c r="F1163" t="s">
        <v>1317</v>
      </c>
      <c r="I1163" t="s">
        <v>1324</v>
      </c>
    </row>
    <row r="1164" spans="1:9" x14ac:dyDescent="0.3">
      <c r="A1164" t="s">
        <v>2566</v>
      </c>
      <c r="B1164">
        <v>1236</v>
      </c>
      <c r="C1164" t="s">
        <v>1322</v>
      </c>
      <c r="E1164">
        <v>35</v>
      </c>
      <c r="F1164" t="s">
        <v>1317</v>
      </c>
      <c r="I1164" t="s">
        <v>1324</v>
      </c>
    </row>
    <row r="1165" spans="1:9" x14ac:dyDescent="0.3">
      <c r="A1165" t="s">
        <v>2567</v>
      </c>
      <c r="B1165">
        <v>1237</v>
      </c>
      <c r="C1165" t="s">
        <v>1322</v>
      </c>
      <c r="E1165">
        <v>11</v>
      </c>
      <c r="F1165" t="s">
        <v>1317</v>
      </c>
      <c r="I1165" t="s">
        <v>1324</v>
      </c>
    </row>
    <row r="1166" spans="1:9" x14ac:dyDescent="0.3">
      <c r="A1166" t="s">
        <v>2568</v>
      </c>
      <c r="B1166">
        <v>1238</v>
      </c>
      <c r="C1166" t="s">
        <v>1322</v>
      </c>
      <c r="E1166">
        <v>35</v>
      </c>
      <c r="F1166" t="s">
        <v>1317</v>
      </c>
      <c r="I1166" t="s">
        <v>1324</v>
      </c>
    </row>
    <row r="1167" spans="1:9" x14ac:dyDescent="0.3">
      <c r="A1167" t="s">
        <v>2569</v>
      </c>
      <c r="B1167">
        <v>1239</v>
      </c>
      <c r="C1167" t="s">
        <v>1322</v>
      </c>
      <c r="E1167">
        <v>69</v>
      </c>
      <c r="F1167" t="s">
        <v>1317</v>
      </c>
      <c r="I1167" t="s">
        <v>1324</v>
      </c>
    </row>
    <row r="1168" spans="1:9" x14ac:dyDescent="0.3">
      <c r="A1168" t="s">
        <v>2570</v>
      </c>
      <c r="B1168">
        <v>1240</v>
      </c>
      <c r="C1168" t="s">
        <v>1322</v>
      </c>
      <c r="E1168">
        <v>124.2</v>
      </c>
      <c r="F1168" t="s">
        <v>1323</v>
      </c>
      <c r="I1168" t="s">
        <v>1324</v>
      </c>
    </row>
    <row r="1169" spans="1:9" x14ac:dyDescent="0.3">
      <c r="A1169" t="s">
        <v>2571</v>
      </c>
      <c r="B1169">
        <v>1241</v>
      </c>
      <c r="C1169" t="s">
        <v>1322</v>
      </c>
      <c r="E1169">
        <v>69</v>
      </c>
      <c r="F1169" t="s">
        <v>1317</v>
      </c>
      <c r="I1169" t="s">
        <v>1324</v>
      </c>
    </row>
    <row r="1170" spans="1:9" x14ac:dyDescent="0.3">
      <c r="A1170" t="s">
        <v>2572</v>
      </c>
      <c r="B1170">
        <v>1243</v>
      </c>
      <c r="C1170" t="s">
        <v>1331</v>
      </c>
      <c r="E1170">
        <v>3.2</v>
      </c>
      <c r="F1170" t="s">
        <v>1317</v>
      </c>
      <c r="I1170" t="s">
        <v>1332</v>
      </c>
    </row>
    <row r="1171" spans="1:9" x14ac:dyDescent="0.3">
      <c r="A1171" t="s">
        <v>2573</v>
      </c>
      <c r="B1171">
        <v>1244</v>
      </c>
      <c r="C1171" t="s">
        <v>1322</v>
      </c>
      <c r="E1171">
        <v>1.4</v>
      </c>
      <c r="F1171" t="s">
        <v>1317</v>
      </c>
      <c r="I1171" t="s">
        <v>1324</v>
      </c>
    </row>
    <row r="1172" spans="1:9" x14ac:dyDescent="0.3">
      <c r="A1172" t="s">
        <v>2574</v>
      </c>
      <c r="B1172">
        <v>1245</v>
      </c>
      <c r="C1172" t="s">
        <v>1331</v>
      </c>
      <c r="E1172">
        <v>14</v>
      </c>
      <c r="F1172" t="s">
        <v>1317</v>
      </c>
      <c r="I1172" t="s">
        <v>1332</v>
      </c>
    </row>
    <row r="1173" spans="1:9" x14ac:dyDescent="0.3">
      <c r="A1173" t="s">
        <v>2575</v>
      </c>
      <c r="B1173">
        <v>1246</v>
      </c>
      <c r="C1173" t="s">
        <v>1322</v>
      </c>
      <c r="E1173">
        <v>3.7999999999999999E-2</v>
      </c>
      <c r="F1173" t="s">
        <v>1323</v>
      </c>
      <c r="I1173" t="s">
        <v>1324</v>
      </c>
    </row>
    <row r="1174" spans="1:9" x14ac:dyDescent="0.3">
      <c r="A1174" t="s">
        <v>2576</v>
      </c>
      <c r="B1174">
        <v>1247</v>
      </c>
      <c r="C1174" t="s">
        <v>1322</v>
      </c>
      <c r="E1174">
        <v>1.0449999999999999</v>
      </c>
      <c r="F1174" t="s">
        <v>1323</v>
      </c>
      <c r="I1174" t="s">
        <v>1324</v>
      </c>
    </row>
    <row r="1175" spans="1:9" x14ac:dyDescent="0.3">
      <c r="A1175" t="s">
        <v>2577</v>
      </c>
      <c r="B1175">
        <v>1248</v>
      </c>
      <c r="C1175" t="s">
        <v>1322</v>
      </c>
      <c r="E1175">
        <v>21.1</v>
      </c>
      <c r="F1175" t="s">
        <v>1349</v>
      </c>
      <c r="I1175" t="s">
        <v>1324</v>
      </c>
    </row>
    <row r="1176" spans="1:9" x14ac:dyDescent="0.3">
      <c r="A1176" t="s">
        <v>2578</v>
      </c>
      <c r="B1176">
        <v>1249</v>
      </c>
      <c r="C1176" t="s">
        <v>1322</v>
      </c>
      <c r="E1176">
        <v>21.1</v>
      </c>
      <c r="F1176" t="s">
        <v>1349</v>
      </c>
      <c r="I1176" t="s">
        <v>1324</v>
      </c>
    </row>
    <row r="1177" spans="1:9" x14ac:dyDescent="0.3">
      <c r="A1177" t="s">
        <v>2579</v>
      </c>
      <c r="B1177">
        <v>1250</v>
      </c>
      <c r="C1177" t="s">
        <v>1322</v>
      </c>
      <c r="E1177">
        <v>37.1</v>
      </c>
      <c r="F1177" t="s">
        <v>1349</v>
      </c>
      <c r="I1177" t="s">
        <v>1324</v>
      </c>
    </row>
    <row r="1178" spans="1:9" x14ac:dyDescent="0.3">
      <c r="A1178" t="s">
        <v>2580</v>
      </c>
      <c r="B1178">
        <v>1251</v>
      </c>
      <c r="C1178" t="s">
        <v>1331</v>
      </c>
      <c r="E1178">
        <v>2.02</v>
      </c>
      <c r="F1178" t="s">
        <v>1317</v>
      </c>
      <c r="I1178" t="s">
        <v>1332</v>
      </c>
    </row>
    <row r="1179" spans="1:9" x14ac:dyDescent="0.3">
      <c r="A1179" t="s">
        <v>2581</v>
      </c>
      <c r="B1179">
        <v>1252</v>
      </c>
      <c r="C1179" t="s">
        <v>1331</v>
      </c>
      <c r="E1179">
        <v>2.02</v>
      </c>
      <c r="F1179" t="s">
        <v>1317</v>
      </c>
      <c r="I1179" t="s">
        <v>1332</v>
      </c>
    </row>
    <row r="1180" spans="1:9" x14ac:dyDescent="0.3">
      <c r="A1180" t="s">
        <v>2582</v>
      </c>
      <c r="B1180">
        <v>1253</v>
      </c>
      <c r="C1180" t="s">
        <v>1331</v>
      </c>
      <c r="E1180">
        <v>1.1499999999999999</v>
      </c>
      <c r="F1180" t="s">
        <v>1317</v>
      </c>
      <c r="I1180" t="s">
        <v>1332</v>
      </c>
    </row>
    <row r="1181" spans="1:9" x14ac:dyDescent="0.3">
      <c r="A1181" t="s">
        <v>2583</v>
      </c>
      <c r="B1181">
        <v>1254</v>
      </c>
      <c r="C1181" t="s">
        <v>1322</v>
      </c>
      <c r="E1181">
        <v>1.2999999999999999E-2</v>
      </c>
      <c r="F1181" t="s">
        <v>1323</v>
      </c>
      <c r="I1181" t="s">
        <v>1324</v>
      </c>
    </row>
    <row r="1182" spans="1:9" x14ac:dyDescent="0.3">
      <c r="A1182" t="s">
        <v>2584</v>
      </c>
      <c r="B1182">
        <v>1256</v>
      </c>
      <c r="C1182" t="s">
        <v>1322</v>
      </c>
      <c r="E1182">
        <v>1.26</v>
      </c>
      <c r="F1182" t="s">
        <v>1317</v>
      </c>
      <c r="I1182" t="s">
        <v>1324</v>
      </c>
    </row>
    <row r="1183" spans="1:9" x14ac:dyDescent="0.3">
      <c r="A1183" t="s">
        <v>2585</v>
      </c>
      <c r="B1183">
        <v>1257</v>
      </c>
      <c r="C1183" t="s">
        <v>1322</v>
      </c>
      <c r="E1183">
        <v>5.2999999999999999E-2</v>
      </c>
      <c r="F1183" t="s">
        <v>1323</v>
      </c>
      <c r="I1183" t="s">
        <v>1324</v>
      </c>
    </row>
    <row r="1184" spans="1:9" x14ac:dyDescent="0.3">
      <c r="A1184" t="s">
        <v>2586</v>
      </c>
      <c r="B1184">
        <v>1258</v>
      </c>
      <c r="C1184" t="s">
        <v>1322</v>
      </c>
      <c r="E1184">
        <v>0.08</v>
      </c>
      <c r="F1184" t="s">
        <v>1323</v>
      </c>
      <c r="I1184" t="s">
        <v>1324</v>
      </c>
    </row>
    <row r="1185" spans="1:9" x14ac:dyDescent="0.3">
      <c r="A1185" t="s">
        <v>2587</v>
      </c>
      <c r="B1185">
        <v>1259</v>
      </c>
      <c r="C1185" t="s">
        <v>1405</v>
      </c>
      <c r="D1185">
        <v>4.2300000000000004</v>
      </c>
      <c r="E1185">
        <v>4.2300000000000004</v>
      </c>
      <c r="F1185" t="s">
        <v>1317</v>
      </c>
      <c r="G1185" t="s">
        <v>1318</v>
      </c>
      <c r="H1185" t="s">
        <v>2588</v>
      </c>
      <c r="I1185" t="s">
        <v>2589</v>
      </c>
    </row>
    <row r="1186" spans="1:9" x14ac:dyDescent="0.3">
      <c r="A1186" t="s">
        <v>2590</v>
      </c>
      <c r="B1186">
        <v>1260</v>
      </c>
      <c r="C1186" t="s">
        <v>1322</v>
      </c>
      <c r="E1186">
        <v>3.5999999999999997E-2</v>
      </c>
      <c r="F1186" t="s">
        <v>1323</v>
      </c>
      <c r="I1186" t="s">
        <v>1324</v>
      </c>
    </row>
    <row r="1187" spans="1:9" x14ac:dyDescent="0.3">
      <c r="A1187" t="s">
        <v>2591</v>
      </c>
      <c r="B1187">
        <v>1261</v>
      </c>
      <c r="C1187" t="s">
        <v>1322</v>
      </c>
      <c r="E1187">
        <v>0.44800000000000001</v>
      </c>
      <c r="F1187" t="s">
        <v>1323</v>
      </c>
      <c r="I1187" t="s">
        <v>1324</v>
      </c>
    </row>
    <row r="1188" spans="1:9" x14ac:dyDescent="0.3">
      <c r="A1188" t="s">
        <v>2592</v>
      </c>
      <c r="B1188">
        <v>1262</v>
      </c>
      <c r="C1188" t="s">
        <v>1322</v>
      </c>
      <c r="E1188">
        <v>0.74</v>
      </c>
      <c r="F1188" t="s">
        <v>1317</v>
      </c>
      <c r="I1188" t="s">
        <v>1324</v>
      </c>
    </row>
    <row r="1189" spans="1:9" x14ac:dyDescent="0.3">
      <c r="A1189" t="s">
        <v>2593</v>
      </c>
      <c r="B1189">
        <v>1263</v>
      </c>
      <c r="C1189" t="s">
        <v>1322</v>
      </c>
      <c r="E1189">
        <v>5.1999999999999998E-2</v>
      </c>
      <c r="F1189" t="s">
        <v>1323</v>
      </c>
      <c r="I1189" t="s">
        <v>1324</v>
      </c>
    </row>
    <row r="1190" spans="1:9" x14ac:dyDescent="0.3">
      <c r="A1190" t="s">
        <v>2594</v>
      </c>
      <c r="B1190">
        <v>1264</v>
      </c>
      <c r="C1190" t="s">
        <v>1322</v>
      </c>
      <c r="E1190">
        <v>5.8999999999999997E-2</v>
      </c>
      <c r="F1190" t="s">
        <v>1323</v>
      </c>
      <c r="I1190" t="s">
        <v>1324</v>
      </c>
    </row>
    <row r="1191" spans="1:9" x14ac:dyDescent="0.3">
      <c r="A1191" t="s">
        <v>2595</v>
      </c>
      <c r="B1191">
        <v>1266</v>
      </c>
      <c r="C1191" t="s">
        <v>1322</v>
      </c>
      <c r="E1191">
        <v>61</v>
      </c>
      <c r="F1191" t="s">
        <v>1349</v>
      </c>
      <c r="I1191" t="s">
        <v>1324</v>
      </c>
    </row>
    <row r="1192" spans="1:9" x14ac:dyDescent="0.3">
      <c r="A1192" t="s">
        <v>2596</v>
      </c>
      <c r="B1192">
        <v>1267</v>
      </c>
      <c r="C1192" t="s">
        <v>1322</v>
      </c>
      <c r="E1192">
        <v>7.3999999999999996E-2</v>
      </c>
      <c r="F1192" t="s">
        <v>1323</v>
      </c>
      <c r="I1192" t="s">
        <v>1324</v>
      </c>
    </row>
    <row r="1193" spans="1:9" x14ac:dyDescent="0.3">
      <c r="A1193" t="s">
        <v>2597</v>
      </c>
      <c r="B1193">
        <v>1268</v>
      </c>
      <c r="C1193" t="s">
        <v>1331</v>
      </c>
      <c r="E1193">
        <v>2</v>
      </c>
      <c r="F1193" t="s">
        <v>1421</v>
      </c>
      <c r="I1193" t="s">
        <v>1332</v>
      </c>
    </row>
    <row r="1194" spans="1:9" x14ac:dyDescent="0.3">
      <c r="A1194" t="s">
        <v>2598</v>
      </c>
      <c r="B1194">
        <v>1269</v>
      </c>
      <c r="C1194" t="s">
        <v>1331</v>
      </c>
      <c r="E1194">
        <v>2</v>
      </c>
      <c r="F1194" t="s">
        <v>1421</v>
      </c>
      <c r="I1194" t="s">
        <v>1332</v>
      </c>
    </row>
    <row r="1195" spans="1:9" x14ac:dyDescent="0.3">
      <c r="A1195" t="s">
        <v>2599</v>
      </c>
      <c r="B1195">
        <v>1270</v>
      </c>
      <c r="C1195" t="s">
        <v>1331</v>
      </c>
      <c r="E1195">
        <v>1</v>
      </c>
      <c r="F1195" t="s">
        <v>1421</v>
      </c>
      <c r="I1195" t="s">
        <v>1332</v>
      </c>
    </row>
    <row r="1196" spans="1:9" x14ac:dyDescent="0.3">
      <c r="A1196" t="s">
        <v>2600</v>
      </c>
      <c r="B1196">
        <v>1272</v>
      </c>
      <c r="C1196" t="s">
        <v>1405</v>
      </c>
      <c r="D1196">
        <v>1.2589999999999999</v>
      </c>
      <c r="E1196">
        <v>1.2589999999999999</v>
      </c>
      <c r="F1196" t="s">
        <v>1317</v>
      </c>
      <c r="G1196" t="s">
        <v>1318</v>
      </c>
      <c r="H1196" t="s">
        <v>2601</v>
      </c>
      <c r="I1196" t="s">
        <v>2602</v>
      </c>
    </row>
    <row r="1197" spans="1:9" x14ac:dyDescent="0.3">
      <c r="A1197" t="s">
        <v>2603</v>
      </c>
      <c r="B1197">
        <v>1273</v>
      </c>
      <c r="C1197" t="s">
        <v>1331</v>
      </c>
      <c r="E1197">
        <v>42</v>
      </c>
      <c r="F1197" t="s">
        <v>1349</v>
      </c>
      <c r="I1197" t="s">
        <v>1332</v>
      </c>
    </row>
    <row r="1198" spans="1:9" x14ac:dyDescent="0.3">
      <c r="A1198" t="s">
        <v>2604</v>
      </c>
      <c r="B1198">
        <v>1274</v>
      </c>
      <c r="C1198" t="s">
        <v>1331</v>
      </c>
      <c r="E1198">
        <v>42</v>
      </c>
      <c r="F1198" t="s">
        <v>1349</v>
      </c>
      <c r="I1198" t="s">
        <v>1332</v>
      </c>
    </row>
    <row r="1199" spans="1:9" x14ac:dyDescent="0.3">
      <c r="A1199" t="s">
        <v>2605</v>
      </c>
      <c r="B1199">
        <v>1275</v>
      </c>
      <c r="C1199" t="s">
        <v>1331</v>
      </c>
      <c r="E1199">
        <v>2</v>
      </c>
      <c r="F1199" t="s">
        <v>1421</v>
      </c>
      <c r="I1199" t="s">
        <v>1332</v>
      </c>
    </row>
    <row r="1200" spans="1:9" x14ac:dyDescent="0.3">
      <c r="A1200" t="s">
        <v>2606</v>
      </c>
      <c r="B1200">
        <v>1276</v>
      </c>
      <c r="C1200" t="s">
        <v>1331</v>
      </c>
      <c r="E1200">
        <v>24</v>
      </c>
      <c r="F1200" t="s">
        <v>61</v>
      </c>
      <c r="I1200" t="s">
        <v>1332</v>
      </c>
    </row>
    <row r="1201" spans="1:9" x14ac:dyDescent="0.3">
      <c r="A1201" t="s">
        <v>2607</v>
      </c>
      <c r="B1201">
        <v>1277</v>
      </c>
      <c r="C1201" t="s">
        <v>1322</v>
      </c>
      <c r="E1201">
        <v>7.8</v>
      </c>
      <c r="F1201" t="s">
        <v>61</v>
      </c>
      <c r="I1201" t="s">
        <v>1324</v>
      </c>
    </row>
    <row r="1202" spans="1:9" x14ac:dyDescent="0.3">
      <c r="A1202" t="s">
        <v>2608</v>
      </c>
      <c r="B1202">
        <v>1278</v>
      </c>
      <c r="C1202" t="s">
        <v>1331</v>
      </c>
      <c r="E1202">
        <v>2</v>
      </c>
      <c r="F1202" t="s">
        <v>1421</v>
      </c>
      <c r="I1202" t="s">
        <v>1332</v>
      </c>
    </row>
    <row r="1203" spans="1:9" x14ac:dyDescent="0.3">
      <c r="A1203" t="s">
        <v>2609</v>
      </c>
      <c r="B1203">
        <v>1280</v>
      </c>
      <c r="C1203" t="s">
        <v>1405</v>
      </c>
      <c r="D1203">
        <v>2.16</v>
      </c>
      <c r="E1203">
        <v>2.16</v>
      </c>
      <c r="F1203" t="s">
        <v>1349</v>
      </c>
      <c r="G1203" t="s">
        <v>1318</v>
      </c>
      <c r="H1203" t="s">
        <v>2601</v>
      </c>
      <c r="I1203" t="s">
        <v>2610</v>
      </c>
    </row>
    <row r="1204" spans="1:9" x14ac:dyDescent="0.3">
      <c r="A1204" t="s">
        <v>2611</v>
      </c>
      <c r="B1204">
        <v>1281</v>
      </c>
      <c r="C1204" t="s">
        <v>1331</v>
      </c>
      <c r="E1204">
        <v>2.2000000000000002</v>
      </c>
      <c r="F1204" t="s">
        <v>1349</v>
      </c>
      <c r="I1204" t="s">
        <v>1332</v>
      </c>
    </row>
    <row r="1205" spans="1:9" x14ac:dyDescent="0.3">
      <c r="A1205" t="s">
        <v>2612</v>
      </c>
      <c r="B1205">
        <v>1282</v>
      </c>
      <c r="C1205" t="s">
        <v>1322</v>
      </c>
      <c r="E1205">
        <v>4.4000000000000004</v>
      </c>
      <c r="F1205" t="s">
        <v>1349</v>
      </c>
      <c r="I1205" t="s">
        <v>1324</v>
      </c>
    </row>
    <row r="1206" spans="1:9" x14ac:dyDescent="0.3">
      <c r="A1206" t="s">
        <v>2613</v>
      </c>
      <c r="B1206">
        <v>1284</v>
      </c>
      <c r="C1206" t="s">
        <v>1331</v>
      </c>
      <c r="E1206">
        <v>20.2</v>
      </c>
      <c r="F1206" t="s">
        <v>1349</v>
      </c>
      <c r="I1206" t="s">
        <v>1332</v>
      </c>
    </row>
    <row r="1207" spans="1:9" x14ac:dyDescent="0.3">
      <c r="A1207" t="s">
        <v>2614</v>
      </c>
      <c r="B1207">
        <v>1285</v>
      </c>
      <c r="C1207" t="s">
        <v>1331</v>
      </c>
      <c r="E1207">
        <v>20.2</v>
      </c>
      <c r="F1207" t="s">
        <v>1349</v>
      </c>
      <c r="I1207" t="s">
        <v>1332</v>
      </c>
    </row>
    <row r="1208" spans="1:9" x14ac:dyDescent="0.3">
      <c r="A1208" t="s">
        <v>2615</v>
      </c>
      <c r="B1208">
        <v>1286</v>
      </c>
      <c r="C1208" t="s">
        <v>1331</v>
      </c>
      <c r="E1208">
        <v>20.2</v>
      </c>
      <c r="F1208" t="s">
        <v>1349</v>
      </c>
      <c r="I1208" t="s">
        <v>1332</v>
      </c>
    </row>
    <row r="1209" spans="1:9" x14ac:dyDescent="0.3">
      <c r="A1209" t="s">
        <v>2616</v>
      </c>
      <c r="B1209">
        <v>1287</v>
      </c>
      <c r="C1209" t="s">
        <v>1331</v>
      </c>
      <c r="E1209">
        <v>3.9</v>
      </c>
      <c r="F1209" t="s">
        <v>1349</v>
      </c>
      <c r="I1209" t="s">
        <v>1332</v>
      </c>
    </row>
    <row r="1210" spans="1:9" x14ac:dyDescent="0.3">
      <c r="A1210" t="s">
        <v>2617</v>
      </c>
      <c r="B1210">
        <v>1288</v>
      </c>
      <c r="C1210" t="s">
        <v>1331</v>
      </c>
      <c r="E1210">
        <v>3.9</v>
      </c>
      <c r="F1210" t="s">
        <v>1349</v>
      </c>
      <c r="I1210" t="s">
        <v>1332</v>
      </c>
    </row>
    <row r="1211" spans="1:9" x14ac:dyDescent="0.3">
      <c r="A1211" t="s">
        <v>2618</v>
      </c>
      <c r="B1211">
        <v>1289</v>
      </c>
      <c r="C1211" t="s">
        <v>1331</v>
      </c>
      <c r="E1211">
        <v>3.9</v>
      </c>
      <c r="F1211" t="s">
        <v>1349</v>
      </c>
      <c r="I1211" t="s">
        <v>1332</v>
      </c>
    </row>
    <row r="1212" spans="1:9" x14ac:dyDescent="0.3">
      <c r="A1212" t="s">
        <v>2619</v>
      </c>
      <c r="B1212">
        <v>1291</v>
      </c>
      <c r="C1212" t="s">
        <v>1405</v>
      </c>
      <c r="D1212">
        <v>20.16</v>
      </c>
      <c r="E1212">
        <v>20.16</v>
      </c>
      <c r="F1212" t="s">
        <v>1349</v>
      </c>
      <c r="G1212" t="s">
        <v>1318</v>
      </c>
      <c r="H1212" t="s">
        <v>2601</v>
      </c>
      <c r="I1212" t="s">
        <v>2620</v>
      </c>
    </row>
    <row r="1213" spans="1:9" x14ac:dyDescent="0.3">
      <c r="A1213" t="s">
        <v>2621</v>
      </c>
      <c r="B1213">
        <v>1292</v>
      </c>
      <c r="C1213" t="s">
        <v>1405</v>
      </c>
      <c r="D1213">
        <v>20.16</v>
      </c>
      <c r="E1213">
        <v>20.16</v>
      </c>
      <c r="F1213" t="s">
        <v>1349</v>
      </c>
      <c r="G1213" t="s">
        <v>1318</v>
      </c>
      <c r="H1213" t="s">
        <v>2601</v>
      </c>
      <c r="I1213" t="s">
        <v>2620</v>
      </c>
    </row>
    <row r="1214" spans="1:9" x14ac:dyDescent="0.3">
      <c r="A1214" t="s">
        <v>2622</v>
      </c>
      <c r="B1214">
        <v>1293</v>
      </c>
      <c r="C1214" t="s">
        <v>1331</v>
      </c>
      <c r="E1214">
        <v>58.2</v>
      </c>
      <c r="F1214" t="s">
        <v>1349</v>
      </c>
      <c r="I1214" t="s">
        <v>1332</v>
      </c>
    </row>
    <row r="1215" spans="1:9" x14ac:dyDescent="0.3">
      <c r="A1215" t="s">
        <v>2623</v>
      </c>
      <c r="B1215">
        <v>1294</v>
      </c>
      <c r="C1215" t="s">
        <v>1331</v>
      </c>
      <c r="E1215">
        <v>58.2</v>
      </c>
      <c r="F1215" t="s">
        <v>1349</v>
      </c>
      <c r="I1215" t="s">
        <v>1332</v>
      </c>
    </row>
    <row r="1216" spans="1:9" x14ac:dyDescent="0.3">
      <c r="A1216" t="s">
        <v>2624</v>
      </c>
      <c r="B1216">
        <v>1295</v>
      </c>
      <c r="C1216" t="s">
        <v>1405</v>
      </c>
      <c r="D1216">
        <v>85</v>
      </c>
      <c r="E1216">
        <v>85</v>
      </c>
      <c r="F1216" t="s">
        <v>1349</v>
      </c>
      <c r="G1216" t="s">
        <v>1318</v>
      </c>
      <c r="H1216" t="s">
        <v>2601</v>
      </c>
      <c r="I1216" t="s">
        <v>2625</v>
      </c>
    </row>
    <row r="1217" spans="1:9" x14ac:dyDescent="0.3">
      <c r="A1217" t="s">
        <v>2626</v>
      </c>
      <c r="B1217">
        <v>1296</v>
      </c>
      <c r="C1217" t="s">
        <v>1386</v>
      </c>
      <c r="D1217">
        <v>85</v>
      </c>
      <c r="E1217">
        <v>85</v>
      </c>
      <c r="F1217" t="s">
        <v>1349</v>
      </c>
      <c r="G1217" t="s">
        <v>1386</v>
      </c>
      <c r="I1217" t="s">
        <v>2627</v>
      </c>
    </row>
    <row r="1218" spans="1:9" x14ac:dyDescent="0.3">
      <c r="A1218" t="s">
        <v>2628</v>
      </c>
      <c r="B1218">
        <v>1298</v>
      </c>
      <c r="C1218" t="s">
        <v>1322</v>
      </c>
      <c r="E1218">
        <v>10</v>
      </c>
      <c r="F1218" t="s">
        <v>61</v>
      </c>
      <c r="I1218" t="s">
        <v>1324</v>
      </c>
    </row>
    <row r="1219" spans="1:9" x14ac:dyDescent="0.3">
      <c r="A1219" t="s">
        <v>2629</v>
      </c>
      <c r="B1219">
        <v>1299</v>
      </c>
      <c r="C1219" t="s">
        <v>1322</v>
      </c>
      <c r="E1219">
        <v>10</v>
      </c>
      <c r="F1219" t="s">
        <v>61</v>
      </c>
      <c r="I1219" t="s">
        <v>1324</v>
      </c>
    </row>
    <row r="1220" spans="1:9" x14ac:dyDescent="0.3">
      <c r="A1220" t="s">
        <v>2630</v>
      </c>
      <c r="B1220">
        <v>1300</v>
      </c>
      <c r="C1220" t="s">
        <v>1331</v>
      </c>
      <c r="E1220">
        <v>1</v>
      </c>
      <c r="F1220" t="s">
        <v>61</v>
      </c>
      <c r="I1220" t="s">
        <v>1332</v>
      </c>
    </row>
    <row r="1221" spans="1:9" x14ac:dyDescent="0.3">
      <c r="A1221" t="s">
        <v>2631</v>
      </c>
      <c r="B1221">
        <v>1301</v>
      </c>
      <c r="C1221" t="s">
        <v>1331</v>
      </c>
      <c r="E1221">
        <v>1</v>
      </c>
      <c r="F1221" t="s">
        <v>61</v>
      </c>
      <c r="I1221" t="s">
        <v>1332</v>
      </c>
    </row>
    <row r="1222" spans="1:9" x14ac:dyDescent="0.3">
      <c r="A1222" t="s">
        <v>2632</v>
      </c>
      <c r="B1222">
        <v>1302</v>
      </c>
      <c r="C1222" t="s">
        <v>1322</v>
      </c>
      <c r="E1222">
        <v>11</v>
      </c>
      <c r="F1222" t="s">
        <v>61</v>
      </c>
      <c r="I1222" t="s">
        <v>1324</v>
      </c>
    </row>
    <row r="1223" spans="1:9" x14ac:dyDescent="0.3">
      <c r="A1223" t="s">
        <v>2633</v>
      </c>
      <c r="B1223">
        <v>1303</v>
      </c>
      <c r="C1223" t="s">
        <v>1331</v>
      </c>
      <c r="E1223">
        <v>2</v>
      </c>
      <c r="F1223" t="s">
        <v>1421</v>
      </c>
      <c r="I1223" t="s">
        <v>1332</v>
      </c>
    </row>
    <row r="1224" spans="1:9" x14ac:dyDescent="0.3">
      <c r="A1224" t="s">
        <v>2634</v>
      </c>
      <c r="B1224">
        <v>1304</v>
      </c>
      <c r="C1224" t="s">
        <v>1331</v>
      </c>
      <c r="E1224">
        <v>2</v>
      </c>
      <c r="F1224" t="s">
        <v>1421</v>
      </c>
      <c r="I1224" t="s">
        <v>1332</v>
      </c>
    </row>
    <row r="1225" spans="1:9" x14ac:dyDescent="0.3">
      <c r="A1225" t="s">
        <v>2635</v>
      </c>
      <c r="B1225">
        <v>1305</v>
      </c>
      <c r="C1225" t="s">
        <v>1322</v>
      </c>
      <c r="E1225">
        <v>4</v>
      </c>
      <c r="F1225" t="s">
        <v>1421</v>
      </c>
      <c r="I1225" t="s">
        <v>1324</v>
      </c>
    </row>
    <row r="1226" spans="1:9" x14ac:dyDescent="0.3">
      <c r="A1226" t="s">
        <v>2636</v>
      </c>
      <c r="B1226">
        <v>1306</v>
      </c>
      <c r="C1226" t="s">
        <v>1331</v>
      </c>
      <c r="E1226">
        <v>1</v>
      </c>
      <c r="F1226" t="s">
        <v>1421</v>
      </c>
      <c r="I1226" t="s">
        <v>1332</v>
      </c>
    </row>
    <row r="1227" spans="1:9" x14ac:dyDescent="0.3">
      <c r="A1227" t="s">
        <v>2637</v>
      </c>
      <c r="B1227">
        <v>1308</v>
      </c>
      <c r="C1227" t="s">
        <v>1331</v>
      </c>
      <c r="E1227">
        <v>1</v>
      </c>
      <c r="F1227" t="s">
        <v>61</v>
      </c>
      <c r="I1227" t="s">
        <v>1332</v>
      </c>
    </row>
    <row r="1228" spans="1:9" x14ac:dyDescent="0.3">
      <c r="A1228" t="s">
        <v>2638</v>
      </c>
      <c r="B1228">
        <v>1309</v>
      </c>
      <c r="C1228" t="s">
        <v>1331</v>
      </c>
      <c r="E1228">
        <v>1</v>
      </c>
      <c r="F1228" t="s">
        <v>61</v>
      </c>
      <c r="I1228" t="s">
        <v>1332</v>
      </c>
    </row>
    <row r="1229" spans="1:9" x14ac:dyDescent="0.3">
      <c r="A1229" t="s">
        <v>2639</v>
      </c>
      <c r="B1229">
        <v>1310</v>
      </c>
      <c r="C1229" t="s">
        <v>1322</v>
      </c>
      <c r="E1229">
        <v>10</v>
      </c>
      <c r="F1229" t="s">
        <v>61</v>
      </c>
      <c r="I1229" t="s">
        <v>1324</v>
      </c>
    </row>
    <row r="1230" spans="1:9" x14ac:dyDescent="0.3">
      <c r="A1230" t="s">
        <v>2640</v>
      </c>
      <c r="B1230">
        <v>1311</v>
      </c>
      <c r="C1230" t="s">
        <v>1322</v>
      </c>
      <c r="E1230">
        <v>10</v>
      </c>
      <c r="F1230" t="s">
        <v>61</v>
      </c>
      <c r="I1230" t="s">
        <v>1324</v>
      </c>
    </row>
    <row r="1231" spans="1:9" x14ac:dyDescent="0.3">
      <c r="A1231" t="s">
        <v>2641</v>
      </c>
      <c r="B1231">
        <v>1312</v>
      </c>
      <c r="C1231" t="s">
        <v>1322</v>
      </c>
      <c r="E1231">
        <v>11</v>
      </c>
      <c r="F1231" t="s">
        <v>61</v>
      </c>
      <c r="I1231" t="s">
        <v>1324</v>
      </c>
    </row>
    <row r="1232" spans="1:9" x14ac:dyDescent="0.3">
      <c r="A1232" t="s">
        <v>2642</v>
      </c>
      <c r="B1232">
        <v>1313</v>
      </c>
      <c r="C1232" t="s">
        <v>1331</v>
      </c>
      <c r="E1232">
        <v>1</v>
      </c>
      <c r="F1232" t="s">
        <v>1421</v>
      </c>
      <c r="I1232" t="s">
        <v>1332</v>
      </c>
    </row>
    <row r="1233" spans="1:9" x14ac:dyDescent="0.3">
      <c r="A1233" t="s">
        <v>2643</v>
      </c>
      <c r="B1233">
        <v>1315</v>
      </c>
      <c r="C1233" t="s">
        <v>1331</v>
      </c>
      <c r="E1233">
        <v>18</v>
      </c>
      <c r="F1233" t="s">
        <v>61</v>
      </c>
      <c r="I1233" t="s">
        <v>1332</v>
      </c>
    </row>
    <row r="1234" spans="1:9" x14ac:dyDescent="0.3">
      <c r="A1234" t="s">
        <v>2644</v>
      </c>
      <c r="B1234">
        <v>1316</v>
      </c>
      <c r="C1234" t="s">
        <v>1331</v>
      </c>
      <c r="E1234">
        <v>18</v>
      </c>
      <c r="F1234" t="s">
        <v>61</v>
      </c>
      <c r="I1234" t="s">
        <v>1332</v>
      </c>
    </row>
    <row r="1235" spans="1:9" x14ac:dyDescent="0.3">
      <c r="A1235" t="s">
        <v>2645</v>
      </c>
      <c r="B1235">
        <v>1317</v>
      </c>
      <c r="C1235" t="s">
        <v>1331</v>
      </c>
      <c r="E1235">
        <v>1</v>
      </c>
      <c r="F1235" t="s">
        <v>61</v>
      </c>
      <c r="I1235" t="s">
        <v>1332</v>
      </c>
    </row>
    <row r="1236" spans="1:9" x14ac:dyDescent="0.3">
      <c r="A1236" t="s">
        <v>2646</v>
      </c>
      <c r="B1236">
        <v>1318</v>
      </c>
      <c r="C1236" t="s">
        <v>1331</v>
      </c>
      <c r="E1236">
        <v>1</v>
      </c>
      <c r="F1236" t="s">
        <v>61</v>
      </c>
      <c r="I1236" t="s">
        <v>1332</v>
      </c>
    </row>
    <row r="1237" spans="1:9" x14ac:dyDescent="0.3">
      <c r="A1237" t="s">
        <v>2647</v>
      </c>
      <c r="B1237">
        <v>1319</v>
      </c>
      <c r="C1237" t="s">
        <v>1331</v>
      </c>
      <c r="E1237">
        <v>1</v>
      </c>
      <c r="F1237" t="s">
        <v>1421</v>
      </c>
      <c r="I1237" t="s">
        <v>1332</v>
      </c>
    </row>
    <row r="1238" spans="1:9" x14ac:dyDescent="0.3">
      <c r="A1238" t="s">
        <v>2648</v>
      </c>
      <c r="B1238">
        <v>1320</v>
      </c>
      <c r="C1238" t="s">
        <v>1331</v>
      </c>
      <c r="E1238">
        <v>1</v>
      </c>
      <c r="F1238" t="s">
        <v>1659</v>
      </c>
      <c r="I1238" t="s">
        <v>1332</v>
      </c>
    </row>
    <row r="1239" spans="1:9" x14ac:dyDescent="0.3">
      <c r="A1239" t="s">
        <v>2649</v>
      </c>
      <c r="B1239">
        <v>1321</v>
      </c>
      <c r="C1239" t="s">
        <v>1331</v>
      </c>
      <c r="E1239">
        <v>1</v>
      </c>
      <c r="F1239" t="s">
        <v>1659</v>
      </c>
      <c r="I1239" t="s">
        <v>1332</v>
      </c>
    </row>
    <row r="1240" spans="1:9" x14ac:dyDescent="0.3">
      <c r="A1240" t="s">
        <v>2650</v>
      </c>
      <c r="B1240">
        <v>1322</v>
      </c>
      <c r="C1240" t="s">
        <v>1331</v>
      </c>
      <c r="E1240">
        <v>1</v>
      </c>
      <c r="F1240" t="s">
        <v>1659</v>
      </c>
      <c r="I1240" t="s">
        <v>1332</v>
      </c>
    </row>
    <row r="1241" spans="1:9" x14ac:dyDescent="0.3">
      <c r="A1241" t="s">
        <v>2651</v>
      </c>
      <c r="B1241">
        <v>1324</v>
      </c>
      <c r="C1241" t="s">
        <v>1322</v>
      </c>
      <c r="E1241">
        <v>4</v>
      </c>
      <c r="F1241" t="s">
        <v>1421</v>
      </c>
      <c r="I1241" t="s">
        <v>1324</v>
      </c>
    </row>
    <row r="1242" spans="1:9" x14ac:dyDescent="0.3">
      <c r="A1242" t="s">
        <v>2652</v>
      </c>
      <c r="B1242">
        <v>1325</v>
      </c>
      <c r="C1242" t="s">
        <v>1322</v>
      </c>
      <c r="E1242">
        <v>4</v>
      </c>
      <c r="F1242" t="s">
        <v>1421</v>
      </c>
      <c r="I1242" t="s">
        <v>1324</v>
      </c>
    </row>
    <row r="1243" spans="1:9" x14ac:dyDescent="0.3">
      <c r="A1243" t="s">
        <v>2653</v>
      </c>
      <c r="B1243">
        <v>1326</v>
      </c>
      <c r="C1243" t="s">
        <v>1331</v>
      </c>
      <c r="E1243">
        <v>2</v>
      </c>
      <c r="F1243" t="s">
        <v>1421</v>
      </c>
      <c r="I1243" t="s">
        <v>1332</v>
      </c>
    </row>
    <row r="1244" spans="1:9" x14ac:dyDescent="0.3">
      <c r="A1244" t="s">
        <v>2654</v>
      </c>
      <c r="B1244">
        <v>1327</v>
      </c>
      <c r="C1244" t="s">
        <v>1331</v>
      </c>
      <c r="E1244">
        <v>2</v>
      </c>
      <c r="F1244" t="s">
        <v>1421</v>
      </c>
      <c r="I1244" t="s">
        <v>1332</v>
      </c>
    </row>
    <row r="1245" spans="1:9" x14ac:dyDescent="0.3">
      <c r="A1245" t="s">
        <v>2655</v>
      </c>
      <c r="B1245">
        <v>1328</v>
      </c>
      <c r="C1245" t="s">
        <v>1322</v>
      </c>
      <c r="E1245">
        <v>4</v>
      </c>
      <c r="F1245" t="s">
        <v>1421</v>
      </c>
      <c r="I1245" t="s">
        <v>1324</v>
      </c>
    </row>
    <row r="1246" spans="1:9" x14ac:dyDescent="0.3">
      <c r="A1246" t="s">
        <v>2656</v>
      </c>
      <c r="B1246">
        <v>1329</v>
      </c>
      <c r="C1246" t="s">
        <v>1322</v>
      </c>
      <c r="E1246">
        <v>4</v>
      </c>
      <c r="F1246" t="s">
        <v>1421</v>
      </c>
      <c r="I1246" t="s">
        <v>1324</v>
      </c>
    </row>
    <row r="1247" spans="1:9" x14ac:dyDescent="0.3">
      <c r="A1247" t="s">
        <v>2657</v>
      </c>
      <c r="B1247">
        <v>1330</v>
      </c>
      <c r="C1247" t="s">
        <v>1331</v>
      </c>
      <c r="E1247">
        <v>2</v>
      </c>
      <c r="F1247" t="s">
        <v>1421</v>
      </c>
      <c r="I1247" t="s">
        <v>1332</v>
      </c>
    </row>
    <row r="1248" spans="1:9" x14ac:dyDescent="0.3">
      <c r="A1248" t="s">
        <v>2658</v>
      </c>
      <c r="B1248">
        <v>1331</v>
      </c>
      <c r="C1248" t="s">
        <v>1331</v>
      </c>
      <c r="E1248">
        <v>2</v>
      </c>
      <c r="F1248" t="s">
        <v>1421</v>
      </c>
      <c r="I1248" t="s">
        <v>1332</v>
      </c>
    </row>
    <row r="1249" spans="1:9" x14ac:dyDescent="0.3">
      <c r="A1249" t="s">
        <v>2659</v>
      </c>
      <c r="B1249">
        <v>1332</v>
      </c>
      <c r="C1249" t="s">
        <v>1331</v>
      </c>
      <c r="E1249">
        <v>0.02</v>
      </c>
      <c r="F1249" t="s">
        <v>1323</v>
      </c>
      <c r="I1249" t="s">
        <v>1332</v>
      </c>
    </row>
    <row r="1250" spans="1:9" x14ac:dyDescent="0.3">
      <c r="A1250" t="s">
        <v>2660</v>
      </c>
      <c r="B1250">
        <v>1333</v>
      </c>
      <c r="C1250" t="s">
        <v>1331</v>
      </c>
      <c r="E1250">
        <v>1</v>
      </c>
      <c r="F1250" t="s">
        <v>1421</v>
      </c>
      <c r="I1250" t="s">
        <v>1332</v>
      </c>
    </row>
    <row r="1251" spans="1:9" x14ac:dyDescent="0.3">
      <c r="A1251" t="s">
        <v>2661</v>
      </c>
      <c r="B1251">
        <v>1334</v>
      </c>
      <c r="C1251" t="s">
        <v>1331</v>
      </c>
      <c r="E1251">
        <v>0.02</v>
      </c>
      <c r="F1251" t="s">
        <v>1323</v>
      </c>
      <c r="I1251" t="s">
        <v>1332</v>
      </c>
    </row>
    <row r="1252" spans="1:9" x14ac:dyDescent="0.3">
      <c r="A1252" t="s">
        <v>2662</v>
      </c>
      <c r="B1252">
        <v>1335</v>
      </c>
      <c r="C1252" t="s">
        <v>1331</v>
      </c>
      <c r="E1252">
        <v>2</v>
      </c>
      <c r="F1252" t="s">
        <v>1421</v>
      </c>
      <c r="I1252" t="s">
        <v>1332</v>
      </c>
    </row>
    <row r="1253" spans="1:9" x14ac:dyDescent="0.3">
      <c r="A1253" t="s">
        <v>2663</v>
      </c>
      <c r="B1253">
        <v>1336</v>
      </c>
      <c r="C1253" t="s">
        <v>1331</v>
      </c>
      <c r="E1253">
        <v>1</v>
      </c>
      <c r="F1253" t="s">
        <v>1421</v>
      </c>
      <c r="I1253" t="s">
        <v>1332</v>
      </c>
    </row>
    <row r="1254" spans="1:9" x14ac:dyDescent="0.3">
      <c r="A1254" t="s">
        <v>2664</v>
      </c>
      <c r="B1254">
        <v>1337</v>
      </c>
      <c r="C1254" t="s">
        <v>1331</v>
      </c>
      <c r="E1254">
        <v>1</v>
      </c>
      <c r="F1254" t="s">
        <v>1421</v>
      </c>
      <c r="I1254" t="s">
        <v>1332</v>
      </c>
    </row>
    <row r="1255" spans="1:9" x14ac:dyDescent="0.3">
      <c r="A1255" t="s">
        <v>2665</v>
      </c>
      <c r="B1255">
        <v>1338</v>
      </c>
      <c r="C1255" t="s">
        <v>1331</v>
      </c>
      <c r="E1255">
        <v>1</v>
      </c>
      <c r="F1255" t="s">
        <v>1421</v>
      </c>
      <c r="I1255" t="s">
        <v>1332</v>
      </c>
    </row>
    <row r="1256" spans="1:9" x14ac:dyDescent="0.3">
      <c r="A1256" t="s">
        <v>2666</v>
      </c>
      <c r="B1256">
        <v>1339</v>
      </c>
      <c r="C1256" t="s">
        <v>1331</v>
      </c>
      <c r="E1256">
        <v>1</v>
      </c>
      <c r="F1256" t="s">
        <v>1421</v>
      </c>
      <c r="I1256" t="s">
        <v>1332</v>
      </c>
    </row>
    <row r="1257" spans="1:9" x14ac:dyDescent="0.3">
      <c r="A1257" t="s">
        <v>2667</v>
      </c>
      <c r="B1257">
        <v>1340</v>
      </c>
      <c r="C1257" t="s">
        <v>1331</v>
      </c>
      <c r="E1257">
        <v>1</v>
      </c>
      <c r="F1257" t="s">
        <v>1421</v>
      </c>
      <c r="I1257" t="s">
        <v>1332</v>
      </c>
    </row>
    <row r="1258" spans="1:9" x14ac:dyDescent="0.3">
      <c r="A1258" t="s">
        <v>2668</v>
      </c>
      <c r="B1258">
        <v>1341</v>
      </c>
      <c r="C1258" t="s">
        <v>1322</v>
      </c>
      <c r="E1258">
        <v>8</v>
      </c>
      <c r="F1258" t="s">
        <v>1421</v>
      </c>
      <c r="I1258" t="s">
        <v>1324</v>
      </c>
    </row>
    <row r="1259" spans="1:9" x14ac:dyDescent="0.3">
      <c r="A1259" t="s">
        <v>2669</v>
      </c>
      <c r="B1259">
        <v>1342</v>
      </c>
      <c r="C1259" t="s">
        <v>1322</v>
      </c>
      <c r="E1259">
        <v>11</v>
      </c>
      <c r="F1259" t="s">
        <v>1421</v>
      </c>
      <c r="I1259" t="s">
        <v>1324</v>
      </c>
    </row>
    <row r="1260" spans="1:9" x14ac:dyDescent="0.3">
      <c r="A1260" t="s">
        <v>2670</v>
      </c>
      <c r="B1260">
        <v>1343</v>
      </c>
      <c r="C1260" t="s">
        <v>1322</v>
      </c>
      <c r="E1260">
        <v>3</v>
      </c>
      <c r="F1260" t="s">
        <v>1421</v>
      </c>
      <c r="I1260" t="s">
        <v>1324</v>
      </c>
    </row>
    <row r="1261" spans="1:9" x14ac:dyDescent="0.3">
      <c r="A1261" t="s">
        <v>2671</v>
      </c>
      <c r="B1261">
        <v>1344</v>
      </c>
      <c r="C1261" t="s">
        <v>1322</v>
      </c>
      <c r="E1261">
        <v>11</v>
      </c>
      <c r="F1261" t="s">
        <v>1421</v>
      </c>
      <c r="I1261" t="s">
        <v>1324</v>
      </c>
    </row>
    <row r="1262" spans="1:9" x14ac:dyDescent="0.3">
      <c r="A1262" t="s">
        <v>2672</v>
      </c>
      <c r="B1262">
        <v>1345</v>
      </c>
      <c r="C1262" t="s">
        <v>1322</v>
      </c>
      <c r="E1262">
        <v>16</v>
      </c>
      <c r="F1262" t="s">
        <v>1421</v>
      </c>
      <c r="I1262" t="s">
        <v>1324</v>
      </c>
    </row>
    <row r="1263" spans="1:9" x14ac:dyDescent="0.3">
      <c r="A1263" t="s">
        <v>2673</v>
      </c>
      <c r="B1263">
        <v>1346</v>
      </c>
      <c r="C1263" t="s">
        <v>1322</v>
      </c>
      <c r="E1263">
        <v>10</v>
      </c>
      <c r="F1263" t="s">
        <v>1421</v>
      </c>
      <c r="I1263" t="s">
        <v>1324</v>
      </c>
    </row>
    <row r="1264" spans="1:9" x14ac:dyDescent="0.3">
      <c r="A1264" t="s">
        <v>2674</v>
      </c>
      <c r="B1264">
        <v>1347</v>
      </c>
      <c r="C1264" t="s">
        <v>1322</v>
      </c>
      <c r="E1264">
        <v>7</v>
      </c>
      <c r="F1264" t="s">
        <v>1421</v>
      </c>
      <c r="I1264" t="s">
        <v>1324</v>
      </c>
    </row>
    <row r="1265" spans="1:9" x14ac:dyDescent="0.3">
      <c r="A1265" t="s">
        <v>2675</v>
      </c>
      <c r="B1265">
        <v>1348</v>
      </c>
      <c r="C1265" t="s">
        <v>1331</v>
      </c>
      <c r="E1265">
        <v>5</v>
      </c>
      <c r="F1265" t="s">
        <v>1421</v>
      </c>
      <c r="I1265" t="s">
        <v>1332</v>
      </c>
    </row>
    <row r="1266" spans="1:9" x14ac:dyDescent="0.3">
      <c r="A1266" t="s">
        <v>2676</v>
      </c>
      <c r="B1266">
        <v>1349</v>
      </c>
      <c r="C1266" t="s">
        <v>1322</v>
      </c>
      <c r="E1266">
        <v>6</v>
      </c>
      <c r="F1266" t="s">
        <v>1421</v>
      </c>
      <c r="I1266" t="s">
        <v>1324</v>
      </c>
    </row>
    <row r="1267" spans="1:9" x14ac:dyDescent="0.3">
      <c r="A1267" t="s">
        <v>2677</v>
      </c>
      <c r="B1267">
        <v>1350</v>
      </c>
      <c r="C1267" t="s">
        <v>1322</v>
      </c>
      <c r="E1267">
        <v>6</v>
      </c>
      <c r="F1267" t="s">
        <v>1421</v>
      </c>
      <c r="I1267" t="s">
        <v>1324</v>
      </c>
    </row>
    <row r="1268" spans="1:9" x14ac:dyDescent="0.3">
      <c r="A1268" t="s">
        <v>2678</v>
      </c>
      <c r="B1268">
        <v>1351</v>
      </c>
      <c r="C1268" t="s">
        <v>1322</v>
      </c>
      <c r="E1268">
        <v>7</v>
      </c>
      <c r="F1268" t="s">
        <v>1421</v>
      </c>
      <c r="I1268" t="s">
        <v>1324</v>
      </c>
    </row>
    <row r="1269" spans="1:9" x14ac:dyDescent="0.3">
      <c r="A1269" t="s">
        <v>2679</v>
      </c>
      <c r="B1269">
        <v>1352</v>
      </c>
      <c r="C1269" t="s">
        <v>1331</v>
      </c>
      <c r="E1269">
        <v>1</v>
      </c>
      <c r="F1269" t="s">
        <v>1421</v>
      </c>
      <c r="I1269" t="s">
        <v>1332</v>
      </c>
    </row>
    <row r="1270" spans="1:9" x14ac:dyDescent="0.3">
      <c r="A1270" t="s">
        <v>2680</v>
      </c>
      <c r="B1270">
        <v>1353</v>
      </c>
      <c r="C1270" t="s">
        <v>1331</v>
      </c>
      <c r="E1270">
        <v>2</v>
      </c>
      <c r="F1270" t="s">
        <v>1421</v>
      </c>
      <c r="I1270" t="s">
        <v>1332</v>
      </c>
    </row>
    <row r="1271" spans="1:9" x14ac:dyDescent="0.3">
      <c r="A1271" t="s">
        <v>2681</v>
      </c>
      <c r="B1271">
        <v>1354</v>
      </c>
      <c r="C1271" t="s">
        <v>1322</v>
      </c>
      <c r="E1271">
        <v>4</v>
      </c>
      <c r="F1271" t="s">
        <v>1421</v>
      </c>
      <c r="I1271" t="s">
        <v>1324</v>
      </c>
    </row>
    <row r="1272" spans="1:9" x14ac:dyDescent="0.3">
      <c r="A1272" t="s">
        <v>2682</v>
      </c>
      <c r="B1272">
        <v>1355</v>
      </c>
      <c r="C1272" t="s">
        <v>1331</v>
      </c>
      <c r="E1272">
        <v>2</v>
      </c>
      <c r="F1272" t="s">
        <v>1421</v>
      </c>
      <c r="I1272" t="s">
        <v>1332</v>
      </c>
    </row>
    <row r="1273" spans="1:9" x14ac:dyDescent="0.3">
      <c r="A1273" t="s">
        <v>2683</v>
      </c>
      <c r="B1273">
        <v>1356</v>
      </c>
      <c r="C1273" t="s">
        <v>1322</v>
      </c>
      <c r="E1273">
        <v>4</v>
      </c>
      <c r="F1273" t="s">
        <v>1421</v>
      </c>
      <c r="I1273" t="s">
        <v>1324</v>
      </c>
    </row>
    <row r="1274" spans="1:9" x14ac:dyDescent="0.3">
      <c r="A1274" t="s">
        <v>2684</v>
      </c>
      <c r="B1274">
        <v>1357</v>
      </c>
      <c r="C1274" t="s">
        <v>1331</v>
      </c>
      <c r="E1274">
        <v>1</v>
      </c>
      <c r="F1274" t="s">
        <v>1421</v>
      </c>
      <c r="I1274" t="s">
        <v>1332</v>
      </c>
    </row>
    <row r="1275" spans="1:9" x14ac:dyDescent="0.3">
      <c r="A1275" t="s">
        <v>2685</v>
      </c>
      <c r="B1275">
        <v>1358</v>
      </c>
      <c r="C1275" t="s">
        <v>1331</v>
      </c>
      <c r="E1275">
        <v>1</v>
      </c>
      <c r="F1275" t="s">
        <v>1421</v>
      </c>
      <c r="I1275" t="s">
        <v>1332</v>
      </c>
    </row>
    <row r="1276" spans="1:9" x14ac:dyDescent="0.3">
      <c r="A1276" t="s">
        <v>2686</v>
      </c>
      <c r="B1276">
        <v>1359</v>
      </c>
      <c r="C1276" t="s">
        <v>1331</v>
      </c>
      <c r="E1276">
        <v>2</v>
      </c>
      <c r="F1276" t="s">
        <v>1421</v>
      </c>
      <c r="I1276" t="s">
        <v>1332</v>
      </c>
    </row>
    <row r="1277" spans="1:9" x14ac:dyDescent="0.3">
      <c r="A1277" t="s">
        <v>2687</v>
      </c>
      <c r="B1277">
        <v>1360</v>
      </c>
      <c r="C1277" t="s">
        <v>1331</v>
      </c>
      <c r="E1277">
        <v>2</v>
      </c>
      <c r="F1277" t="s">
        <v>1421</v>
      </c>
      <c r="I1277" t="s">
        <v>1332</v>
      </c>
    </row>
    <row r="1278" spans="1:9" x14ac:dyDescent="0.3">
      <c r="A1278" t="s">
        <v>2688</v>
      </c>
      <c r="B1278">
        <v>1361</v>
      </c>
      <c r="C1278" t="s">
        <v>1322</v>
      </c>
      <c r="E1278">
        <v>11</v>
      </c>
      <c r="F1278" t="s">
        <v>1659</v>
      </c>
      <c r="I1278" t="s">
        <v>1324</v>
      </c>
    </row>
    <row r="1279" spans="1:9" x14ac:dyDescent="0.3">
      <c r="A1279" t="s">
        <v>2689</v>
      </c>
      <c r="B1279">
        <v>1362</v>
      </c>
      <c r="C1279" t="s">
        <v>1322</v>
      </c>
      <c r="E1279">
        <v>11</v>
      </c>
      <c r="F1279" t="s">
        <v>1421</v>
      </c>
      <c r="I1279" t="s">
        <v>1324</v>
      </c>
    </row>
    <row r="1280" spans="1:9" x14ac:dyDescent="0.3">
      <c r="A1280" t="s">
        <v>2690</v>
      </c>
      <c r="B1280">
        <v>1363</v>
      </c>
      <c r="C1280" t="s">
        <v>1322</v>
      </c>
      <c r="E1280">
        <v>10</v>
      </c>
      <c r="F1280" t="s">
        <v>1659</v>
      </c>
      <c r="I1280" t="s">
        <v>1324</v>
      </c>
    </row>
    <row r="1281" spans="1:9" x14ac:dyDescent="0.3">
      <c r="A1281" t="s">
        <v>2691</v>
      </c>
      <c r="B1281">
        <v>1364</v>
      </c>
      <c r="C1281" t="s">
        <v>1322</v>
      </c>
      <c r="E1281">
        <v>10</v>
      </c>
      <c r="F1281" t="s">
        <v>1421</v>
      </c>
      <c r="I1281" t="s">
        <v>1324</v>
      </c>
    </row>
    <row r="1282" spans="1:9" x14ac:dyDescent="0.3">
      <c r="A1282" t="s">
        <v>2692</v>
      </c>
      <c r="B1282">
        <v>1365</v>
      </c>
      <c r="C1282" t="s">
        <v>1322</v>
      </c>
      <c r="E1282">
        <v>12</v>
      </c>
      <c r="F1282" t="s">
        <v>1421</v>
      </c>
      <c r="I1282" t="s">
        <v>1324</v>
      </c>
    </row>
    <row r="1283" spans="1:9" x14ac:dyDescent="0.3">
      <c r="A1283" t="s">
        <v>2693</v>
      </c>
      <c r="B1283">
        <v>1366</v>
      </c>
      <c r="C1283" t="s">
        <v>1322</v>
      </c>
      <c r="E1283">
        <v>8</v>
      </c>
      <c r="F1283" t="s">
        <v>1421</v>
      </c>
      <c r="I1283" t="s">
        <v>1324</v>
      </c>
    </row>
    <row r="1284" spans="1:9" x14ac:dyDescent="0.3">
      <c r="A1284" t="s">
        <v>2694</v>
      </c>
      <c r="B1284">
        <v>1367</v>
      </c>
      <c r="C1284" t="s">
        <v>1322</v>
      </c>
      <c r="E1284">
        <v>4</v>
      </c>
      <c r="F1284" t="s">
        <v>1421</v>
      </c>
      <c r="I1284" t="s">
        <v>1324</v>
      </c>
    </row>
    <row r="1285" spans="1:9" x14ac:dyDescent="0.3">
      <c r="A1285" t="s">
        <v>2695</v>
      </c>
      <c r="B1285">
        <v>1369</v>
      </c>
      <c r="C1285" t="s">
        <v>1322</v>
      </c>
      <c r="E1285">
        <v>1</v>
      </c>
      <c r="F1285" t="s">
        <v>61</v>
      </c>
      <c r="I1285" t="s">
        <v>1324</v>
      </c>
    </row>
    <row r="1286" spans="1:9" x14ac:dyDescent="0.3">
      <c r="A1286" t="s">
        <v>2696</v>
      </c>
      <c r="B1286">
        <v>1370</v>
      </c>
      <c r="C1286" t="s">
        <v>1322</v>
      </c>
      <c r="E1286">
        <v>1</v>
      </c>
      <c r="F1286" t="s">
        <v>61</v>
      </c>
      <c r="I1286" t="s">
        <v>1324</v>
      </c>
    </row>
    <row r="1287" spans="1:9" x14ac:dyDescent="0.3">
      <c r="A1287" t="s">
        <v>2697</v>
      </c>
      <c r="B1287">
        <v>1371</v>
      </c>
      <c r="C1287" t="s">
        <v>1322</v>
      </c>
      <c r="E1287">
        <v>2</v>
      </c>
      <c r="F1287" t="s">
        <v>61</v>
      </c>
      <c r="I1287" t="s">
        <v>1324</v>
      </c>
    </row>
    <row r="1288" spans="1:9" x14ac:dyDescent="0.3">
      <c r="A1288" t="s">
        <v>2698</v>
      </c>
      <c r="B1288">
        <v>1372</v>
      </c>
      <c r="C1288" t="s">
        <v>1322</v>
      </c>
      <c r="E1288">
        <v>2</v>
      </c>
      <c r="F1288" t="s">
        <v>61</v>
      </c>
      <c r="I1288" t="s">
        <v>1324</v>
      </c>
    </row>
    <row r="1289" spans="1:9" x14ac:dyDescent="0.3">
      <c r="A1289" t="s">
        <v>2699</v>
      </c>
      <c r="B1289">
        <v>1373</v>
      </c>
      <c r="C1289" t="s">
        <v>1322</v>
      </c>
      <c r="E1289">
        <v>8</v>
      </c>
      <c r="F1289" t="s">
        <v>61</v>
      </c>
      <c r="I1289" t="s">
        <v>1324</v>
      </c>
    </row>
    <row r="1290" spans="1:9" x14ac:dyDescent="0.3">
      <c r="A1290" t="s">
        <v>2700</v>
      </c>
      <c r="B1290">
        <v>1374</v>
      </c>
      <c r="C1290" t="s">
        <v>1322</v>
      </c>
      <c r="E1290">
        <v>8</v>
      </c>
      <c r="F1290" t="s">
        <v>61</v>
      </c>
      <c r="I1290" t="s">
        <v>1324</v>
      </c>
    </row>
    <row r="1291" spans="1:9" x14ac:dyDescent="0.3">
      <c r="A1291" t="s">
        <v>2701</v>
      </c>
      <c r="B1291">
        <v>1375</v>
      </c>
      <c r="C1291" t="s">
        <v>1322</v>
      </c>
      <c r="E1291">
        <v>4</v>
      </c>
      <c r="F1291" t="s">
        <v>61</v>
      </c>
      <c r="I1291" t="s">
        <v>1324</v>
      </c>
    </row>
    <row r="1292" spans="1:9" x14ac:dyDescent="0.3">
      <c r="A1292" t="s">
        <v>2702</v>
      </c>
      <c r="B1292">
        <v>1376</v>
      </c>
      <c r="C1292" t="s">
        <v>1322</v>
      </c>
      <c r="E1292">
        <v>4</v>
      </c>
      <c r="F1292" t="s">
        <v>61</v>
      </c>
      <c r="I1292" t="s">
        <v>1324</v>
      </c>
    </row>
    <row r="1293" spans="1:9" x14ac:dyDescent="0.3">
      <c r="A1293" t="s">
        <v>2703</v>
      </c>
      <c r="B1293">
        <v>1377</v>
      </c>
      <c r="C1293" t="s">
        <v>1322</v>
      </c>
      <c r="E1293">
        <v>8</v>
      </c>
      <c r="F1293" t="s">
        <v>61</v>
      </c>
      <c r="I1293" t="s">
        <v>1324</v>
      </c>
    </row>
    <row r="1294" spans="1:9" x14ac:dyDescent="0.3">
      <c r="A1294" t="s">
        <v>2704</v>
      </c>
      <c r="B1294">
        <v>1378</v>
      </c>
      <c r="C1294" t="s">
        <v>1322</v>
      </c>
      <c r="E1294">
        <v>8</v>
      </c>
      <c r="F1294" t="s">
        <v>61</v>
      </c>
      <c r="I1294" t="s">
        <v>1324</v>
      </c>
    </row>
    <row r="1295" spans="1:9" x14ac:dyDescent="0.3">
      <c r="A1295" t="s">
        <v>2705</v>
      </c>
      <c r="B1295">
        <v>1379</v>
      </c>
      <c r="C1295" t="s">
        <v>1322</v>
      </c>
      <c r="E1295">
        <v>6</v>
      </c>
      <c r="F1295" t="s">
        <v>61</v>
      </c>
      <c r="I1295" t="s">
        <v>1324</v>
      </c>
    </row>
    <row r="1296" spans="1:9" x14ac:dyDescent="0.3">
      <c r="A1296" t="s">
        <v>2706</v>
      </c>
      <c r="B1296">
        <v>1380</v>
      </c>
      <c r="C1296" t="s">
        <v>1322</v>
      </c>
      <c r="E1296">
        <v>6</v>
      </c>
      <c r="F1296" t="s">
        <v>61</v>
      </c>
      <c r="I1296" t="s">
        <v>1324</v>
      </c>
    </row>
    <row r="1297" spans="1:9" x14ac:dyDescent="0.3">
      <c r="A1297" t="s">
        <v>2707</v>
      </c>
      <c r="B1297">
        <v>1381</v>
      </c>
      <c r="C1297" t="s">
        <v>1322</v>
      </c>
      <c r="E1297">
        <v>8</v>
      </c>
      <c r="F1297" t="s">
        <v>61</v>
      </c>
      <c r="I1297" t="s">
        <v>1324</v>
      </c>
    </row>
    <row r="1298" spans="1:9" x14ac:dyDescent="0.3">
      <c r="A1298" t="s">
        <v>2708</v>
      </c>
      <c r="B1298">
        <v>1382</v>
      </c>
      <c r="C1298" t="s">
        <v>1322</v>
      </c>
      <c r="E1298">
        <v>8</v>
      </c>
      <c r="F1298" t="s">
        <v>61</v>
      </c>
      <c r="I1298" t="s">
        <v>1324</v>
      </c>
    </row>
    <row r="1299" spans="1:9" x14ac:dyDescent="0.3">
      <c r="A1299" t="s">
        <v>2709</v>
      </c>
      <c r="B1299">
        <v>1383</v>
      </c>
      <c r="C1299" t="s">
        <v>1322</v>
      </c>
      <c r="E1299">
        <v>7</v>
      </c>
      <c r="F1299" t="s">
        <v>61</v>
      </c>
      <c r="I1299" t="s">
        <v>1324</v>
      </c>
    </row>
    <row r="1300" spans="1:9" x14ac:dyDescent="0.3">
      <c r="A1300" t="s">
        <v>2710</v>
      </c>
      <c r="B1300">
        <v>1384</v>
      </c>
      <c r="C1300" t="s">
        <v>1322</v>
      </c>
      <c r="E1300">
        <v>7</v>
      </c>
      <c r="F1300" t="s">
        <v>61</v>
      </c>
      <c r="I1300" t="s">
        <v>1324</v>
      </c>
    </row>
    <row r="1301" spans="1:9" x14ac:dyDescent="0.3">
      <c r="A1301" t="s">
        <v>2711</v>
      </c>
      <c r="B1301">
        <v>1385</v>
      </c>
      <c r="C1301" t="s">
        <v>1322</v>
      </c>
      <c r="E1301">
        <v>6</v>
      </c>
      <c r="F1301" t="s">
        <v>1421</v>
      </c>
      <c r="I1301" t="s">
        <v>1324</v>
      </c>
    </row>
    <row r="1302" spans="1:9" x14ac:dyDescent="0.3">
      <c r="A1302" t="s">
        <v>2712</v>
      </c>
      <c r="B1302">
        <v>1386</v>
      </c>
      <c r="C1302" t="s">
        <v>1322</v>
      </c>
      <c r="E1302">
        <v>2</v>
      </c>
      <c r="F1302" t="s">
        <v>1421</v>
      </c>
      <c r="I1302" t="s">
        <v>1324</v>
      </c>
    </row>
    <row r="1303" spans="1:9" x14ac:dyDescent="0.3">
      <c r="A1303" t="s">
        <v>2713</v>
      </c>
      <c r="B1303">
        <v>1387</v>
      </c>
      <c r="C1303" t="s">
        <v>1322</v>
      </c>
      <c r="E1303">
        <v>4</v>
      </c>
      <c r="F1303" t="s">
        <v>1421</v>
      </c>
      <c r="I1303" t="s">
        <v>1324</v>
      </c>
    </row>
    <row r="1304" spans="1:9" x14ac:dyDescent="0.3">
      <c r="A1304" t="s">
        <v>2714</v>
      </c>
      <c r="B1304">
        <v>1388</v>
      </c>
      <c r="C1304" t="s">
        <v>1322</v>
      </c>
      <c r="E1304">
        <v>8</v>
      </c>
      <c r="F1304" t="s">
        <v>1421</v>
      </c>
      <c r="I1304" t="s">
        <v>1324</v>
      </c>
    </row>
    <row r="1305" spans="1:9" x14ac:dyDescent="0.3">
      <c r="A1305" t="s">
        <v>2715</v>
      </c>
      <c r="B1305">
        <v>1389</v>
      </c>
      <c r="C1305" t="s">
        <v>1322</v>
      </c>
      <c r="E1305">
        <v>2</v>
      </c>
      <c r="F1305" t="s">
        <v>1421</v>
      </c>
      <c r="I1305" t="s">
        <v>1324</v>
      </c>
    </row>
    <row r="1306" spans="1:9" x14ac:dyDescent="0.3">
      <c r="A1306" t="s">
        <v>2716</v>
      </c>
      <c r="B1306">
        <v>1390</v>
      </c>
      <c r="C1306" t="s">
        <v>1322</v>
      </c>
      <c r="E1306">
        <v>2</v>
      </c>
      <c r="F1306" t="s">
        <v>1421</v>
      </c>
      <c r="I1306" t="s">
        <v>1324</v>
      </c>
    </row>
    <row r="1307" spans="1:9" x14ac:dyDescent="0.3">
      <c r="A1307" t="s">
        <v>2717</v>
      </c>
      <c r="B1307">
        <v>1391</v>
      </c>
      <c r="C1307" t="s">
        <v>1322</v>
      </c>
      <c r="E1307">
        <v>4</v>
      </c>
      <c r="F1307" t="s">
        <v>1421</v>
      </c>
      <c r="I1307" t="s">
        <v>1324</v>
      </c>
    </row>
    <row r="1308" spans="1:9" x14ac:dyDescent="0.3">
      <c r="A1308" t="s">
        <v>2718</v>
      </c>
      <c r="B1308">
        <v>1392</v>
      </c>
      <c r="C1308" t="s">
        <v>1322</v>
      </c>
      <c r="E1308">
        <v>7</v>
      </c>
      <c r="F1308" t="s">
        <v>61</v>
      </c>
      <c r="I1308" t="s">
        <v>1324</v>
      </c>
    </row>
    <row r="1309" spans="1:9" x14ac:dyDescent="0.3">
      <c r="A1309" t="s">
        <v>2719</v>
      </c>
      <c r="B1309">
        <v>1393</v>
      </c>
      <c r="C1309" t="s">
        <v>1322</v>
      </c>
      <c r="E1309">
        <v>7</v>
      </c>
      <c r="F1309" t="s">
        <v>61</v>
      </c>
      <c r="I1309" t="s">
        <v>1324</v>
      </c>
    </row>
    <row r="1310" spans="1:9" x14ac:dyDescent="0.3">
      <c r="A1310" t="s">
        <v>2720</v>
      </c>
      <c r="B1310">
        <v>1394</v>
      </c>
      <c r="C1310" t="s">
        <v>1322</v>
      </c>
      <c r="E1310">
        <v>1</v>
      </c>
      <c r="F1310" t="s">
        <v>1421</v>
      </c>
      <c r="I1310" t="s">
        <v>1324</v>
      </c>
    </row>
    <row r="1311" spans="1:9" x14ac:dyDescent="0.3">
      <c r="A1311" t="s">
        <v>2721</v>
      </c>
      <c r="B1311">
        <v>1395</v>
      </c>
      <c r="C1311" t="s">
        <v>1322</v>
      </c>
      <c r="E1311">
        <v>1</v>
      </c>
      <c r="F1311" t="s">
        <v>1421</v>
      </c>
      <c r="I1311" t="s">
        <v>1324</v>
      </c>
    </row>
    <row r="1312" spans="1:9" x14ac:dyDescent="0.3">
      <c r="A1312" t="s">
        <v>2722</v>
      </c>
      <c r="B1312">
        <v>1396</v>
      </c>
      <c r="C1312" t="s">
        <v>1322</v>
      </c>
      <c r="E1312">
        <v>5.3</v>
      </c>
      <c r="F1312" t="s">
        <v>1349</v>
      </c>
      <c r="I1312" t="s">
        <v>1324</v>
      </c>
    </row>
    <row r="1313" spans="1:9" x14ac:dyDescent="0.3">
      <c r="A1313" t="s">
        <v>2723</v>
      </c>
      <c r="B1313">
        <v>1397</v>
      </c>
      <c r="C1313" t="s">
        <v>1322</v>
      </c>
      <c r="E1313">
        <v>18.28</v>
      </c>
      <c r="F1313" t="s">
        <v>1349</v>
      </c>
      <c r="I1313" t="s">
        <v>1324</v>
      </c>
    </row>
    <row r="1314" spans="1:9" x14ac:dyDescent="0.3">
      <c r="A1314" t="s">
        <v>2724</v>
      </c>
      <c r="B1314">
        <v>1398</v>
      </c>
      <c r="C1314" t="s">
        <v>1322</v>
      </c>
      <c r="E1314">
        <v>0.54400000000000004</v>
      </c>
      <c r="F1314" t="s">
        <v>1317</v>
      </c>
      <c r="I1314" t="s">
        <v>1324</v>
      </c>
    </row>
    <row r="1315" spans="1:9" x14ac:dyDescent="0.3">
      <c r="A1315" t="s">
        <v>2725</v>
      </c>
      <c r="B1315">
        <v>1400</v>
      </c>
      <c r="C1315" t="s">
        <v>1331</v>
      </c>
      <c r="E1315">
        <v>5</v>
      </c>
      <c r="F1315" t="s">
        <v>1421</v>
      </c>
      <c r="I1315" t="s">
        <v>1332</v>
      </c>
    </row>
    <row r="1316" spans="1:9" x14ac:dyDescent="0.3">
      <c r="A1316" t="s">
        <v>2726</v>
      </c>
      <c r="B1316">
        <v>1401</v>
      </c>
      <c r="C1316" t="s">
        <v>1331</v>
      </c>
      <c r="E1316">
        <v>5</v>
      </c>
      <c r="F1316" t="s">
        <v>1421</v>
      </c>
      <c r="I1316" t="s">
        <v>1332</v>
      </c>
    </row>
    <row r="1317" spans="1:9" x14ac:dyDescent="0.3">
      <c r="A1317" t="s">
        <v>2727</v>
      </c>
      <c r="B1317">
        <v>1402</v>
      </c>
      <c r="C1317" t="s">
        <v>1331</v>
      </c>
      <c r="E1317">
        <v>1</v>
      </c>
      <c r="F1317" t="s">
        <v>1421</v>
      </c>
      <c r="I1317" t="s">
        <v>1332</v>
      </c>
    </row>
    <row r="1318" spans="1:9" x14ac:dyDescent="0.3">
      <c r="A1318" t="s">
        <v>2728</v>
      </c>
      <c r="B1318">
        <v>1403</v>
      </c>
      <c r="C1318" t="s">
        <v>1331</v>
      </c>
      <c r="E1318">
        <v>1</v>
      </c>
      <c r="F1318" t="s">
        <v>1421</v>
      </c>
      <c r="I1318" t="s">
        <v>1332</v>
      </c>
    </row>
    <row r="1319" spans="1:9" x14ac:dyDescent="0.3">
      <c r="A1319" t="s">
        <v>2729</v>
      </c>
      <c r="B1319">
        <v>1404</v>
      </c>
      <c r="C1319" t="s">
        <v>1331</v>
      </c>
      <c r="E1319">
        <v>5</v>
      </c>
      <c r="F1319" t="s">
        <v>1421</v>
      </c>
      <c r="I1319" t="s">
        <v>1332</v>
      </c>
    </row>
    <row r="1320" spans="1:9" x14ac:dyDescent="0.3">
      <c r="A1320" t="s">
        <v>2730</v>
      </c>
      <c r="B1320">
        <v>1405</v>
      </c>
      <c r="C1320" t="s">
        <v>1331</v>
      </c>
      <c r="E1320">
        <v>1</v>
      </c>
      <c r="F1320" t="s">
        <v>1421</v>
      </c>
      <c r="I1320" t="s">
        <v>1332</v>
      </c>
    </row>
    <row r="1321" spans="1:9" x14ac:dyDescent="0.3">
      <c r="A1321" t="s">
        <v>2731</v>
      </c>
      <c r="B1321">
        <v>1406</v>
      </c>
      <c r="C1321" t="s">
        <v>1331</v>
      </c>
      <c r="E1321">
        <v>1</v>
      </c>
      <c r="F1321" t="s">
        <v>1421</v>
      </c>
      <c r="I1321" t="s">
        <v>1332</v>
      </c>
    </row>
    <row r="1322" spans="1:9" x14ac:dyDescent="0.3">
      <c r="A1322" t="s">
        <v>2732</v>
      </c>
      <c r="B1322">
        <v>1407</v>
      </c>
      <c r="C1322" t="s">
        <v>1331</v>
      </c>
      <c r="E1322">
        <v>1</v>
      </c>
      <c r="F1322" t="s">
        <v>1659</v>
      </c>
      <c r="I1322" t="s">
        <v>1332</v>
      </c>
    </row>
    <row r="1323" spans="1:9" x14ac:dyDescent="0.3">
      <c r="A1323" t="s">
        <v>2733</v>
      </c>
      <c r="B1323">
        <v>1408</v>
      </c>
      <c r="C1323" t="s">
        <v>1331</v>
      </c>
      <c r="E1323">
        <v>1</v>
      </c>
      <c r="F1323" t="s">
        <v>1421</v>
      </c>
      <c r="I1323" t="s">
        <v>1332</v>
      </c>
    </row>
    <row r="1324" spans="1:9" x14ac:dyDescent="0.3">
      <c r="A1324" t="s">
        <v>2734</v>
      </c>
      <c r="B1324">
        <v>1409</v>
      </c>
      <c r="C1324" t="s">
        <v>1331</v>
      </c>
      <c r="E1324">
        <v>1</v>
      </c>
      <c r="F1324" t="s">
        <v>1421</v>
      </c>
      <c r="I1324" t="s">
        <v>1332</v>
      </c>
    </row>
    <row r="1325" spans="1:9" x14ac:dyDescent="0.3">
      <c r="A1325" t="s">
        <v>2735</v>
      </c>
      <c r="B1325">
        <v>1410</v>
      </c>
      <c r="C1325" t="s">
        <v>1331</v>
      </c>
      <c r="E1325">
        <v>1</v>
      </c>
      <c r="F1325" t="s">
        <v>1421</v>
      </c>
      <c r="I1325" t="s">
        <v>1332</v>
      </c>
    </row>
    <row r="1326" spans="1:9" x14ac:dyDescent="0.3">
      <c r="A1326" t="s">
        <v>2736</v>
      </c>
      <c r="B1326">
        <v>1411</v>
      </c>
      <c r="C1326" t="s">
        <v>1331</v>
      </c>
      <c r="E1326">
        <v>2</v>
      </c>
      <c r="F1326" t="s">
        <v>1421</v>
      </c>
      <c r="I1326" t="s">
        <v>1332</v>
      </c>
    </row>
    <row r="1327" spans="1:9" x14ac:dyDescent="0.3">
      <c r="A1327" t="s">
        <v>2737</v>
      </c>
      <c r="B1327">
        <v>1412</v>
      </c>
      <c r="C1327" t="s">
        <v>1331</v>
      </c>
      <c r="E1327">
        <v>2</v>
      </c>
      <c r="F1327" t="s">
        <v>1421</v>
      </c>
      <c r="I1327" t="s">
        <v>1332</v>
      </c>
    </row>
    <row r="1328" spans="1:9" x14ac:dyDescent="0.3">
      <c r="A1328" t="s">
        <v>2738</v>
      </c>
      <c r="B1328">
        <v>1413</v>
      </c>
      <c r="C1328" t="s">
        <v>1331</v>
      </c>
      <c r="E1328">
        <v>2</v>
      </c>
      <c r="F1328" t="s">
        <v>1421</v>
      </c>
      <c r="I1328" t="s">
        <v>1332</v>
      </c>
    </row>
    <row r="1329" spans="1:9" x14ac:dyDescent="0.3">
      <c r="A1329" t="s">
        <v>2739</v>
      </c>
      <c r="B1329">
        <v>1414</v>
      </c>
      <c r="C1329" t="s">
        <v>1331</v>
      </c>
      <c r="E1329">
        <v>1</v>
      </c>
      <c r="F1329" t="s">
        <v>1421</v>
      </c>
      <c r="I1329" t="s">
        <v>1332</v>
      </c>
    </row>
    <row r="1330" spans="1:9" x14ac:dyDescent="0.3">
      <c r="A1330" t="s">
        <v>2740</v>
      </c>
      <c r="B1330">
        <v>1415</v>
      </c>
      <c r="C1330" t="s">
        <v>1331</v>
      </c>
      <c r="E1330">
        <v>5</v>
      </c>
      <c r="F1330" t="s">
        <v>1421</v>
      </c>
      <c r="I1330" t="s">
        <v>1332</v>
      </c>
    </row>
    <row r="1331" spans="1:9" x14ac:dyDescent="0.3">
      <c r="A1331" t="s">
        <v>2741</v>
      </c>
      <c r="B1331">
        <v>1416</v>
      </c>
      <c r="C1331" t="s">
        <v>1331</v>
      </c>
      <c r="E1331">
        <v>5</v>
      </c>
      <c r="F1331" t="s">
        <v>1421</v>
      </c>
      <c r="I1331" t="s">
        <v>1332</v>
      </c>
    </row>
    <row r="1332" spans="1:9" x14ac:dyDescent="0.3">
      <c r="A1332" t="s">
        <v>2742</v>
      </c>
      <c r="B1332">
        <v>1417</v>
      </c>
      <c r="C1332" t="s">
        <v>1322</v>
      </c>
      <c r="E1332">
        <v>40</v>
      </c>
      <c r="F1332" t="s">
        <v>61</v>
      </c>
      <c r="I1332" t="s">
        <v>1324</v>
      </c>
    </row>
    <row r="1333" spans="1:9" x14ac:dyDescent="0.3">
      <c r="A1333" t="s">
        <v>2743</v>
      </c>
      <c r="B1333">
        <v>1418</v>
      </c>
      <c r="C1333" t="s">
        <v>1322</v>
      </c>
      <c r="E1333">
        <v>40</v>
      </c>
      <c r="F1333" t="s">
        <v>61</v>
      </c>
      <c r="I1333" t="s">
        <v>1324</v>
      </c>
    </row>
    <row r="1334" spans="1:9" x14ac:dyDescent="0.3">
      <c r="A1334" t="s">
        <v>2744</v>
      </c>
      <c r="B1334">
        <v>1419</v>
      </c>
      <c r="C1334" t="s">
        <v>1322</v>
      </c>
      <c r="E1334">
        <v>40</v>
      </c>
      <c r="F1334" t="s">
        <v>61</v>
      </c>
      <c r="I1334" t="s">
        <v>1324</v>
      </c>
    </row>
    <row r="1335" spans="1:9" x14ac:dyDescent="0.3">
      <c r="A1335" t="s">
        <v>2745</v>
      </c>
      <c r="B1335">
        <v>1420</v>
      </c>
      <c r="C1335" t="s">
        <v>1322</v>
      </c>
      <c r="E1335">
        <v>40</v>
      </c>
      <c r="F1335" t="s">
        <v>61</v>
      </c>
      <c r="I1335" t="s">
        <v>1324</v>
      </c>
    </row>
    <row r="1336" spans="1:9" x14ac:dyDescent="0.3">
      <c r="A1336" t="s">
        <v>2746</v>
      </c>
      <c r="B1336">
        <v>1421</v>
      </c>
      <c r="C1336" t="s">
        <v>1331</v>
      </c>
      <c r="E1336">
        <v>1</v>
      </c>
      <c r="F1336" t="s">
        <v>1421</v>
      </c>
      <c r="I1336" t="s">
        <v>1332</v>
      </c>
    </row>
    <row r="1337" spans="1:9" x14ac:dyDescent="0.3">
      <c r="A1337" t="s">
        <v>2747</v>
      </c>
      <c r="B1337">
        <v>1422</v>
      </c>
      <c r="C1337" t="s">
        <v>1331</v>
      </c>
      <c r="E1337">
        <v>1</v>
      </c>
      <c r="F1337" t="s">
        <v>1421</v>
      </c>
      <c r="I1337" t="s">
        <v>1332</v>
      </c>
    </row>
    <row r="1338" spans="1:9" x14ac:dyDescent="0.3">
      <c r="A1338" t="s">
        <v>2748</v>
      </c>
      <c r="B1338">
        <v>1423</v>
      </c>
      <c r="C1338" t="s">
        <v>1331</v>
      </c>
      <c r="E1338">
        <v>1</v>
      </c>
      <c r="F1338" t="s">
        <v>1421</v>
      </c>
      <c r="I1338" t="s">
        <v>1332</v>
      </c>
    </row>
    <row r="1339" spans="1:9" x14ac:dyDescent="0.3">
      <c r="A1339" t="s">
        <v>2749</v>
      </c>
      <c r="B1339">
        <v>1424</v>
      </c>
      <c r="C1339" t="s">
        <v>1322</v>
      </c>
      <c r="E1339">
        <v>6</v>
      </c>
      <c r="F1339" t="s">
        <v>1421</v>
      </c>
      <c r="I1339" t="s">
        <v>1324</v>
      </c>
    </row>
    <row r="1340" spans="1:9" x14ac:dyDescent="0.3">
      <c r="A1340" t="s">
        <v>2750</v>
      </c>
      <c r="B1340">
        <v>1425</v>
      </c>
      <c r="C1340" t="s">
        <v>1322</v>
      </c>
      <c r="E1340">
        <v>7</v>
      </c>
      <c r="F1340" t="s">
        <v>1421</v>
      </c>
      <c r="I1340" t="s">
        <v>1324</v>
      </c>
    </row>
    <row r="1341" spans="1:9" x14ac:dyDescent="0.3">
      <c r="A1341" t="s">
        <v>2751</v>
      </c>
      <c r="B1341">
        <v>1426</v>
      </c>
      <c r="C1341" t="s">
        <v>1322</v>
      </c>
      <c r="E1341">
        <v>3</v>
      </c>
      <c r="F1341" t="s">
        <v>1421</v>
      </c>
      <c r="I1341" t="s">
        <v>1324</v>
      </c>
    </row>
    <row r="1342" spans="1:9" x14ac:dyDescent="0.3">
      <c r="A1342" t="s">
        <v>2752</v>
      </c>
      <c r="B1342">
        <v>1427</v>
      </c>
      <c r="C1342" t="s">
        <v>1322</v>
      </c>
      <c r="E1342">
        <v>17</v>
      </c>
      <c r="F1342" t="s">
        <v>1421</v>
      </c>
      <c r="I1342" t="s">
        <v>1324</v>
      </c>
    </row>
    <row r="1343" spans="1:9" x14ac:dyDescent="0.3">
      <c r="A1343" t="s">
        <v>2753</v>
      </c>
      <c r="B1343">
        <v>1428</v>
      </c>
      <c r="C1343" t="s">
        <v>1331</v>
      </c>
      <c r="E1343">
        <v>1</v>
      </c>
      <c r="F1343" t="s">
        <v>1421</v>
      </c>
      <c r="I1343" t="s">
        <v>1332</v>
      </c>
    </row>
    <row r="1344" spans="1:9" x14ac:dyDescent="0.3">
      <c r="A1344" t="s">
        <v>2754</v>
      </c>
      <c r="B1344">
        <v>1429</v>
      </c>
      <c r="C1344" t="s">
        <v>1331</v>
      </c>
      <c r="E1344">
        <v>1</v>
      </c>
      <c r="F1344" t="s">
        <v>1421</v>
      </c>
      <c r="I1344" t="s">
        <v>1332</v>
      </c>
    </row>
    <row r="1345" spans="1:9" x14ac:dyDescent="0.3">
      <c r="A1345" t="s">
        <v>2755</v>
      </c>
      <c r="B1345">
        <v>1430</v>
      </c>
      <c r="C1345" t="s">
        <v>1322</v>
      </c>
      <c r="E1345">
        <v>3</v>
      </c>
      <c r="F1345" t="s">
        <v>61</v>
      </c>
      <c r="I1345" t="s">
        <v>1324</v>
      </c>
    </row>
    <row r="1346" spans="1:9" x14ac:dyDescent="0.3">
      <c r="A1346" t="s">
        <v>2756</v>
      </c>
      <c r="B1346">
        <v>1431</v>
      </c>
      <c r="C1346" t="s">
        <v>1331</v>
      </c>
      <c r="E1346">
        <v>2</v>
      </c>
      <c r="F1346" t="s">
        <v>61</v>
      </c>
      <c r="I1346" t="s">
        <v>1332</v>
      </c>
    </row>
    <row r="1347" spans="1:9" x14ac:dyDescent="0.3">
      <c r="A1347" t="s">
        <v>2757</v>
      </c>
      <c r="B1347">
        <v>1432</v>
      </c>
      <c r="C1347" t="s">
        <v>1322</v>
      </c>
      <c r="E1347">
        <v>4</v>
      </c>
      <c r="F1347" t="s">
        <v>1421</v>
      </c>
      <c r="I1347" t="s">
        <v>1324</v>
      </c>
    </row>
    <row r="1348" spans="1:9" x14ac:dyDescent="0.3">
      <c r="A1348" t="s">
        <v>2758</v>
      </c>
      <c r="B1348">
        <v>1433</v>
      </c>
      <c r="C1348" t="s">
        <v>1331</v>
      </c>
      <c r="E1348">
        <v>2</v>
      </c>
      <c r="F1348" t="s">
        <v>1421</v>
      </c>
      <c r="I1348" t="s">
        <v>1332</v>
      </c>
    </row>
    <row r="1349" spans="1:9" x14ac:dyDescent="0.3">
      <c r="A1349" t="s">
        <v>2759</v>
      </c>
      <c r="B1349">
        <v>1434</v>
      </c>
      <c r="C1349" t="s">
        <v>1322</v>
      </c>
      <c r="E1349">
        <v>6</v>
      </c>
      <c r="F1349" t="s">
        <v>1421</v>
      </c>
      <c r="I1349" t="s">
        <v>1324</v>
      </c>
    </row>
    <row r="1350" spans="1:9" x14ac:dyDescent="0.3">
      <c r="A1350" t="s">
        <v>2760</v>
      </c>
      <c r="B1350">
        <v>1435</v>
      </c>
      <c r="C1350" t="s">
        <v>1322</v>
      </c>
      <c r="E1350">
        <v>6</v>
      </c>
      <c r="F1350" t="s">
        <v>1421</v>
      </c>
      <c r="I1350" t="s">
        <v>1324</v>
      </c>
    </row>
    <row r="1351" spans="1:9" x14ac:dyDescent="0.3">
      <c r="A1351" t="s">
        <v>2761</v>
      </c>
      <c r="B1351">
        <v>1436</v>
      </c>
      <c r="C1351" t="s">
        <v>1322</v>
      </c>
      <c r="E1351">
        <v>6</v>
      </c>
      <c r="F1351" t="s">
        <v>1421</v>
      </c>
      <c r="I1351" t="s">
        <v>1324</v>
      </c>
    </row>
    <row r="1352" spans="1:9" x14ac:dyDescent="0.3">
      <c r="A1352" t="s">
        <v>2762</v>
      </c>
      <c r="B1352">
        <v>1437</v>
      </c>
      <c r="C1352" t="s">
        <v>1322</v>
      </c>
      <c r="E1352">
        <v>139</v>
      </c>
      <c r="F1352" t="s">
        <v>61</v>
      </c>
      <c r="I1352" t="s">
        <v>1324</v>
      </c>
    </row>
    <row r="1353" spans="1:9" x14ac:dyDescent="0.3">
      <c r="A1353" t="s">
        <v>2763</v>
      </c>
      <c r="B1353">
        <v>1438</v>
      </c>
      <c r="C1353" t="s">
        <v>1322</v>
      </c>
      <c r="E1353">
        <v>139</v>
      </c>
      <c r="F1353" t="s">
        <v>61</v>
      </c>
      <c r="I1353" t="s">
        <v>1324</v>
      </c>
    </row>
    <row r="1354" spans="1:9" x14ac:dyDescent="0.3">
      <c r="A1354" t="s">
        <v>2764</v>
      </c>
      <c r="B1354">
        <v>1439</v>
      </c>
      <c r="C1354" t="s">
        <v>1331</v>
      </c>
      <c r="E1354">
        <v>18</v>
      </c>
      <c r="F1354" t="s">
        <v>61</v>
      </c>
      <c r="I1354" t="s">
        <v>1332</v>
      </c>
    </row>
    <row r="1355" spans="1:9" x14ac:dyDescent="0.3">
      <c r="A1355" t="s">
        <v>2765</v>
      </c>
      <c r="B1355">
        <v>1440</v>
      </c>
      <c r="C1355" t="s">
        <v>1331</v>
      </c>
      <c r="E1355">
        <v>18</v>
      </c>
      <c r="F1355" t="s">
        <v>61</v>
      </c>
      <c r="I1355" t="s">
        <v>1332</v>
      </c>
    </row>
    <row r="1356" spans="1:9" x14ac:dyDescent="0.3">
      <c r="A1356" t="s">
        <v>2766</v>
      </c>
      <c r="B1356">
        <v>1441</v>
      </c>
      <c r="C1356" t="s">
        <v>1322</v>
      </c>
      <c r="E1356">
        <v>97</v>
      </c>
      <c r="F1356" t="s">
        <v>61</v>
      </c>
      <c r="I1356" t="s">
        <v>1324</v>
      </c>
    </row>
    <row r="1357" spans="1:9" x14ac:dyDescent="0.3">
      <c r="A1357" t="s">
        <v>2767</v>
      </c>
      <c r="B1357">
        <v>1442</v>
      </c>
      <c r="C1357" t="s">
        <v>1322</v>
      </c>
      <c r="E1357">
        <v>60</v>
      </c>
      <c r="F1357" t="s">
        <v>61</v>
      </c>
      <c r="I1357" t="s">
        <v>1324</v>
      </c>
    </row>
    <row r="1358" spans="1:9" x14ac:dyDescent="0.3">
      <c r="A1358" t="s">
        <v>2768</v>
      </c>
      <c r="B1358">
        <v>1443</v>
      </c>
      <c r="C1358" t="s">
        <v>1322</v>
      </c>
      <c r="E1358">
        <v>157</v>
      </c>
      <c r="F1358" t="s">
        <v>61</v>
      </c>
      <c r="I1358" t="s">
        <v>1324</v>
      </c>
    </row>
    <row r="1359" spans="1:9" x14ac:dyDescent="0.3">
      <c r="A1359" t="s">
        <v>2769</v>
      </c>
      <c r="B1359">
        <v>1444</v>
      </c>
      <c r="C1359" t="s">
        <v>1322</v>
      </c>
      <c r="E1359">
        <v>23.4</v>
      </c>
      <c r="F1359" t="s">
        <v>130</v>
      </c>
      <c r="I1359" t="s">
        <v>1324</v>
      </c>
    </row>
    <row r="1360" spans="1:9" x14ac:dyDescent="0.3">
      <c r="A1360" t="s">
        <v>2770</v>
      </c>
      <c r="B1360">
        <v>1445</v>
      </c>
      <c r="C1360" t="s">
        <v>1322</v>
      </c>
      <c r="E1360">
        <v>3</v>
      </c>
      <c r="F1360" t="s">
        <v>1421</v>
      </c>
      <c r="I1360" t="s">
        <v>1324</v>
      </c>
    </row>
    <row r="1361" spans="1:9" x14ac:dyDescent="0.3">
      <c r="A1361" t="s">
        <v>2771</v>
      </c>
      <c r="B1361">
        <v>1446</v>
      </c>
      <c r="C1361" t="s">
        <v>1322</v>
      </c>
      <c r="E1361">
        <v>20</v>
      </c>
      <c r="F1361" t="s">
        <v>61</v>
      </c>
      <c r="I1361" t="s">
        <v>1324</v>
      </c>
    </row>
    <row r="1362" spans="1:9" x14ac:dyDescent="0.3">
      <c r="A1362" t="s">
        <v>2772</v>
      </c>
      <c r="B1362">
        <v>1447</v>
      </c>
      <c r="C1362" t="s">
        <v>1322</v>
      </c>
      <c r="E1362">
        <v>20</v>
      </c>
      <c r="F1362" t="s">
        <v>61</v>
      </c>
      <c r="I1362" t="s">
        <v>1324</v>
      </c>
    </row>
    <row r="1363" spans="1:9" x14ac:dyDescent="0.3">
      <c r="A1363" t="s">
        <v>2773</v>
      </c>
      <c r="B1363">
        <v>1448</v>
      </c>
      <c r="C1363" t="s">
        <v>1322</v>
      </c>
      <c r="E1363">
        <v>15</v>
      </c>
      <c r="F1363" t="s">
        <v>61</v>
      </c>
      <c r="I1363" t="s">
        <v>1324</v>
      </c>
    </row>
    <row r="1364" spans="1:9" x14ac:dyDescent="0.3">
      <c r="A1364" t="s">
        <v>2774</v>
      </c>
      <c r="B1364">
        <v>1449</v>
      </c>
      <c r="C1364" t="s">
        <v>1322</v>
      </c>
      <c r="E1364">
        <v>15</v>
      </c>
      <c r="F1364" t="s">
        <v>61</v>
      </c>
      <c r="I1364" t="s">
        <v>1324</v>
      </c>
    </row>
    <row r="1365" spans="1:9" x14ac:dyDescent="0.3">
      <c r="A1365" t="s">
        <v>2775</v>
      </c>
      <c r="B1365">
        <v>1451</v>
      </c>
      <c r="C1365" t="s">
        <v>1331</v>
      </c>
      <c r="E1365">
        <v>1</v>
      </c>
      <c r="F1365" t="s">
        <v>1421</v>
      </c>
      <c r="I1365" t="s">
        <v>1332</v>
      </c>
    </row>
    <row r="1366" spans="1:9" x14ac:dyDescent="0.3">
      <c r="A1366" t="s">
        <v>2776</v>
      </c>
      <c r="B1366">
        <v>1452</v>
      </c>
      <c r="C1366" t="s">
        <v>1331</v>
      </c>
      <c r="E1366">
        <v>1</v>
      </c>
      <c r="F1366" t="s">
        <v>1421</v>
      </c>
      <c r="I1366" t="s">
        <v>1332</v>
      </c>
    </row>
    <row r="1367" spans="1:9" x14ac:dyDescent="0.3">
      <c r="A1367" t="s">
        <v>2777</v>
      </c>
      <c r="B1367">
        <v>1453</v>
      </c>
      <c r="C1367" t="s">
        <v>1331</v>
      </c>
      <c r="E1367">
        <v>2</v>
      </c>
      <c r="F1367" t="s">
        <v>1421</v>
      </c>
      <c r="I1367" t="s">
        <v>1332</v>
      </c>
    </row>
    <row r="1368" spans="1:9" x14ac:dyDescent="0.3">
      <c r="A1368" t="s">
        <v>2778</v>
      </c>
      <c r="B1368">
        <v>1454</v>
      </c>
      <c r="C1368" t="s">
        <v>1331</v>
      </c>
      <c r="E1368">
        <v>1</v>
      </c>
      <c r="F1368" t="s">
        <v>1421</v>
      </c>
      <c r="I1368" t="s">
        <v>1332</v>
      </c>
    </row>
    <row r="1369" spans="1:9" x14ac:dyDescent="0.3">
      <c r="A1369" t="s">
        <v>2779</v>
      </c>
      <c r="B1369">
        <v>1455</v>
      </c>
      <c r="C1369" t="s">
        <v>1322</v>
      </c>
      <c r="E1369">
        <v>3</v>
      </c>
      <c r="F1369" t="s">
        <v>1421</v>
      </c>
      <c r="I1369" t="s">
        <v>1324</v>
      </c>
    </row>
    <row r="1370" spans="1:9" x14ac:dyDescent="0.3">
      <c r="A1370" t="s">
        <v>2780</v>
      </c>
      <c r="B1370">
        <v>1456</v>
      </c>
      <c r="C1370" t="s">
        <v>1331</v>
      </c>
      <c r="E1370">
        <v>2</v>
      </c>
      <c r="F1370" t="s">
        <v>1421</v>
      </c>
      <c r="I1370" t="s">
        <v>1332</v>
      </c>
    </row>
    <row r="1371" spans="1:9" x14ac:dyDescent="0.3">
      <c r="A1371" t="s">
        <v>2781</v>
      </c>
      <c r="B1371">
        <v>1457</v>
      </c>
      <c r="C1371" t="s">
        <v>1331</v>
      </c>
      <c r="E1371">
        <v>2</v>
      </c>
      <c r="F1371" t="s">
        <v>1421</v>
      </c>
      <c r="I1371" t="s">
        <v>1332</v>
      </c>
    </row>
    <row r="1372" spans="1:9" x14ac:dyDescent="0.3">
      <c r="A1372" t="s">
        <v>2782</v>
      </c>
      <c r="B1372">
        <v>1458</v>
      </c>
      <c r="C1372" t="s">
        <v>1322</v>
      </c>
      <c r="E1372">
        <v>20</v>
      </c>
      <c r="F1372" t="s">
        <v>61</v>
      </c>
      <c r="I1372" t="s">
        <v>1324</v>
      </c>
    </row>
    <row r="1373" spans="1:9" x14ac:dyDescent="0.3">
      <c r="A1373" t="s">
        <v>2783</v>
      </c>
      <c r="B1373">
        <v>1459</v>
      </c>
      <c r="C1373" t="s">
        <v>1322</v>
      </c>
      <c r="E1373">
        <v>20</v>
      </c>
      <c r="F1373" t="s">
        <v>61</v>
      </c>
      <c r="I1373" t="s">
        <v>1324</v>
      </c>
    </row>
    <row r="1374" spans="1:9" x14ac:dyDescent="0.3">
      <c r="A1374" t="s">
        <v>2784</v>
      </c>
      <c r="B1374">
        <v>1460</v>
      </c>
      <c r="C1374" t="s">
        <v>1331</v>
      </c>
      <c r="E1374">
        <v>1</v>
      </c>
      <c r="F1374" t="s">
        <v>1421</v>
      </c>
      <c r="I1374" t="s">
        <v>1332</v>
      </c>
    </row>
    <row r="1375" spans="1:9" x14ac:dyDescent="0.3">
      <c r="A1375" t="s">
        <v>2785</v>
      </c>
      <c r="B1375">
        <v>1461</v>
      </c>
      <c r="C1375" t="s">
        <v>1331</v>
      </c>
      <c r="E1375">
        <v>1</v>
      </c>
      <c r="F1375" t="s">
        <v>1421</v>
      </c>
      <c r="I1375" t="s">
        <v>1332</v>
      </c>
    </row>
    <row r="1376" spans="1:9" x14ac:dyDescent="0.3">
      <c r="A1376" t="s">
        <v>2786</v>
      </c>
      <c r="B1376">
        <v>1462</v>
      </c>
      <c r="C1376" t="s">
        <v>1331</v>
      </c>
      <c r="E1376">
        <v>2</v>
      </c>
      <c r="F1376" t="s">
        <v>1421</v>
      </c>
      <c r="I1376" t="s">
        <v>1332</v>
      </c>
    </row>
    <row r="1377" spans="1:9" x14ac:dyDescent="0.3">
      <c r="A1377" t="s">
        <v>2787</v>
      </c>
      <c r="B1377">
        <v>1463</v>
      </c>
      <c r="C1377" t="s">
        <v>1322</v>
      </c>
      <c r="E1377">
        <v>10</v>
      </c>
      <c r="F1377" t="s">
        <v>61</v>
      </c>
      <c r="I1377" t="s">
        <v>1324</v>
      </c>
    </row>
    <row r="1378" spans="1:9" x14ac:dyDescent="0.3">
      <c r="A1378" t="s">
        <v>2788</v>
      </c>
      <c r="B1378">
        <v>1464</v>
      </c>
      <c r="C1378" t="s">
        <v>1322</v>
      </c>
      <c r="E1378">
        <v>10</v>
      </c>
      <c r="F1378" t="s">
        <v>61</v>
      </c>
      <c r="I1378" t="s">
        <v>1324</v>
      </c>
    </row>
    <row r="1379" spans="1:9" x14ac:dyDescent="0.3">
      <c r="A1379" t="s">
        <v>2789</v>
      </c>
      <c r="B1379">
        <v>1465</v>
      </c>
      <c r="C1379" t="s">
        <v>1331</v>
      </c>
      <c r="E1379">
        <v>5</v>
      </c>
      <c r="F1379" t="s">
        <v>61</v>
      </c>
      <c r="I1379" t="s">
        <v>1332</v>
      </c>
    </row>
    <row r="1380" spans="1:9" x14ac:dyDescent="0.3">
      <c r="A1380" t="s">
        <v>2790</v>
      </c>
      <c r="B1380">
        <v>1466</v>
      </c>
      <c r="C1380" t="s">
        <v>1331</v>
      </c>
      <c r="E1380">
        <v>5</v>
      </c>
      <c r="F1380" t="s">
        <v>61</v>
      </c>
      <c r="I1380" t="s">
        <v>1332</v>
      </c>
    </row>
    <row r="1381" spans="1:9" x14ac:dyDescent="0.3">
      <c r="A1381" t="s">
        <v>2791</v>
      </c>
      <c r="B1381">
        <v>1467</v>
      </c>
      <c r="C1381" t="s">
        <v>1322</v>
      </c>
      <c r="E1381">
        <v>15</v>
      </c>
      <c r="F1381" t="s">
        <v>61</v>
      </c>
      <c r="I1381" t="s">
        <v>1324</v>
      </c>
    </row>
    <row r="1382" spans="1:9" x14ac:dyDescent="0.3">
      <c r="A1382" t="s">
        <v>2792</v>
      </c>
      <c r="B1382">
        <v>1468</v>
      </c>
      <c r="C1382" t="s">
        <v>1322</v>
      </c>
      <c r="E1382">
        <v>15</v>
      </c>
      <c r="F1382" t="s">
        <v>61</v>
      </c>
      <c r="I1382" t="s">
        <v>1324</v>
      </c>
    </row>
    <row r="1383" spans="1:9" x14ac:dyDescent="0.3">
      <c r="A1383" t="s">
        <v>2793</v>
      </c>
      <c r="B1383">
        <v>1470</v>
      </c>
      <c r="C1383" t="s">
        <v>1331</v>
      </c>
      <c r="E1383">
        <v>2</v>
      </c>
      <c r="F1383" t="s">
        <v>1421</v>
      </c>
      <c r="I1383" t="s">
        <v>1332</v>
      </c>
    </row>
    <row r="1384" spans="1:9" x14ac:dyDescent="0.3">
      <c r="A1384" t="s">
        <v>2794</v>
      </c>
      <c r="B1384">
        <v>1471</v>
      </c>
      <c r="C1384" t="s">
        <v>1331</v>
      </c>
      <c r="E1384">
        <v>2</v>
      </c>
      <c r="F1384" t="s">
        <v>1421</v>
      </c>
      <c r="I1384" t="s">
        <v>1332</v>
      </c>
    </row>
    <row r="1385" spans="1:9" x14ac:dyDescent="0.3">
      <c r="A1385" t="s">
        <v>2795</v>
      </c>
      <c r="B1385">
        <v>1472</v>
      </c>
      <c r="C1385" t="s">
        <v>1322</v>
      </c>
      <c r="E1385">
        <v>4</v>
      </c>
      <c r="F1385" t="s">
        <v>1421</v>
      </c>
      <c r="I1385" t="s">
        <v>1324</v>
      </c>
    </row>
    <row r="1386" spans="1:9" x14ac:dyDescent="0.3">
      <c r="A1386" t="s">
        <v>2796</v>
      </c>
      <c r="B1386">
        <v>1473</v>
      </c>
      <c r="C1386" t="s">
        <v>1322</v>
      </c>
      <c r="E1386">
        <v>4</v>
      </c>
      <c r="F1386" t="s">
        <v>1421</v>
      </c>
      <c r="I1386" t="s">
        <v>1324</v>
      </c>
    </row>
    <row r="1387" spans="1:9" x14ac:dyDescent="0.3">
      <c r="A1387" t="s">
        <v>2797</v>
      </c>
      <c r="B1387">
        <v>1474</v>
      </c>
      <c r="C1387" t="s">
        <v>1322</v>
      </c>
      <c r="E1387">
        <v>12</v>
      </c>
      <c r="F1387" t="s">
        <v>1421</v>
      </c>
      <c r="I1387" t="s">
        <v>1324</v>
      </c>
    </row>
    <row r="1388" spans="1:9" x14ac:dyDescent="0.3">
      <c r="A1388" t="s">
        <v>2798</v>
      </c>
      <c r="B1388">
        <v>1475</v>
      </c>
      <c r="C1388" t="s">
        <v>1322</v>
      </c>
      <c r="E1388">
        <v>4</v>
      </c>
      <c r="F1388" t="s">
        <v>1421</v>
      </c>
      <c r="I1388" t="s">
        <v>1324</v>
      </c>
    </row>
    <row r="1389" spans="1:9" x14ac:dyDescent="0.3">
      <c r="A1389" t="s">
        <v>2799</v>
      </c>
      <c r="B1389">
        <v>1476</v>
      </c>
      <c r="C1389" t="s">
        <v>1322</v>
      </c>
      <c r="E1389">
        <v>8</v>
      </c>
      <c r="F1389" t="s">
        <v>1421</v>
      </c>
      <c r="I1389" t="s">
        <v>1324</v>
      </c>
    </row>
    <row r="1390" spans="1:9" x14ac:dyDescent="0.3">
      <c r="A1390" t="s">
        <v>2800</v>
      </c>
      <c r="B1390">
        <v>1477</v>
      </c>
      <c r="C1390" t="s">
        <v>1331</v>
      </c>
      <c r="E1390">
        <v>5</v>
      </c>
      <c r="F1390" t="s">
        <v>1421</v>
      </c>
      <c r="I1390" t="s">
        <v>1332</v>
      </c>
    </row>
    <row r="1391" spans="1:9" x14ac:dyDescent="0.3">
      <c r="A1391" t="s">
        <v>2801</v>
      </c>
      <c r="B1391">
        <v>1478</v>
      </c>
      <c r="C1391" t="s">
        <v>1331</v>
      </c>
      <c r="E1391">
        <v>5</v>
      </c>
      <c r="F1391" t="s">
        <v>1659</v>
      </c>
      <c r="I1391" t="s">
        <v>1332</v>
      </c>
    </row>
    <row r="1392" spans="1:9" x14ac:dyDescent="0.3">
      <c r="A1392" t="s">
        <v>2802</v>
      </c>
      <c r="B1392">
        <v>1479</v>
      </c>
      <c r="C1392" t="s">
        <v>1331</v>
      </c>
      <c r="E1392">
        <v>5</v>
      </c>
      <c r="F1392" t="s">
        <v>1421</v>
      </c>
      <c r="I1392" t="s">
        <v>1332</v>
      </c>
    </row>
    <row r="1393" spans="1:9" x14ac:dyDescent="0.3">
      <c r="A1393" t="s">
        <v>2803</v>
      </c>
      <c r="B1393">
        <v>1480</v>
      </c>
      <c r="C1393" t="s">
        <v>1322</v>
      </c>
      <c r="E1393">
        <v>4</v>
      </c>
      <c r="F1393" t="s">
        <v>1421</v>
      </c>
      <c r="I1393" t="s">
        <v>1324</v>
      </c>
    </row>
    <row r="1394" spans="1:9" x14ac:dyDescent="0.3">
      <c r="A1394" t="s">
        <v>2804</v>
      </c>
      <c r="B1394">
        <v>1481</v>
      </c>
      <c r="C1394" t="s">
        <v>1322</v>
      </c>
      <c r="E1394">
        <v>4</v>
      </c>
      <c r="F1394" t="s">
        <v>1421</v>
      </c>
      <c r="I1394" t="s">
        <v>1324</v>
      </c>
    </row>
    <row r="1395" spans="1:9" x14ac:dyDescent="0.3">
      <c r="A1395" t="s">
        <v>2805</v>
      </c>
      <c r="B1395">
        <v>1482</v>
      </c>
      <c r="C1395" t="s">
        <v>1322</v>
      </c>
      <c r="E1395">
        <v>4</v>
      </c>
      <c r="F1395" t="s">
        <v>1421</v>
      </c>
      <c r="I1395" t="s">
        <v>1324</v>
      </c>
    </row>
    <row r="1396" spans="1:9" x14ac:dyDescent="0.3">
      <c r="A1396" t="s">
        <v>2806</v>
      </c>
      <c r="B1396">
        <v>1483</v>
      </c>
      <c r="C1396" t="s">
        <v>1322</v>
      </c>
      <c r="E1396">
        <v>0.5</v>
      </c>
      <c r="F1396" t="s">
        <v>61</v>
      </c>
      <c r="I1396" t="s">
        <v>1324</v>
      </c>
    </row>
    <row r="1397" spans="1:9" x14ac:dyDescent="0.3">
      <c r="A1397" t="s">
        <v>2807</v>
      </c>
      <c r="B1397">
        <v>1484</v>
      </c>
      <c r="C1397" t="s">
        <v>1322</v>
      </c>
      <c r="E1397">
        <v>0.5</v>
      </c>
      <c r="F1397" t="s">
        <v>61</v>
      </c>
      <c r="I1397" t="s">
        <v>1324</v>
      </c>
    </row>
    <row r="1398" spans="1:9" x14ac:dyDescent="0.3">
      <c r="A1398" t="s">
        <v>2808</v>
      </c>
      <c r="B1398">
        <v>1485</v>
      </c>
      <c r="C1398" t="s">
        <v>1322</v>
      </c>
      <c r="E1398">
        <v>0.5</v>
      </c>
      <c r="F1398" t="s">
        <v>61</v>
      </c>
      <c r="I1398" t="s">
        <v>1324</v>
      </c>
    </row>
    <row r="1399" spans="1:9" x14ac:dyDescent="0.3">
      <c r="A1399" t="s">
        <v>2809</v>
      </c>
      <c r="B1399">
        <v>1486</v>
      </c>
      <c r="C1399" t="s">
        <v>1322</v>
      </c>
      <c r="E1399">
        <v>0.5</v>
      </c>
      <c r="F1399" t="s">
        <v>61</v>
      </c>
      <c r="I1399" t="s">
        <v>1324</v>
      </c>
    </row>
    <row r="1400" spans="1:9" x14ac:dyDescent="0.3">
      <c r="A1400" t="s">
        <v>2810</v>
      </c>
      <c r="B1400">
        <v>1487</v>
      </c>
      <c r="C1400" t="s">
        <v>1322</v>
      </c>
      <c r="E1400">
        <v>7.5</v>
      </c>
      <c r="F1400" t="s">
        <v>61</v>
      </c>
      <c r="I1400" t="s">
        <v>1324</v>
      </c>
    </row>
    <row r="1401" spans="1:9" x14ac:dyDescent="0.3">
      <c r="A1401" t="s">
        <v>2811</v>
      </c>
      <c r="B1401">
        <v>1488</v>
      </c>
      <c r="C1401" t="s">
        <v>1322</v>
      </c>
      <c r="E1401">
        <v>7.5</v>
      </c>
      <c r="F1401" t="s">
        <v>61</v>
      </c>
      <c r="I1401" t="s">
        <v>1324</v>
      </c>
    </row>
    <row r="1402" spans="1:9" x14ac:dyDescent="0.3">
      <c r="A1402" t="s">
        <v>2812</v>
      </c>
      <c r="B1402">
        <v>1489</v>
      </c>
      <c r="C1402" t="s">
        <v>1322</v>
      </c>
      <c r="E1402">
        <v>19.5</v>
      </c>
      <c r="F1402" t="s">
        <v>61</v>
      </c>
      <c r="I1402" t="s">
        <v>1324</v>
      </c>
    </row>
    <row r="1403" spans="1:9" x14ac:dyDescent="0.3">
      <c r="A1403" t="s">
        <v>2813</v>
      </c>
      <c r="B1403">
        <v>1490</v>
      </c>
      <c r="C1403" t="s">
        <v>1322</v>
      </c>
      <c r="E1403">
        <v>1.5</v>
      </c>
      <c r="F1403" t="s">
        <v>61</v>
      </c>
      <c r="I1403" t="s">
        <v>1324</v>
      </c>
    </row>
    <row r="1404" spans="1:9" x14ac:dyDescent="0.3">
      <c r="A1404" t="s">
        <v>2814</v>
      </c>
      <c r="B1404">
        <v>1491</v>
      </c>
      <c r="C1404" t="s">
        <v>1331</v>
      </c>
      <c r="E1404">
        <v>18</v>
      </c>
      <c r="F1404" t="s">
        <v>61</v>
      </c>
      <c r="I1404" t="s">
        <v>1332</v>
      </c>
    </row>
    <row r="1405" spans="1:9" x14ac:dyDescent="0.3">
      <c r="A1405" t="s">
        <v>2815</v>
      </c>
      <c r="B1405">
        <v>1492</v>
      </c>
      <c r="C1405" t="s">
        <v>1322</v>
      </c>
      <c r="E1405">
        <v>6.7</v>
      </c>
      <c r="F1405" t="s">
        <v>130</v>
      </c>
      <c r="I1405" t="s">
        <v>1324</v>
      </c>
    </row>
    <row r="1406" spans="1:9" x14ac:dyDescent="0.3">
      <c r="A1406" t="s">
        <v>2816</v>
      </c>
      <c r="B1406">
        <v>1493</v>
      </c>
      <c r="C1406" t="s">
        <v>1322</v>
      </c>
      <c r="E1406">
        <v>3.5</v>
      </c>
      <c r="F1406" t="s">
        <v>1349</v>
      </c>
      <c r="I1406" t="s">
        <v>1324</v>
      </c>
    </row>
    <row r="1407" spans="1:9" x14ac:dyDescent="0.3">
      <c r="A1407" t="s">
        <v>2817</v>
      </c>
      <c r="B1407">
        <v>1494</v>
      </c>
      <c r="C1407" t="s">
        <v>1322</v>
      </c>
      <c r="E1407">
        <v>3.5</v>
      </c>
      <c r="F1407" t="s">
        <v>1349</v>
      </c>
      <c r="I1407" t="s">
        <v>1324</v>
      </c>
    </row>
    <row r="1408" spans="1:9" x14ac:dyDescent="0.3">
      <c r="A1408" t="s">
        <v>2818</v>
      </c>
      <c r="B1408">
        <v>1496</v>
      </c>
      <c r="C1408" t="s">
        <v>1331</v>
      </c>
      <c r="E1408">
        <v>1</v>
      </c>
      <c r="F1408" t="s">
        <v>1421</v>
      </c>
      <c r="I1408" t="s">
        <v>1332</v>
      </c>
    </row>
    <row r="1409" spans="1:9" x14ac:dyDescent="0.3">
      <c r="A1409" t="s">
        <v>2819</v>
      </c>
      <c r="B1409">
        <v>1497</v>
      </c>
      <c r="C1409" t="s">
        <v>1331</v>
      </c>
      <c r="E1409">
        <v>1</v>
      </c>
      <c r="F1409" t="s">
        <v>1421</v>
      </c>
      <c r="I1409" t="s">
        <v>1332</v>
      </c>
    </row>
    <row r="1410" spans="1:9" x14ac:dyDescent="0.3">
      <c r="A1410" t="s">
        <v>2820</v>
      </c>
      <c r="B1410">
        <v>1498</v>
      </c>
      <c r="C1410" t="s">
        <v>1322</v>
      </c>
      <c r="E1410">
        <v>3</v>
      </c>
      <c r="F1410" t="s">
        <v>1659</v>
      </c>
      <c r="I1410" t="s">
        <v>1324</v>
      </c>
    </row>
    <row r="1411" spans="1:9" x14ac:dyDescent="0.3">
      <c r="A1411" t="s">
        <v>2821</v>
      </c>
      <c r="B1411">
        <v>1499</v>
      </c>
      <c r="C1411" t="s">
        <v>1322</v>
      </c>
      <c r="E1411">
        <v>3</v>
      </c>
      <c r="F1411" t="s">
        <v>1421</v>
      </c>
      <c r="I1411" t="s">
        <v>1324</v>
      </c>
    </row>
    <row r="1412" spans="1:9" x14ac:dyDescent="0.3">
      <c r="A1412" t="s">
        <v>2822</v>
      </c>
      <c r="B1412">
        <v>1500</v>
      </c>
      <c r="C1412" t="s">
        <v>1322</v>
      </c>
      <c r="E1412">
        <v>70</v>
      </c>
      <c r="F1412" t="s">
        <v>61</v>
      </c>
      <c r="I1412" t="s">
        <v>1324</v>
      </c>
    </row>
    <row r="1413" spans="1:9" x14ac:dyDescent="0.3">
      <c r="A1413" t="s">
        <v>2823</v>
      </c>
      <c r="B1413">
        <v>1501</v>
      </c>
      <c r="C1413" t="s">
        <v>1322</v>
      </c>
      <c r="E1413">
        <v>35</v>
      </c>
      <c r="F1413" t="s">
        <v>61</v>
      </c>
      <c r="I1413" t="s">
        <v>1324</v>
      </c>
    </row>
    <row r="1414" spans="1:9" x14ac:dyDescent="0.3">
      <c r="A1414" t="s">
        <v>2824</v>
      </c>
      <c r="B1414">
        <v>1502</v>
      </c>
      <c r="C1414" t="s">
        <v>1322</v>
      </c>
      <c r="E1414">
        <v>35</v>
      </c>
      <c r="F1414" t="s">
        <v>61</v>
      </c>
      <c r="I1414" t="s">
        <v>1324</v>
      </c>
    </row>
    <row r="1415" spans="1:9" x14ac:dyDescent="0.3">
      <c r="A1415" t="s">
        <v>2825</v>
      </c>
      <c r="B1415">
        <v>1503</v>
      </c>
      <c r="C1415" t="s">
        <v>1322</v>
      </c>
      <c r="E1415">
        <v>35</v>
      </c>
      <c r="F1415" t="s">
        <v>61</v>
      </c>
      <c r="I1415" t="s">
        <v>1324</v>
      </c>
    </row>
    <row r="1416" spans="1:9" x14ac:dyDescent="0.3">
      <c r="A1416" t="s">
        <v>2826</v>
      </c>
      <c r="B1416">
        <v>1504</v>
      </c>
      <c r="C1416" t="s">
        <v>1322</v>
      </c>
      <c r="E1416">
        <v>35</v>
      </c>
      <c r="F1416" t="s">
        <v>61</v>
      </c>
      <c r="I1416" t="s">
        <v>1324</v>
      </c>
    </row>
    <row r="1417" spans="1:9" x14ac:dyDescent="0.3">
      <c r="A1417" t="s">
        <v>2827</v>
      </c>
      <c r="B1417">
        <v>1506</v>
      </c>
      <c r="C1417" t="s">
        <v>1331</v>
      </c>
      <c r="E1417">
        <v>1</v>
      </c>
      <c r="F1417" t="s">
        <v>1421</v>
      </c>
      <c r="I1417" t="s">
        <v>1332</v>
      </c>
    </row>
    <row r="1418" spans="1:9" x14ac:dyDescent="0.3">
      <c r="A1418" t="s">
        <v>2828</v>
      </c>
      <c r="B1418">
        <v>1507</v>
      </c>
      <c r="C1418" t="s">
        <v>1331</v>
      </c>
      <c r="E1418">
        <v>1</v>
      </c>
      <c r="F1418" t="s">
        <v>1421</v>
      </c>
      <c r="I1418" t="s">
        <v>1332</v>
      </c>
    </row>
    <row r="1419" spans="1:9" x14ac:dyDescent="0.3">
      <c r="A1419" t="s">
        <v>2829</v>
      </c>
      <c r="B1419">
        <v>1508</v>
      </c>
      <c r="C1419" t="s">
        <v>1331</v>
      </c>
      <c r="E1419">
        <v>1</v>
      </c>
      <c r="F1419" t="s">
        <v>1421</v>
      </c>
      <c r="I1419" t="s">
        <v>1332</v>
      </c>
    </row>
    <row r="1420" spans="1:9" x14ac:dyDescent="0.3">
      <c r="A1420" t="s">
        <v>2830</v>
      </c>
      <c r="B1420">
        <v>1509</v>
      </c>
      <c r="C1420" t="s">
        <v>1322</v>
      </c>
      <c r="E1420">
        <v>65</v>
      </c>
      <c r="F1420" t="s">
        <v>61</v>
      </c>
      <c r="I1420" t="s">
        <v>1324</v>
      </c>
    </row>
    <row r="1421" spans="1:9" x14ac:dyDescent="0.3">
      <c r="A1421" t="s">
        <v>2831</v>
      </c>
      <c r="B1421">
        <v>1510</v>
      </c>
      <c r="C1421" t="s">
        <v>1322</v>
      </c>
      <c r="E1421">
        <v>65</v>
      </c>
      <c r="F1421" t="s">
        <v>61</v>
      </c>
      <c r="I1421" t="s">
        <v>1324</v>
      </c>
    </row>
    <row r="1422" spans="1:9" x14ac:dyDescent="0.3">
      <c r="A1422" t="s">
        <v>2832</v>
      </c>
      <c r="B1422">
        <v>1511</v>
      </c>
      <c r="C1422" t="s">
        <v>1331</v>
      </c>
      <c r="E1422">
        <v>1</v>
      </c>
      <c r="F1422" t="s">
        <v>1421</v>
      </c>
      <c r="I1422" t="s">
        <v>1332</v>
      </c>
    </row>
    <row r="1423" spans="1:9" x14ac:dyDescent="0.3">
      <c r="A1423" t="s">
        <v>2833</v>
      </c>
      <c r="B1423">
        <v>1512</v>
      </c>
      <c r="C1423" t="s">
        <v>1331</v>
      </c>
      <c r="E1423">
        <v>1</v>
      </c>
      <c r="F1423" t="s">
        <v>1421</v>
      </c>
      <c r="I1423" t="s">
        <v>1332</v>
      </c>
    </row>
    <row r="1424" spans="1:9" x14ac:dyDescent="0.3">
      <c r="A1424" t="s">
        <v>2834</v>
      </c>
      <c r="B1424">
        <v>1513</v>
      </c>
      <c r="C1424" t="s">
        <v>1322</v>
      </c>
      <c r="E1424">
        <v>5.0000000000000001E-3</v>
      </c>
      <c r="F1424" t="s">
        <v>1323</v>
      </c>
      <c r="I1424" t="s">
        <v>1324</v>
      </c>
    </row>
    <row r="1425" spans="1:9" x14ac:dyDescent="0.3">
      <c r="A1425" t="s">
        <v>2835</v>
      </c>
      <c r="B1425">
        <v>1515</v>
      </c>
      <c r="C1425" t="s">
        <v>1322</v>
      </c>
      <c r="E1425">
        <v>8.0000000000000002E-3</v>
      </c>
      <c r="F1425" t="s">
        <v>992</v>
      </c>
      <c r="I1425" t="s">
        <v>1324</v>
      </c>
    </row>
    <row r="1426" spans="1:9" x14ac:dyDescent="0.3">
      <c r="A1426" t="s">
        <v>2836</v>
      </c>
      <c r="B1426">
        <v>1516</v>
      </c>
      <c r="C1426" t="s">
        <v>1322</v>
      </c>
      <c r="E1426">
        <v>8</v>
      </c>
      <c r="F1426" t="s">
        <v>61</v>
      </c>
      <c r="I1426" t="s">
        <v>1324</v>
      </c>
    </row>
    <row r="1427" spans="1:9" x14ac:dyDescent="0.3">
      <c r="A1427" t="s">
        <v>2837</v>
      </c>
      <c r="B1427">
        <v>1517</v>
      </c>
      <c r="C1427" t="s">
        <v>1331</v>
      </c>
      <c r="E1427">
        <v>0.01</v>
      </c>
      <c r="F1427" t="s">
        <v>992</v>
      </c>
      <c r="I1427" t="s">
        <v>1332</v>
      </c>
    </row>
    <row r="1428" spans="1:9" x14ac:dyDescent="0.3">
      <c r="A1428" t="s">
        <v>2838</v>
      </c>
      <c r="B1428">
        <v>1518</v>
      </c>
      <c r="C1428" t="s">
        <v>1322</v>
      </c>
      <c r="E1428">
        <v>10</v>
      </c>
      <c r="F1428" t="s">
        <v>61</v>
      </c>
      <c r="I1428" t="s">
        <v>1324</v>
      </c>
    </row>
    <row r="1429" spans="1:9" x14ac:dyDescent="0.3">
      <c r="A1429" t="s">
        <v>2839</v>
      </c>
      <c r="B1429">
        <v>1519</v>
      </c>
      <c r="C1429" t="s">
        <v>1322</v>
      </c>
      <c r="E1429">
        <v>0.03</v>
      </c>
      <c r="F1429" t="s">
        <v>992</v>
      </c>
      <c r="I1429" t="s">
        <v>1324</v>
      </c>
    </row>
    <row r="1430" spans="1:9" x14ac:dyDescent="0.3">
      <c r="A1430" t="s">
        <v>2840</v>
      </c>
      <c r="B1430">
        <v>1520</v>
      </c>
      <c r="C1430" t="s">
        <v>1322</v>
      </c>
      <c r="E1430">
        <v>30</v>
      </c>
      <c r="F1430" t="s">
        <v>61</v>
      </c>
      <c r="I1430" t="s">
        <v>1324</v>
      </c>
    </row>
    <row r="1431" spans="1:9" x14ac:dyDescent="0.3">
      <c r="A1431" t="s">
        <v>2841</v>
      </c>
      <c r="B1431">
        <v>1521</v>
      </c>
      <c r="C1431" t="s">
        <v>1322</v>
      </c>
      <c r="E1431">
        <v>3.5</v>
      </c>
      <c r="F1431" t="s">
        <v>61</v>
      </c>
      <c r="I1431" t="s">
        <v>1324</v>
      </c>
    </row>
    <row r="1432" spans="1:9" x14ac:dyDescent="0.3">
      <c r="A1432" t="s">
        <v>2842</v>
      </c>
      <c r="B1432">
        <v>1522</v>
      </c>
      <c r="C1432" t="s">
        <v>1322</v>
      </c>
      <c r="E1432">
        <v>3.5</v>
      </c>
      <c r="F1432" t="s">
        <v>61</v>
      </c>
      <c r="I1432" t="s">
        <v>1324</v>
      </c>
    </row>
    <row r="1433" spans="1:9" x14ac:dyDescent="0.3">
      <c r="A1433" t="s">
        <v>2843</v>
      </c>
      <c r="B1433">
        <v>1523</v>
      </c>
      <c r="C1433" t="s">
        <v>1322</v>
      </c>
      <c r="E1433">
        <v>4</v>
      </c>
      <c r="F1433" t="s">
        <v>1659</v>
      </c>
      <c r="I1433" t="s">
        <v>1324</v>
      </c>
    </row>
    <row r="1434" spans="1:9" x14ac:dyDescent="0.3">
      <c r="A1434" t="s">
        <v>2844</v>
      </c>
      <c r="B1434">
        <v>1524</v>
      </c>
      <c r="C1434" t="s">
        <v>1322</v>
      </c>
      <c r="E1434">
        <v>4</v>
      </c>
      <c r="F1434" t="s">
        <v>1421</v>
      </c>
      <c r="I1434" t="s">
        <v>1324</v>
      </c>
    </row>
    <row r="1435" spans="1:9" x14ac:dyDescent="0.3">
      <c r="A1435" t="s">
        <v>2845</v>
      </c>
      <c r="B1435">
        <v>1525</v>
      </c>
      <c r="C1435" t="s">
        <v>1322</v>
      </c>
      <c r="E1435">
        <v>8</v>
      </c>
      <c r="F1435" t="s">
        <v>1421</v>
      </c>
      <c r="I1435" t="s">
        <v>1324</v>
      </c>
    </row>
    <row r="1436" spans="1:9" x14ac:dyDescent="0.3">
      <c r="A1436" t="s">
        <v>2846</v>
      </c>
      <c r="B1436">
        <v>1526</v>
      </c>
      <c r="C1436" t="s">
        <v>1322</v>
      </c>
      <c r="E1436">
        <v>8</v>
      </c>
      <c r="F1436" t="s">
        <v>1421</v>
      </c>
      <c r="I1436" t="s">
        <v>1324</v>
      </c>
    </row>
    <row r="1437" spans="1:9" x14ac:dyDescent="0.3">
      <c r="A1437" t="s">
        <v>2847</v>
      </c>
      <c r="B1437">
        <v>1527</v>
      </c>
      <c r="C1437" t="s">
        <v>1322</v>
      </c>
      <c r="E1437">
        <v>0.8</v>
      </c>
      <c r="F1437" t="s">
        <v>1349</v>
      </c>
      <c r="I1437" t="s">
        <v>1324</v>
      </c>
    </row>
    <row r="1438" spans="1:9" x14ac:dyDescent="0.3">
      <c r="A1438" t="s">
        <v>2848</v>
      </c>
      <c r="B1438">
        <v>1528</v>
      </c>
      <c r="C1438" t="s">
        <v>1322</v>
      </c>
      <c r="E1438">
        <v>11</v>
      </c>
      <c r="F1438" t="s">
        <v>1317</v>
      </c>
      <c r="I1438" t="s">
        <v>1324</v>
      </c>
    </row>
    <row r="1439" spans="1:9" x14ac:dyDescent="0.3">
      <c r="A1439" t="s">
        <v>2849</v>
      </c>
      <c r="B1439">
        <v>1529</v>
      </c>
      <c r="C1439" t="s">
        <v>1322</v>
      </c>
      <c r="E1439">
        <v>1.2</v>
      </c>
      <c r="F1439" t="s">
        <v>1317</v>
      </c>
      <c r="I1439" t="s">
        <v>1324</v>
      </c>
    </row>
    <row r="1440" spans="1:9" x14ac:dyDescent="0.3">
      <c r="A1440" t="s">
        <v>2850</v>
      </c>
      <c r="B1440">
        <v>1530</v>
      </c>
      <c r="C1440" t="s">
        <v>1331</v>
      </c>
      <c r="E1440">
        <v>2.4</v>
      </c>
      <c r="F1440" t="s">
        <v>1317</v>
      </c>
      <c r="I1440" t="s">
        <v>1332</v>
      </c>
    </row>
    <row r="1441" spans="1:9" x14ac:dyDescent="0.3">
      <c r="A1441" t="s">
        <v>2851</v>
      </c>
      <c r="B1441">
        <v>1531</v>
      </c>
      <c r="C1441" t="s">
        <v>1322</v>
      </c>
      <c r="E1441">
        <v>8.1</v>
      </c>
      <c r="F1441" t="s">
        <v>1317</v>
      </c>
      <c r="I1441" t="s">
        <v>1324</v>
      </c>
    </row>
    <row r="1442" spans="1:9" x14ac:dyDescent="0.3">
      <c r="A1442" t="s">
        <v>2852</v>
      </c>
      <c r="B1442">
        <v>1532</v>
      </c>
      <c r="C1442" t="s">
        <v>1322</v>
      </c>
      <c r="E1442">
        <v>0.9</v>
      </c>
      <c r="F1442" t="s">
        <v>1317</v>
      </c>
      <c r="I1442" t="s">
        <v>1324</v>
      </c>
    </row>
    <row r="1443" spans="1:9" x14ac:dyDescent="0.3">
      <c r="A1443" t="s">
        <v>2853</v>
      </c>
      <c r="B1443">
        <v>1533</v>
      </c>
      <c r="C1443" t="s">
        <v>1322</v>
      </c>
      <c r="E1443">
        <v>8.1</v>
      </c>
      <c r="F1443" t="s">
        <v>1317</v>
      </c>
      <c r="I1443" t="s">
        <v>1324</v>
      </c>
    </row>
    <row r="1444" spans="1:9" x14ac:dyDescent="0.3">
      <c r="A1444" t="s">
        <v>2854</v>
      </c>
      <c r="B1444">
        <v>1535</v>
      </c>
      <c r="C1444" t="s">
        <v>1322</v>
      </c>
      <c r="E1444">
        <v>430</v>
      </c>
      <c r="F1444" t="s">
        <v>1317</v>
      </c>
      <c r="I1444" t="s">
        <v>1324</v>
      </c>
    </row>
    <row r="1445" spans="1:9" x14ac:dyDescent="0.3">
      <c r="A1445" t="s">
        <v>2855</v>
      </c>
      <c r="B1445">
        <v>1536</v>
      </c>
      <c r="C1445" t="s">
        <v>1322</v>
      </c>
      <c r="E1445">
        <v>13</v>
      </c>
      <c r="F1445" t="s">
        <v>1317</v>
      </c>
      <c r="I1445" t="s">
        <v>1324</v>
      </c>
    </row>
    <row r="1446" spans="1:9" x14ac:dyDescent="0.3">
      <c r="A1446" t="s">
        <v>2856</v>
      </c>
      <c r="B1446">
        <v>1537</v>
      </c>
      <c r="C1446" t="s">
        <v>1322</v>
      </c>
      <c r="E1446">
        <v>225</v>
      </c>
      <c r="F1446" t="s">
        <v>1317</v>
      </c>
      <c r="I1446" t="s">
        <v>1324</v>
      </c>
    </row>
    <row r="1447" spans="1:9" x14ac:dyDescent="0.3">
      <c r="A1447" t="s">
        <v>2857</v>
      </c>
      <c r="B1447">
        <v>1538</v>
      </c>
      <c r="C1447" t="s">
        <v>1322</v>
      </c>
      <c r="E1447">
        <v>225</v>
      </c>
      <c r="F1447" t="s">
        <v>1317</v>
      </c>
      <c r="I1447" t="s">
        <v>1324</v>
      </c>
    </row>
    <row r="1448" spans="1:9" x14ac:dyDescent="0.3">
      <c r="A1448" t="s">
        <v>2858</v>
      </c>
      <c r="B1448">
        <v>1539</v>
      </c>
      <c r="C1448" t="s">
        <v>1322</v>
      </c>
      <c r="E1448">
        <v>56</v>
      </c>
      <c r="F1448" t="s">
        <v>1317</v>
      </c>
      <c r="I1448" t="s">
        <v>1324</v>
      </c>
    </row>
    <row r="1449" spans="1:9" x14ac:dyDescent="0.3">
      <c r="A1449" t="s">
        <v>2859</v>
      </c>
      <c r="B1449">
        <v>1540</v>
      </c>
      <c r="C1449" t="s">
        <v>1322</v>
      </c>
      <c r="E1449">
        <v>62</v>
      </c>
      <c r="F1449" t="s">
        <v>1317</v>
      </c>
      <c r="I1449" t="s">
        <v>1324</v>
      </c>
    </row>
    <row r="1450" spans="1:9" x14ac:dyDescent="0.3">
      <c r="A1450" t="s">
        <v>2860</v>
      </c>
      <c r="B1450">
        <v>1541</v>
      </c>
      <c r="C1450" t="s">
        <v>1322</v>
      </c>
      <c r="E1450">
        <v>87</v>
      </c>
      <c r="F1450" t="s">
        <v>1317</v>
      </c>
      <c r="I1450" t="s">
        <v>1324</v>
      </c>
    </row>
    <row r="1451" spans="1:9" x14ac:dyDescent="0.3">
      <c r="A1451" t="s">
        <v>2861</v>
      </c>
      <c r="B1451">
        <v>1542</v>
      </c>
      <c r="C1451" t="s">
        <v>1322</v>
      </c>
      <c r="E1451">
        <v>156.6</v>
      </c>
      <c r="F1451" t="s">
        <v>1323</v>
      </c>
      <c r="I1451" t="s">
        <v>1324</v>
      </c>
    </row>
    <row r="1452" spans="1:9" x14ac:dyDescent="0.3">
      <c r="A1452" t="s">
        <v>2862</v>
      </c>
      <c r="B1452">
        <v>1543</v>
      </c>
      <c r="C1452" t="s">
        <v>1322</v>
      </c>
      <c r="E1452">
        <v>87</v>
      </c>
      <c r="F1452" t="s">
        <v>1317</v>
      </c>
      <c r="I1452" t="s">
        <v>1324</v>
      </c>
    </row>
    <row r="1453" spans="1:9" x14ac:dyDescent="0.3">
      <c r="A1453" t="s">
        <v>2863</v>
      </c>
      <c r="B1453">
        <v>1544</v>
      </c>
      <c r="C1453" t="s">
        <v>1322</v>
      </c>
      <c r="E1453">
        <v>7.2</v>
      </c>
      <c r="F1453" t="s">
        <v>1317</v>
      </c>
      <c r="I1453" t="s">
        <v>1324</v>
      </c>
    </row>
    <row r="1454" spans="1:9" x14ac:dyDescent="0.3">
      <c r="A1454" t="s">
        <v>2864</v>
      </c>
      <c r="B1454">
        <v>1545</v>
      </c>
      <c r="C1454" t="s">
        <v>1322</v>
      </c>
      <c r="E1454">
        <v>3.4</v>
      </c>
      <c r="F1454" t="s">
        <v>1317</v>
      </c>
      <c r="I1454" t="s">
        <v>1324</v>
      </c>
    </row>
    <row r="1455" spans="1:9" x14ac:dyDescent="0.3">
      <c r="A1455" t="s">
        <v>2865</v>
      </c>
      <c r="B1455">
        <v>1546</v>
      </c>
      <c r="C1455" t="s">
        <v>1322</v>
      </c>
      <c r="E1455">
        <v>34</v>
      </c>
      <c r="F1455" t="s">
        <v>1349</v>
      </c>
      <c r="I1455" t="s">
        <v>1324</v>
      </c>
    </row>
    <row r="1456" spans="1:9" x14ac:dyDescent="0.3">
      <c r="A1456" t="s">
        <v>2866</v>
      </c>
      <c r="B1456">
        <v>1547</v>
      </c>
      <c r="C1456" t="s">
        <v>1322</v>
      </c>
      <c r="E1456">
        <v>34</v>
      </c>
      <c r="F1456" t="s">
        <v>1349</v>
      </c>
      <c r="I1456" t="s">
        <v>1324</v>
      </c>
    </row>
    <row r="1457" spans="1:9" x14ac:dyDescent="0.3">
      <c r="A1457" t="s">
        <v>2867</v>
      </c>
      <c r="B1457">
        <v>1548</v>
      </c>
      <c r="C1457" t="s">
        <v>1322</v>
      </c>
      <c r="E1457">
        <v>34</v>
      </c>
      <c r="F1457" t="s">
        <v>1349</v>
      </c>
      <c r="I1457" t="s">
        <v>1324</v>
      </c>
    </row>
    <row r="1458" spans="1:9" x14ac:dyDescent="0.3">
      <c r="A1458" t="s">
        <v>2868</v>
      </c>
      <c r="B1458">
        <v>1549</v>
      </c>
      <c r="C1458" t="s">
        <v>1322</v>
      </c>
      <c r="E1458">
        <v>27.73</v>
      </c>
      <c r="F1458" t="s">
        <v>1317</v>
      </c>
      <c r="I1458" t="s">
        <v>1324</v>
      </c>
    </row>
    <row r="1459" spans="1:9" x14ac:dyDescent="0.3">
      <c r="A1459" t="s">
        <v>2869</v>
      </c>
      <c r="B1459">
        <v>1550</v>
      </c>
      <c r="C1459" t="s">
        <v>1322</v>
      </c>
      <c r="E1459">
        <v>6.7000000000000004E-2</v>
      </c>
      <c r="F1459" t="s">
        <v>1323</v>
      </c>
      <c r="I1459" t="s">
        <v>1324</v>
      </c>
    </row>
    <row r="1460" spans="1:9" x14ac:dyDescent="0.3">
      <c r="A1460" t="s">
        <v>2870</v>
      </c>
      <c r="B1460">
        <v>1551</v>
      </c>
      <c r="C1460" t="s">
        <v>1322</v>
      </c>
      <c r="E1460">
        <v>3.1589999999999998</v>
      </c>
      <c r="F1460" t="s">
        <v>1323</v>
      </c>
      <c r="I1460" t="s">
        <v>1324</v>
      </c>
    </row>
    <row r="1461" spans="1:9" x14ac:dyDescent="0.3">
      <c r="A1461" t="s">
        <v>2871</v>
      </c>
      <c r="B1461">
        <v>1552</v>
      </c>
      <c r="C1461" t="s">
        <v>1322</v>
      </c>
      <c r="E1461">
        <v>31.4</v>
      </c>
      <c r="F1461" t="s">
        <v>1349</v>
      </c>
      <c r="I1461" t="s">
        <v>1324</v>
      </c>
    </row>
    <row r="1462" spans="1:9" x14ac:dyDescent="0.3">
      <c r="A1462" t="s">
        <v>2872</v>
      </c>
      <c r="B1462">
        <v>1553</v>
      </c>
      <c r="C1462" t="s">
        <v>1322</v>
      </c>
      <c r="E1462">
        <v>31.4</v>
      </c>
      <c r="F1462" t="s">
        <v>1349</v>
      </c>
      <c r="I1462" t="s">
        <v>1324</v>
      </c>
    </row>
    <row r="1463" spans="1:9" x14ac:dyDescent="0.3">
      <c r="A1463" t="s">
        <v>2873</v>
      </c>
      <c r="B1463">
        <v>1554</v>
      </c>
      <c r="C1463" t="s">
        <v>1322</v>
      </c>
      <c r="E1463">
        <v>104.2</v>
      </c>
      <c r="F1463" t="s">
        <v>1349</v>
      </c>
      <c r="I1463" t="s">
        <v>1324</v>
      </c>
    </row>
    <row r="1464" spans="1:9" x14ac:dyDescent="0.3">
      <c r="A1464" t="s">
        <v>2874</v>
      </c>
      <c r="B1464">
        <v>1555</v>
      </c>
      <c r="C1464" t="s">
        <v>1322</v>
      </c>
      <c r="E1464">
        <v>104.2</v>
      </c>
      <c r="F1464" t="s">
        <v>1349</v>
      </c>
      <c r="I1464" t="s">
        <v>1324</v>
      </c>
    </row>
    <row r="1465" spans="1:9" x14ac:dyDescent="0.3">
      <c r="A1465" t="s">
        <v>2875</v>
      </c>
      <c r="B1465">
        <v>1556</v>
      </c>
      <c r="C1465" t="s">
        <v>1322</v>
      </c>
      <c r="E1465">
        <v>2.1</v>
      </c>
      <c r="F1465" t="s">
        <v>1317</v>
      </c>
      <c r="I1465" t="s">
        <v>1324</v>
      </c>
    </row>
    <row r="1466" spans="1:9" x14ac:dyDescent="0.3">
      <c r="A1466" t="s">
        <v>2876</v>
      </c>
      <c r="B1466">
        <v>1557</v>
      </c>
      <c r="C1466" t="s">
        <v>1322</v>
      </c>
      <c r="E1466">
        <v>2.1</v>
      </c>
      <c r="F1466" t="s">
        <v>1317</v>
      </c>
      <c r="I1466" t="s">
        <v>1324</v>
      </c>
    </row>
    <row r="1467" spans="1:9" x14ac:dyDescent="0.3">
      <c r="A1467" t="s">
        <v>2877</v>
      </c>
      <c r="B1467">
        <v>1558</v>
      </c>
      <c r="C1467" t="s">
        <v>1405</v>
      </c>
      <c r="D1467">
        <v>4.13</v>
      </c>
      <c r="E1467">
        <v>4.13</v>
      </c>
      <c r="F1467" t="s">
        <v>1317</v>
      </c>
      <c r="G1467" t="s">
        <v>1318</v>
      </c>
      <c r="H1467" t="s">
        <v>2878</v>
      </c>
      <c r="I1467" t="s">
        <v>2879</v>
      </c>
    </row>
    <row r="1468" spans="1:9" x14ac:dyDescent="0.3">
      <c r="A1468" t="s">
        <v>2880</v>
      </c>
      <c r="B1468">
        <v>1559</v>
      </c>
      <c r="C1468" t="s">
        <v>1322</v>
      </c>
      <c r="E1468">
        <v>2.8000000000000001E-2</v>
      </c>
      <c r="F1468" t="s">
        <v>1323</v>
      </c>
      <c r="I1468" t="s">
        <v>1324</v>
      </c>
    </row>
    <row r="1469" spans="1:9" x14ac:dyDescent="0.3">
      <c r="A1469" t="s">
        <v>2881</v>
      </c>
      <c r="B1469">
        <v>1560</v>
      </c>
      <c r="C1469" t="s">
        <v>1322</v>
      </c>
      <c r="E1469">
        <v>0.5</v>
      </c>
      <c r="F1469" t="s">
        <v>1323</v>
      </c>
      <c r="I1469" t="s">
        <v>1324</v>
      </c>
    </row>
    <row r="1470" spans="1:9" x14ac:dyDescent="0.3">
      <c r="A1470" t="s">
        <v>2882</v>
      </c>
      <c r="B1470">
        <v>1561</v>
      </c>
      <c r="C1470" t="s">
        <v>1322</v>
      </c>
      <c r="E1470">
        <v>1</v>
      </c>
      <c r="F1470" t="s">
        <v>1421</v>
      </c>
      <c r="I1470" t="s">
        <v>1324</v>
      </c>
    </row>
    <row r="1471" spans="1:9" x14ac:dyDescent="0.3">
      <c r="A1471" t="s">
        <v>2883</v>
      </c>
      <c r="B1471">
        <v>1562</v>
      </c>
      <c r="C1471" t="s">
        <v>1322</v>
      </c>
      <c r="E1471">
        <v>1</v>
      </c>
      <c r="F1471" t="s">
        <v>1421</v>
      </c>
      <c r="I1471" t="s">
        <v>1324</v>
      </c>
    </row>
    <row r="1472" spans="1:9" x14ac:dyDescent="0.3">
      <c r="A1472" t="s">
        <v>2884</v>
      </c>
      <c r="B1472">
        <v>1563</v>
      </c>
      <c r="C1472" t="s">
        <v>1322</v>
      </c>
      <c r="E1472">
        <v>5.3999999999999999E-2</v>
      </c>
      <c r="F1472" t="s">
        <v>1323</v>
      </c>
      <c r="I1472" t="s">
        <v>1324</v>
      </c>
    </row>
    <row r="1473" spans="1:9" x14ac:dyDescent="0.3">
      <c r="A1473" t="s">
        <v>2885</v>
      </c>
      <c r="B1473">
        <v>1564</v>
      </c>
      <c r="C1473" t="s">
        <v>1322</v>
      </c>
      <c r="E1473">
        <v>1.51</v>
      </c>
      <c r="F1473" t="s">
        <v>1349</v>
      </c>
      <c r="I1473" t="s">
        <v>1324</v>
      </c>
    </row>
    <row r="1474" spans="1:9" x14ac:dyDescent="0.3">
      <c r="A1474" t="s">
        <v>2886</v>
      </c>
      <c r="B1474">
        <v>1565</v>
      </c>
      <c r="C1474" t="s">
        <v>1322</v>
      </c>
      <c r="E1474">
        <v>2.2000000000000002</v>
      </c>
      <c r="F1474" t="s">
        <v>61</v>
      </c>
      <c r="I1474" t="s">
        <v>1324</v>
      </c>
    </row>
    <row r="1475" spans="1:9" x14ac:dyDescent="0.3">
      <c r="A1475" t="s">
        <v>2887</v>
      </c>
      <c r="B1475">
        <v>1566</v>
      </c>
      <c r="C1475" t="s">
        <v>1322</v>
      </c>
      <c r="E1475">
        <v>38.5</v>
      </c>
      <c r="F1475" t="s">
        <v>1349</v>
      </c>
      <c r="I1475" t="s">
        <v>1324</v>
      </c>
    </row>
    <row r="1476" spans="1:9" x14ac:dyDescent="0.3">
      <c r="A1476" t="s">
        <v>2888</v>
      </c>
      <c r="B1476">
        <v>1567</v>
      </c>
      <c r="C1476" t="s">
        <v>1322</v>
      </c>
      <c r="E1476">
        <v>38.5</v>
      </c>
      <c r="F1476" t="s">
        <v>1349</v>
      </c>
      <c r="I1476" t="s">
        <v>1324</v>
      </c>
    </row>
    <row r="1477" spans="1:9" x14ac:dyDescent="0.3">
      <c r="A1477" t="s">
        <v>2889</v>
      </c>
      <c r="B1477">
        <v>1568</v>
      </c>
      <c r="C1477" t="s">
        <v>1322</v>
      </c>
      <c r="E1477">
        <v>38.5</v>
      </c>
      <c r="F1477" t="s">
        <v>1349</v>
      </c>
      <c r="I1477" t="s">
        <v>1324</v>
      </c>
    </row>
    <row r="1478" spans="1:9" x14ac:dyDescent="0.3">
      <c r="A1478" t="s">
        <v>2890</v>
      </c>
      <c r="B1478">
        <v>1569</v>
      </c>
      <c r="C1478" t="s">
        <v>1322</v>
      </c>
      <c r="E1478">
        <v>38.5</v>
      </c>
      <c r="F1478" t="s">
        <v>1349</v>
      </c>
      <c r="I1478" t="s">
        <v>1324</v>
      </c>
    </row>
    <row r="1479" spans="1:9" x14ac:dyDescent="0.3">
      <c r="A1479" t="s">
        <v>2891</v>
      </c>
      <c r="B1479">
        <v>1570</v>
      </c>
      <c r="C1479" t="s">
        <v>1322</v>
      </c>
      <c r="E1479">
        <v>38.5</v>
      </c>
      <c r="F1479" t="s">
        <v>1349</v>
      </c>
      <c r="I1479" t="s">
        <v>1324</v>
      </c>
    </row>
    <row r="1480" spans="1:9" x14ac:dyDescent="0.3">
      <c r="A1480" t="s">
        <v>2892</v>
      </c>
      <c r="B1480">
        <v>1571</v>
      </c>
      <c r="C1480" t="s">
        <v>1322</v>
      </c>
      <c r="E1480">
        <v>81</v>
      </c>
      <c r="F1480" t="s">
        <v>1317</v>
      </c>
      <c r="I1480" t="s">
        <v>1324</v>
      </c>
    </row>
    <row r="1481" spans="1:9" x14ac:dyDescent="0.3">
      <c r="A1481" t="s">
        <v>2893</v>
      </c>
      <c r="B1481">
        <v>1573</v>
      </c>
      <c r="C1481" t="s">
        <v>1331</v>
      </c>
      <c r="E1481">
        <v>5</v>
      </c>
      <c r="F1481" t="s">
        <v>61</v>
      </c>
      <c r="I1481" t="s">
        <v>1332</v>
      </c>
    </row>
    <row r="1482" spans="1:9" x14ac:dyDescent="0.3">
      <c r="A1482" t="s">
        <v>2894</v>
      </c>
      <c r="B1482">
        <v>1574</v>
      </c>
      <c r="C1482" t="s">
        <v>1331</v>
      </c>
      <c r="E1482">
        <v>5</v>
      </c>
      <c r="F1482" t="s">
        <v>61</v>
      </c>
      <c r="I1482" t="s">
        <v>1332</v>
      </c>
    </row>
    <row r="1483" spans="1:9" x14ac:dyDescent="0.3">
      <c r="A1483" t="s">
        <v>2895</v>
      </c>
      <c r="B1483">
        <v>1575</v>
      </c>
      <c r="C1483" t="s">
        <v>1331</v>
      </c>
      <c r="E1483">
        <v>5</v>
      </c>
      <c r="F1483" t="s">
        <v>61</v>
      </c>
      <c r="I1483" t="s">
        <v>1332</v>
      </c>
    </row>
    <row r="1484" spans="1:9" x14ac:dyDescent="0.3">
      <c r="A1484" t="s">
        <v>2896</v>
      </c>
      <c r="B1484">
        <v>1576</v>
      </c>
      <c r="C1484" t="s">
        <v>1322</v>
      </c>
      <c r="E1484">
        <v>2</v>
      </c>
      <c r="F1484" t="s">
        <v>1421</v>
      </c>
      <c r="I1484" t="s">
        <v>1324</v>
      </c>
    </row>
    <row r="1485" spans="1:9" x14ac:dyDescent="0.3">
      <c r="A1485" t="s">
        <v>2897</v>
      </c>
      <c r="B1485">
        <v>1577</v>
      </c>
      <c r="C1485" t="s">
        <v>1322</v>
      </c>
      <c r="E1485">
        <v>0.6</v>
      </c>
      <c r="F1485" t="s">
        <v>1349</v>
      </c>
      <c r="I1485" t="s">
        <v>1324</v>
      </c>
    </row>
    <row r="1486" spans="1:9" x14ac:dyDescent="0.3">
      <c r="A1486" t="s">
        <v>2898</v>
      </c>
      <c r="B1486">
        <v>1578</v>
      </c>
      <c r="C1486" t="s">
        <v>1322</v>
      </c>
      <c r="E1486">
        <v>0.6</v>
      </c>
      <c r="F1486" t="s">
        <v>1349</v>
      </c>
      <c r="I1486" t="s">
        <v>1324</v>
      </c>
    </row>
    <row r="1487" spans="1:9" x14ac:dyDescent="0.3">
      <c r="A1487" t="s">
        <v>2899</v>
      </c>
      <c r="B1487">
        <v>1580</v>
      </c>
      <c r="C1487" t="s">
        <v>1322</v>
      </c>
      <c r="E1487">
        <v>430</v>
      </c>
      <c r="F1487" t="s">
        <v>1317</v>
      </c>
      <c r="I1487" t="s">
        <v>1324</v>
      </c>
    </row>
    <row r="1488" spans="1:9" x14ac:dyDescent="0.3">
      <c r="A1488" t="s">
        <v>2900</v>
      </c>
      <c r="B1488">
        <v>1581</v>
      </c>
      <c r="C1488" t="s">
        <v>1322</v>
      </c>
      <c r="E1488">
        <v>13</v>
      </c>
      <c r="F1488" t="s">
        <v>1317</v>
      </c>
      <c r="I1488" t="s">
        <v>1324</v>
      </c>
    </row>
    <row r="1489" spans="1:9" x14ac:dyDescent="0.3">
      <c r="A1489" t="s">
        <v>2901</v>
      </c>
      <c r="B1489">
        <v>1582</v>
      </c>
      <c r="C1489" t="s">
        <v>1322</v>
      </c>
      <c r="E1489">
        <v>225</v>
      </c>
      <c r="F1489" t="s">
        <v>1317</v>
      </c>
      <c r="I1489" t="s">
        <v>1324</v>
      </c>
    </row>
    <row r="1490" spans="1:9" x14ac:dyDescent="0.3">
      <c r="A1490" t="s">
        <v>2902</v>
      </c>
      <c r="B1490">
        <v>1583</v>
      </c>
      <c r="C1490" t="s">
        <v>1322</v>
      </c>
      <c r="E1490">
        <v>225</v>
      </c>
      <c r="F1490" t="s">
        <v>1317</v>
      </c>
      <c r="I1490" t="s">
        <v>1324</v>
      </c>
    </row>
    <row r="1491" spans="1:9" x14ac:dyDescent="0.3">
      <c r="A1491" t="s">
        <v>2903</v>
      </c>
      <c r="B1491">
        <v>1584</v>
      </c>
      <c r="C1491" t="s">
        <v>1322</v>
      </c>
      <c r="E1491">
        <v>56</v>
      </c>
      <c r="F1491" t="s">
        <v>1317</v>
      </c>
      <c r="I1491" t="s">
        <v>1324</v>
      </c>
    </row>
    <row r="1492" spans="1:9" x14ac:dyDescent="0.3">
      <c r="A1492" t="s">
        <v>2904</v>
      </c>
      <c r="B1492">
        <v>1585</v>
      </c>
      <c r="C1492" t="s">
        <v>1322</v>
      </c>
      <c r="E1492">
        <v>62</v>
      </c>
      <c r="F1492" t="s">
        <v>1317</v>
      </c>
      <c r="I1492" t="s">
        <v>1324</v>
      </c>
    </row>
    <row r="1493" spans="1:9" x14ac:dyDescent="0.3">
      <c r="A1493" t="s">
        <v>2905</v>
      </c>
      <c r="B1493">
        <v>1586</v>
      </c>
      <c r="C1493" t="s">
        <v>1322</v>
      </c>
      <c r="E1493">
        <v>87</v>
      </c>
      <c r="F1493" t="s">
        <v>1317</v>
      </c>
      <c r="I1493" t="s">
        <v>1324</v>
      </c>
    </row>
    <row r="1494" spans="1:9" x14ac:dyDescent="0.3">
      <c r="A1494" t="s">
        <v>2906</v>
      </c>
      <c r="B1494">
        <v>1587</v>
      </c>
      <c r="C1494" t="s">
        <v>1322</v>
      </c>
      <c r="E1494">
        <v>156.6</v>
      </c>
      <c r="F1494" t="s">
        <v>1323</v>
      </c>
      <c r="I1494" t="s">
        <v>1324</v>
      </c>
    </row>
    <row r="1495" spans="1:9" x14ac:dyDescent="0.3">
      <c r="A1495" t="s">
        <v>2907</v>
      </c>
      <c r="B1495">
        <v>1588</v>
      </c>
      <c r="C1495" t="s">
        <v>1322</v>
      </c>
      <c r="E1495">
        <v>87</v>
      </c>
      <c r="F1495" t="s">
        <v>1317</v>
      </c>
      <c r="I1495" t="s">
        <v>1324</v>
      </c>
    </row>
    <row r="1496" spans="1:9" x14ac:dyDescent="0.3">
      <c r="A1496" t="s">
        <v>2908</v>
      </c>
      <c r="B1496">
        <v>1589</v>
      </c>
      <c r="C1496" t="s">
        <v>1322</v>
      </c>
      <c r="E1496">
        <v>7.2</v>
      </c>
      <c r="F1496" t="s">
        <v>1317</v>
      </c>
      <c r="I1496" t="s">
        <v>1324</v>
      </c>
    </row>
    <row r="1497" spans="1:9" x14ac:dyDescent="0.3">
      <c r="A1497" t="s">
        <v>2909</v>
      </c>
      <c r="B1497">
        <v>1590</v>
      </c>
      <c r="C1497" t="s">
        <v>1322</v>
      </c>
      <c r="E1497">
        <v>3.4</v>
      </c>
      <c r="F1497" t="s">
        <v>1317</v>
      </c>
      <c r="I1497" t="s">
        <v>1324</v>
      </c>
    </row>
    <row r="1498" spans="1:9" x14ac:dyDescent="0.3">
      <c r="A1498" t="s">
        <v>2910</v>
      </c>
      <c r="B1498">
        <v>1591</v>
      </c>
      <c r="C1498" t="s">
        <v>1322</v>
      </c>
      <c r="E1498">
        <v>34</v>
      </c>
      <c r="F1498" t="s">
        <v>1349</v>
      </c>
      <c r="I1498" t="s">
        <v>1324</v>
      </c>
    </row>
    <row r="1499" spans="1:9" x14ac:dyDescent="0.3">
      <c r="A1499" t="s">
        <v>2911</v>
      </c>
      <c r="B1499">
        <v>1592</v>
      </c>
      <c r="C1499" t="s">
        <v>1322</v>
      </c>
      <c r="E1499">
        <v>34</v>
      </c>
      <c r="F1499" t="s">
        <v>1349</v>
      </c>
      <c r="I1499" t="s">
        <v>1324</v>
      </c>
    </row>
    <row r="1500" spans="1:9" x14ac:dyDescent="0.3">
      <c r="A1500" t="s">
        <v>2912</v>
      </c>
      <c r="B1500">
        <v>1593</v>
      </c>
      <c r="C1500" t="s">
        <v>1322</v>
      </c>
      <c r="E1500">
        <v>34</v>
      </c>
      <c r="F1500" t="s">
        <v>1349</v>
      </c>
      <c r="I1500" t="s">
        <v>1324</v>
      </c>
    </row>
    <row r="1501" spans="1:9" x14ac:dyDescent="0.3">
      <c r="A1501" t="s">
        <v>2913</v>
      </c>
      <c r="B1501">
        <v>1594</v>
      </c>
      <c r="C1501" t="s">
        <v>1322</v>
      </c>
      <c r="E1501">
        <v>27.73</v>
      </c>
      <c r="F1501" t="s">
        <v>1317</v>
      </c>
      <c r="I1501" t="s">
        <v>1324</v>
      </c>
    </row>
    <row r="1502" spans="1:9" x14ac:dyDescent="0.3">
      <c r="A1502" t="s">
        <v>2914</v>
      </c>
      <c r="B1502">
        <v>1595</v>
      </c>
      <c r="C1502" t="s">
        <v>1322</v>
      </c>
      <c r="E1502">
        <v>6.7000000000000004E-2</v>
      </c>
      <c r="F1502" t="s">
        <v>1323</v>
      </c>
      <c r="I1502" t="s">
        <v>1324</v>
      </c>
    </row>
    <row r="1503" spans="1:9" x14ac:dyDescent="0.3">
      <c r="A1503" t="s">
        <v>2915</v>
      </c>
      <c r="B1503">
        <v>1596</v>
      </c>
      <c r="C1503" t="s">
        <v>1322</v>
      </c>
      <c r="E1503">
        <v>3.1589999999999998</v>
      </c>
      <c r="F1503" t="s">
        <v>1323</v>
      </c>
      <c r="I1503" t="s">
        <v>1324</v>
      </c>
    </row>
    <row r="1504" spans="1:9" x14ac:dyDescent="0.3">
      <c r="A1504" t="s">
        <v>2916</v>
      </c>
      <c r="B1504">
        <v>1597</v>
      </c>
      <c r="C1504" t="s">
        <v>1322</v>
      </c>
      <c r="E1504">
        <v>31.4</v>
      </c>
      <c r="F1504" t="s">
        <v>1349</v>
      </c>
      <c r="I1504" t="s">
        <v>1324</v>
      </c>
    </row>
    <row r="1505" spans="1:9" x14ac:dyDescent="0.3">
      <c r="A1505" t="s">
        <v>2917</v>
      </c>
      <c r="B1505">
        <v>1598</v>
      </c>
      <c r="C1505" t="s">
        <v>1322</v>
      </c>
      <c r="E1505">
        <v>31.4</v>
      </c>
      <c r="F1505" t="s">
        <v>1349</v>
      </c>
      <c r="I1505" t="s">
        <v>1324</v>
      </c>
    </row>
    <row r="1506" spans="1:9" x14ac:dyDescent="0.3">
      <c r="A1506" t="s">
        <v>2918</v>
      </c>
      <c r="B1506">
        <v>1599</v>
      </c>
      <c r="C1506" t="s">
        <v>1322</v>
      </c>
      <c r="E1506">
        <v>104.2</v>
      </c>
      <c r="F1506" t="s">
        <v>1349</v>
      </c>
      <c r="I1506" t="s">
        <v>1324</v>
      </c>
    </row>
    <row r="1507" spans="1:9" x14ac:dyDescent="0.3">
      <c r="A1507" t="s">
        <v>2919</v>
      </c>
      <c r="B1507">
        <v>1600</v>
      </c>
      <c r="C1507" t="s">
        <v>1322</v>
      </c>
      <c r="E1507">
        <v>104.2</v>
      </c>
      <c r="F1507" t="s">
        <v>1349</v>
      </c>
      <c r="I1507" t="s">
        <v>1324</v>
      </c>
    </row>
    <row r="1508" spans="1:9" x14ac:dyDescent="0.3">
      <c r="A1508" t="s">
        <v>2920</v>
      </c>
      <c r="B1508">
        <v>1601</v>
      </c>
      <c r="C1508" t="s">
        <v>1322</v>
      </c>
      <c r="E1508">
        <v>2.1</v>
      </c>
      <c r="F1508" t="s">
        <v>1317</v>
      </c>
      <c r="I1508" t="s">
        <v>1324</v>
      </c>
    </row>
    <row r="1509" spans="1:9" x14ac:dyDescent="0.3">
      <c r="A1509" t="s">
        <v>2921</v>
      </c>
      <c r="B1509">
        <v>1602</v>
      </c>
      <c r="C1509" t="s">
        <v>1322</v>
      </c>
      <c r="E1509">
        <v>2.1</v>
      </c>
      <c r="F1509" t="s">
        <v>1317</v>
      </c>
      <c r="I1509" t="s">
        <v>1324</v>
      </c>
    </row>
    <row r="1510" spans="1:9" x14ac:dyDescent="0.3">
      <c r="A1510" t="s">
        <v>2922</v>
      </c>
      <c r="B1510">
        <v>1603</v>
      </c>
      <c r="C1510" t="s">
        <v>1405</v>
      </c>
      <c r="D1510">
        <v>4.13</v>
      </c>
      <c r="E1510">
        <v>4.13</v>
      </c>
      <c r="F1510" t="s">
        <v>1317</v>
      </c>
      <c r="G1510" t="s">
        <v>1318</v>
      </c>
      <c r="H1510" t="s">
        <v>2878</v>
      </c>
      <c r="I1510" t="s">
        <v>2879</v>
      </c>
    </row>
    <row r="1511" spans="1:9" x14ac:dyDescent="0.3">
      <c r="A1511" t="s">
        <v>2923</v>
      </c>
      <c r="B1511">
        <v>1604</v>
      </c>
      <c r="C1511" t="s">
        <v>1322</v>
      </c>
      <c r="E1511">
        <v>2.8000000000000001E-2</v>
      </c>
      <c r="F1511" t="s">
        <v>1323</v>
      </c>
      <c r="I1511" t="s">
        <v>1324</v>
      </c>
    </row>
    <row r="1512" spans="1:9" x14ac:dyDescent="0.3">
      <c r="A1512" t="s">
        <v>2924</v>
      </c>
      <c r="B1512">
        <v>1605</v>
      </c>
      <c r="C1512" t="s">
        <v>1322</v>
      </c>
      <c r="E1512">
        <v>0.5</v>
      </c>
      <c r="F1512" t="s">
        <v>1323</v>
      </c>
      <c r="I1512" t="s">
        <v>1324</v>
      </c>
    </row>
    <row r="1513" spans="1:9" x14ac:dyDescent="0.3">
      <c r="A1513" t="s">
        <v>2925</v>
      </c>
      <c r="B1513">
        <v>1606</v>
      </c>
      <c r="C1513" t="s">
        <v>1322</v>
      </c>
      <c r="E1513">
        <v>1</v>
      </c>
      <c r="F1513" t="s">
        <v>1421</v>
      </c>
      <c r="I1513" t="s">
        <v>1324</v>
      </c>
    </row>
    <row r="1514" spans="1:9" x14ac:dyDescent="0.3">
      <c r="A1514" t="s">
        <v>2926</v>
      </c>
      <c r="B1514">
        <v>1607</v>
      </c>
      <c r="C1514" t="s">
        <v>1322</v>
      </c>
      <c r="E1514">
        <v>1</v>
      </c>
      <c r="F1514" t="s">
        <v>1421</v>
      </c>
      <c r="I1514" t="s">
        <v>1324</v>
      </c>
    </row>
    <row r="1515" spans="1:9" x14ac:dyDescent="0.3">
      <c r="A1515" t="s">
        <v>2927</v>
      </c>
      <c r="B1515">
        <v>1608</v>
      </c>
      <c r="C1515" t="s">
        <v>1322</v>
      </c>
      <c r="E1515">
        <v>5.3999999999999999E-2</v>
      </c>
      <c r="F1515" t="s">
        <v>1323</v>
      </c>
      <c r="I1515" t="s">
        <v>1324</v>
      </c>
    </row>
    <row r="1516" spans="1:9" x14ac:dyDescent="0.3">
      <c r="A1516" t="s">
        <v>2928</v>
      </c>
      <c r="B1516">
        <v>1609</v>
      </c>
      <c r="C1516" t="s">
        <v>1322</v>
      </c>
      <c r="E1516">
        <v>1.51</v>
      </c>
      <c r="F1516" t="s">
        <v>1349</v>
      </c>
      <c r="I1516" t="s">
        <v>1324</v>
      </c>
    </row>
    <row r="1517" spans="1:9" x14ac:dyDescent="0.3">
      <c r="A1517" t="s">
        <v>2929</v>
      </c>
      <c r="B1517">
        <v>1610</v>
      </c>
      <c r="C1517" t="s">
        <v>1322</v>
      </c>
      <c r="E1517">
        <v>2.2000000000000002</v>
      </c>
      <c r="F1517" t="s">
        <v>61</v>
      </c>
      <c r="I1517" t="s">
        <v>1324</v>
      </c>
    </row>
    <row r="1518" spans="1:9" x14ac:dyDescent="0.3">
      <c r="A1518" t="s">
        <v>2930</v>
      </c>
      <c r="B1518">
        <v>1611</v>
      </c>
      <c r="C1518" t="s">
        <v>1322</v>
      </c>
      <c r="E1518">
        <v>38.5</v>
      </c>
      <c r="F1518" t="s">
        <v>1349</v>
      </c>
      <c r="I1518" t="s">
        <v>1324</v>
      </c>
    </row>
    <row r="1519" spans="1:9" x14ac:dyDescent="0.3">
      <c r="A1519" t="s">
        <v>2931</v>
      </c>
      <c r="B1519">
        <v>1612</v>
      </c>
      <c r="C1519" t="s">
        <v>1322</v>
      </c>
      <c r="E1519">
        <v>38.5</v>
      </c>
      <c r="F1519" t="s">
        <v>1349</v>
      </c>
      <c r="I1519" t="s">
        <v>1324</v>
      </c>
    </row>
    <row r="1520" spans="1:9" x14ac:dyDescent="0.3">
      <c r="A1520" t="s">
        <v>2932</v>
      </c>
      <c r="B1520">
        <v>1613</v>
      </c>
      <c r="C1520" t="s">
        <v>1322</v>
      </c>
      <c r="E1520">
        <v>38.5</v>
      </c>
      <c r="F1520" t="s">
        <v>1349</v>
      </c>
      <c r="I1520" t="s">
        <v>1324</v>
      </c>
    </row>
    <row r="1521" spans="1:9" x14ac:dyDescent="0.3">
      <c r="A1521" t="s">
        <v>2933</v>
      </c>
      <c r="B1521">
        <v>1614</v>
      </c>
      <c r="C1521" t="s">
        <v>1322</v>
      </c>
      <c r="E1521">
        <v>38.5</v>
      </c>
      <c r="F1521" t="s">
        <v>1349</v>
      </c>
      <c r="I1521" t="s">
        <v>1324</v>
      </c>
    </row>
    <row r="1522" spans="1:9" x14ac:dyDescent="0.3">
      <c r="A1522" t="s">
        <v>2934</v>
      </c>
      <c r="B1522">
        <v>1615</v>
      </c>
      <c r="C1522" t="s">
        <v>1322</v>
      </c>
      <c r="E1522">
        <v>38.5</v>
      </c>
      <c r="F1522" t="s">
        <v>1349</v>
      </c>
      <c r="I1522" t="s">
        <v>1324</v>
      </c>
    </row>
    <row r="1523" spans="1:9" x14ac:dyDescent="0.3">
      <c r="A1523" t="s">
        <v>2935</v>
      </c>
      <c r="B1523">
        <v>1616</v>
      </c>
      <c r="C1523" t="s">
        <v>1322</v>
      </c>
      <c r="E1523">
        <v>81</v>
      </c>
      <c r="F1523" t="s">
        <v>1317</v>
      </c>
      <c r="I1523" t="s">
        <v>1324</v>
      </c>
    </row>
    <row r="1524" spans="1:9" x14ac:dyDescent="0.3">
      <c r="A1524" t="s">
        <v>2936</v>
      </c>
      <c r="B1524">
        <v>1618</v>
      </c>
      <c r="C1524" t="s">
        <v>1331</v>
      </c>
      <c r="E1524">
        <v>5</v>
      </c>
      <c r="F1524" t="s">
        <v>61</v>
      </c>
      <c r="I1524" t="s">
        <v>1332</v>
      </c>
    </row>
    <row r="1525" spans="1:9" x14ac:dyDescent="0.3">
      <c r="A1525" t="s">
        <v>2937</v>
      </c>
      <c r="B1525">
        <v>1619</v>
      </c>
      <c r="C1525" t="s">
        <v>1331</v>
      </c>
      <c r="E1525">
        <v>5</v>
      </c>
      <c r="F1525" t="s">
        <v>61</v>
      </c>
      <c r="I1525" t="s">
        <v>1332</v>
      </c>
    </row>
    <row r="1526" spans="1:9" x14ac:dyDescent="0.3">
      <c r="A1526" t="s">
        <v>2938</v>
      </c>
      <c r="B1526">
        <v>1620</v>
      </c>
      <c r="C1526" t="s">
        <v>1331</v>
      </c>
      <c r="E1526">
        <v>5</v>
      </c>
      <c r="F1526" t="s">
        <v>61</v>
      </c>
      <c r="I1526" t="s">
        <v>1332</v>
      </c>
    </row>
    <row r="1527" spans="1:9" x14ac:dyDescent="0.3">
      <c r="A1527" t="s">
        <v>2939</v>
      </c>
      <c r="B1527">
        <v>1621</v>
      </c>
      <c r="C1527" t="s">
        <v>1322</v>
      </c>
      <c r="E1527">
        <v>2</v>
      </c>
      <c r="F1527" t="s">
        <v>1421</v>
      </c>
      <c r="I1527" t="s">
        <v>1324</v>
      </c>
    </row>
    <row r="1528" spans="1:9" x14ac:dyDescent="0.3">
      <c r="A1528" t="s">
        <v>2940</v>
      </c>
      <c r="B1528">
        <v>1622</v>
      </c>
      <c r="C1528" t="s">
        <v>1322</v>
      </c>
      <c r="E1528">
        <v>0.6</v>
      </c>
      <c r="F1528" t="s">
        <v>1349</v>
      </c>
      <c r="I1528" t="s">
        <v>1324</v>
      </c>
    </row>
    <row r="1529" spans="1:9" x14ac:dyDescent="0.3">
      <c r="A1529" t="s">
        <v>2941</v>
      </c>
      <c r="B1529">
        <v>1623</v>
      </c>
      <c r="C1529" t="s">
        <v>1322</v>
      </c>
      <c r="E1529">
        <v>0.6</v>
      </c>
      <c r="F1529" t="s">
        <v>1349</v>
      </c>
      <c r="I1529" t="s">
        <v>1324</v>
      </c>
    </row>
    <row r="1530" spans="1:9" x14ac:dyDescent="0.3">
      <c r="A1530" t="s">
        <v>2942</v>
      </c>
      <c r="B1530">
        <v>1625</v>
      </c>
      <c r="C1530" t="s">
        <v>1322</v>
      </c>
      <c r="E1530">
        <v>143</v>
      </c>
      <c r="F1530" t="s">
        <v>1317</v>
      </c>
      <c r="I1530" t="s">
        <v>1324</v>
      </c>
    </row>
    <row r="1531" spans="1:9" x14ac:dyDescent="0.3">
      <c r="A1531" t="s">
        <v>2943</v>
      </c>
      <c r="B1531">
        <v>1626</v>
      </c>
      <c r="C1531" t="s">
        <v>1331</v>
      </c>
      <c r="E1531">
        <v>4</v>
      </c>
      <c r="F1531" t="s">
        <v>1317</v>
      </c>
      <c r="I1531" t="s">
        <v>1332</v>
      </c>
    </row>
    <row r="1532" spans="1:9" x14ac:dyDescent="0.3">
      <c r="A1532" t="s">
        <v>2944</v>
      </c>
      <c r="B1532">
        <v>1627</v>
      </c>
      <c r="C1532" t="s">
        <v>1322</v>
      </c>
      <c r="E1532">
        <v>147</v>
      </c>
      <c r="F1532" t="s">
        <v>1317</v>
      </c>
      <c r="I1532" t="s">
        <v>1324</v>
      </c>
    </row>
    <row r="1533" spans="1:9" x14ac:dyDescent="0.3">
      <c r="A1533" t="s">
        <v>2945</v>
      </c>
      <c r="B1533">
        <v>1628</v>
      </c>
      <c r="C1533" t="s">
        <v>1322</v>
      </c>
      <c r="E1533">
        <v>86</v>
      </c>
      <c r="F1533" t="s">
        <v>1317</v>
      </c>
      <c r="I1533" t="s">
        <v>1324</v>
      </c>
    </row>
    <row r="1534" spans="1:9" x14ac:dyDescent="0.3">
      <c r="A1534" t="s">
        <v>2946</v>
      </c>
      <c r="B1534">
        <v>1629</v>
      </c>
      <c r="C1534" t="s">
        <v>1322</v>
      </c>
      <c r="E1534">
        <v>21</v>
      </c>
      <c r="F1534" t="s">
        <v>1317</v>
      </c>
      <c r="I1534" t="s">
        <v>1324</v>
      </c>
    </row>
    <row r="1535" spans="1:9" x14ac:dyDescent="0.3">
      <c r="A1535" t="s">
        <v>2947</v>
      </c>
      <c r="B1535">
        <v>1630</v>
      </c>
      <c r="C1535" t="s">
        <v>1322</v>
      </c>
      <c r="E1535">
        <v>86</v>
      </c>
      <c r="F1535" t="s">
        <v>1317</v>
      </c>
      <c r="I1535" t="s">
        <v>1324</v>
      </c>
    </row>
    <row r="1536" spans="1:9" x14ac:dyDescent="0.3">
      <c r="A1536" t="s">
        <v>2948</v>
      </c>
      <c r="B1536">
        <v>1631</v>
      </c>
      <c r="C1536" t="s">
        <v>1322</v>
      </c>
      <c r="E1536">
        <v>26</v>
      </c>
      <c r="F1536" t="s">
        <v>1317</v>
      </c>
      <c r="I1536" t="s">
        <v>1324</v>
      </c>
    </row>
    <row r="1537" spans="1:9" x14ac:dyDescent="0.3">
      <c r="A1537" t="s">
        <v>2949</v>
      </c>
      <c r="B1537">
        <v>1632</v>
      </c>
      <c r="C1537" t="s">
        <v>1322</v>
      </c>
      <c r="E1537">
        <v>3.2</v>
      </c>
      <c r="F1537" t="s">
        <v>1317</v>
      </c>
      <c r="I1537" t="s">
        <v>1324</v>
      </c>
    </row>
    <row r="1538" spans="1:9" x14ac:dyDescent="0.3">
      <c r="A1538" t="s">
        <v>2950</v>
      </c>
      <c r="B1538">
        <v>1633</v>
      </c>
      <c r="C1538" t="s">
        <v>1322</v>
      </c>
      <c r="E1538">
        <v>1.44</v>
      </c>
      <c r="F1538" t="s">
        <v>1317</v>
      </c>
      <c r="I1538" t="s">
        <v>1324</v>
      </c>
    </row>
    <row r="1539" spans="1:9" x14ac:dyDescent="0.3">
      <c r="A1539" t="s">
        <v>2951</v>
      </c>
      <c r="B1539">
        <v>1634</v>
      </c>
      <c r="C1539" t="s">
        <v>1322</v>
      </c>
      <c r="E1539">
        <v>14.4</v>
      </c>
      <c r="F1539" t="s">
        <v>1349</v>
      </c>
      <c r="I1539" t="s">
        <v>1324</v>
      </c>
    </row>
    <row r="1540" spans="1:9" x14ac:dyDescent="0.3">
      <c r="A1540" t="s">
        <v>2952</v>
      </c>
      <c r="B1540">
        <v>1635</v>
      </c>
      <c r="C1540" t="s">
        <v>1322</v>
      </c>
      <c r="E1540">
        <v>14.4</v>
      </c>
      <c r="F1540" t="s">
        <v>1349</v>
      </c>
      <c r="I1540" t="s">
        <v>1324</v>
      </c>
    </row>
    <row r="1541" spans="1:9" x14ac:dyDescent="0.3">
      <c r="A1541" t="s">
        <v>2953</v>
      </c>
      <c r="B1541">
        <v>1636</v>
      </c>
      <c r="C1541" t="s">
        <v>1322</v>
      </c>
      <c r="E1541">
        <v>14.4</v>
      </c>
      <c r="F1541" t="s">
        <v>1349</v>
      </c>
      <c r="I1541" t="s">
        <v>1324</v>
      </c>
    </row>
    <row r="1542" spans="1:9" x14ac:dyDescent="0.3">
      <c r="A1542" t="s">
        <v>2954</v>
      </c>
      <c r="B1542">
        <v>1637</v>
      </c>
      <c r="C1542" t="s">
        <v>1405</v>
      </c>
      <c r="D1542">
        <v>14.49</v>
      </c>
      <c r="E1542">
        <v>14.49</v>
      </c>
      <c r="F1542" t="s">
        <v>1317</v>
      </c>
      <c r="G1542" t="s">
        <v>1386</v>
      </c>
      <c r="H1542" t="s">
        <v>2955</v>
      </c>
      <c r="I1542" t="s">
        <v>2956</v>
      </c>
    </row>
    <row r="1543" spans="1:9" x14ac:dyDescent="0.3">
      <c r="A1543" t="s">
        <v>2957</v>
      </c>
      <c r="B1543">
        <v>1638</v>
      </c>
      <c r="C1543" t="s">
        <v>1322</v>
      </c>
      <c r="E1543">
        <v>3.3000000000000002E-2</v>
      </c>
      <c r="F1543" t="s">
        <v>1323</v>
      </c>
      <c r="I1543" t="s">
        <v>1324</v>
      </c>
    </row>
    <row r="1544" spans="1:9" x14ac:dyDescent="0.3">
      <c r="A1544" t="s">
        <v>2958</v>
      </c>
      <c r="B1544">
        <v>1639</v>
      </c>
      <c r="C1544" t="s">
        <v>1322</v>
      </c>
      <c r="E1544">
        <v>1.64</v>
      </c>
      <c r="F1544" t="s">
        <v>1323</v>
      </c>
      <c r="I1544" t="s">
        <v>1324</v>
      </c>
    </row>
    <row r="1545" spans="1:9" x14ac:dyDescent="0.3">
      <c r="A1545" t="s">
        <v>2959</v>
      </c>
      <c r="B1545">
        <v>1640</v>
      </c>
      <c r="C1545" t="s">
        <v>1322</v>
      </c>
      <c r="E1545">
        <v>9</v>
      </c>
      <c r="F1545" t="s">
        <v>1349</v>
      </c>
      <c r="I1545" t="s">
        <v>1324</v>
      </c>
    </row>
    <row r="1546" spans="1:9" x14ac:dyDescent="0.3">
      <c r="A1546" t="s">
        <v>2960</v>
      </c>
      <c r="B1546">
        <v>1641</v>
      </c>
      <c r="C1546" t="s">
        <v>1322</v>
      </c>
      <c r="E1546">
        <v>14.4</v>
      </c>
      <c r="F1546" t="s">
        <v>1349</v>
      </c>
      <c r="I1546" t="s">
        <v>1324</v>
      </c>
    </row>
    <row r="1547" spans="1:9" x14ac:dyDescent="0.3">
      <c r="A1547" t="s">
        <v>2961</v>
      </c>
      <c r="B1547">
        <v>1642</v>
      </c>
      <c r="C1547" t="s">
        <v>1322</v>
      </c>
      <c r="E1547">
        <v>52.9</v>
      </c>
      <c r="F1547" t="s">
        <v>1349</v>
      </c>
      <c r="I1547" t="s">
        <v>1324</v>
      </c>
    </row>
    <row r="1548" spans="1:9" x14ac:dyDescent="0.3">
      <c r="A1548" t="s">
        <v>2962</v>
      </c>
      <c r="B1548">
        <v>1643</v>
      </c>
      <c r="C1548" t="s">
        <v>1322</v>
      </c>
      <c r="E1548">
        <v>1.06</v>
      </c>
      <c r="F1548" t="s">
        <v>1317</v>
      </c>
      <c r="I1548" t="s">
        <v>1324</v>
      </c>
    </row>
    <row r="1549" spans="1:9" x14ac:dyDescent="0.3">
      <c r="A1549" t="s">
        <v>2963</v>
      </c>
      <c r="B1549">
        <v>1644</v>
      </c>
      <c r="C1549" t="s">
        <v>1322</v>
      </c>
      <c r="E1549">
        <v>1.06</v>
      </c>
      <c r="F1549" t="s">
        <v>1317</v>
      </c>
      <c r="I1549" t="s">
        <v>1324</v>
      </c>
    </row>
    <row r="1550" spans="1:9" x14ac:dyDescent="0.3">
      <c r="A1550" t="s">
        <v>2964</v>
      </c>
      <c r="B1550">
        <v>1645</v>
      </c>
      <c r="C1550" t="s">
        <v>1322</v>
      </c>
      <c r="E1550">
        <v>52.9</v>
      </c>
      <c r="F1550" t="s">
        <v>1349</v>
      </c>
      <c r="I1550" t="s">
        <v>1324</v>
      </c>
    </row>
    <row r="1551" spans="1:9" x14ac:dyDescent="0.3">
      <c r="A1551" t="s">
        <v>2965</v>
      </c>
      <c r="B1551">
        <v>1646</v>
      </c>
      <c r="C1551" t="s">
        <v>1405</v>
      </c>
      <c r="D1551">
        <v>1.58</v>
      </c>
      <c r="E1551">
        <v>1.58</v>
      </c>
      <c r="F1551" t="s">
        <v>1317</v>
      </c>
      <c r="G1551" t="s">
        <v>1318</v>
      </c>
      <c r="H1551" t="s">
        <v>2955</v>
      </c>
      <c r="I1551" t="s">
        <v>2966</v>
      </c>
    </row>
    <row r="1552" spans="1:9" x14ac:dyDescent="0.3">
      <c r="A1552" t="s">
        <v>2967</v>
      </c>
      <c r="B1552">
        <v>1647</v>
      </c>
      <c r="C1552" t="s">
        <v>1322</v>
      </c>
      <c r="E1552">
        <v>1.0999999999999999E-2</v>
      </c>
      <c r="F1552" t="s">
        <v>1323</v>
      </c>
      <c r="I1552" t="s">
        <v>1324</v>
      </c>
    </row>
    <row r="1553" spans="1:9" x14ac:dyDescent="0.3">
      <c r="A1553" t="s">
        <v>2968</v>
      </c>
      <c r="B1553">
        <v>1648</v>
      </c>
      <c r="C1553" t="s">
        <v>1322</v>
      </c>
      <c r="E1553">
        <v>0.19700000000000001</v>
      </c>
      <c r="F1553" t="s">
        <v>1323</v>
      </c>
      <c r="I1553" t="s">
        <v>1324</v>
      </c>
    </row>
    <row r="1554" spans="1:9" x14ac:dyDescent="0.3">
      <c r="A1554" t="s">
        <v>2969</v>
      </c>
      <c r="B1554">
        <v>1649</v>
      </c>
      <c r="C1554" t="s">
        <v>1405</v>
      </c>
      <c r="D1554">
        <v>3</v>
      </c>
      <c r="E1554">
        <v>3</v>
      </c>
      <c r="F1554" t="s">
        <v>1421</v>
      </c>
      <c r="G1554" t="s">
        <v>1318</v>
      </c>
      <c r="H1554" t="s">
        <v>2970</v>
      </c>
      <c r="I1554" t="s">
        <v>2971</v>
      </c>
    </row>
    <row r="1555" spans="1:9" x14ac:dyDescent="0.3">
      <c r="A1555" t="s">
        <v>2972</v>
      </c>
      <c r="B1555">
        <v>1650</v>
      </c>
      <c r="C1555" t="s">
        <v>1322</v>
      </c>
      <c r="E1555">
        <v>1</v>
      </c>
      <c r="F1555" t="s">
        <v>1421</v>
      </c>
      <c r="I1555" t="s">
        <v>1324</v>
      </c>
    </row>
    <row r="1556" spans="1:9" x14ac:dyDescent="0.3">
      <c r="A1556" t="s">
        <v>2973</v>
      </c>
      <c r="B1556">
        <v>1651</v>
      </c>
      <c r="C1556" t="s">
        <v>1322</v>
      </c>
      <c r="E1556">
        <v>1</v>
      </c>
      <c r="F1556" t="s">
        <v>1421</v>
      </c>
      <c r="I1556" t="s">
        <v>1324</v>
      </c>
    </row>
    <row r="1557" spans="1:9" x14ac:dyDescent="0.3">
      <c r="A1557" t="s">
        <v>2974</v>
      </c>
      <c r="B1557">
        <v>1652</v>
      </c>
      <c r="C1557" t="s">
        <v>1322</v>
      </c>
      <c r="E1557">
        <v>4.1000000000000002E-2</v>
      </c>
      <c r="F1557" t="s">
        <v>1323</v>
      </c>
      <c r="I1557" t="s">
        <v>1324</v>
      </c>
    </row>
    <row r="1558" spans="1:9" x14ac:dyDescent="0.3">
      <c r="A1558" t="s">
        <v>2975</v>
      </c>
      <c r="B1558">
        <v>1653</v>
      </c>
      <c r="C1558" t="s">
        <v>1322</v>
      </c>
      <c r="E1558">
        <v>2.6</v>
      </c>
      <c r="F1558" t="s">
        <v>1349</v>
      </c>
      <c r="I1558" t="s">
        <v>1324</v>
      </c>
    </row>
    <row r="1559" spans="1:9" x14ac:dyDescent="0.3">
      <c r="A1559" t="s">
        <v>2976</v>
      </c>
      <c r="B1559">
        <v>1654</v>
      </c>
      <c r="C1559" t="s">
        <v>1322</v>
      </c>
      <c r="E1559">
        <v>1.8</v>
      </c>
      <c r="F1559" t="s">
        <v>61</v>
      </c>
      <c r="I1559" t="s">
        <v>1324</v>
      </c>
    </row>
    <row r="1560" spans="1:9" x14ac:dyDescent="0.3">
      <c r="A1560" t="s">
        <v>2977</v>
      </c>
      <c r="B1560">
        <v>1655</v>
      </c>
      <c r="C1560" t="s">
        <v>1322</v>
      </c>
      <c r="E1560">
        <v>12.8</v>
      </c>
      <c r="F1560" t="s">
        <v>1349</v>
      </c>
      <c r="I1560" t="s">
        <v>1324</v>
      </c>
    </row>
    <row r="1561" spans="1:9" x14ac:dyDescent="0.3">
      <c r="A1561" t="s">
        <v>2978</v>
      </c>
      <c r="B1561">
        <v>1656</v>
      </c>
      <c r="C1561" t="s">
        <v>1322</v>
      </c>
      <c r="E1561">
        <v>12.8</v>
      </c>
      <c r="F1561" t="s">
        <v>1349</v>
      </c>
      <c r="I1561" t="s">
        <v>1324</v>
      </c>
    </row>
    <row r="1562" spans="1:9" x14ac:dyDescent="0.3">
      <c r="A1562" t="s">
        <v>2979</v>
      </c>
      <c r="B1562">
        <v>1657</v>
      </c>
      <c r="C1562" t="s">
        <v>1322</v>
      </c>
      <c r="E1562">
        <v>12.8</v>
      </c>
      <c r="F1562" t="s">
        <v>1349</v>
      </c>
      <c r="I1562" t="s">
        <v>1324</v>
      </c>
    </row>
    <row r="1563" spans="1:9" x14ac:dyDescent="0.3">
      <c r="A1563" t="s">
        <v>2980</v>
      </c>
      <c r="B1563">
        <v>1658</v>
      </c>
      <c r="C1563" t="s">
        <v>1322</v>
      </c>
      <c r="E1563">
        <v>12.8</v>
      </c>
      <c r="F1563" t="s">
        <v>1349</v>
      </c>
      <c r="I1563" t="s">
        <v>1324</v>
      </c>
    </row>
    <row r="1564" spans="1:9" x14ac:dyDescent="0.3">
      <c r="A1564" t="s">
        <v>2981</v>
      </c>
      <c r="B1564">
        <v>1659</v>
      </c>
      <c r="C1564" t="s">
        <v>1322</v>
      </c>
      <c r="E1564">
        <v>12.8</v>
      </c>
      <c r="F1564" t="s">
        <v>1349</v>
      </c>
      <c r="I1564" t="s">
        <v>1324</v>
      </c>
    </row>
    <row r="1565" spans="1:9" x14ac:dyDescent="0.3">
      <c r="A1565" t="s">
        <v>2982</v>
      </c>
      <c r="B1565">
        <v>1660</v>
      </c>
      <c r="C1565" t="s">
        <v>1322</v>
      </c>
      <c r="E1565">
        <v>27</v>
      </c>
      <c r="F1565" t="s">
        <v>1317</v>
      </c>
      <c r="I1565" t="s">
        <v>1324</v>
      </c>
    </row>
    <row r="1566" spans="1:9" x14ac:dyDescent="0.3">
      <c r="A1566" t="s">
        <v>2983</v>
      </c>
      <c r="B1566">
        <v>1662</v>
      </c>
      <c r="C1566" t="s">
        <v>1322</v>
      </c>
      <c r="E1566">
        <v>5</v>
      </c>
      <c r="F1566" t="s">
        <v>61</v>
      </c>
      <c r="I1566" t="s">
        <v>1324</v>
      </c>
    </row>
    <row r="1567" spans="1:9" x14ac:dyDescent="0.3">
      <c r="A1567" t="s">
        <v>2984</v>
      </c>
      <c r="B1567">
        <v>1663</v>
      </c>
      <c r="C1567" t="s">
        <v>1322</v>
      </c>
      <c r="E1567">
        <v>5</v>
      </c>
      <c r="F1567" t="s">
        <v>61</v>
      </c>
      <c r="I1567" t="s">
        <v>1324</v>
      </c>
    </row>
    <row r="1568" spans="1:9" x14ac:dyDescent="0.3">
      <c r="A1568" t="s">
        <v>2985</v>
      </c>
      <c r="B1568">
        <v>1664</v>
      </c>
      <c r="C1568" t="s">
        <v>1322</v>
      </c>
      <c r="E1568">
        <v>5</v>
      </c>
      <c r="F1568" t="s">
        <v>61</v>
      </c>
      <c r="I1568" t="s">
        <v>1324</v>
      </c>
    </row>
    <row r="1569" spans="1:9" x14ac:dyDescent="0.3">
      <c r="A1569" t="s">
        <v>2986</v>
      </c>
      <c r="B1569">
        <v>1665</v>
      </c>
      <c r="C1569" t="s">
        <v>1322</v>
      </c>
      <c r="E1569">
        <v>2</v>
      </c>
      <c r="F1569" t="s">
        <v>1421</v>
      </c>
      <c r="I1569" t="s">
        <v>1324</v>
      </c>
    </row>
    <row r="1570" spans="1:9" x14ac:dyDescent="0.3">
      <c r="A1570" t="s">
        <v>2987</v>
      </c>
      <c r="B1570">
        <v>1666</v>
      </c>
      <c r="C1570" t="s">
        <v>1322</v>
      </c>
      <c r="E1570">
        <v>1</v>
      </c>
      <c r="F1570" t="s">
        <v>1421</v>
      </c>
      <c r="I1570" t="s">
        <v>1324</v>
      </c>
    </row>
    <row r="1571" spans="1:9" x14ac:dyDescent="0.3">
      <c r="A1571" t="s">
        <v>2988</v>
      </c>
      <c r="B1571">
        <v>1667</v>
      </c>
      <c r="C1571" t="s">
        <v>1322</v>
      </c>
      <c r="E1571">
        <v>6</v>
      </c>
      <c r="F1571" t="s">
        <v>61</v>
      </c>
      <c r="I1571" t="s">
        <v>1324</v>
      </c>
    </row>
    <row r="1572" spans="1:9" x14ac:dyDescent="0.3">
      <c r="A1572" t="s">
        <v>2989</v>
      </c>
      <c r="B1572">
        <v>1668</v>
      </c>
      <c r="C1572" t="s">
        <v>1322</v>
      </c>
      <c r="E1572">
        <v>6</v>
      </c>
      <c r="F1572" t="s">
        <v>61</v>
      </c>
      <c r="I1572" t="s">
        <v>1324</v>
      </c>
    </row>
    <row r="1573" spans="1:9" x14ac:dyDescent="0.3">
      <c r="A1573" t="s">
        <v>2990</v>
      </c>
      <c r="B1573">
        <v>1669</v>
      </c>
      <c r="C1573" t="s">
        <v>1322</v>
      </c>
      <c r="E1573">
        <v>6</v>
      </c>
      <c r="F1573" t="s">
        <v>61</v>
      </c>
      <c r="I1573" t="s">
        <v>1324</v>
      </c>
    </row>
    <row r="1574" spans="1:9" x14ac:dyDescent="0.3">
      <c r="A1574" t="s">
        <v>2991</v>
      </c>
      <c r="B1574">
        <v>1670</v>
      </c>
      <c r="C1574" t="s">
        <v>1322</v>
      </c>
      <c r="E1574">
        <v>1</v>
      </c>
      <c r="F1574" t="s">
        <v>1421</v>
      </c>
      <c r="I1574" t="s">
        <v>1324</v>
      </c>
    </row>
    <row r="1575" spans="1:9" x14ac:dyDescent="0.3">
      <c r="A1575" t="s">
        <v>2992</v>
      </c>
      <c r="B1575">
        <v>1671</v>
      </c>
      <c r="C1575" t="s">
        <v>1322</v>
      </c>
      <c r="E1575">
        <v>1</v>
      </c>
      <c r="F1575" t="s">
        <v>1421</v>
      </c>
      <c r="I1575" t="s">
        <v>1324</v>
      </c>
    </row>
    <row r="1576" spans="1:9" x14ac:dyDescent="0.3">
      <c r="A1576" t="s">
        <v>2993</v>
      </c>
      <c r="B1576">
        <v>1672</v>
      </c>
      <c r="C1576" t="s">
        <v>1322</v>
      </c>
      <c r="E1576">
        <v>5</v>
      </c>
      <c r="F1576" t="s">
        <v>61</v>
      </c>
      <c r="I1576" t="s">
        <v>1324</v>
      </c>
    </row>
    <row r="1577" spans="1:9" x14ac:dyDescent="0.3">
      <c r="A1577" t="s">
        <v>2994</v>
      </c>
      <c r="B1577">
        <v>1673</v>
      </c>
      <c r="C1577" t="s">
        <v>1322</v>
      </c>
      <c r="E1577">
        <v>5</v>
      </c>
      <c r="F1577" t="s">
        <v>61</v>
      </c>
      <c r="I1577" t="s">
        <v>1324</v>
      </c>
    </row>
    <row r="1578" spans="1:9" x14ac:dyDescent="0.3">
      <c r="A1578" t="s">
        <v>2995</v>
      </c>
      <c r="B1578">
        <v>1674</v>
      </c>
      <c r="C1578" t="s">
        <v>1322</v>
      </c>
      <c r="E1578">
        <v>5</v>
      </c>
      <c r="F1578" t="s">
        <v>61</v>
      </c>
      <c r="I1578" t="s">
        <v>1324</v>
      </c>
    </row>
    <row r="1579" spans="1:9" x14ac:dyDescent="0.3">
      <c r="A1579" t="s">
        <v>2996</v>
      </c>
      <c r="B1579">
        <v>1675</v>
      </c>
      <c r="C1579" t="s">
        <v>1322</v>
      </c>
      <c r="E1579">
        <v>13</v>
      </c>
      <c r="F1579" t="s">
        <v>61</v>
      </c>
      <c r="I1579" t="s">
        <v>1324</v>
      </c>
    </row>
    <row r="1580" spans="1:9" x14ac:dyDescent="0.3">
      <c r="A1580" t="s">
        <v>2997</v>
      </c>
      <c r="B1580">
        <v>1676</v>
      </c>
      <c r="C1580" t="s">
        <v>1322</v>
      </c>
      <c r="E1580">
        <v>13</v>
      </c>
      <c r="F1580" t="s">
        <v>61</v>
      </c>
      <c r="I1580" t="s">
        <v>1324</v>
      </c>
    </row>
    <row r="1581" spans="1:9" x14ac:dyDescent="0.3">
      <c r="A1581" t="s">
        <v>2998</v>
      </c>
      <c r="B1581">
        <v>1677</v>
      </c>
      <c r="C1581" t="s">
        <v>1322</v>
      </c>
      <c r="E1581">
        <v>13</v>
      </c>
      <c r="F1581" t="s">
        <v>61</v>
      </c>
      <c r="I1581" t="s">
        <v>1324</v>
      </c>
    </row>
    <row r="1582" spans="1:9" x14ac:dyDescent="0.3">
      <c r="A1582" t="s">
        <v>2999</v>
      </c>
      <c r="B1582">
        <v>1678</v>
      </c>
      <c r="C1582" t="s">
        <v>1322</v>
      </c>
      <c r="E1582">
        <v>1</v>
      </c>
      <c r="F1582" t="s">
        <v>1421</v>
      </c>
      <c r="I1582" t="s">
        <v>1324</v>
      </c>
    </row>
    <row r="1583" spans="1:9" x14ac:dyDescent="0.3">
      <c r="A1583" t="s">
        <v>3000</v>
      </c>
      <c r="B1583">
        <v>1679</v>
      </c>
      <c r="C1583" t="s">
        <v>1331</v>
      </c>
      <c r="E1583">
        <v>3</v>
      </c>
      <c r="F1583" t="s">
        <v>1421</v>
      </c>
      <c r="I1583" t="s">
        <v>1332</v>
      </c>
    </row>
    <row r="1584" spans="1:9" x14ac:dyDescent="0.3">
      <c r="A1584" t="s">
        <v>3001</v>
      </c>
      <c r="B1584">
        <v>1680</v>
      </c>
      <c r="C1584" t="s">
        <v>1322</v>
      </c>
      <c r="E1584">
        <v>2</v>
      </c>
      <c r="F1584" t="s">
        <v>1421</v>
      </c>
      <c r="I1584" t="s">
        <v>1324</v>
      </c>
    </row>
    <row r="1585" spans="1:9" x14ac:dyDescent="0.3">
      <c r="A1585" t="s">
        <v>3002</v>
      </c>
      <c r="B1585">
        <v>1681</v>
      </c>
      <c r="C1585" t="s">
        <v>1322</v>
      </c>
      <c r="E1585">
        <v>11.47</v>
      </c>
      <c r="F1585" t="s">
        <v>1349</v>
      </c>
      <c r="I1585" t="s">
        <v>1324</v>
      </c>
    </row>
    <row r="1586" spans="1:9" x14ac:dyDescent="0.3">
      <c r="A1586" t="s">
        <v>3003</v>
      </c>
      <c r="B1586">
        <v>1682</v>
      </c>
      <c r="C1586" t="s">
        <v>1322</v>
      </c>
      <c r="E1586">
        <v>11.47</v>
      </c>
      <c r="F1586" t="s">
        <v>1349</v>
      </c>
      <c r="I1586" t="s">
        <v>1324</v>
      </c>
    </row>
    <row r="1587" spans="1:9" x14ac:dyDescent="0.3">
      <c r="A1587" t="s">
        <v>3004</v>
      </c>
      <c r="B1587">
        <v>1684</v>
      </c>
      <c r="C1587" t="s">
        <v>1322</v>
      </c>
      <c r="E1587">
        <v>143</v>
      </c>
      <c r="F1587" t="s">
        <v>1317</v>
      </c>
      <c r="I1587" t="s">
        <v>1324</v>
      </c>
    </row>
    <row r="1588" spans="1:9" x14ac:dyDescent="0.3">
      <c r="A1588" t="s">
        <v>3005</v>
      </c>
      <c r="B1588">
        <v>1685</v>
      </c>
      <c r="C1588" t="s">
        <v>1331</v>
      </c>
      <c r="E1588">
        <v>4</v>
      </c>
      <c r="F1588" t="s">
        <v>1317</v>
      </c>
      <c r="I1588" t="s">
        <v>1332</v>
      </c>
    </row>
    <row r="1589" spans="1:9" x14ac:dyDescent="0.3">
      <c r="A1589" t="s">
        <v>3006</v>
      </c>
      <c r="B1589">
        <v>1686</v>
      </c>
      <c r="C1589" t="s">
        <v>1322</v>
      </c>
      <c r="E1589">
        <v>147</v>
      </c>
      <c r="F1589" t="s">
        <v>1317</v>
      </c>
      <c r="I1589" t="s">
        <v>1324</v>
      </c>
    </row>
    <row r="1590" spans="1:9" x14ac:dyDescent="0.3">
      <c r="A1590" t="s">
        <v>3007</v>
      </c>
      <c r="B1590">
        <v>1687</v>
      </c>
      <c r="C1590" t="s">
        <v>1322</v>
      </c>
      <c r="E1590">
        <v>86</v>
      </c>
      <c r="F1590" t="s">
        <v>1317</v>
      </c>
      <c r="I1590" t="s">
        <v>1324</v>
      </c>
    </row>
    <row r="1591" spans="1:9" x14ac:dyDescent="0.3">
      <c r="A1591" t="s">
        <v>3008</v>
      </c>
      <c r="B1591">
        <v>1688</v>
      </c>
      <c r="C1591" t="s">
        <v>1322</v>
      </c>
      <c r="E1591">
        <v>21</v>
      </c>
      <c r="F1591" t="s">
        <v>1317</v>
      </c>
      <c r="I1591" t="s">
        <v>1324</v>
      </c>
    </row>
    <row r="1592" spans="1:9" x14ac:dyDescent="0.3">
      <c r="A1592" t="s">
        <v>3009</v>
      </c>
      <c r="B1592">
        <v>1689</v>
      </c>
      <c r="C1592" t="s">
        <v>1322</v>
      </c>
      <c r="E1592">
        <v>86</v>
      </c>
      <c r="F1592" t="s">
        <v>1317</v>
      </c>
      <c r="I1592" t="s">
        <v>1324</v>
      </c>
    </row>
    <row r="1593" spans="1:9" x14ac:dyDescent="0.3">
      <c r="A1593" t="s">
        <v>3010</v>
      </c>
      <c r="B1593">
        <v>1690</v>
      </c>
      <c r="C1593" t="s">
        <v>1322</v>
      </c>
      <c r="E1593">
        <v>26</v>
      </c>
      <c r="F1593" t="s">
        <v>1317</v>
      </c>
      <c r="I1593" t="s">
        <v>1324</v>
      </c>
    </row>
    <row r="1594" spans="1:9" x14ac:dyDescent="0.3">
      <c r="A1594" t="s">
        <v>3011</v>
      </c>
      <c r="B1594">
        <v>1691</v>
      </c>
      <c r="C1594" t="s">
        <v>1322</v>
      </c>
      <c r="E1594">
        <v>3.2</v>
      </c>
      <c r="F1594" t="s">
        <v>1317</v>
      </c>
      <c r="I1594" t="s">
        <v>1324</v>
      </c>
    </row>
    <row r="1595" spans="1:9" x14ac:dyDescent="0.3">
      <c r="A1595" t="s">
        <v>3012</v>
      </c>
      <c r="B1595">
        <v>1692</v>
      </c>
      <c r="C1595" t="s">
        <v>1322</v>
      </c>
      <c r="E1595">
        <v>1.44</v>
      </c>
      <c r="F1595" t="s">
        <v>1317</v>
      </c>
      <c r="I1595" t="s">
        <v>1324</v>
      </c>
    </row>
    <row r="1596" spans="1:9" x14ac:dyDescent="0.3">
      <c r="A1596" t="s">
        <v>3013</v>
      </c>
      <c r="B1596">
        <v>1693</v>
      </c>
      <c r="C1596" t="s">
        <v>1322</v>
      </c>
      <c r="E1596">
        <v>14.4</v>
      </c>
      <c r="F1596" t="s">
        <v>1349</v>
      </c>
      <c r="I1596" t="s">
        <v>1324</v>
      </c>
    </row>
    <row r="1597" spans="1:9" x14ac:dyDescent="0.3">
      <c r="A1597" t="s">
        <v>3014</v>
      </c>
      <c r="B1597">
        <v>1694</v>
      </c>
      <c r="C1597" t="s">
        <v>1322</v>
      </c>
      <c r="E1597">
        <v>14.4</v>
      </c>
      <c r="F1597" t="s">
        <v>1349</v>
      </c>
      <c r="I1597" t="s">
        <v>1324</v>
      </c>
    </row>
    <row r="1598" spans="1:9" x14ac:dyDescent="0.3">
      <c r="A1598" t="s">
        <v>3015</v>
      </c>
      <c r="B1598">
        <v>1695</v>
      </c>
      <c r="C1598" t="s">
        <v>1322</v>
      </c>
      <c r="E1598">
        <v>14.4</v>
      </c>
      <c r="F1598" t="s">
        <v>1349</v>
      </c>
      <c r="I1598" t="s">
        <v>1324</v>
      </c>
    </row>
    <row r="1599" spans="1:9" x14ac:dyDescent="0.3">
      <c r="A1599" t="s">
        <v>3016</v>
      </c>
      <c r="B1599">
        <v>1696</v>
      </c>
      <c r="C1599" t="s">
        <v>1405</v>
      </c>
      <c r="D1599">
        <v>14.49</v>
      </c>
      <c r="E1599">
        <v>14.49</v>
      </c>
      <c r="F1599" t="s">
        <v>1317</v>
      </c>
      <c r="G1599" t="s">
        <v>1386</v>
      </c>
      <c r="H1599" t="s">
        <v>2955</v>
      </c>
      <c r="I1599" t="s">
        <v>2956</v>
      </c>
    </row>
    <row r="1600" spans="1:9" x14ac:dyDescent="0.3">
      <c r="A1600" t="s">
        <v>3017</v>
      </c>
      <c r="B1600">
        <v>1697</v>
      </c>
      <c r="C1600" t="s">
        <v>1322</v>
      </c>
      <c r="E1600">
        <v>3.3000000000000002E-2</v>
      </c>
      <c r="F1600" t="s">
        <v>1323</v>
      </c>
      <c r="I1600" t="s">
        <v>1324</v>
      </c>
    </row>
    <row r="1601" spans="1:9" x14ac:dyDescent="0.3">
      <c r="A1601" t="s">
        <v>3018</v>
      </c>
      <c r="B1601">
        <v>1698</v>
      </c>
      <c r="C1601" t="s">
        <v>1322</v>
      </c>
      <c r="E1601">
        <v>1.64</v>
      </c>
      <c r="F1601" t="s">
        <v>1323</v>
      </c>
      <c r="I1601" t="s">
        <v>1324</v>
      </c>
    </row>
    <row r="1602" spans="1:9" x14ac:dyDescent="0.3">
      <c r="A1602" t="s">
        <v>3019</v>
      </c>
      <c r="B1602">
        <v>1699</v>
      </c>
      <c r="C1602" t="s">
        <v>1322</v>
      </c>
      <c r="E1602">
        <v>9</v>
      </c>
      <c r="F1602" t="s">
        <v>1349</v>
      </c>
      <c r="I1602" t="s">
        <v>1324</v>
      </c>
    </row>
    <row r="1603" spans="1:9" x14ac:dyDescent="0.3">
      <c r="A1603" t="s">
        <v>3020</v>
      </c>
      <c r="B1603">
        <v>1700</v>
      </c>
      <c r="C1603" t="s">
        <v>1322</v>
      </c>
      <c r="E1603">
        <v>14.4</v>
      </c>
      <c r="F1603" t="s">
        <v>1349</v>
      </c>
      <c r="I1603" t="s">
        <v>1324</v>
      </c>
    </row>
    <row r="1604" spans="1:9" x14ac:dyDescent="0.3">
      <c r="A1604" t="s">
        <v>3021</v>
      </c>
      <c r="B1604">
        <v>1701</v>
      </c>
      <c r="C1604" t="s">
        <v>1322</v>
      </c>
      <c r="E1604">
        <v>52.9</v>
      </c>
      <c r="F1604" t="s">
        <v>1349</v>
      </c>
      <c r="I1604" t="s">
        <v>1324</v>
      </c>
    </row>
    <row r="1605" spans="1:9" x14ac:dyDescent="0.3">
      <c r="A1605" t="s">
        <v>3022</v>
      </c>
      <c r="B1605">
        <v>1702</v>
      </c>
      <c r="C1605" t="s">
        <v>1322</v>
      </c>
      <c r="E1605">
        <v>1.06</v>
      </c>
      <c r="F1605" t="s">
        <v>1317</v>
      </c>
      <c r="I1605" t="s">
        <v>1324</v>
      </c>
    </row>
    <row r="1606" spans="1:9" x14ac:dyDescent="0.3">
      <c r="A1606" t="s">
        <v>3023</v>
      </c>
      <c r="B1606">
        <v>1703</v>
      </c>
      <c r="C1606" t="s">
        <v>1322</v>
      </c>
      <c r="E1606">
        <v>1.06</v>
      </c>
      <c r="F1606" t="s">
        <v>1317</v>
      </c>
      <c r="I1606" t="s">
        <v>1324</v>
      </c>
    </row>
    <row r="1607" spans="1:9" x14ac:dyDescent="0.3">
      <c r="A1607" t="s">
        <v>3024</v>
      </c>
      <c r="B1607">
        <v>1704</v>
      </c>
      <c r="C1607" t="s">
        <v>1322</v>
      </c>
      <c r="E1607">
        <v>52.9</v>
      </c>
      <c r="F1607" t="s">
        <v>1349</v>
      </c>
      <c r="I1607" t="s">
        <v>1324</v>
      </c>
    </row>
    <row r="1608" spans="1:9" x14ac:dyDescent="0.3">
      <c r="A1608" t="s">
        <v>3025</v>
      </c>
      <c r="B1608">
        <v>1705</v>
      </c>
      <c r="C1608" t="s">
        <v>1405</v>
      </c>
      <c r="D1608">
        <v>1.58</v>
      </c>
      <c r="E1608">
        <v>1.58</v>
      </c>
      <c r="F1608" t="s">
        <v>1317</v>
      </c>
      <c r="G1608" t="s">
        <v>1318</v>
      </c>
      <c r="H1608" t="s">
        <v>2955</v>
      </c>
      <c r="I1608" t="s">
        <v>2966</v>
      </c>
    </row>
    <row r="1609" spans="1:9" x14ac:dyDescent="0.3">
      <c r="A1609" t="s">
        <v>3026</v>
      </c>
      <c r="B1609">
        <v>1706</v>
      </c>
      <c r="C1609" t="s">
        <v>1322</v>
      </c>
      <c r="E1609">
        <v>1.0999999999999999E-2</v>
      </c>
      <c r="F1609" t="s">
        <v>1323</v>
      </c>
      <c r="I1609" t="s">
        <v>1324</v>
      </c>
    </row>
    <row r="1610" spans="1:9" x14ac:dyDescent="0.3">
      <c r="A1610" t="s">
        <v>3027</v>
      </c>
      <c r="B1610">
        <v>1707</v>
      </c>
      <c r="C1610" t="s">
        <v>1322</v>
      </c>
      <c r="E1610">
        <v>0.19700000000000001</v>
      </c>
      <c r="F1610" t="s">
        <v>1323</v>
      </c>
      <c r="I1610" t="s">
        <v>1324</v>
      </c>
    </row>
    <row r="1611" spans="1:9" x14ac:dyDescent="0.3">
      <c r="A1611" t="s">
        <v>3028</v>
      </c>
      <c r="B1611">
        <v>1708</v>
      </c>
      <c r="C1611" t="s">
        <v>1405</v>
      </c>
      <c r="D1611">
        <v>3</v>
      </c>
      <c r="E1611">
        <v>3</v>
      </c>
      <c r="F1611" t="s">
        <v>1421</v>
      </c>
      <c r="G1611" t="s">
        <v>1318</v>
      </c>
      <c r="H1611" t="s">
        <v>2970</v>
      </c>
      <c r="I1611" t="s">
        <v>2971</v>
      </c>
    </row>
    <row r="1612" spans="1:9" x14ac:dyDescent="0.3">
      <c r="A1612" t="s">
        <v>3029</v>
      </c>
      <c r="B1612">
        <v>1709</v>
      </c>
      <c r="C1612" t="s">
        <v>1322</v>
      </c>
      <c r="E1612">
        <v>1</v>
      </c>
      <c r="F1612" t="s">
        <v>1421</v>
      </c>
      <c r="I1612" t="s">
        <v>1324</v>
      </c>
    </row>
    <row r="1613" spans="1:9" x14ac:dyDescent="0.3">
      <c r="A1613" t="s">
        <v>3030</v>
      </c>
      <c r="B1613">
        <v>1710</v>
      </c>
      <c r="C1613" t="s">
        <v>1322</v>
      </c>
      <c r="E1613">
        <v>1</v>
      </c>
      <c r="F1613" t="s">
        <v>1421</v>
      </c>
      <c r="I1613" t="s">
        <v>1324</v>
      </c>
    </row>
    <row r="1614" spans="1:9" x14ac:dyDescent="0.3">
      <c r="A1614" t="s">
        <v>3031</v>
      </c>
      <c r="B1614">
        <v>1711</v>
      </c>
      <c r="C1614" t="s">
        <v>1322</v>
      </c>
      <c r="E1614">
        <v>4.1000000000000002E-2</v>
      </c>
      <c r="F1614" t="s">
        <v>1323</v>
      </c>
      <c r="I1614" t="s">
        <v>1324</v>
      </c>
    </row>
    <row r="1615" spans="1:9" x14ac:dyDescent="0.3">
      <c r="A1615" t="s">
        <v>3032</v>
      </c>
      <c r="B1615">
        <v>1712</v>
      </c>
      <c r="C1615" t="s">
        <v>1322</v>
      </c>
      <c r="E1615">
        <v>2.6</v>
      </c>
      <c r="F1615" t="s">
        <v>1349</v>
      </c>
      <c r="I1615" t="s">
        <v>1324</v>
      </c>
    </row>
    <row r="1616" spans="1:9" x14ac:dyDescent="0.3">
      <c r="A1616" t="s">
        <v>3033</v>
      </c>
      <c r="B1616">
        <v>1713</v>
      </c>
      <c r="C1616" t="s">
        <v>1322</v>
      </c>
      <c r="E1616">
        <v>1.8</v>
      </c>
      <c r="F1616" t="s">
        <v>61</v>
      </c>
      <c r="I1616" t="s">
        <v>1324</v>
      </c>
    </row>
    <row r="1617" spans="1:9" x14ac:dyDescent="0.3">
      <c r="A1617" t="s">
        <v>3034</v>
      </c>
      <c r="B1617">
        <v>1714</v>
      </c>
      <c r="C1617" t="s">
        <v>1322</v>
      </c>
      <c r="E1617">
        <v>12.8</v>
      </c>
      <c r="F1617" t="s">
        <v>1349</v>
      </c>
      <c r="I1617" t="s">
        <v>1324</v>
      </c>
    </row>
    <row r="1618" spans="1:9" x14ac:dyDescent="0.3">
      <c r="A1618" t="s">
        <v>3035</v>
      </c>
      <c r="B1618">
        <v>1715</v>
      </c>
      <c r="C1618" t="s">
        <v>1322</v>
      </c>
      <c r="E1618">
        <v>12.8</v>
      </c>
      <c r="F1618" t="s">
        <v>1349</v>
      </c>
      <c r="I1618" t="s">
        <v>1324</v>
      </c>
    </row>
    <row r="1619" spans="1:9" x14ac:dyDescent="0.3">
      <c r="A1619" t="s">
        <v>3036</v>
      </c>
      <c r="B1619">
        <v>1716</v>
      </c>
      <c r="C1619" t="s">
        <v>1322</v>
      </c>
      <c r="E1619">
        <v>12.8</v>
      </c>
      <c r="F1619" t="s">
        <v>1349</v>
      </c>
      <c r="I1619" t="s">
        <v>1324</v>
      </c>
    </row>
    <row r="1620" spans="1:9" x14ac:dyDescent="0.3">
      <c r="A1620" t="s">
        <v>3037</v>
      </c>
      <c r="B1620">
        <v>1717</v>
      </c>
      <c r="C1620" t="s">
        <v>1322</v>
      </c>
      <c r="E1620">
        <v>12.8</v>
      </c>
      <c r="F1620" t="s">
        <v>1349</v>
      </c>
      <c r="I1620" t="s">
        <v>1324</v>
      </c>
    </row>
    <row r="1621" spans="1:9" x14ac:dyDescent="0.3">
      <c r="A1621" t="s">
        <v>3038</v>
      </c>
      <c r="B1621">
        <v>1718</v>
      </c>
      <c r="C1621" t="s">
        <v>1322</v>
      </c>
      <c r="E1621">
        <v>12.8</v>
      </c>
      <c r="F1621" t="s">
        <v>1349</v>
      </c>
      <c r="I1621" t="s">
        <v>1324</v>
      </c>
    </row>
    <row r="1622" spans="1:9" x14ac:dyDescent="0.3">
      <c r="A1622" t="s">
        <v>3039</v>
      </c>
      <c r="B1622">
        <v>1719</v>
      </c>
      <c r="C1622" t="s">
        <v>1322</v>
      </c>
      <c r="E1622">
        <v>27</v>
      </c>
      <c r="F1622" t="s">
        <v>1317</v>
      </c>
      <c r="I1622" t="s">
        <v>1324</v>
      </c>
    </row>
    <row r="1623" spans="1:9" x14ac:dyDescent="0.3">
      <c r="A1623" t="s">
        <v>3040</v>
      </c>
      <c r="B1623">
        <v>1721</v>
      </c>
      <c r="C1623" t="s">
        <v>1322</v>
      </c>
      <c r="E1623">
        <v>5</v>
      </c>
      <c r="F1623" t="s">
        <v>61</v>
      </c>
      <c r="I1623" t="s">
        <v>1324</v>
      </c>
    </row>
    <row r="1624" spans="1:9" x14ac:dyDescent="0.3">
      <c r="A1624" t="s">
        <v>3041</v>
      </c>
      <c r="B1624">
        <v>1722</v>
      </c>
      <c r="C1624" t="s">
        <v>1322</v>
      </c>
      <c r="E1624">
        <v>5</v>
      </c>
      <c r="F1624" t="s">
        <v>61</v>
      </c>
      <c r="I1624" t="s">
        <v>1324</v>
      </c>
    </row>
    <row r="1625" spans="1:9" x14ac:dyDescent="0.3">
      <c r="A1625" t="s">
        <v>3042</v>
      </c>
      <c r="B1625">
        <v>1723</v>
      </c>
      <c r="C1625" t="s">
        <v>1322</v>
      </c>
      <c r="E1625">
        <v>5</v>
      </c>
      <c r="F1625" t="s">
        <v>61</v>
      </c>
      <c r="I1625" t="s">
        <v>1324</v>
      </c>
    </row>
    <row r="1626" spans="1:9" x14ac:dyDescent="0.3">
      <c r="A1626" t="s">
        <v>3043</v>
      </c>
      <c r="B1626">
        <v>1724</v>
      </c>
      <c r="C1626" t="s">
        <v>1322</v>
      </c>
      <c r="E1626">
        <v>2</v>
      </c>
      <c r="F1626" t="s">
        <v>1421</v>
      </c>
      <c r="I1626" t="s">
        <v>1324</v>
      </c>
    </row>
    <row r="1627" spans="1:9" x14ac:dyDescent="0.3">
      <c r="A1627" t="s">
        <v>3044</v>
      </c>
      <c r="B1627">
        <v>1725</v>
      </c>
      <c r="C1627" t="s">
        <v>1322</v>
      </c>
      <c r="E1627">
        <v>1</v>
      </c>
      <c r="F1627" t="s">
        <v>1421</v>
      </c>
      <c r="I1627" t="s">
        <v>1324</v>
      </c>
    </row>
    <row r="1628" spans="1:9" x14ac:dyDescent="0.3">
      <c r="A1628" t="s">
        <v>3045</v>
      </c>
      <c r="B1628">
        <v>1726</v>
      </c>
      <c r="C1628" t="s">
        <v>1322</v>
      </c>
      <c r="E1628">
        <v>6</v>
      </c>
      <c r="F1628" t="s">
        <v>61</v>
      </c>
      <c r="I1628" t="s">
        <v>1324</v>
      </c>
    </row>
    <row r="1629" spans="1:9" x14ac:dyDescent="0.3">
      <c r="A1629" t="s">
        <v>3046</v>
      </c>
      <c r="B1629">
        <v>1727</v>
      </c>
      <c r="C1629" t="s">
        <v>1322</v>
      </c>
      <c r="E1629">
        <v>6</v>
      </c>
      <c r="F1629" t="s">
        <v>61</v>
      </c>
      <c r="I1629" t="s">
        <v>1324</v>
      </c>
    </row>
    <row r="1630" spans="1:9" x14ac:dyDescent="0.3">
      <c r="A1630" t="s">
        <v>3047</v>
      </c>
      <c r="B1630">
        <v>1728</v>
      </c>
      <c r="C1630" t="s">
        <v>1322</v>
      </c>
      <c r="E1630">
        <v>6</v>
      </c>
      <c r="F1630" t="s">
        <v>61</v>
      </c>
      <c r="I1630" t="s">
        <v>1324</v>
      </c>
    </row>
    <row r="1631" spans="1:9" x14ac:dyDescent="0.3">
      <c r="A1631" t="s">
        <v>3048</v>
      </c>
      <c r="B1631">
        <v>1729</v>
      </c>
      <c r="C1631" t="s">
        <v>1322</v>
      </c>
      <c r="E1631">
        <v>1</v>
      </c>
      <c r="F1631" t="s">
        <v>1421</v>
      </c>
      <c r="I1631" t="s">
        <v>1324</v>
      </c>
    </row>
    <row r="1632" spans="1:9" x14ac:dyDescent="0.3">
      <c r="A1632" t="s">
        <v>3049</v>
      </c>
      <c r="B1632">
        <v>1730</v>
      </c>
      <c r="C1632" t="s">
        <v>1322</v>
      </c>
      <c r="E1632">
        <v>1</v>
      </c>
      <c r="F1632" t="s">
        <v>1421</v>
      </c>
      <c r="I1632" t="s">
        <v>1324</v>
      </c>
    </row>
    <row r="1633" spans="1:9" x14ac:dyDescent="0.3">
      <c r="A1633" t="s">
        <v>3050</v>
      </c>
      <c r="B1633">
        <v>1731</v>
      </c>
      <c r="C1633" t="s">
        <v>1322</v>
      </c>
      <c r="E1633">
        <v>5</v>
      </c>
      <c r="F1633" t="s">
        <v>61</v>
      </c>
      <c r="I1633" t="s">
        <v>1324</v>
      </c>
    </row>
    <row r="1634" spans="1:9" x14ac:dyDescent="0.3">
      <c r="A1634" t="s">
        <v>3051</v>
      </c>
      <c r="B1634">
        <v>1732</v>
      </c>
      <c r="C1634" t="s">
        <v>1322</v>
      </c>
      <c r="E1634">
        <v>5</v>
      </c>
      <c r="F1634" t="s">
        <v>61</v>
      </c>
      <c r="I1634" t="s">
        <v>1324</v>
      </c>
    </row>
    <row r="1635" spans="1:9" x14ac:dyDescent="0.3">
      <c r="A1635" t="s">
        <v>3052</v>
      </c>
      <c r="B1635">
        <v>1733</v>
      </c>
      <c r="C1635" t="s">
        <v>1322</v>
      </c>
      <c r="E1635">
        <v>5</v>
      </c>
      <c r="F1635" t="s">
        <v>61</v>
      </c>
      <c r="I1635" t="s">
        <v>1324</v>
      </c>
    </row>
    <row r="1636" spans="1:9" x14ac:dyDescent="0.3">
      <c r="A1636" t="s">
        <v>3053</v>
      </c>
      <c r="B1636">
        <v>1734</v>
      </c>
      <c r="C1636" t="s">
        <v>1322</v>
      </c>
      <c r="E1636">
        <v>13</v>
      </c>
      <c r="F1636" t="s">
        <v>61</v>
      </c>
      <c r="I1636" t="s">
        <v>1324</v>
      </c>
    </row>
    <row r="1637" spans="1:9" x14ac:dyDescent="0.3">
      <c r="A1637" t="s">
        <v>3054</v>
      </c>
      <c r="B1637">
        <v>1735</v>
      </c>
      <c r="C1637" t="s">
        <v>1322</v>
      </c>
      <c r="E1637">
        <v>13</v>
      </c>
      <c r="F1637" t="s">
        <v>61</v>
      </c>
      <c r="I1637" t="s">
        <v>1324</v>
      </c>
    </row>
    <row r="1638" spans="1:9" x14ac:dyDescent="0.3">
      <c r="A1638" t="s">
        <v>3055</v>
      </c>
      <c r="B1638">
        <v>1736</v>
      </c>
      <c r="C1638" t="s">
        <v>1322</v>
      </c>
      <c r="E1638">
        <v>13</v>
      </c>
      <c r="F1638" t="s">
        <v>61</v>
      </c>
      <c r="I1638" t="s">
        <v>1324</v>
      </c>
    </row>
    <row r="1639" spans="1:9" x14ac:dyDescent="0.3">
      <c r="A1639" t="s">
        <v>3056</v>
      </c>
      <c r="B1639">
        <v>1737</v>
      </c>
      <c r="C1639" t="s">
        <v>1322</v>
      </c>
      <c r="E1639">
        <v>1</v>
      </c>
      <c r="F1639" t="s">
        <v>1421</v>
      </c>
      <c r="I1639" t="s">
        <v>1324</v>
      </c>
    </row>
    <row r="1640" spans="1:9" x14ac:dyDescent="0.3">
      <c r="A1640" t="s">
        <v>3057</v>
      </c>
      <c r="B1640">
        <v>1738</v>
      </c>
      <c r="C1640" t="s">
        <v>1331</v>
      </c>
      <c r="E1640">
        <v>3</v>
      </c>
      <c r="F1640" t="s">
        <v>1421</v>
      </c>
      <c r="I1640" t="s">
        <v>1332</v>
      </c>
    </row>
    <row r="1641" spans="1:9" x14ac:dyDescent="0.3">
      <c r="A1641" t="s">
        <v>3058</v>
      </c>
      <c r="B1641">
        <v>1739</v>
      </c>
      <c r="C1641" t="s">
        <v>1322</v>
      </c>
      <c r="E1641">
        <v>2</v>
      </c>
      <c r="F1641" t="s">
        <v>1421</v>
      </c>
      <c r="I1641" t="s">
        <v>1324</v>
      </c>
    </row>
    <row r="1642" spans="1:9" x14ac:dyDescent="0.3">
      <c r="A1642" t="s">
        <v>3059</v>
      </c>
      <c r="B1642">
        <v>1740</v>
      </c>
      <c r="C1642" t="s">
        <v>1322</v>
      </c>
      <c r="E1642">
        <v>11.47</v>
      </c>
      <c r="F1642" t="s">
        <v>1349</v>
      </c>
      <c r="I1642" t="s">
        <v>1324</v>
      </c>
    </row>
    <row r="1643" spans="1:9" x14ac:dyDescent="0.3">
      <c r="A1643" t="s">
        <v>3060</v>
      </c>
      <c r="B1643">
        <v>1741</v>
      </c>
      <c r="C1643" t="s">
        <v>1322</v>
      </c>
      <c r="E1643">
        <v>11.47</v>
      </c>
      <c r="F1643" t="s">
        <v>1349</v>
      </c>
      <c r="I1643" t="s">
        <v>1324</v>
      </c>
    </row>
    <row r="1644" spans="1:9" x14ac:dyDescent="0.3">
      <c r="A1644" t="s">
        <v>3061</v>
      </c>
      <c r="B1644">
        <v>1743</v>
      </c>
      <c r="C1644" t="s">
        <v>1322</v>
      </c>
      <c r="E1644">
        <v>146</v>
      </c>
      <c r="F1644" t="s">
        <v>1317</v>
      </c>
      <c r="I1644" t="s">
        <v>1324</v>
      </c>
    </row>
    <row r="1645" spans="1:9" x14ac:dyDescent="0.3">
      <c r="A1645" t="s">
        <v>3062</v>
      </c>
      <c r="B1645">
        <v>1744</v>
      </c>
      <c r="C1645" t="s">
        <v>1322</v>
      </c>
      <c r="E1645">
        <v>5</v>
      </c>
      <c r="F1645" t="s">
        <v>1317</v>
      </c>
      <c r="I1645" t="s">
        <v>1324</v>
      </c>
    </row>
    <row r="1646" spans="1:9" x14ac:dyDescent="0.3">
      <c r="A1646" t="s">
        <v>3063</v>
      </c>
      <c r="B1646">
        <v>1745</v>
      </c>
      <c r="C1646" t="s">
        <v>1322</v>
      </c>
      <c r="E1646">
        <v>116</v>
      </c>
      <c r="F1646" t="s">
        <v>1317</v>
      </c>
      <c r="I1646" t="s">
        <v>1324</v>
      </c>
    </row>
    <row r="1647" spans="1:9" x14ac:dyDescent="0.3">
      <c r="A1647" t="s">
        <v>3064</v>
      </c>
      <c r="B1647">
        <v>1746</v>
      </c>
      <c r="C1647" t="s">
        <v>1322</v>
      </c>
      <c r="E1647">
        <v>29</v>
      </c>
      <c r="F1647" t="s">
        <v>1317</v>
      </c>
      <c r="I1647" t="s">
        <v>1324</v>
      </c>
    </row>
    <row r="1648" spans="1:9" x14ac:dyDescent="0.3">
      <c r="A1648" t="s">
        <v>3065</v>
      </c>
      <c r="B1648">
        <v>1747</v>
      </c>
      <c r="C1648" t="s">
        <v>1322</v>
      </c>
      <c r="E1648">
        <v>145</v>
      </c>
      <c r="F1648" t="s">
        <v>1317</v>
      </c>
      <c r="I1648" t="s">
        <v>1324</v>
      </c>
    </row>
    <row r="1649" spans="1:9" x14ac:dyDescent="0.3">
      <c r="A1649" t="s">
        <v>3066</v>
      </c>
      <c r="B1649">
        <v>1749</v>
      </c>
      <c r="C1649" t="s">
        <v>1322</v>
      </c>
      <c r="E1649">
        <v>2.5</v>
      </c>
      <c r="F1649" t="s">
        <v>1317</v>
      </c>
      <c r="I1649" t="s">
        <v>1324</v>
      </c>
    </row>
    <row r="1650" spans="1:9" x14ac:dyDescent="0.3">
      <c r="A1650" t="s">
        <v>3067</v>
      </c>
      <c r="B1650">
        <v>1750</v>
      </c>
      <c r="C1650" t="s">
        <v>1322</v>
      </c>
      <c r="E1650">
        <v>2.3039999999999998</v>
      </c>
      <c r="F1650" t="s">
        <v>1317</v>
      </c>
      <c r="I1650" t="s">
        <v>1324</v>
      </c>
    </row>
    <row r="1651" spans="1:9" x14ac:dyDescent="0.3">
      <c r="A1651" t="s">
        <v>3068</v>
      </c>
      <c r="B1651">
        <v>1751</v>
      </c>
      <c r="C1651" t="s">
        <v>1405</v>
      </c>
      <c r="D1651">
        <v>8.4600000000000009</v>
      </c>
      <c r="E1651">
        <v>8.4600000000000009</v>
      </c>
      <c r="F1651" t="s">
        <v>1317</v>
      </c>
      <c r="G1651" t="s">
        <v>1318</v>
      </c>
      <c r="H1651" t="s">
        <v>3069</v>
      </c>
      <c r="I1651" t="s">
        <v>3070</v>
      </c>
    </row>
    <row r="1652" spans="1:9" x14ac:dyDescent="0.3">
      <c r="A1652" t="s">
        <v>3071</v>
      </c>
      <c r="B1652">
        <v>1752</v>
      </c>
      <c r="C1652" t="s">
        <v>1322</v>
      </c>
      <c r="E1652">
        <v>3.7999999999999999E-2</v>
      </c>
      <c r="F1652" t="s">
        <v>1323</v>
      </c>
      <c r="I1652" t="s">
        <v>1324</v>
      </c>
    </row>
    <row r="1653" spans="1:9" x14ac:dyDescent="0.3">
      <c r="A1653" t="s">
        <v>3072</v>
      </c>
      <c r="B1653">
        <v>1753</v>
      </c>
      <c r="C1653" t="s">
        <v>1322</v>
      </c>
      <c r="E1653">
        <v>0.54</v>
      </c>
      <c r="F1653" t="s">
        <v>1323</v>
      </c>
      <c r="I1653" t="s">
        <v>1324</v>
      </c>
    </row>
    <row r="1654" spans="1:9" x14ac:dyDescent="0.3">
      <c r="A1654" t="s">
        <v>3073</v>
      </c>
      <c r="B1654">
        <v>1754</v>
      </c>
      <c r="C1654" t="s">
        <v>1322</v>
      </c>
      <c r="E1654">
        <v>13.12</v>
      </c>
      <c r="F1654" t="s">
        <v>1317</v>
      </c>
      <c r="I1654" t="s">
        <v>1324</v>
      </c>
    </row>
    <row r="1655" spans="1:9" x14ac:dyDescent="0.3">
      <c r="A1655" t="s">
        <v>3074</v>
      </c>
      <c r="B1655">
        <v>1755</v>
      </c>
      <c r="C1655" t="s">
        <v>1322</v>
      </c>
      <c r="E1655">
        <v>39.200000000000003</v>
      </c>
      <c r="F1655" t="s">
        <v>1349</v>
      </c>
      <c r="I1655" t="s">
        <v>1324</v>
      </c>
    </row>
    <row r="1656" spans="1:9" x14ac:dyDescent="0.3">
      <c r="A1656" t="s">
        <v>3075</v>
      </c>
      <c r="B1656">
        <v>1756</v>
      </c>
      <c r="C1656" t="s">
        <v>1322</v>
      </c>
      <c r="E1656">
        <v>0.36</v>
      </c>
      <c r="F1656" t="s">
        <v>1349</v>
      </c>
      <c r="I1656" t="s">
        <v>1324</v>
      </c>
    </row>
    <row r="1657" spans="1:9" x14ac:dyDescent="0.3">
      <c r="A1657" t="s">
        <v>3076</v>
      </c>
      <c r="B1657">
        <v>1757</v>
      </c>
      <c r="C1657" t="s">
        <v>1322</v>
      </c>
      <c r="E1657">
        <v>1.0999999999999999E-2</v>
      </c>
      <c r="F1657" t="s">
        <v>1323</v>
      </c>
      <c r="I1657" t="s">
        <v>1324</v>
      </c>
    </row>
    <row r="1658" spans="1:9" x14ac:dyDescent="0.3">
      <c r="A1658" t="s">
        <v>3077</v>
      </c>
      <c r="B1658">
        <v>1758</v>
      </c>
      <c r="C1658" t="s">
        <v>1322</v>
      </c>
      <c r="E1658">
        <v>0.72</v>
      </c>
      <c r="F1658" t="s">
        <v>1349</v>
      </c>
      <c r="I1658" t="s">
        <v>1324</v>
      </c>
    </row>
    <row r="1659" spans="1:9" x14ac:dyDescent="0.3">
      <c r="A1659" t="s">
        <v>3078</v>
      </c>
      <c r="B1659">
        <v>1759</v>
      </c>
      <c r="C1659" t="s">
        <v>1322</v>
      </c>
      <c r="E1659">
        <v>2</v>
      </c>
      <c r="F1659" t="s">
        <v>1421</v>
      </c>
      <c r="I1659" t="s">
        <v>1324</v>
      </c>
    </row>
    <row r="1660" spans="1:9" x14ac:dyDescent="0.3">
      <c r="A1660" t="s">
        <v>3079</v>
      </c>
      <c r="B1660">
        <v>1760</v>
      </c>
      <c r="C1660" t="s">
        <v>1322</v>
      </c>
      <c r="E1660">
        <v>3</v>
      </c>
      <c r="F1660" t="s">
        <v>1421</v>
      </c>
      <c r="I1660" t="s">
        <v>1324</v>
      </c>
    </row>
    <row r="1661" spans="1:9" x14ac:dyDescent="0.3">
      <c r="A1661" t="s">
        <v>3080</v>
      </c>
      <c r="B1661">
        <v>1762</v>
      </c>
      <c r="C1661" t="s">
        <v>1331</v>
      </c>
      <c r="E1661">
        <v>0.32</v>
      </c>
      <c r="F1661" t="s">
        <v>1317</v>
      </c>
      <c r="I1661" t="s">
        <v>1332</v>
      </c>
    </row>
    <row r="1662" spans="1:9" x14ac:dyDescent="0.3">
      <c r="A1662" t="s">
        <v>3081</v>
      </c>
      <c r="B1662">
        <v>1763</v>
      </c>
      <c r="C1662" t="s">
        <v>1322</v>
      </c>
      <c r="E1662">
        <v>4.4999999999999998E-2</v>
      </c>
      <c r="F1662" t="s">
        <v>1323</v>
      </c>
      <c r="I1662" t="s">
        <v>1324</v>
      </c>
    </row>
    <row r="1663" spans="1:9" x14ac:dyDescent="0.3">
      <c r="A1663" t="s">
        <v>3082</v>
      </c>
      <c r="B1663">
        <v>1764</v>
      </c>
      <c r="C1663" t="s">
        <v>1322</v>
      </c>
      <c r="E1663">
        <v>6.6000000000000003E-2</v>
      </c>
      <c r="F1663" t="s">
        <v>1323</v>
      </c>
      <c r="I1663" t="s">
        <v>1324</v>
      </c>
    </row>
    <row r="1664" spans="1:9" x14ac:dyDescent="0.3">
      <c r="A1664" t="s">
        <v>3083</v>
      </c>
      <c r="B1664">
        <v>1765</v>
      </c>
      <c r="C1664" t="s">
        <v>1405</v>
      </c>
      <c r="D1664">
        <v>2.91</v>
      </c>
      <c r="E1664">
        <v>2.91</v>
      </c>
      <c r="F1664" t="s">
        <v>1317</v>
      </c>
      <c r="G1664" t="s">
        <v>1318</v>
      </c>
      <c r="H1664" t="s">
        <v>3069</v>
      </c>
      <c r="I1664" t="s">
        <v>3084</v>
      </c>
    </row>
    <row r="1665" spans="1:9" x14ac:dyDescent="0.3">
      <c r="A1665" t="s">
        <v>3085</v>
      </c>
      <c r="B1665">
        <v>1766</v>
      </c>
      <c r="C1665" t="s">
        <v>1322</v>
      </c>
      <c r="E1665">
        <v>1.7000000000000001E-2</v>
      </c>
      <c r="F1665" t="s">
        <v>1323</v>
      </c>
      <c r="I1665" t="s">
        <v>1324</v>
      </c>
    </row>
    <row r="1666" spans="1:9" x14ac:dyDescent="0.3">
      <c r="A1666" t="s">
        <v>3086</v>
      </c>
      <c r="B1666">
        <v>1767</v>
      </c>
      <c r="C1666" t="s">
        <v>1322</v>
      </c>
      <c r="E1666">
        <v>0.30099999999999999</v>
      </c>
      <c r="F1666" t="s">
        <v>1323</v>
      </c>
      <c r="I1666" t="s">
        <v>1324</v>
      </c>
    </row>
    <row r="1667" spans="1:9" x14ac:dyDescent="0.3">
      <c r="A1667" t="s">
        <v>3087</v>
      </c>
      <c r="B1667">
        <v>1769</v>
      </c>
      <c r="C1667" t="s">
        <v>1322</v>
      </c>
      <c r="E1667">
        <v>33.1</v>
      </c>
      <c r="F1667" t="s">
        <v>1349</v>
      </c>
      <c r="I1667" t="s">
        <v>1324</v>
      </c>
    </row>
    <row r="1668" spans="1:9" x14ac:dyDescent="0.3">
      <c r="A1668" t="s">
        <v>3088</v>
      </c>
      <c r="B1668">
        <v>1770</v>
      </c>
      <c r="C1668" t="s">
        <v>1322</v>
      </c>
      <c r="E1668">
        <v>0.111</v>
      </c>
      <c r="F1668" t="s">
        <v>1323</v>
      </c>
      <c r="I1668" t="s">
        <v>1324</v>
      </c>
    </row>
    <row r="1669" spans="1:9" x14ac:dyDescent="0.3">
      <c r="A1669" t="s">
        <v>3089</v>
      </c>
      <c r="B1669">
        <v>1771</v>
      </c>
      <c r="C1669" t="s">
        <v>1322</v>
      </c>
      <c r="E1669">
        <v>3</v>
      </c>
      <c r="F1669" t="s">
        <v>1421</v>
      </c>
      <c r="I1669" t="s">
        <v>1324</v>
      </c>
    </row>
    <row r="1670" spans="1:9" x14ac:dyDescent="0.3">
      <c r="A1670" t="s">
        <v>3090</v>
      </c>
      <c r="B1670">
        <v>1772</v>
      </c>
      <c r="C1670" t="s">
        <v>1322</v>
      </c>
      <c r="E1670">
        <v>3</v>
      </c>
      <c r="F1670" t="s">
        <v>1421</v>
      </c>
      <c r="I1670" t="s">
        <v>1324</v>
      </c>
    </row>
    <row r="1671" spans="1:9" x14ac:dyDescent="0.3">
      <c r="A1671" t="s">
        <v>3091</v>
      </c>
      <c r="B1671">
        <v>1774</v>
      </c>
      <c r="C1671" t="s">
        <v>1322</v>
      </c>
      <c r="E1671">
        <v>12.96</v>
      </c>
      <c r="F1671" t="s">
        <v>1349</v>
      </c>
      <c r="I1671" t="s">
        <v>1324</v>
      </c>
    </row>
    <row r="1672" spans="1:9" x14ac:dyDescent="0.3">
      <c r="A1672" t="s">
        <v>3092</v>
      </c>
      <c r="B1672">
        <v>1775</v>
      </c>
      <c r="C1672" t="s">
        <v>1322</v>
      </c>
      <c r="E1672">
        <v>1.296</v>
      </c>
      <c r="F1672" t="s">
        <v>1317</v>
      </c>
      <c r="I1672" t="s">
        <v>1324</v>
      </c>
    </row>
    <row r="1673" spans="1:9" x14ac:dyDescent="0.3">
      <c r="A1673" t="s">
        <v>3093</v>
      </c>
      <c r="B1673">
        <v>1776</v>
      </c>
      <c r="C1673" t="s">
        <v>1322</v>
      </c>
      <c r="E1673">
        <v>12.96</v>
      </c>
      <c r="F1673" t="s">
        <v>1349</v>
      </c>
      <c r="I1673" t="s">
        <v>1324</v>
      </c>
    </row>
    <row r="1674" spans="1:9" x14ac:dyDescent="0.3">
      <c r="A1674" t="s">
        <v>3094</v>
      </c>
      <c r="B1674">
        <v>1777</v>
      </c>
      <c r="C1674" t="s">
        <v>1322</v>
      </c>
      <c r="E1674">
        <v>12.96</v>
      </c>
      <c r="F1674" t="s">
        <v>1349</v>
      </c>
      <c r="I1674" t="s">
        <v>1324</v>
      </c>
    </row>
    <row r="1675" spans="1:9" x14ac:dyDescent="0.3">
      <c r="A1675" t="s">
        <v>3095</v>
      </c>
      <c r="B1675">
        <v>1778</v>
      </c>
      <c r="C1675" t="s">
        <v>1316</v>
      </c>
      <c r="D1675">
        <v>0.33</v>
      </c>
      <c r="E1675">
        <v>0.33</v>
      </c>
      <c r="F1675" t="s">
        <v>1317</v>
      </c>
      <c r="G1675" t="s">
        <v>2240</v>
      </c>
      <c r="H1675" t="s">
        <v>3096</v>
      </c>
      <c r="I1675" t="s">
        <v>3097</v>
      </c>
    </row>
    <row r="1676" spans="1:9" x14ac:dyDescent="0.3">
      <c r="A1676" t="s">
        <v>3098</v>
      </c>
      <c r="B1676">
        <v>1779</v>
      </c>
      <c r="C1676" t="s">
        <v>1316</v>
      </c>
      <c r="D1676">
        <v>27.64</v>
      </c>
      <c r="E1676">
        <v>27.64</v>
      </c>
      <c r="F1676" t="s">
        <v>1349</v>
      </c>
      <c r="G1676" t="s">
        <v>1318</v>
      </c>
      <c r="H1676" t="s">
        <v>3099</v>
      </c>
      <c r="I1676" t="s">
        <v>3100</v>
      </c>
    </row>
    <row r="1677" spans="1:9" x14ac:dyDescent="0.3">
      <c r="A1677" t="s">
        <v>3101</v>
      </c>
      <c r="B1677">
        <v>1780</v>
      </c>
      <c r="C1677" t="s">
        <v>1405</v>
      </c>
      <c r="D1677">
        <v>17.600000000000001</v>
      </c>
      <c r="E1677">
        <v>17.600000000000001</v>
      </c>
      <c r="F1677" t="s">
        <v>61</v>
      </c>
      <c r="G1677" t="s">
        <v>1318</v>
      </c>
      <c r="H1677" t="s">
        <v>2247</v>
      </c>
      <c r="I1677" t="s">
        <v>3102</v>
      </c>
    </row>
    <row r="1678" spans="1:9" x14ac:dyDescent="0.3">
      <c r="A1678" t="s">
        <v>3103</v>
      </c>
      <c r="B1678">
        <v>1781</v>
      </c>
      <c r="C1678" t="s">
        <v>1322</v>
      </c>
      <c r="E1678">
        <v>7.6</v>
      </c>
      <c r="F1678" t="s">
        <v>61</v>
      </c>
      <c r="I1678" t="s">
        <v>1324</v>
      </c>
    </row>
    <row r="1679" spans="1:9" x14ac:dyDescent="0.3">
      <c r="A1679" t="s">
        <v>3104</v>
      </c>
      <c r="B1679">
        <v>1782</v>
      </c>
      <c r="C1679" t="s">
        <v>1322</v>
      </c>
      <c r="E1679">
        <v>2</v>
      </c>
      <c r="F1679" t="s">
        <v>1421</v>
      </c>
      <c r="I1679" t="s">
        <v>1324</v>
      </c>
    </row>
    <row r="1680" spans="1:9" x14ac:dyDescent="0.3">
      <c r="A1680" t="s">
        <v>3105</v>
      </c>
      <c r="B1680">
        <v>1784</v>
      </c>
      <c r="C1680" t="s">
        <v>1322</v>
      </c>
      <c r="E1680">
        <v>2.2000000000000002</v>
      </c>
      <c r="F1680" t="s">
        <v>1349</v>
      </c>
      <c r="I1680" t="s">
        <v>1324</v>
      </c>
    </row>
    <row r="1681" spans="1:9" x14ac:dyDescent="0.3">
      <c r="A1681" t="s">
        <v>3106</v>
      </c>
      <c r="B1681">
        <v>1785</v>
      </c>
      <c r="C1681" t="s">
        <v>1322</v>
      </c>
      <c r="E1681">
        <v>1</v>
      </c>
      <c r="F1681" t="s">
        <v>1421</v>
      </c>
      <c r="I1681" t="s">
        <v>1324</v>
      </c>
    </row>
    <row r="1682" spans="1:9" x14ac:dyDescent="0.3">
      <c r="A1682" t="s">
        <v>3107</v>
      </c>
      <c r="B1682">
        <v>1786</v>
      </c>
      <c r="C1682" t="s">
        <v>1322</v>
      </c>
      <c r="E1682">
        <v>4.4000000000000004</v>
      </c>
      <c r="F1682" t="s">
        <v>1349</v>
      </c>
      <c r="I1682" t="s">
        <v>1324</v>
      </c>
    </row>
    <row r="1683" spans="1:9" x14ac:dyDescent="0.3">
      <c r="A1683" t="s">
        <v>3108</v>
      </c>
      <c r="B1683">
        <v>1787</v>
      </c>
      <c r="C1683" t="s">
        <v>1322</v>
      </c>
      <c r="E1683">
        <v>3.12</v>
      </c>
      <c r="F1683" t="s">
        <v>1349</v>
      </c>
      <c r="I1683" t="s">
        <v>1324</v>
      </c>
    </row>
    <row r="1684" spans="1:9" x14ac:dyDescent="0.3">
      <c r="A1684" t="s">
        <v>3109</v>
      </c>
      <c r="B1684">
        <v>1789</v>
      </c>
      <c r="C1684" t="s">
        <v>1331</v>
      </c>
      <c r="E1684">
        <v>16</v>
      </c>
      <c r="F1684" t="s">
        <v>1349</v>
      </c>
      <c r="I1684" t="s">
        <v>1332</v>
      </c>
    </row>
    <row r="1685" spans="1:9" x14ac:dyDescent="0.3">
      <c r="A1685" t="s">
        <v>3110</v>
      </c>
      <c r="B1685">
        <v>1790</v>
      </c>
      <c r="C1685" t="s">
        <v>1331</v>
      </c>
      <c r="E1685">
        <v>16</v>
      </c>
      <c r="F1685" t="s">
        <v>1349</v>
      </c>
      <c r="I1685" t="s">
        <v>1332</v>
      </c>
    </row>
    <row r="1686" spans="1:9" x14ac:dyDescent="0.3">
      <c r="A1686" t="s">
        <v>3111</v>
      </c>
      <c r="B1686">
        <v>1791</v>
      </c>
      <c r="C1686" t="s">
        <v>1405</v>
      </c>
      <c r="D1686">
        <v>16</v>
      </c>
      <c r="E1686">
        <v>16</v>
      </c>
      <c r="F1686" t="s">
        <v>1349</v>
      </c>
      <c r="G1686" t="s">
        <v>1318</v>
      </c>
      <c r="H1686" t="s">
        <v>2247</v>
      </c>
      <c r="I1686" t="s">
        <v>3112</v>
      </c>
    </row>
    <row r="1687" spans="1:9" x14ac:dyDescent="0.3">
      <c r="A1687" t="s">
        <v>3113</v>
      </c>
      <c r="B1687">
        <v>1793</v>
      </c>
      <c r="C1687" t="s">
        <v>1331</v>
      </c>
      <c r="E1687">
        <v>13</v>
      </c>
      <c r="F1687" t="s">
        <v>1349</v>
      </c>
      <c r="I1687" t="s">
        <v>1332</v>
      </c>
    </row>
    <row r="1688" spans="1:9" x14ac:dyDescent="0.3">
      <c r="A1688" t="s">
        <v>3114</v>
      </c>
      <c r="B1688">
        <v>1794</v>
      </c>
      <c r="C1688" t="s">
        <v>1331</v>
      </c>
      <c r="E1688">
        <v>13</v>
      </c>
      <c r="F1688" t="s">
        <v>1349</v>
      </c>
      <c r="I1688" t="s">
        <v>1332</v>
      </c>
    </row>
    <row r="1689" spans="1:9" x14ac:dyDescent="0.3">
      <c r="A1689" t="s">
        <v>3115</v>
      </c>
      <c r="B1689">
        <v>1795</v>
      </c>
      <c r="C1689" t="s">
        <v>1331</v>
      </c>
      <c r="E1689">
        <v>66.099999999999994</v>
      </c>
      <c r="F1689" t="s">
        <v>1349</v>
      </c>
      <c r="I1689" t="s">
        <v>1332</v>
      </c>
    </row>
    <row r="1690" spans="1:9" x14ac:dyDescent="0.3">
      <c r="A1690" t="s">
        <v>3116</v>
      </c>
      <c r="B1690">
        <v>1796</v>
      </c>
      <c r="C1690" t="s">
        <v>1322</v>
      </c>
      <c r="E1690">
        <v>4.3600000000000003</v>
      </c>
      <c r="F1690" t="s">
        <v>1349</v>
      </c>
      <c r="I1690" t="s">
        <v>1324</v>
      </c>
    </row>
    <row r="1691" spans="1:9" x14ac:dyDescent="0.3">
      <c r="A1691" t="s">
        <v>3117</v>
      </c>
      <c r="B1691">
        <v>1797</v>
      </c>
      <c r="C1691" t="s">
        <v>1322</v>
      </c>
      <c r="E1691">
        <v>69.010000000000005</v>
      </c>
      <c r="F1691" t="s">
        <v>1349</v>
      </c>
      <c r="I1691" t="s">
        <v>1324</v>
      </c>
    </row>
    <row r="1692" spans="1:9" x14ac:dyDescent="0.3">
      <c r="A1692" t="s">
        <v>3118</v>
      </c>
      <c r="B1692">
        <v>1798</v>
      </c>
      <c r="C1692" t="s">
        <v>1405</v>
      </c>
      <c r="D1692">
        <v>63.4</v>
      </c>
      <c r="E1692">
        <v>63.4</v>
      </c>
      <c r="F1692" t="s">
        <v>1349</v>
      </c>
      <c r="G1692" t="s">
        <v>1318</v>
      </c>
      <c r="H1692" t="s">
        <v>3119</v>
      </c>
      <c r="I1692" t="s">
        <v>3120</v>
      </c>
    </row>
    <row r="1693" spans="1:9" x14ac:dyDescent="0.3">
      <c r="A1693" t="s">
        <v>3121</v>
      </c>
      <c r="B1693">
        <v>1799</v>
      </c>
      <c r="C1693" t="s">
        <v>1322</v>
      </c>
      <c r="E1693">
        <v>64.849999999999994</v>
      </c>
      <c r="F1693" t="s">
        <v>1349</v>
      </c>
      <c r="I1693" t="s">
        <v>1324</v>
      </c>
    </row>
    <row r="1694" spans="1:9" x14ac:dyDescent="0.3">
      <c r="A1694" t="s">
        <v>3122</v>
      </c>
      <c r="B1694">
        <v>1801</v>
      </c>
      <c r="C1694" t="s">
        <v>1322</v>
      </c>
      <c r="E1694">
        <v>0.33700000000000002</v>
      </c>
      <c r="F1694" t="s">
        <v>1323</v>
      </c>
      <c r="I1694" t="s">
        <v>1324</v>
      </c>
    </row>
    <row r="1695" spans="1:9" x14ac:dyDescent="0.3">
      <c r="A1695" t="s">
        <v>3123</v>
      </c>
      <c r="B1695">
        <v>1802</v>
      </c>
      <c r="C1695" t="s">
        <v>1322</v>
      </c>
      <c r="E1695">
        <v>7.1999999999999995E-2</v>
      </c>
      <c r="F1695" t="s">
        <v>1317</v>
      </c>
      <c r="I1695" t="s">
        <v>1324</v>
      </c>
    </row>
    <row r="1696" spans="1:9" x14ac:dyDescent="0.3">
      <c r="A1696" t="s">
        <v>3124</v>
      </c>
      <c r="B1696">
        <v>1803</v>
      </c>
      <c r="C1696" t="s">
        <v>1322</v>
      </c>
      <c r="E1696">
        <v>9.4</v>
      </c>
      <c r="F1696" t="s">
        <v>1349</v>
      </c>
      <c r="I1696" t="s">
        <v>1324</v>
      </c>
    </row>
    <row r="1697" spans="1:9" x14ac:dyDescent="0.3">
      <c r="A1697" t="s">
        <v>3125</v>
      </c>
      <c r="B1697">
        <v>1804</v>
      </c>
      <c r="C1697" t="s">
        <v>1322</v>
      </c>
      <c r="E1697">
        <v>9.4</v>
      </c>
      <c r="F1697" t="s">
        <v>1349</v>
      </c>
      <c r="I1697" t="s">
        <v>1324</v>
      </c>
    </row>
    <row r="1698" spans="1:9" x14ac:dyDescent="0.3">
      <c r="A1698" t="s">
        <v>3126</v>
      </c>
      <c r="B1698">
        <v>1805</v>
      </c>
      <c r="C1698" t="s">
        <v>1322</v>
      </c>
      <c r="E1698">
        <v>0.18</v>
      </c>
      <c r="F1698" t="s">
        <v>1317</v>
      </c>
      <c r="I1698" t="s">
        <v>1324</v>
      </c>
    </row>
    <row r="1699" spans="1:9" x14ac:dyDescent="0.3">
      <c r="A1699" t="s">
        <v>3127</v>
      </c>
      <c r="B1699">
        <v>1807</v>
      </c>
      <c r="C1699" t="s">
        <v>1322</v>
      </c>
      <c r="E1699">
        <v>2</v>
      </c>
      <c r="F1699" t="s">
        <v>1421</v>
      </c>
      <c r="I1699" t="s">
        <v>1324</v>
      </c>
    </row>
    <row r="1700" spans="1:9" x14ac:dyDescent="0.3">
      <c r="A1700" t="s">
        <v>3128</v>
      </c>
      <c r="B1700">
        <v>1808</v>
      </c>
      <c r="C1700" t="s">
        <v>1322</v>
      </c>
      <c r="E1700">
        <v>1</v>
      </c>
      <c r="F1700" t="s">
        <v>1659</v>
      </c>
      <c r="I1700" t="s">
        <v>1324</v>
      </c>
    </row>
    <row r="1701" spans="1:9" x14ac:dyDescent="0.3">
      <c r="A1701" t="s">
        <v>3129</v>
      </c>
      <c r="B1701">
        <v>1809</v>
      </c>
      <c r="C1701" t="s">
        <v>1322</v>
      </c>
      <c r="E1701">
        <v>1</v>
      </c>
      <c r="F1701" t="s">
        <v>1421</v>
      </c>
      <c r="I1701" t="s">
        <v>1324</v>
      </c>
    </row>
    <row r="1702" spans="1:9" x14ac:dyDescent="0.3">
      <c r="A1702" t="s">
        <v>3130</v>
      </c>
      <c r="B1702">
        <v>1810</v>
      </c>
      <c r="C1702" t="s">
        <v>1322</v>
      </c>
      <c r="E1702">
        <v>2</v>
      </c>
      <c r="F1702" t="s">
        <v>1421</v>
      </c>
      <c r="I1702" t="s">
        <v>1324</v>
      </c>
    </row>
    <row r="1703" spans="1:9" x14ac:dyDescent="0.3">
      <c r="A1703" t="s">
        <v>3131</v>
      </c>
      <c r="B1703">
        <v>1811</v>
      </c>
      <c r="C1703" t="s">
        <v>1322</v>
      </c>
      <c r="E1703">
        <v>1</v>
      </c>
      <c r="F1703" t="s">
        <v>1421</v>
      </c>
      <c r="I1703" t="s">
        <v>1324</v>
      </c>
    </row>
    <row r="1704" spans="1:9" x14ac:dyDescent="0.3">
      <c r="A1704" t="s">
        <v>3132</v>
      </c>
      <c r="B1704">
        <v>1812</v>
      </c>
      <c r="C1704" t="s">
        <v>1322</v>
      </c>
      <c r="E1704">
        <v>1</v>
      </c>
      <c r="F1704" t="s">
        <v>1421</v>
      </c>
      <c r="I1704" t="s">
        <v>1324</v>
      </c>
    </row>
    <row r="1705" spans="1:9" x14ac:dyDescent="0.3">
      <c r="A1705" t="s">
        <v>3133</v>
      </c>
      <c r="B1705">
        <v>1813</v>
      </c>
      <c r="C1705" t="s">
        <v>1331</v>
      </c>
      <c r="E1705">
        <v>16</v>
      </c>
      <c r="F1705" t="s">
        <v>61</v>
      </c>
      <c r="I1705" t="s">
        <v>1332</v>
      </c>
    </row>
    <row r="1706" spans="1:9" x14ac:dyDescent="0.3">
      <c r="A1706" t="s">
        <v>3134</v>
      </c>
      <c r="B1706">
        <v>1814</v>
      </c>
      <c r="C1706" t="s">
        <v>1331</v>
      </c>
      <c r="E1706">
        <v>16</v>
      </c>
      <c r="F1706" t="s">
        <v>61</v>
      </c>
      <c r="I1706" t="s">
        <v>1332</v>
      </c>
    </row>
    <row r="1707" spans="1:9" x14ac:dyDescent="0.3">
      <c r="A1707" t="s">
        <v>3135</v>
      </c>
      <c r="B1707">
        <v>1815</v>
      </c>
      <c r="C1707" t="s">
        <v>1322</v>
      </c>
      <c r="E1707">
        <v>20</v>
      </c>
      <c r="F1707" t="s">
        <v>61</v>
      </c>
      <c r="I1707" t="s">
        <v>1324</v>
      </c>
    </row>
    <row r="1708" spans="1:9" x14ac:dyDescent="0.3">
      <c r="A1708" t="s">
        <v>3136</v>
      </c>
      <c r="B1708">
        <v>1816</v>
      </c>
      <c r="C1708" t="s">
        <v>1322</v>
      </c>
      <c r="E1708">
        <v>20</v>
      </c>
      <c r="F1708" t="s">
        <v>61</v>
      </c>
      <c r="I1708" t="s">
        <v>1324</v>
      </c>
    </row>
    <row r="1709" spans="1:9" x14ac:dyDescent="0.3">
      <c r="A1709" t="s">
        <v>3137</v>
      </c>
      <c r="B1709">
        <v>1817</v>
      </c>
      <c r="C1709" t="s">
        <v>1322</v>
      </c>
      <c r="E1709">
        <v>36</v>
      </c>
      <c r="F1709" t="s">
        <v>61</v>
      </c>
      <c r="I1709" t="s">
        <v>1324</v>
      </c>
    </row>
    <row r="1710" spans="1:9" x14ac:dyDescent="0.3">
      <c r="A1710" t="s">
        <v>3138</v>
      </c>
      <c r="B1710">
        <v>1818</v>
      </c>
      <c r="C1710" t="s">
        <v>1322</v>
      </c>
      <c r="E1710">
        <v>5</v>
      </c>
      <c r="F1710" t="s">
        <v>61</v>
      </c>
      <c r="I1710" t="s">
        <v>1324</v>
      </c>
    </row>
    <row r="1711" spans="1:9" x14ac:dyDescent="0.3">
      <c r="A1711" t="s">
        <v>3139</v>
      </c>
      <c r="B1711">
        <v>1819</v>
      </c>
      <c r="C1711" t="s">
        <v>1322</v>
      </c>
      <c r="E1711">
        <v>5</v>
      </c>
      <c r="F1711" t="s">
        <v>61</v>
      </c>
      <c r="I1711" t="s">
        <v>1324</v>
      </c>
    </row>
    <row r="1712" spans="1:9" x14ac:dyDescent="0.3">
      <c r="A1712" t="s">
        <v>3140</v>
      </c>
      <c r="B1712">
        <v>1820</v>
      </c>
      <c r="C1712" t="s">
        <v>1322</v>
      </c>
      <c r="E1712">
        <v>5</v>
      </c>
      <c r="F1712" t="s">
        <v>61</v>
      </c>
      <c r="I1712" t="s">
        <v>1324</v>
      </c>
    </row>
    <row r="1713" spans="1:9" x14ac:dyDescent="0.3">
      <c r="A1713" t="s">
        <v>3141</v>
      </c>
      <c r="B1713">
        <v>1821</v>
      </c>
      <c r="C1713" t="s">
        <v>1322</v>
      </c>
      <c r="E1713">
        <v>2</v>
      </c>
      <c r="F1713" t="s">
        <v>1421</v>
      </c>
      <c r="I1713" t="s">
        <v>1324</v>
      </c>
    </row>
    <row r="1714" spans="1:9" x14ac:dyDescent="0.3">
      <c r="A1714" t="s">
        <v>3142</v>
      </c>
      <c r="B1714">
        <v>1822</v>
      </c>
      <c r="C1714" t="s">
        <v>1322</v>
      </c>
      <c r="E1714">
        <v>2</v>
      </c>
      <c r="F1714" t="s">
        <v>1421</v>
      </c>
      <c r="I1714" t="s">
        <v>1324</v>
      </c>
    </row>
    <row r="1715" spans="1:9" x14ac:dyDescent="0.3">
      <c r="A1715" t="s">
        <v>3143</v>
      </c>
      <c r="B1715">
        <v>1823</v>
      </c>
      <c r="C1715" t="s">
        <v>1322</v>
      </c>
      <c r="E1715">
        <v>2</v>
      </c>
      <c r="F1715" t="s">
        <v>1421</v>
      </c>
      <c r="I1715" t="s">
        <v>1324</v>
      </c>
    </row>
    <row r="1716" spans="1:9" x14ac:dyDescent="0.3">
      <c r="A1716" t="s">
        <v>3144</v>
      </c>
      <c r="B1716">
        <v>1824</v>
      </c>
      <c r="C1716" t="s">
        <v>1322</v>
      </c>
      <c r="E1716">
        <v>2</v>
      </c>
      <c r="F1716" t="s">
        <v>1421</v>
      </c>
      <c r="I1716" t="s">
        <v>1324</v>
      </c>
    </row>
    <row r="1717" spans="1:9" x14ac:dyDescent="0.3">
      <c r="A1717" t="s">
        <v>3145</v>
      </c>
      <c r="B1717">
        <v>1825</v>
      </c>
      <c r="C1717" t="s">
        <v>1322</v>
      </c>
      <c r="E1717">
        <v>4</v>
      </c>
      <c r="F1717" t="s">
        <v>1421</v>
      </c>
      <c r="I1717" t="s">
        <v>1324</v>
      </c>
    </row>
    <row r="1718" spans="1:9" x14ac:dyDescent="0.3">
      <c r="A1718" t="s">
        <v>3146</v>
      </c>
      <c r="B1718">
        <v>1826</v>
      </c>
      <c r="C1718" t="s">
        <v>1322</v>
      </c>
      <c r="E1718">
        <v>4</v>
      </c>
      <c r="F1718" t="s">
        <v>1421</v>
      </c>
      <c r="I1718" t="s">
        <v>1324</v>
      </c>
    </row>
    <row r="1719" spans="1:9" x14ac:dyDescent="0.3">
      <c r="A1719" t="s">
        <v>3147</v>
      </c>
      <c r="B1719">
        <v>1827</v>
      </c>
      <c r="C1719" t="s">
        <v>1322</v>
      </c>
      <c r="E1719">
        <v>2</v>
      </c>
      <c r="F1719" t="s">
        <v>1421</v>
      </c>
      <c r="I1719" t="s">
        <v>1324</v>
      </c>
    </row>
    <row r="1720" spans="1:9" x14ac:dyDescent="0.3">
      <c r="A1720" t="s">
        <v>3148</v>
      </c>
      <c r="B1720">
        <v>1828</v>
      </c>
      <c r="C1720" t="s">
        <v>1322</v>
      </c>
      <c r="E1720">
        <v>2</v>
      </c>
      <c r="F1720" t="s">
        <v>1421</v>
      </c>
      <c r="I1720" t="s">
        <v>1324</v>
      </c>
    </row>
    <row r="1721" spans="1:9" x14ac:dyDescent="0.3">
      <c r="A1721" t="s">
        <v>3149</v>
      </c>
      <c r="B1721">
        <v>1829</v>
      </c>
      <c r="C1721" t="s">
        <v>1322</v>
      </c>
      <c r="E1721">
        <v>1</v>
      </c>
      <c r="F1721" t="s">
        <v>1421</v>
      </c>
      <c r="I1721" t="s">
        <v>1324</v>
      </c>
    </row>
    <row r="1722" spans="1:9" x14ac:dyDescent="0.3">
      <c r="A1722" t="s">
        <v>3150</v>
      </c>
      <c r="B1722">
        <v>1830</v>
      </c>
      <c r="C1722" t="s">
        <v>1322</v>
      </c>
      <c r="E1722">
        <v>2</v>
      </c>
      <c r="F1722" t="s">
        <v>1421</v>
      </c>
      <c r="I1722" t="s">
        <v>1324</v>
      </c>
    </row>
    <row r="1723" spans="1:9" x14ac:dyDescent="0.3">
      <c r="A1723" t="s">
        <v>3151</v>
      </c>
      <c r="B1723">
        <v>1831</v>
      </c>
      <c r="C1723" t="s">
        <v>1322</v>
      </c>
      <c r="E1723">
        <v>2</v>
      </c>
      <c r="F1723" t="s">
        <v>1421</v>
      </c>
      <c r="I1723" t="s">
        <v>1324</v>
      </c>
    </row>
    <row r="1724" spans="1:9" x14ac:dyDescent="0.3">
      <c r="A1724" t="s">
        <v>3152</v>
      </c>
      <c r="B1724">
        <v>1832</v>
      </c>
      <c r="C1724" t="s">
        <v>1322</v>
      </c>
      <c r="E1724">
        <v>2</v>
      </c>
      <c r="F1724" t="s">
        <v>1421</v>
      </c>
      <c r="I1724" t="s">
        <v>1324</v>
      </c>
    </row>
    <row r="1725" spans="1:9" x14ac:dyDescent="0.3">
      <c r="A1725" t="s">
        <v>3153</v>
      </c>
      <c r="B1725">
        <v>1833</v>
      </c>
      <c r="C1725" t="s">
        <v>1322</v>
      </c>
      <c r="E1725">
        <v>2</v>
      </c>
      <c r="F1725" t="s">
        <v>1421</v>
      </c>
      <c r="I1725" t="s">
        <v>1324</v>
      </c>
    </row>
    <row r="1726" spans="1:9" x14ac:dyDescent="0.3">
      <c r="A1726" t="s">
        <v>3154</v>
      </c>
      <c r="B1726">
        <v>1834</v>
      </c>
      <c r="C1726" t="s">
        <v>1322</v>
      </c>
      <c r="E1726">
        <v>2</v>
      </c>
      <c r="F1726" t="s">
        <v>1421</v>
      </c>
      <c r="I1726" t="s">
        <v>1324</v>
      </c>
    </row>
    <row r="1727" spans="1:9" x14ac:dyDescent="0.3">
      <c r="A1727" t="s">
        <v>3155</v>
      </c>
      <c r="B1727">
        <v>1836</v>
      </c>
      <c r="C1727" t="s">
        <v>1322</v>
      </c>
      <c r="E1727">
        <v>4</v>
      </c>
      <c r="F1727" t="s">
        <v>1421</v>
      </c>
      <c r="I1727" t="s">
        <v>1324</v>
      </c>
    </row>
    <row r="1728" spans="1:9" x14ac:dyDescent="0.3">
      <c r="A1728" t="s">
        <v>3156</v>
      </c>
      <c r="B1728">
        <v>1837</v>
      </c>
      <c r="C1728" t="s">
        <v>1322</v>
      </c>
      <c r="E1728">
        <v>4</v>
      </c>
      <c r="F1728" t="s">
        <v>1421</v>
      </c>
      <c r="I1728" t="s">
        <v>1324</v>
      </c>
    </row>
    <row r="1729" spans="1:9" x14ac:dyDescent="0.3">
      <c r="A1729" t="s">
        <v>3157</v>
      </c>
      <c r="B1729">
        <v>1838</v>
      </c>
      <c r="C1729" t="s">
        <v>1322</v>
      </c>
      <c r="E1729">
        <v>1</v>
      </c>
      <c r="F1729" t="s">
        <v>1421</v>
      </c>
      <c r="I1729" t="s">
        <v>1324</v>
      </c>
    </row>
    <row r="1730" spans="1:9" x14ac:dyDescent="0.3">
      <c r="A1730" t="s">
        <v>3158</v>
      </c>
      <c r="B1730">
        <v>1839</v>
      </c>
      <c r="C1730" t="s">
        <v>1322</v>
      </c>
      <c r="E1730">
        <v>1</v>
      </c>
      <c r="F1730" t="s">
        <v>1421</v>
      </c>
      <c r="I1730" t="s">
        <v>1324</v>
      </c>
    </row>
    <row r="1731" spans="1:9" x14ac:dyDescent="0.3">
      <c r="A1731" t="s">
        <v>3159</v>
      </c>
      <c r="B1731">
        <v>1840</v>
      </c>
      <c r="C1731" t="s">
        <v>1322</v>
      </c>
      <c r="E1731">
        <v>4</v>
      </c>
      <c r="F1731" t="s">
        <v>1421</v>
      </c>
      <c r="I1731" t="s">
        <v>1324</v>
      </c>
    </row>
    <row r="1732" spans="1:9" x14ac:dyDescent="0.3">
      <c r="A1732" t="s">
        <v>3160</v>
      </c>
      <c r="B1732">
        <v>1841</v>
      </c>
      <c r="C1732" t="s">
        <v>1322</v>
      </c>
      <c r="E1732">
        <v>1</v>
      </c>
      <c r="F1732" t="s">
        <v>1421</v>
      </c>
      <c r="I1732" t="s">
        <v>1324</v>
      </c>
    </row>
    <row r="1733" spans="1:9" x14ac:dyDescent="0.3">
      <c r="A1733" t="s">
        <v>3161</v>
      </c>
      <c r="B1733">
        <v>1842</v>
      </c>
      <c r="C1733" t="s">
        <v>1322</v>
      </c>
      <c r="E1733">
        <v>2</v>
      </c>
      <c r="F1733" t="s">
        <v>1421</v>
      </c>
      <c r="I1733" t="s">
        <v>1324</v>
      </c>
    </row>
    <row r="1734" spans="1:9" x14ac:dyDescent="0.3">
      <c r="A1734" t="s">
        <v>3162</v>
      </c>
      <c r="B1734">
        <v>1843</v>
      </c>
      <c r="C1734" t="s">
        <v>1322</v>
      </c>
      <c r="E1734">
        <v>2</v>
      </c>
      <c r="F1734" t="s">
        <v>1421</v>
      </c>
      <c r="I1734" t="s">
        <v>1324</v>
      </c>
    </row>
    <row r="1735" spans="1:9" x14ac:dyDescent="0.3">
      <c r="A1735" t="s">
        <v>3163</v>
      </c>
      <c r="B1735">
        <v>1844</v>
      </c>
      <c r="C1735" t="s">
        <v>1322</v>
      </c>
      <c r="E1735">
        <v>1</v>
      </c>
      <c r="F1735" t="s">
        <v>1421</v>
      </c>
      <c r="I1735" t="s">
        <v>1324</v>
      </c>
    </row>
    <row r="1736" spans="1:9" x14ac:dyDescent="0.3">
      <c r="A1736" t="s">
        <v>3164</v>
      </c>
      <c r="B1736">
        <v>1845</v>
      </c>
      <c r="C1736" t="s">
        <v>1322</v>
      </c>
      <c r="E1736">
        <v>4</v>
      </c>
      <c r="F1736" t="s">
        <v>1421</v>
      </c>
      <c r="I1736" t="s">
        <v>1324</v>
      </c>
    </row>
    <row r="1737" spans="1:9" x14ac:dyDescent="0.3">
      <c r="A1737" t="s">
        <v>3165</v>
      </c>
      <c r="B1737">
        <v>1846</v>
      </c>
      <c r="C1737" t="s">
        <v>1322</v>
      </c>
      <c r="E1737">
        <v>4</v>
      </c>
      <c r="F1737" t="s">
        <v>1421</v>
      </c>
      <c r="I1737" t="s">
        <v>1324</v>
      </c>
    </row>
    <row r="1738" spans="1:9" x14ac:dyDescent="0.3">
      <c r="A1738" t="s">
        <v>3166</v>
      </c>
      <c r="B1738">
        <v>1847</v>
      </c>
      <c r="C1738" t="s">
        <v>1322</v>
      </c>
      <c r="E1738">
        <v>40</v>
      </c>
      <c r="F1738" t="s">
        <v>61</v>
      </c>
      <c r="I1738" t="s">
        <v>1324</v>
      </c>
    </row>
    <row r="1739" spans="1:9" x14ac:dyDescent="0.3">
      <c r="A1739" t="s">
        <v>3167</v>
      </c>
      <c r="B1739">
        <v>1848</v>
      </c>
      <c r="C1739" t="s">
        <v>1322</v>
      </c>
      <c r="E1739">
        <v>40</v>
      </c>
      <c r="F1739" t="s">
        <v>61</v>
      </c>
      <c r="I1739" t="s">
        <v>1324</v>
      </c>
    </row>
    <row r="1740" spans="1:9" x14ac:dyDescent="0.3">
      <c r="A1740" t="s">
        <v>3168</v>
      </c>
      <c r="B1740">
        <v>1849</v>
      </c>
      <c r="C1740" t="s">
        <v>1322</v>
      </c>
      <c r="E1740">
        <v>40</v>
      </c>
      <c r="F1740" t="s">
        <v>61</v>
      </c>
      <c r="I1740" t="s">
        <v>1324</v>
      </c>
    </row>
    <row r="1741" spans="1:9" x14ac:dyDescent="0.3">
      <c r="A1741" t="s">
        <v>3169</v>
      </c>
      <c r="B1741">
        <v>1850</v>
      </c>
      <c r="C1741" t="s">
        <v>1322</v>
      </c>
      <c r="E1741">
        <v>40</v>
      </c>
      <c r="F1741" t="s">
        <v>61</v>
      </c>
      <c r="I1741" t="s">
        <v>1324</v>
      </c>
    </row>
    <row r="1742" spans="1:9" x14ac:dyDescent="0.3">
      <c r="A1742" t="s">
        <v>3170</v>
      </c>
      <c r="B1742">
        <v>1851</v>
      </c>
      <c r="C1742" t="s">
        <v>1322</v>
      </c>
      <c r="E1742">
        <v>24.1</v>
      </c>
      <c r="F1742" t="s">
        <v>130</v>
      </c>
      <c r="I1742" t="s">
        <v>1324</v>
      </c>
    </row>
    <row r="1743" spans="1:9" x14ac:dyDescent="0.3">
      <c r="A1743" t="s">
        <v>3171</v>
      </c>
      <c r="B1743">
        <v>1852</v>
      </c>
      <c r="C1743" t="s">
        <v>1322</v>
      </c>
      <c r="E1743">
        <v>3</v>
      </c>
      <c r="F1743" t="s">
        <v>1421</v>
      </c>
      <c r="I1743" t="s">
        <v>1324</v>
      </c>
    </row>
    <row r="1744" spans="1:9" x14ac:dyDescent="0.3">
      <c r="A1744" t="s">
        <v>3172</v>
      </c>
      <c r="B1744">
        <v>1853</v>
      </c>
      <c r="C1744" t="s">
        <v>1322</v>
      </c>
      <c r="E1744">
        <v>5</v>
      </c>
      <c r="F1744" t="s">
        <v>61</v>
      </c>
      <c r="I1744" t="s">
        <v>1324</v>
      </c>
    </row>
    <row r="1745" spans="1:9" x14ac:dyDescent="0.3">
      <c r="A1745" t="s">
        <v>3173</v>
      </c>
      <c r="B1745">
        <v>1854</v>
      </c>
      <c r="C1745" t="s">
        <v>1322</v>
      </c>
      <c r="E1745">
        <v>5</v>
      </c>
      <c r="F1745" t="s">
        <v>61</v>
      </c>
      <c r="I1745" t="s">
        <v>1324</v>
      </c>
    </row>
    <row r="1746" spans="1:9" x14ac:dyDescent="0.3">
      <c r="A1746" t="s">
        <v>3174</v>
      </c>
      <c r="B1746">
        <v>1855</v>
      </c>
      <c r="C1746" t="s">
        <v>1322</v>
      </c>
      <c r="E1746">
        <v>15</v>
      </c>
      <c r="F1746" t="s">
        <v>61</v>
      </c>
      <c r="I1746" t="s">
        <v>1324</v>
      </c>
    </row>
    <row r="1747" spans="1:9" x14ac:dyDescent="0.3">
      <c r="A1747" t="s">
        <v>3175</v>
      </c>
      <c r="B1747">
        <v>1856</v>
      </c>
      <c r="C1747" t="s">
        <v>1322</v>
      </c>
      <c r="E1747">
        <v>15</v>
      </c>
      <c r="F1747" t="s">
        <v>61</v>
      </c>
      <c r="I1747" t="s">
        <v>1324</v>
      </c>
    </row>
    <row r="1748" spans="1:9" x14ac:dyDescent="0.3">
      <c r="A1748" t="s">
        <v>3176</v>
      </c>
      <c r="B1748">
        <v>1858</v>
      </c>
      <c r="C1748" t="s">
        <v>1322</v>
      </c>
      <c r="E1748">
        <v>1</v>
      </c>
      <c r="F1748" t="s">
        <v>1421</v>
      </c>
      <c r="I1748" t="s">
        <v>1324</v>
      </c>
    </row>
    <row r="1749" spans="1:9" x14ac:dyDescent="0.3">
      <c r="A1749" t="s">
        <v>3177</v>
      </c>
      <c r="B1749">
        <v>1859</v>
      </c>
      <c r="C1749" t="s">
        <v>1322</v>
      </c>
      <c r="E1749">
        <v>1</v>
      </c>
      <c r="F1749" t="s">
        <v>1421</v>
      </c>
      <c r="I1749" t="s">
        <v>1324</v>
      </c>
    </row>
    <row r="1750" spans="1:9" x14ac:dyDescent="0.3">
      <c r="A1750" t="s">
        <v>3178</v>
      </c>
      <c r="B1750">
        <v>1860</v>
      </c>
      <c r="C1750" t="s">
        <v>1322</v>
      </c>
      <c r="E1750">
        <v>1</v>
      </c>
      <c r="F1750" t="s">
        <v>1421</v>
      </c>
      <c r="I1750" t="s">
        <v>1324</v>
      </c>
    </row>
    <row r="1751" spans="1:9" x14ac:dyDescent="0.3">
      <c r="A1751" t="s">
        <v>3179</v>
      </c>
      <c r="B1751">
        <v>1861</v>
      </c>
      <c r="C1751" t="s">
        <v>1322</v>
      </c>
      <c r="E1751">
        <v>3</v>
      </c>
      <c r="F1751" t="s">
        <v>1421</v>
      </c>
      <c r="I1751" t="s">
        <v>1324</v>
      </c>
    </row>
    <row r="1752" spans="1:9" x14ac:dyDescent="0.3">
      <c r="A1752" t="s">
        <v>3180</v>
      </c>
      <c r="B1752">
        <v>1862</v>
      </c>
      <c r="C1752" t="s">
        <v>1322</v>
      </c>
      <c r="E1752">
        <v>3</v>
      </c>
      <c r="F1752" t="s">
        <v>1421</v>
      </c>
      <c r="I1752" t="s">
        <v>1324</v>
      </c>
    </row>
    <row r="1753" spans="1:9" x14ac:dyDescent="0.3">
      <c r="A1753" t="s">
        <v>3181</v>
      </c>
      <c r="B1753">
        <v>1863</v>
      </c>
      <c r="C1753" t="s">
        <v>1322</v>
      </c>
      <c r="E1753">
        <v>3</v>
      </c>
      <c r="F1753" t="s">
        <v>1421</v>
      </c>
      <c r="I1753" t="s">
        <v>1324</v>
      </c>
    </row>
    <row r="1754" spans="1:9" x14ac:dyDescent="0.3">
      <c r="A1754" t="s">
        <v>3182</v>
      </c>
      <c r="B1754">
        <v>1864</v>
      </c>
      <c r="C1754" t="s">
        <v>1322</v>
      </c>
      <c r="E1754">
        <v>10</v>
      </c>
      <c r="F1754" t="s">
        <v>1421</v>
      </c>
      <c r="I1754" t="s">
        <v>1324</v>
      </c>
    </row>
    <row r="1755" spans="1:9" x14ac:dyDescent="0.3">
      <c r="A1755" t="s">
        <v>3183</v>
      </c>
      <c r="B1755">
        <v>1865</v>
      </c>
      <c r="C1755" t="s">
        <v>1322</v>
      </c>
      <c r="E1755">
        <v>1</v>
      </c>
      <c r="F1755" t="s">
        <v>1421</v>
      </c>
      <c r="I1755" t="s">
        <v>1324</v>
      </c>
    </row>
    <row r="1756" spans="1:9" x14ac:dyDescent="0.3">
      <c r="A1756" t="s">
        <v>3184</v>
      </c>
      <c r="B1756">
        <v>1866</v>
      </c>
      <c r="C1756" t="s">
        <v>1322</v>
      </c>
      <c r="E1756">
        <v>1</v>
      </c>
      <c r="F1756" t="s">
        <v>1421</v>
      </c>
      <c r="I1756" t="s">
        <v>1324</v>
      </c>
    </row>
    <row r="1757" spans="1:9" x14ac:dyDescent="0.3">
      <c r="A1757" t="s">
        <v>3185</v>
      </c>
      <c r="B1757">
        <v>1867</v>
      </c>
      <c r="C1757" t="s">
        <v>1322</v>
      </c>
      <c r="E1757">
        <v>1.5</v>
      </c>
      <c r="F1757" t="s">
        <v>61</v>
      </c>
      <c r="I1757" t="s">
        <v>1324</v>
      </c>
    </row>
    <row r="1758" spans="1:9" x14ac:dyDescent="0.3">
      <c r="A1758" t="s">
        <v>3186</v>
      </c>
      <c r="B1758">
        <v>1868</v>
      </c>
      <c r="C1758" t="s">
        <v>1322</v>
      </c>
      <c r="E1758">
        <v>3</v>
      </c>
      <c r="F1758" t="s">
        <v>1421</v>
      </c>
      <c r="I1758" t="s">
        <v>1324</v>
      </c>
    </row>
    <row r="1759" spans="1:9" x14ac:dyDescent="0.3">
      <c r="A1759" t="s">
        <v>3187</v>
      </c>
      <c r="B1759">
        <v>1869</v>
      </c>
      <c r="C1759" t="s">
        <v>1322</v>
      </c>
      <c r="E1759">
        <v>3</v>
      </c>
      <c r="F1759" t="s">
        <v>1421</v>
      </c>
      <c r="I1759" t="s">
        <v>1324</v>
      </c>
    </row>
    <row r="1760" spans="1:9" x14ac:dyDescent="0.3">
      <c r="A1760" t="s">
        <v>3188</v>
      </c>
      <c r="B1760">
        <v>1870</v>
      </c>
      <c r="C1760" t="s">
        <v>1322</v>
      </c>
      <c r="E1760">
        <v>3</v>
      </c>
      <c r="F1760" t="s">
        <v>1421</v>
      </c>
      <c r="I1760" t="s">
        <v>1324</v>
      </c>
    </row>
    <row r="1761" spans="1:9" x14ac:dyDescent="0.3">
      <c r="A1761" t="s">
        <v>3189</v>
      </c>
      <c r="B1761">
        <v>1871</v>
      </c>
      <c r="C1761" t="s">
        <v>1322</v>
      </c>
      <c r="E1761">
        <v>3</v>
      </c>
      <c r="F1761" t="s">
        <v>1421</v>
      </c>
      <c r="I1761" t="s">
        <v>1324</v>
      </c>
    </row>
    <row r="1762" spans="1:9" x14ac:dyDescent="0.3">
      <c r="A1762" t="s">
        <v>3190</v>
      </c>
      <c r="B1762">
        <v>1872</v>
      </c>
      <c r="C1762" t="s">
        <v>1322</v>
      </c>
      <c r="E1762">
        <v>1</v>
      </c>
      <c r="F1762" t="s">
        <v>1659</v>
      </c>
      <c r="I1762" t="s">
        <v>1324</v>
      </c>
    </row>
    <row r="1763" spans="1:9" x14ac:dyDescent="0.3">
      <c r="A1763" t="s">
        <v>3191</v>
      </c>
      <c r="B1763">
        <v>1873</v>
      </c>
      <c r="C1763" t="s">
        <v>1322</v>
      </c>
      <c r="E1763">
        <v>1</v>
      </c>
      <c r="F1763" t="s">
        <v>1421</v>
      </c>
      <c r="I1763" t="s">
        <v>1324</v>
      </c>
    </row>
    <row r="1764" spans="1:9" x14ac:dyDescent="0.3">
      <c r="A1764" t="s">
        <v>3192</v>
      </c>
      <c r="B1764">
        <v>1874</v>
      </c>
      <c r="C1764" t="s">
        <v>1322</v>
      </c>
      <c r="E1764">
        <v>1</v>
      </c>
      <c r="F1764" t="s">
        <v>1421</v>
      </c>
      <c r="I1764" t="s">
        <v>1324</v>
      </c>
    </row>
    <row r="1765" spans="1:9" x14ac:dyDescent="0.3">
      <c r="A1765" t="s">
        <v>3193</v>
      </c>
      <c r="B1765">
        <v>1875</v>
      </c>
      <c r="C1765" t="s">
        <v>1322</v>
      </c>
      <c r="E1765">
        <v>1</v>
      </c>
      <c r="F1765" t="s">
        <v>1421</v>
      </c>
      <c r="I1765" t="s">
        <v>1324</v>
      </c>
    </row>
    <row r="1766" spans="1:9" x14ac:dyDescent="0.3">
      <c r="A1766" t="s">
        <v>3194</v>
      </c>
      <c r="B1766">
        <v>1876</v>
      </c>
      <c r="C1766" t="s">
        <v>1331</v>
      </c>
      <c r="E1766">
        <v>25</v>
      </c>
      <c r="F1766" t="s">
        <v>61</v>
      </c>
      <c r="I1766" t="s">
        <v>1332</v>
      </c>
    </row>
    <row r="1767" spans="1:9" x14ac:dyDescent="0.3">
      <c r="A1767" t="s">
        <v>3195</v>
      </c>
      <c r="B1767">
        <v>1877</v>
      </c>
      <c r="C1767" t="s">
        <v>1331</v>
      </c>
      <c r="E1767">
        <v>25</v>
      </c>
      <c r="F1767" t="s">
        <v>61</v>
      </c>
      <c r="I1767" t="s">
        <v>1332</v>
      </c>
    </row>
    <row r="1768" spans="1:9" x14ac:dyDescent="0.3">
      <c r="A1768" t="s">
        <v>3196</v>
      </c>
      <c r="B1768">
        <v>1878</v>
      </c>
      <c r="C1768" t="s">
        <v>1322</v>
      </c>
      <c r="E1768">
        <v>11</v>
      </c>
      <c r="F1768" t="s">
        <v>61</v>
      </c>
      <c r="I1768" t="s">
        <v>1324</v>
      </c>
    </row>
    <row r="1769" spans="1:9" x14ac:dyDescent="0.3">
      <c r="A1769" t="s">
        <v>3197</v>
      </c>
      <c r="B1769">
        <v>1879</v>
      </c>
      <c r="C1769" t="s">
        <v>1322</v>
      </c>
      <c r="E1769">
        <v>15</v>
      </c>
      <c r="F1769" t="s">
        <v>61</v>
      </c>
      <c r="I1769" t="s">
        <v>1324</v>
      </c>
    </row>
    <row r="1770" spans="1:9" x14ac:dyDescent="0.3">
      <c r="A1770" t="s">
        <v>3198</v>
      </c>
      <c r="B1770">
        <v>1880</v>
      </c>
      <c r="C1770" t="s">
        <v>1331</v>
      </c>
      <c r="E1770">
        <v>25</v>
      </c>
      <c r="F1770" t="s">
        <v>61</v>
      </c>
      <c r="I1770" t="s">
        <v>1332</v>
      </c>
    </row>
    <row r="1771" spans="1:9" x14ac:dyDescent="0.3">
      <c r="A1771" t="s">
        <v>3199</v>
      </c>
      <c r="B1771">
        <v>1881</v>
      </c>
      <c r="C1771" t="s">
        <v>1331</v>
      </c>
      <c r="E1771">
        <v>1</v>
      </c>
      <c r="F1771" t="s">
        <v>61</v>
      </c>
      <c r="I1771" t="s">
        <v>1332</v>
      </c>
    </row>
    <row r="1772" spans="1:9" x14ac:dyDescent="0.3">
      <c r="A1772" t="s">
        <v>3200</v>
      </c>
      <c r="B1772">
        <v>1883</v>
      </c>
      <c r="C1772" t="s">
        <v>1322</v>
      </c>
      <c r="E1772">
        <v>176</v>
      </c>
      <c r="F1772" t="s">
        <v>1317</v>
      </c>
      <c r="I1772" t="s">
        <v>1324</v>
      </c>
    </row>
    <row r="1773" spans="1:9" x14ac:dyDescent="0.3">
      <c r="A1773" t="s">
        <v>3201</v>
      </c>
      <c r="B1773">
        <v>1884</v>
      </c>
      <c r="C1773" t="s">
        <v>1322</v>
      </c>
      <c r="E1773">
        <v>6</v>
      </c>
      <c r="F1773" t="s">
        <v>1317</v>
      </c>
      <c r="I1773" t="s">
        <v>1324</v>
      </c>
    </row>
    <row r="1774" spans="1:9" x14ac:dyDescent="0.3">
      <c r="A1774" t="s">
        <v>3202</v>
      </c>
      <c r="B1774">
        <v>1885</v>
      </c>
      <c r="C1774" t="s">
        <v>1322</v>
      </c>
      <c r="E1774">
        <v>63</v>
      </c>
      <c r="F1774" t="s">
        <v>1317</v>
      </c>
      <c r="I1774" t="s">
        <v>1324</v>
      </c>
    </row>
    <row r="1775" spans="1:9" x14ac:dyDescent="0.3">
      <c r="A1775" t="s">
        <v>3203</v>
      </c>
      <c r="B1775">
        <v>1886</v>
      </c>
      <c r="C1775" t="s">
        <v>1331</v>
      </c>
      <c r="E1775">
        <v>16</v>
      </c>
      <c r="F1775" t="s">
        <v>1317</v>
      </c>
      <c r="I1775" t="s">
        <v>1332</v>
      </c>
    </row>
    <row r="1776" spans="1:9" x14ac:dyDescent="0.3">
      <c r="A1776" t="s">
        <v>3204</v>
      </c>
      <c r="B1776">
        <v>1887</v>
      </c>
      <c r="C1776" t="s">
        <v>1322</v>
      </c>
      <c r="E1776">
        <v>63</v>
      </c>
      <c r="F1776" t="s">
        <v>1317</v>
      </c>
      <c r="I1776" t="s">
        <v>1324</v>
      </c>
    </row>
    <row r="1777" spans="1:9" x14ac:dyDescent="0.3">
      <c r="A1777" t="s">
        <v>3205</v>
      </c>
      <c r="B1777">
        <v>1888</v>
      </c>
      <c r="C1777" t="s">
        <v>1322</v>
      </c>
      <c r="E1777">
        <v>103</v>
      </c>
      <c r="F1777" t="s">
        <v>1317</v>
      </c>
      <c r="I1777" t="s">
        <v>1324</v>
      </c>
    </row>
    <row r="1778" spans="1:9" x14ac:dyDescent="0.3">
      <c r="A1778" t="s">
        <v>3206</v>
      </c>
      <c r="B1778">
        <v>1889</v>
      </c>
      <c r="C1778" t="s">
        <v>1322</v>
      </c>
      <c r="E1778">
        <v>180.3</v>
      </c>
      <c r="F1778" t="s">
        <v>1323</v>
      </c>
      <c r="I1778" t="s">
        <v>1324</v>
      </c>
    </row>
    <row r="1779" spans="1:9" x14ac:dyDescent="0.3">
      <c r="A1779" t="s">
        <v>3207</v>
      </c>
      <c r="B1779">
        <v>1890</v>
      </c>
      <c r="C1779" t="s">
        <v>1322</v>
      </c>
      <c r="E1779">
        <v>103</v>
      </c>
      <c r="F1779" t="s">
        <v>1317</v>
      </c>
      <c r="I1779" t="s">
        <v>1324</v>
      </c>
    </row>
    <row r="1780" spans="1:9" x14ac:dyDescent="0.3">
      <c r="A1780" t="s">
        <v>3208</v>
      </c>
      <c r="B1780">
        <v>1892</v>
      </c>
      <c r="C1780" t="s">
        <v>1405</v>
      </c>
      <c r="D1780">
        <v>18.5</v>
      </c>
      <c r="E1780">
        <v>18.5</v>
      </c>
      <c r="F1780" t="s">
        <v>1317</v>
      </c>
      <c r="G1780" t="s">
        <v>1318</v>
      </c>
      <c r="H1780" t="s">
        <v>3209</v>
      </c>
      <c r="I1780" t="s">
        <v>3210</v>
      </c>
    </row>
    <row r="1781" spans="1:9" x14ac:dyDescent="0.3">
      <c r="A1781" t="s">
        <v>3211</v>
      </c>
      <c r="B1781">
        <v>1893</v>
      </c>
      <c r="C1781" t="s">
        <v>1322</v>
      </c>
      <c r="E1781">
        <v>1.1990000000000001</v>
      </c>
      <c r="F1781" t="s">
        <v>1323</v>
      </c>
      <c r="I1781" t="s">
        <v>1324</v>
      </c>
    </row>
    <row r="1782" spans="1:9" x14ac:dyDescent="0.3">
      <c r="A1782" t="s">
        <v>3212</v>
      </c>
      <c r="B1782">
        <v>1894</v>
      </c>
      <c r="C1782" t="s">
        <v>1405</v>
      </c>
      <c r="D1782">
        <v>14.6</v>
      </c>
      <c r="E1782">
        <v>14.6</v>
      </c>
      <c r="F1782" t="s">
        <v>1317</v>
      </c>
      <c r="G1782" t="s">
        <v>1318</v>
      </c>
      <c r="H1782" t="s">
        <v>3209</v>
      </c>
      <c r="I1782" t="s">
        <v>3213</v>
      </c>
    </row>
    <row r="1783" spans="1:9" x14ac:dyDescent="0.3">
      <c r="A1783" t="s">
        <v>3214</v>
      </c>
      <c r="B1783">
        <v>1895</v>
      </c>
      <c r="C1783" t="s">
        <v>1322</v>
      </c>
      <c r="E1783">
        <v>0.121</v>
      </c>
      <c r="F1783" t="s">
        <v>1323</v>
      </c>
      <c r="I1783" t="s">
        <v>1324</v>
      </c>
    </row>
    <row r="1784" spans="1:9" x14ac:dyDescent="0.3">
      <c r="A1784" t="s">
        <v>3215</v>
      </c>
      <c r="B1784">
        <v>1896</v>
      </c>
      <c r="C1784" t="s">
        <v>1322</v>
      </c>
      <c r="E1784">
        <v>0.26500000000000001</v>
      </c>
      <c r="F1784" t="s">
        <v>1323</v>
      </c>
      <c r="I1784" t="s">
        <v>1324</v>
      </c>
    </row>
    <row r="1785" spans="1:9" x14ac:dyDescent="0.3">
      <c r="A1785" t="s">
        <v>3216</v>
      </c>
      <c r="B1785">
        <v>1897</v>
      </c>
      <c r="C1785" t="s">
        <v>1322</v>
      </c>
      <c r="E1785">
        <v>24</v>
      </c>
      <c r="F1785" t="s">
        <v>61</v>
      </c>
      <c r="I1785" t="s">
        <v>1324</v>
      </c>
    </row>
    <row r="1786" spans="1:9" x14ac:dyDescent="0.3">
      <c r="A1786" t="s">
        <v>3217</v>
      </c>
      <c r="B1786">
        <v>1898</v>
      </c>
      <c r="C1786" t="s">
        <v>1322</v>
      </c>
      <c r="E1786">
        <v>96</v>
      </c>
      <c r="F1786" t="s">
        <v>1349</v>
      </c>
      <c r="I1786" t="s">
        <v>1324</v>
      </c>
    </row>
    <row r="1787" spans="1:9" x14ac:dyDescent="0.3">
      <c r="A1787" t="s">
        <v>3218</v>
      </c>
      <c r="B1787">
        <v>1899</v>
      </c>
      <c r="C1787" t="s">
        <v>1322</v>
      </c>
      <c r="E1787">
        <v>0.4</v>
      </c>
      <c r="F1787" t="s">
        <v>1317</v>
      </c>
      <c r="I1787" t="s">
        <v>1324</v>
      </c>
    </row>
    <row r="1788" spans="1:9" x14ac:dyDescent="0.3">
      <c r="A1788" t="s">
        <v>3219</v>
      </c>
      <c r="B1788">
        <v>1900</v>
      </c>
      <c r="C1788" t="s">
        <v>1322</v>
      </c>
      <c r="E1788">
        <v>0.30399999999999999</v>
      </c>
      <c r="F1788" t="s">
        <v>1323</v>
      </c>
      <c r="I1788" t="s">
        <v>1324</v>
      </c>
    </row>
    <row r="1789" spans="1:9" x14ac:dyDescent="0.3">
      <c r="A1789" t="s">
        <v>3220</v>
      </c>
      <c r="B1789">
        <v>1902</v>
      </c>
      <c r="C1789" t="s">
        <v>1322</v>
      </c>
      <c r="E1789">
        <v>7</v>
      </c>
      <c r="F1789" t="s">
        <v>61</v>
      </c>
      <c r="I1789" t="s">
        <v>1324</v>
      </c>
    </row>
    <row r="1790" spans="1:9" x14ac:dyDescent="0.3">
      <c r="A1790" t="s">
        <v>3221</v>
      </c>
      <c r="B1790">
        <v>1903</v>
      </c>
      <c r="C1790" t="s">
        <v>1322</v>
      </c>
      <c r="E1790">
        <v>7</v>
      </c>
      <c r="F1790" t="s">
        <v>61</v>
      </c>
      <c r="I1790" t="s">
        <v>1324</v>
      </c>
    </row>
    <row r="1791" spans="1:9" x14ac:dyDescent="0.3">
      <c r="A1791" t="s">
        <v>3222</v>
      </c>
      <c r="B1791">
        <v>1904</v>
      </c>
      <c r="C1791" t="s">
        <v>1322</v>
      </c>
      <c r="E1791">
        <v>1</v>
      </c>
      <c r="F1791" t="s">
        <v>1421</v>
      </c>
      <c r="I1791" t="s">
        <v>1324</v>
      </c>
    </row>
    <row r="1792" spans="1:9" x14ac:dyDescent="0.3">
      <c r="A1792" t="s">
        <v>3223</v>
      </c>
      <c r="B1792">
        <v>1906</v>
      </c>
      <c r="C1792" t="s">
        <v>1331</v>
      </c>
      <c r="E1792">
        <v>16</v>
      </c>
      <c r="F1792" t="s">
        <v>61</v>
      </c>
      <c r="I1792" t="s">
        <v>1332</v>
      </c>
    </row>
    <row r="1793" spans="1:9" x14ac:dyDescent="0.3">
      <c r="A1793" t="s">
        <v>3224</v>
      </c>
      <c r="B1793">
        <v>1907</v>
      </c>
      <c r="C1793" t="s">
        <v>1331</v>
      </c>
      <c r="E1793">
        <v>16</v>
      </c>
      <c r="F1793" t="s">
        <v>61</v>
      </c>
      <c r="I1793" t="s">
        <v>1332</v>
      </c>
    </row>
    <row r="1794" spans="1:9" x14ac:dyDescent="0.3">
      <c r="A1794" t="s">
        <v>3225</v>
      </c>
      <c r="B1794">
        <v>1908</v>
      </c>
      <c r="C1794" t="s">
        <v>1322</v>
      </c>
      <c r="E1794">
        <v>3</v>
      </c>
      <c r="F1794" t="s">
        <v>61</v>
      </c>
      <c r="I1794" t="s">
        <v>1324</v>
      </c>
    </row>
    <row r="1795" spans="1:9" x14ac:dyDescent="0.3">
      <c r="A1795" t="s">
        <v>3226</v>
      </c>
      <c r="B1795">
        <v>1909</v>
      </c>
      <c r="C1795" t="s">
        <v>1322</v>
      </c>
      <c r="E1795">
        <v>3</v>
      </c>
      <c r="F1795" t="s">
        <v>61</v>
      </c>
      <c r="I1795" t="s">
        <v>1324</v>
      </c>
    </row>
    <row r="1796" spans="1:9" x14ac:dyDescent="0.3">
      <c r="A1796" t="s">
        <v>3227</v>
      </c>
      <c r="B1796">
        <v>1910</v>
      </c>
      <c r="C1796" t="s">
        <v>1322</v>
      </c>
      <c r="E1796">
        <v>1</v>
      </c>
      <c r="F1796" t="s">
        <v>1659</v>
      </c>
      <c r="I1796" t="s">
        <v>1324</v>
      </c>
    </row>
    <row r="1797" spans="1:9" x14ac:dyDescent="0.3">
      <c r="A1797" t="s">
        <v>3228</v>
      </c>
      <c r="B1797">
        <v>1912</v>
      </c>
      <c r="C1797" t="s">
        <v>1322</v>
      </c>
      <c r="E1797">
        <v>1</v>
      </c>
      <c r="F1797" t="s">
        <v>1659</v>
      </c>
      <c r="I1797" t="s">
        <v>1324</v>
      </c>
    </row>
    <row r="1798" spans="1:9" x14ac:dyDescent="0.3">
      <c r="A1798" t="s">
        <v>3229</v>
      </c>
      <c r="B1798">
        <v>1914</v>
      </c>
      <c r="C1798" t="s">
        <v>1322</v>
      </c>
      <c r="E1798">
        <v>23</v>
      </c>
      <c r="F1798" t="s">
        <v>1317</v>
      </c>
      <c r="I1798" t="s">
        <v>1324</v>
      </c>
    </row>
    <row r="1799" spans="1:9" x14ac:dyDescent="0.3">
      <c r="A1799" t="s">
        <v>3230</v>
      </c>
      <c r="B1799">
        <v>1915</v>
      </c>
      <c r="C1799" t="s">
        <v>1322</v>
      </c>
      <c r="E1799">
        <v>1</v>
      </c>
      <c r="F1799" t="s">
        <v>1317</v>
      </c>
      <c r="I1799" t="s">
        <v>1324</v>
      </c>
    </row>
    <row r="1800" spans="1:9" x14ac:dyDescent="0.3">
      <c r="A1800" t="s">
        <v>3231</v>
      </c>
      <c r="B1800">
        <v>1916</v>
      </c>
      <c r="C1800" t="s">
        <v>1322</v>
      </c>
      <c r="E1800">
        <v>15</v>
      </c>
      <c r="F1800" t="s">
        <v>1317</v>
      </c>
      <c r="I1800" t="s">
        <v>1324</v>
      </c>
    </row>
    <row r="1801" spans="1:9" x14ac:dyDescent="0.3">
      <c r="A1801" t="s">
        <v>3232</v>
      </c>
      <c r="B1801">
        <v>1917</v>
      </c>
      <c r="C1801" t="s">
        <v>1322</v>
      </c>
      <c r="E1801">
        <v>15</v>
      </c>
      <c r="F1801" t="s">
        <v>1317</v>
      </c>
      <c r="I1801" t="s">
        <v>1324</v>
      </c>
    </row>
    <row r="1802" spans="1:9" x14ac:dyDescent="0.3">
      <c r="A1802" t="s">
        <v>3233</v>
      </c>
      <c r="B1802">
        <v>1918</v>
      </c>
      <c r="C1802" t="s">
        <v>1322</v>
      </c>
      <c r="E1802">
        <v>4</v>
      </c>
      <c r="F1802" t="s">
        <v>1317</v>
      </c>
      <c r="I1802" t="s">
        <v>1324</v>
      </c>
    </row>
    <row r="1803" spans="1:9" x14ac:dyDescent="0.3">
      <c r="A1803" t="s">
        <v>3234</v>
      </c>
      <c r="B1803">
        <v>1919</v>
      </c>
      <c r="C1803" t="s">
        <v>1322</v>
      </c>
      <c r="E1803">
        <v>1.2</v>
      </c>
      <c r="F1803" t="s">
        <v>1317</v>
      </c>
      <c r="I1803" t="s">
        <v>1324</v>
      </c>
    </row>
    <row r="1804" spans="1:9" x14ac:dyDescent="0.3">
      <c r="A1804" t="s">
        <v>3235</v>
      </c>
      <c r="B1804">
        <v>1920</v>
      </c>
      <c r="C1804" t="s">
        <v>1322</v>
      </c>
      <c r="E1804">
        <v>0.93</v>
      </c>
      <c r="F1804" t="s">
        <v>1317</v>
      </c>
      <c r="I1804" t="s">
        <v>1324</v>
      </c>
    </row>
    <row r="1805" spans="1:9" x14ac:dyDescent="0.3">
      <c r="A1805" t="s">
        <v>3236</v>
      </c>
      <c r="B1805">
        <v>1921</v>
      </c>
      <c r="C1805" t="s">
        <v>1405</v>
      </c>
      <c r="D1805">
        <v>3.35</v>
      </c>
      <c r="E1805">
        <v>3.35</v>
      </c>
      <c r="F1805" t="s">
        <v>1317</v>
      </c>
      <c r="G1805" t="s">
        <v>1318</v>
      </c>
      <c r="H1805" t="s">
        <v>3237</v>
      </c>
      <c r="I1805" t="s">
        <v>3238</v>
      </c>
    </row>
    <row r="1806" spans="1:9" x14ac:dyDescent="0.3">
      <c r="A1806" t="s">
        <v>3239</v>
      </c>
      <c r="B1806">
        <v>1922</v>
      </c>
      <c r="C1806" t="s">
        <v>1322</v>
      </c>
      <c r="E1806">
        <v>1.4999999999999999E-2</v>
      </c>
      <c r="F1806" t="s">
        <v>1323</v>
      </c>
      <c r="I1806" t="s">
        <v>1324</v>
      </c>
    </row>
    <row r="1807" spans="1:9" x14ac:dyDescent="0.3">
      <c r="A1807" t="s">
        <v>3240</v>
      </c>
      <c r="B1807">
        <v>1923</v>
      </c>
      <c r="C1807" t="s">
        <v>1322</v>
      </c>
      <c r="E1807">
        <v>0.41199999999999998</v>
      </c>
      <c r="F1807" t="s">
        <v>1323</v>
      </c>
      <c r="I1807" t="s">
        <v>1324</v>
      </c>
    </row>
    <row r="1808" spans="1:9" x14ac:dyDescent="0.3">
      <c r="A1808" t="s">
        <v>3241</v>
      </c>
      <c r="B1808">
        <v>1924</v>
      </c>
      <c r="C1808" t="s">
        <v>1322</v>
      </c>
      <c r="E1808">
        <v>10.199999999999999</v>
      </c>
      <c r="F1808" t="s">
        <v>1349</v>
      </c>
      <c r="I1808" t="s">
        <v>1324</v>
      </c>
    </row>
    <row r="1809" spans="1:9" x14ac:dyDescent="0.3">
      <c r="A1809" t="s">
        <v>3242</v>
      </c>
      <c r="B1809">
        <v>1925</v>
      </c>
      <c r="C1809" t="s">
        <v>1322</v>
      </c>
      <c r="E1809">
        <v>20.399999999999999</v>
      </c>
      <c r="F1809" t="s">
        <v>1349</v>
      </c>
      <c r="I1809" t="s">
        <v>1324</v>
      </c>
    </row>
    <row r="1810" spans="1:9" x14ac:dyDescent="0.3">
      <c r="A1810" t="s">
        <v>3243</v>
      </c>
      <c r="B1810">
        <v>1926</v>
      </c>
      <c r="C1810" t="s">
        <v>1322</v>
      </c>
      <c r="E1810">
        <v>27.1</v>
      </c>
      <c r="F1810" t="s">
        <v>1349</v>
      </c>
      <c r="I1810" t="s">
        <v>1324</v>
      </c>
    </row>
    <row r="1811" spans="1:9" x14ac:dyDescent="0.3">
      <c r="A1811" t="s">
        <v>3244</v>
      </c>
      <c r="B1811">
        <v>1927</v>
      </c>
      <c r="C1811" t="s">
        <v>1322</v>
      </c>
      <c r="E1811">
        <v>0.55000000000000004</v>
      </c>
      <c r="F1811" t="s">
        <v>1317</v>
      </c>
      <c r="I1811" t="s">
        <v>1324</v>
      </c>
    </row>
    <row r="1812" spans="1:9" x14ac:dyDescent="0.3">
      <c r="A1812" t="s">
        <v>3245</v>
      </c>
      <c r="B1812">
        <v>1928</v>
      </c>
      <c r="C1812" t="s">
        <v>1322</v>
      </c>
      <c r="E1812">
        <v>0.55000000000000004</v>
      </c>
      <c r="F1812" t="s">
        <v>1317</v>
      </c>
      <c r="I1812" t="s">
        <v>1324</v>
      </c>
    </row>
    <row r="1813" spans="1:9" x14ac:dyDescent="0.3">
      <c r="A1813" t="s">
        <v>3246</v>
      </c>
      <c r="B1813">
        <v>1929</v>
      </c>
      <c r="C1813" t="s">
        <v>1322</v>
      </c>
      <c r="E1813">
        <v>19.899999999999999</v>
      </c>
      <c r="F1813" t="s">
        <v>1349</v>
      </c>
      <c r="I1813" t="s">
        <v>1324</v>
      </c>
    </row>
    <row r="1814" spans="1:9" x14ac:dyDescent="0.3">
      <c r="A1814" t="s">
        <v>3247</v>
      </c>
      <c r="B1814">
        <v>1930</v>
      </c>
      <c r="C1814" t="s">
        <v>1322</v>
      </c>
      <c r="E1814">
        <v>1.56</v>
      </c>
      <c r="F1814" t="s">
        <v>1317</v>
      </c>
      <c r="I1814" t="s">
        <v>1324</v>
      </c>
    </row>
    <row r="1815" spans="1:9" x14ac:dyDescent="0.3">
      <c r="A1815" t="s">
        <v>3248</v>
      </c>
      <c r="B1815">
        <v>1931</v>
      </c>
      <c r="C1815" t="s">
        <v>1331</v>
      </c>
      <c r="E1815">
        <v>0.88</v>
      </c>
      <c r="F1815" t="s">
        <v>1317</v>
      </c>
      <c r="I1815" t="s">
        <v>1332</v>
      </c>
    </row>
    <row r="1816" spans="1:9" x14ac:dyDescent="0.3">
      <c r="A1816" t="s">
        <v>3249</v>
      </c>
      <c r="B1816">
        <v>1932</v>
      </c>
      <c r="C1816" t="s">
        <v>1322</v>
      </c>
      <c r="E1816">
        <v>3.4000000000000002E-2</v>
      </c>
      <c r="F1816" t="s">
        <v>1323</v>
      </c>
      <c r="I1816" t="s">
        <v>1324</v>
      </c>
    </row>
    <row r="1817" spans="1:9" x14ac:dyDescent="0.3">
      <c r="A1817" t="s">
        <v>3250</v>
      </c>
      <c r="B1817">
        <v>1933</v>
      </c>
      <c r="C1817" t="s">
        <v>1322</v>
      </c>
      <c r="E1817">
        <v>3.1E-2</v>
      </c>
      <c r="F1817" t="s">
        <v>1323</v>
      </c>
      <c r="I1817" t="s">
        <v>1324</v>
      </c>
    </row>
    <row r="1818" spans="1:9" x14ac:dyDescent="0.3">
      <c r="A1818" t="s">
        <v>3251</v>
      </c>
      <c r="B1818">
        <v>1934</v>
      </c>
      <c r="C1818" t="s">
        <v>1322</v>
      </c>
      <c r="E1818">
        <v>1.18</v>
      </c>
      <c r="F1818" t="s">
        <v>1317</v>
      </c>
      <c r="I1818" t="s">
        <v>1324</v>
      </c>
    </row>
    <row r="1819" spans="1:9" x14ac:dyDescent="0.3">
      <c r="A1819" t="s">
        <v>3252</v>
      </c>
      <c r="B1819">
        <v>1935</v>
      </c>
      <c r="C1819" t="s">
        <v>1322</v>
      </c>
      <c r="E1819">
        <v>0.76</v>
      </c>
      <c r="F1819" t="s">
        <v>1323</v>
      </c>
      <c r="I1819" t="s">
        <v>1324</v>
      </c>
    </row>
    <row r="1820" spans="1:9" x14ac:dyDescent="0.3">
      <c r="A1820" t="s">
        <v>3253</v>
      </c>
      <c r="B1820">
        <v>1936</v>
      </c>
      <c r="C1820" t="s">
        <v>1322</v>
      </c>
      <c r="E1820">
        <v>4.5999999999999999E-2</v>
      </c>
      <c r="F1820" t="s">
        <v>1323</v>
      </c>
      <c r="I1820" t="s">
        <v>1324</v>
      </c>
    </row>
    <row r="1821" spans="1:9" x14ac:dyDescent="0.3">
      <c r="A1821" t="s">
        <v>3254</v>
      </c>
      <c r="B1821">
        <v>1937</v>
      </c>
      <c r="C1821" t="s">
        <v>1405</v>
      </c>
      <c r="D1821">
        <v>12.5</v>
      </c>
      <c r="E1821">
        <v>12.5</v>
      </c>
      <c r="F1821" t="s">
        <v>1349</v>
      </c>
      <c r="G1821" t="s">
        <v>1318</v>
      </c>
      <c r="H1821" t="s">
        <v>3255</v>
      </c>
      <c r="I1821" t="s">
        <v>3256</v>
      </c>
    </row>
    <row r="1822" spans="1:9" x14ac:dyDescent="0.3">
      <c r="A1822" t="s">
        <v>3257</v>
      </c>
      <c r="B1822">
        <v>1938</v>
      </c>
      <c r="C1822" t="s">
        <v>1322</v>
      </c>
      <c r="E1822">
        <v>1.08</v>
      </c>
      <c r="F1822" t="s">
        <v>1349</v>
      </c>
      <c r="I1822" t="s">
        <v>1324</v>
      </c>
    </row>
    <row r="1823" spans="1:9" x14ac:dyDescent="0.3">
      <c r="A1823" t="s">
        <v>3258</v>
      </c>
      <c r="B1823">
        <v>1939</v>
      </c>
      <c r="C1823" t="s">
        <v>1322</v>
      </c>
      <c r="E1823">
        <v>6.02</v>
      </c>
      <c r="F1823" t="s">
        <v>1349</v>
      </c>
      <c r="I1823" t="s">
        <v>1324</v>
      </c>
    </row>
    <row r="1824" spans="1:9" x14ac:dyDescent="0.3">
      <c r="A1824" t="s">
        <v>3259</v>
      </c>
      <c r="B1824">
        <v>1940</v>
      </c>
      <c r="C1824" t="s">
        <v>1405</v>
      </c>
      <c r="D1824">
        <v>5.14</v>
      </c>
      <c r="E1824">
        <v>5.14</v>
      </c>
      <c r="F1824" t="s">
        <v>1349</v>
      </c>
      <c r="G1824" t="s">
        <v>1318</v>
      </c>
      <c r="H1824" t="s">
        <v>3255</v>
      </c>
      <c r="I1824" t="s">
        <v>3260</v>
      </c>
    </row>
    <row r="1825" spans="1:9" x14ac:dyDescent="0.3">
      <c r="A1825" t="s">
        <v>3261</v>
      </c>
      <c r="B1825">
        <v>1941</v>
      </c>
      <c r="C1825" t="s">
        <v>1405</v>
      </c>
      <c r="D1825">
        <v>5.14</v>
      </c>
      <c r="E1825">
        <v>5.14</v>
      </c>
      <c r="F1825" t="s">
        <v>1349</v>
      </c>
      <c r="G1825" t="s">
        <v>1318</v>
      </c>
      <c r="H1825" t="s">
        <v>3255</v>
      </c>
      <c r="I1825" t="s">
        <v>3262</v>
      </c>
    </row>
    <row r="1826" spans="1:9" x14ac:dyDescent="0.3">
      <c r="A1826" t="s">
        <v>3263</v>
      </c>
      <c r="B1826">
        <v>1942</v>
      </c>
      <c r="C1826" t="s">
        <v>1405</v>
      </c>
      <c r="D1826">
        <v>5.46</v>
      </c>
      <c r="E1826">
        <v>5.46</v>
      </c>
      <c r="F1826" t="s">
        <v>1349</v>
      </c>
      <c r="G1826" t="s">
        <v>1318</v>
      </c>
      <c r="H1826" t="s">
        <v>3255</v>
      </c>
      <c r="I1826" t="s">
        <v>3264</v>
      </c>
    </row>
    <row r="1827" spans="1:9" x14ac:dyDescent="0.3">
      <c r="A1827" t="s">
        <v>3265</v>
      </c>
      <c r="B1827">
        <v>1943</v>
      </c>
      <c r="C1827" t="s">
        <v>1405</v>
      </c>
      <c r="D1827">
        <v>34</v>
      </c>
      <c r="E1827">
        <v>34</v>
      </c>
      <c r="F1827" t="s">
        <v>1349</v>
      </c>
      <c r="G1827" t="s">
        <v>1318</v>
      </c>
      <c r="H1827" t="s">
        <v>3255</v>
      </c>
      <c r="I1827" t="s">
        <v>3266</v>
      </c>
    </row>
    <row r="1828" spans="1:9" x14ac:dyDescent="0.3">
      <c r="A1828" t="s">
        <v>3267</v>
      </c>
      <c r="B1828">
        <v>1944</v>
      </c>
      <c r="C1828" t="s">
        <v>1386</v>
      </c>
      <c r="D1828">
        <v>34</v>
      </c>
      <c r="E1828">
        <v>34</v>
      </c>
      <c r="F1828" t="s">
        <v>1349</v>
      </c>
      <c r="G1828" t="s">
        <v>1386</v>
      </c>
      <c r="I1828" t="s">
        <v>3268</v>
      </c>
    </row>
    <row r="1829" spans="1:9" x14ac:dyDescent="0.3">
      <c r="A1829" t="s">
        <v>3269</v>
      </c>
      <c r="B1829">
        <v>1945</v>
      </c>
      <c r="C1829" t="s">
        <v>1331</v>
      </c>
      <c r="E1829">
        <v>36</v>
      </c>
      <c r="F1829" t="s">
        <v>1349</v>
      </c>
      <c r="I1829" t="s">
        <v>1332</v>
      </c>
    </row>
    <row r="1830" spans="1:9" x14ac:dyDescent="0.3">
      <c r="A1830" t="s">
        <v>3270</v>
      </c>
      <c r="B1830">
        <v>1946</v>
      </c>
      <c r="C1830" t="s">
        <v>1331</v>
      </c>
      <c r="E1830">
        <v>36</v>
      </c>
      <c r="F1830" t="s">
        <v>1349</v>
      </c>
      <c r="I1830" t="s">
        <v>1332</v>
      </c>
    </row>
    <row r="1831" spans="1:9" x14ac:dyDescent="0.3">
      <c r="A1831" t="s">
        <v>3271</v>
      </c>
      <c r="B1831">
        <v>1948</v>
      </c>
      <c r="C1831" t="s">
        <v>1322</v>
      </c>
      <c r="E1831">
        <v>7</v>
      </c>
      <c r="F1831" t="s">
        <v>61</v>
      </c>
      <c r="I1831" t="s">
        <v>1324</v>
      </c>
    </row>
    <row r="1832" spans="1:9" x14ac:dyDescent="0.3">
      <c r="A1832" t="s">
        <v>3272</v>
      </c>
      <c r="B1832">
        <v>1949</v>
      </c>
      <c r="C1832" t="s">
        <v>1322</v>
      </c>
      <c r="E1832">
        <v>7</v>
      </c>
      <c r="F1832" t="s">
        <v>61</v>
      </c>
      <c r="I1832" t="s">
        <v>1324</v>
      </c>
    </row>
    <row r="1833" spans="1:9" x14ac:dyDescent="0.3">
      <c r="A1833" t="s">
        <v>3273</v>
      </c>
      <c r="B1833">
        <v>1950</v>
      </c>
      <c r="C1833" t="s">
        <v>1322</v>
      </c>
      <c r="E1833">
        <v>14</v>
      </c>
      <c r="F1833" t="s">
        <v>61</v>
      </c>
      <c r="I1833" t="s">
        <v>1324</v>
      </c>
    </row>
    <row r="1834" spans="1:9" x14ac:dyDescent="0.3">
      <c r="A1834" t="s">
        <v>3274</v>
      </c>
      <c r="B1834">
        <v>1951</v>
      </c>
      <c r="C1834" t="s">
        <v>1322</v>
      </c>
      <c r="E1834">
        <v>14</v>
      </c>
      <c r="F1834" t="s">
        <v>61</v>
      </c>
      <c r="I1834" t="s">
        <v>1324</v>
      </c>
    </row>
    <row r="1835" spans="1:9" x14ac:dyDescent="0.3">
      <c r="A1835" t="s">
        <v>3275</v>
      </c>
      <c r="B1835">
        <v>1952</v>
      </c>
      <c r="C1835" t="s">
        <v>1322</v>
      </c>
      <c r="E1835">
        <v>3</v>
      </c>
      <c r="F1835" t="s">
        <v>1421</v>
      </c>
      <c r="I1835" t="s">
        <v>1324</v>
      </c>
    </row>
    <row r="1836" spans="1:9" x14ac:dyDescent="0.3">
      <c r="A1836" t="s">
        <v>3276</v>
      </c>
      <c r="B1836">
        <v>1954</v>
      </c>
      <c r="C1836" t="s">
        <v>1322</v>
      </c>
      <c r="E1836">
        <v>12</v>
      </c>
      <c r="F1836" t="s">
        <v>61</v>
      </c>
      <c r="I1836" t="s">
        <v>1324</v>
      </c>
    </row>
    <row r="1837" spans="1:9" x14ac:dyDescent="0.3">
      <c r="A1837" t="s">
        <v>3277</v>
      </c>
      <c r="B1837">
        <v>1955</v>
      </c>
      <c r="C1837" t="s">
        <v>1322</v>
      </c>
      <c r="E1837">
        <v>12</v>
      </c>
      <c r="F1837" t="s">
        <v>61</v>
      </c>
      <c r="I1837" t="s">
        <v>1324</v>
      </c>
    </row>
    <row r="1838" spans="1:9" x14ac:dyDescent="0.3">
      <c r="A1838" t="s">
        <v>3278</v>
      </c>
      <c r="B1838">
        <v>1956</v>
      </c>
      <c r="C1838" t="s">
        <v>1322</v>
      </c>
      <c r="E1838">
        <v>4</v>
      </c>
      <c r="F1838" t="s">
        <v>61</v>
      </c>
      <c r="I1838" t="s">
        <v>1324</v>
      </c>
    </row>
    <row r="1839" spans="1:9" x14ac:dyDescent="0.3">
      <c r="A1839" t="s">
        <v>3279</v>
      </c>
      <c r="B1839">
        <v>1957</v>
      </c>
      <c r="C1839" t="s">
        <v>1322</v>
      </c>
      <c r="E1839">
        <v>4</v>
      </c>
      <c r="F1839" t="s">
        <v>61</v>
      </c>
      <c r="I1839" t="s">
        <v>1324</v>
      </c>
    </row>
    <row r="1840" spans="1:9" x14ac:dyDescent="0.3">
      <c r="A1840" t="s">
        <v>3280</v>
      </c>
      <c r="B1840">
        <v>1958</v>
      </c>
      <c r="C1840" t="s">
        <v>1322</v>
      </c>
      <c r="E1840">
        <v>1</v>
      </c>
      <c r="F1840" t="s">
        <v>1421</v>
      </c>
      <c r="I1840" t="s">
        <v>1324</v>
      </c>
    </row>
    <row r="1841" spans="1:9" x14ac:dyDescent="0.3">
      <c r="A1841" t="s">
        <v>3281</v>
      </c>
      <c r="B1841">
        <v>1959</v>
      </c>
      <c r="C1841" t="s">
        <v>1322</v>
      </c>
      <c r="E1841">
        <v>2</v>
      </c>
      <c r="F1841" t="s">
        <v>1659</v>
      </c>
      <c r="I1841" t="s">
        <v>1324</v>
      </c>
    </row>
    <row r="1842" spans="1:9" x14ac:dyDescent="0.3">
      <c r="A1842" t="s">
        <v>3282</v>
      </c>
      <c r="B1842">
        <v>1960</v>
      </c>
      <c r="C1842" t="s">
        <v>1322</v>
      </c>
      <c r="E1842">
        <v>2</v>
      </c>
      <c r="F1842" t="s">
        <v>1659</v>
      </c>
      <c r="I1842" t="s">
        <v>1324</v>
      </c>
    </row>
    <row r="1843" spans="1:9" x14ac:dyDescent="0.3">
      <c r="A1843" t="s">
        <v>3283</v>
      </c>
      <c r="B1843">
        <v>1961</v>
      </c>
      <c r="C1843" t="s">
        <v>1322</v>
      </c>
      <c r="E1843">
        <v>2</v>
      </c>
      <c r="F1843" t="s">
        <v>1659</v>
      </c>
      <c r="I1843" t="s">
        <v>1324</v>
      </c>
    </row>
    <row r="1844" spans="1:9" x14ac:dyDescent="0.3">
      <c r="A1844" t="s">
        <v>3284</v>
      </c>
      <c r="B1844">
        <v>1962</v>
      </c>
      <c r="C1844" t="s">
        <v>1322</v>
      </c>
      <c r="E1844">
        <v>2</v>
      </c>
      <c r="F1844" t="s">
        <v>1421</v>
      </c>
      <c r="I1844" t="s">
        <v>1324</v>
      </c>
    </row>
    <row r="1845" spans="1:9" x14ac:dyDescent="0.3">
      <c r="A1845" t="s">
        <v>3285</v>
      </c>
      <c r="B1845">
        <v>1963</v>
      </c>
      <c r="C1845" t="s">
        <v>1322</v>
      </c>
      <c r="E1845">
        <v>2</v>
      </c>
      <c r="F1845" t="s">
        <v>1421</v>
      </c>
      <c r="I1845" t="s">
        <v>1324</v>
      </c>
    </row>
    <row r="1846" spans="1:9" x14ac:dyDescent="0.3">
      <c r="A1846" t="s">
        <v>3286</v>
      </c>
      <c r="B1846">
        <v>1964</v>
      </c>
      <c r="C1846" t="s">
        <v>1322</v>
      </c>
      <c r="E1846">
        <v>2</v>
      </c>
      <c r="F1846" t="s">
        <v>1659</v>
      </c>
      <c r="I1846" t="s">
        <v>1324</v>
      </c>
    </row>
    <row r="1847" spans="1:9" x14ac:dyDescent="0.3">
      <c r="A1847" t="s">
        <v>3287</v>
      </c>
      <c r="B1847">
        <v>1966</v>
      </c>
      <c r="C1847" t="s">
        <v>1322</v>
      </c>
      <c r="E1847">
        <v>2</v>
      </c>
      <c r="F1847" t="s">
        <v>1421</v>
      </c>
      <c r="I1847" t="s">
        <v>1324</v>
      </c>
    </row>
    <row r="1848" spans="1:9" x14ac:dyDescent="0.3">
      <c r="A1848" t="s">
        <v>3288</v>
      </c>
      <c r="B1848">
        <v>1967</v>
      </c>
      <c r="C1848" t="s">
        <v>1322</v>
      </c>
      <c r="E1848">
        <v>1.4</v>
      </c>
      <c r="F1848" t="s">
        <v>1349</v>
      </c>
      <c r="I1848" t="s">
        <v>1324</v>
      </c>
    </row>
    <row r="1849" spans="1:9" x14ac:dyDescent="0.3">
      <c r="A1849" t="s">
        <v>3289</v>
      </c>
      <c r="B1849">
        <v>1969</v>
      </c>
      <c r="C1849" t="s">
        <v>1322</v>
      </c>
      <c r="E1849">
        <v>1</v>
      </c>
      <c r="F1849" t="s">
        <v>1421</v>
      </c>
      <c r="I1849" t="s">
        <v>1324</v>
      </c>
    </row>
    <row r="1850" spans="1:9" x14ac:dyDescent="0.3">
      <c r="A1850" t="s">
        <v>3290</v>
      </c>
      <c r="B1850">
        <v>1970</v>
      </c>
      <c r="C1850" t="s">
        <v>1322</v>
      </c>
      <c r="E1850">
        <v>1</v>
      </c>
      <c r="F1850" t="s">
        <v>1421</v>
      </c>
      <c r="I1850" t="s">
        <v>1324</v>
      </c>
    </row>
    <row r="1851" spans="1:9" x14ac:dyDescent="0.3">
      <c r="A1851" t="s">
        <v>3291</v>
      </c>
      <c r="B1851">
        <v>1971</v>
      </c>
      <c r="C1851" t="s">
        <v>1322</v>
      </c>
      <c r="E1851">
        <v>5</v>
      </c>
      <c r="F1851" t="s">
        <v>1421</v>
      </c>
      <c r="I1851" t="s">
        <v>1324</v>
      </c>
    </row>
    <row r="1852" spans="1:9" x14ac:dyDescent="0.3">
      <c r="A1852" t="s">
        <v>3292</v>
      </c>
      <c r="B1852">
        <v>1972</v>
      </c>
      <c r="C1852" t="s">
        <v>1322</v>
      </c>
      <c r="E1852">
        <v>5</v>
      </c>
      <c r="F1852" t="s">
        <v>1421</v>
      </c>
      <c r="I1852" t="s">
        <v>1324</v>
      </c>
    </row>
    <row r="1853" spans="1:9" x14ac:dyDescent="0.3">
      <c r="A1853" t="s">
        <v>3293</v>
      </c>
      <c r="B1853">
        <v>1973</v>
      </c>
      <c r="C1853" t="s">
        <v>1322</v>
      </c>
      <c r="E1853">
        <v>5</v>
      </c>
      <c r="F1853" t="s">
        <v>1421</v>
      </c>
      <c r="I1853" t="s">
        <v>1324</v>
      </c>
    </row>
    <row r="1854" spans="1:9" x14ac:dyDescent="0.3">
      <c r="A1854" t="s">
        <v>3294</v>
      </c>
      <c r="B1854">
        <v>1974</v>
      </c>
      <c r="C1854" t="s">
        <v>1322</v>
      </c>
      <c r="E1854">
        <v>1</v>
      </c>
      <c r="F1854" t="s">
        <v>1421</v>
      </c>
      <c r="I1854" t="s">
        <v>1324</v>
      </c>
    </row>
    <row r="1855" spans="1:9" x14ac:dyDescent="0.3">
      <c r="A1855" t="s">
        <v>3295</v>
      </c>
      <c r="B1855">
        <v>1975</v>
      </c>
      <c r="C1855" t="s">
        <v>1322</v>
      </c>
      <c r="E1855">
        <v>2</v>
      </c>
      <c r="F1855" t="s">
        <v>1421</v>
      </c>
      <c r="I1855" t="s">
        <v>1324</v>
      </c>
    </row>
    <row r="1856" spans="1:9" x14ac:dyDescent="0.3">
      <c r="A1856" t="s">
        <v>3296</v>
      </c>
      <c r="B1856">
        <v>1976</v>
      </c>
      <c r="C1856" t="s">
        <v>1322</v>
      </c>
      <c r="E1856">
        <v>3</v>
      </c>
      <c r="F1856" t="s">
        <v>1421</v>
      </c>
      <c r="I1856" t="s">
        <v>1324</v>
      </c>
    </row>
    <row r="1857" spans="1:9" x14ac:dyDescent="0.3">
      <c r="A1857" t="s">
        <v>3297</v>
      </c>
      <c r="B1857">
        <v>1977</v>
      </c>
      <c r="C1857" t="s">
        <v>1322</v>
      </c>
      <c r="E1857">
        <v>30</v>
      </c>
      <c r="F1857" t="s">
        <v>61</v>
      </c>
      <c r="I1857" t="s">
        <v>1324</v>
      </c>
    </row>
    <row r="1858" spans="1:9" x14ac:dyDescent="0.3">
      <c r="A1858" t="s">
        <v>3298</v>
      </c>
      <c r="B1858">
        <v>1978</v>
      </c>
      <c r="C1858" t="s">
        <v>1322</v>
      </c>
      <c r="E1858">
        <v>30</v>
      </c>
      <c r="F1858" t="s">
        <v>61</v>
      </c>
      <c r="I1858" t="s">
        <v>1324</v>
      </c>
    </row>
    <row r="1859" spans="1:9" x14ac:dyDescent="0.3">
      <c r="A1859" t="s">
        <v>3299</v>
      </c>
      <c r="B1859">
        <v>1980</v>
      </c>
      <c r="C1859" t="s">
        <v>1331</v>
      </c>
      <c r="E1859">
        <v>336</v>
      </c>
      <c r="F1859" t="s">
        <v>1317</v>
      </c>
      <c r="I1859" t="s">
        <v>1332</v>
      </c>
    </row>
    <row r="1860" spans="1:9" x14ac:dyDescent="0.3">
      <c r="A1860" t="s">
        <v>3300</v>
      </c>
      <c r="B1860">
        <v>1981</v>
      </c>
      <c r="C1860" t="s">
        <v>1331</v>
      </c>
      <c r="E1860">
        <v>14</v>
      </c>
      <c r="F1860" t="s">
        <v>1317</v>
      </c>
      <c r="I1860" t="s">
        <v>1332</v>
      </c>
    </row>
    <row r="1861" spans="1:9" x14ac:dyDescent="0.3">
      <c r="A1861" t="s">
        <v>3301</v>
      </c>
      <c r="B1861">
        <v>1982</v>
      </c>
      <c r="C1861" t="s">
        <v>1322</v>
      </c>
      <c r="E1861">
        <v>279</v>
      </c>
      <c r="F1861" t="s">
        <v>1317</v>
      </c>
      <c r="I1861" t="s">
        <v>1324</v>
      </c>
    </row>
    <row r="1862" spans="1:9" x14ac:dyDescent="0.3">
      <c r="A1862" t="s">
        <v>3302</v>
      </c>
      <c r="B1862">
        <v>1983</v>
      </c>
      <c r="C1862" t="s">
        <v>1331</v>
      </c>
      <c r="E1862">
        <v>21</v>
      </c>
      <c r="F1862" t="s">
        <v>1317</v>
      </c>
      <c r="I1862" t="s">
        <v>1332</v>
      </c>
    </row>
    <row r="1863" spans="1:9" x14ac:dyDescent="0.3">
      <c r="A1863" t="s">
        <v>3303</v>
      </c>
      <c r="B1863">
        <v>1984</v>
      </c>
      <c r="C1863" t="s">
        <v>1322</v>
      </c>
      <c r="E1863">
        <v>300</v>
      </c>
      <c r="F1863" t="s">
        <v>1317</v>
      </c>
      <c r="I1863" t="s">
        <v>1324</v>
      </c>
    </row>
    <row r="1864" spans="1:9" x14ac:dyDescent="0.3">
      <c r="A1864" t="s">
        <v>3304</v>
      </c>
      <c r="B1864">
        <v>1985</v>
      </c>
      <c r="C1864" t="s">
        <v>1322</v>
      </c>
      <c r="E1864">
        <v>50</v>
      </c>
      <c r="F1864" t="s">
        <v>1317</v>
      </c>
      <c r="I1864" t="s">
        <v>1324</v>
      </c>
    </row>
    <row r="1865" spans="1:9" x14ac:dyDescent="0.3">
      <c r="A1865" t="s">
        <v>3305</v>
      </c>
      <c r="B1865">
        <v>1986</v>
      </c>
      <c r="C1865" t="s">
        <v>1322</v>
      </c>
      <c r="E1865">
        <v>87.5</v>
      </c>
      <c r="F1865" t="s">
        <v>1323</v>
      </c>
      <c r="I1865" t="s">
        <v>1324</v>
      </c>
    </row>
    <row r="1866" spans="1:9" x14ac:dyDescent="0.3">
      <c r="A1866" t="s">
        <v>3306</v>
      </c>
      <c r="B1866">
        <v>1987</v>
      </c>
      <c r="C1866" t="s">
        <v>1322</v>
      </c>
      <c r="E1866">
        <v>4.0000000000000001E-3</v>
      </c>
      <c r="F1866" t="s">
        <v>992</v>
      </c>
      <c r="I1866" t="s">
        <v>1324</v>
      </c>
    </row>
    <row r="1867" spans="1:9" x14ac:dyDescent="0.3">
      <c r="A1867" t="s">
        <v>3307</v>
      </c>
      <c r="B1867">
        <v>1988</v>
      </c>
      <c r="C1867" t="s">
        <v>1322</v>
      </c>
      <c r="E1867">
        <v>4</v>
      </c>
      <c r="F1867" t="s">
        <v>61</v>
      </c>
      <c r="I1867" t="s">
        <v>1324</v>
      </c>
    </row>
    <row r="1868" spans="1:9" x14ac:dyDescent="0.3">
      <c r="A1868" t="s">
        <v>3308</v>
      </c>
      <c r="B1868">
        <v>1989</v>
      </c>
      <c r="C1868" t="s">
        <v>1322</v>
      </c>
      <c r="E1868">
        <v>2.7E-2</v>
      </c>
      <c r="F1868" t="s">
        <v>992</v>
      </c>
      <c r="I1868" t="s">
        <v>1324</v>
      </c>
    </row>
    <row r="1869" spans="1:9" x14ac:dyDescent="0.3">
      <c r="A1869" t="s">
        <v>3309</v>
      </c>
      <c r="B1869">
        <v>1990</v>
      </c>
      <c r="C1869" t="s">
        <v>1322</v>
      </c>
      <c r="E1869">
        <v>27</v>
      </c>
      <c r="F1869" t="s">
        <v>61</v>
      </c>
      <c r="I1869" t="s">
        <v>1324</v>
      </c>
    </row>
    <row r="1870" spans="1:9" x14ac:dyDescent="0.3">
      <c r="A1870" t="s">
        <v>3310</v>
      </c>
      <c r="B1870">
        <v>1991</v>
      </c>
      <c r="C1870" t="s">
        <v>1322</v>
      </c>
      <c r="E1870">
        <v>8.8999999999999996E-2</v>
      </c>
      <c r="F1870" t="s">
        <v>992</v>
      </c>
      <c r="I1870" t="s">
        <v>1324</v>
      </c>
    </row>
    <row r="1871" spans="1:9" x14ac:dyDescent="0.3">
      <c r="A1871" t="s">
        <v>3311</v>
      </c>
      <c r="B1871">
        <v>1992</v>
      </c>
      <c r="C1871" t="s">
        <v>1322</v>
      </c>
      <c r="E1871">
        <v>89</v>
      </c>
      <c r="F1871" t="s">
        <v>61</v>
      </c>
      <c r="I1871" t="s">
        <v>1324</v>
      </c>
    </row>
    <row r="1872" spans="1:9" x14ac:dyDescent="0.3">
      <c r="A1872" t="s">
        <v>3312</v>
      </c>
      <c r="B1872">
        <v>1993</v>
      </c>
      <c r="C1872" t="s">
        <v>1322</v>
      </c>
      <c r="E1872">
        <v>0.05</v>
      </c>
      <c r="F1872" t="s">
        <v>992</v>
      </c>
      <c r="I1872" t="s">
        <v>1324</v>
      </c>
    </row>
    <row r="1873" spans="1:9" x14ac:dyDescent="0.3">
      <c r="A1873" t="s">
        <v>3313</v>
      </c>
      <c r="B1873">
        <v>1994</v>
      </c>
      <c r="C1873" t="s">
        <v>1322</v>
      </c>
      <c r="E1873">
        <v>50</v>
      </c>
      <c r="F1873" t="s">
        <v>61</v>
      </c>
      <c r="I1873" t="s">
        <v>1324</v>
      </c>
    </row>
    <row r="1874" spans="1:9" x14ac:dyDescent="0.3">
      <c r="A1874" t="s">
        <v>3314</v>
      </c>
      <c r="B1874">
        <v>1995</v>
      </c>
      <c r="C1874" t="s">
        <v>1322</v>
      </c>
      <c r="E1874">
        <v>5.7000000000000002E-2</v>
      </c>
      <c r="F1874" t="s">
        <v>992</v>
      </c>
      <c r="I1874" t="s">
        <v>1324</v>
      </c>
    </row>
    <row r="1875" spans="1:9" x14ac:dyDescent="0.3">
      <c r="A1875" t="s">
        <v>3315</v>
      </c>
      <c r="B1875">
        <v>1996</v>
      </c>
      <c r="C1875" t="s">
        <v>1322</v>
      </c>
      <c r="E1875">
        <v>57</v>
      </c>
      <c r="F1875" t="s">
        <v>61</v>
      </c>
      <c r="I1875" t="s">
        <v>1324</v>
      </c>
    </row>
    <row r="1876" spans="1:9" x14ac:dyDescent="0.3">
      <c r="A1876" t="s">
        <v>3316</v>
      </c>
      <c r="B1876">
        <v>1997</v>
      </c>
      <c r="C1876" t="s">
        <v>1322</v>
      </c>
      <c r="E1876">
        <v>0.19600000000000001</v>
      </c>
      <c r="F1876" t="s">
        <v>992</v>
      </c>
      <c r="I1876" t="s">
        <v>1324</v>
      </c>
    </row>
    <row r="1877" spans="1:9" x14ac:dyDescent="0.3">
      <c r="A1877" t="s">
        <v>3317</v>
      </c>
      <c r="B1877">
        <v>1998</v>
      </c>
      <c r="C1877" t="s">
        <v>1322</v>
      </c>
      <c r="E1877">
        <v>2</v>
      </c>
      <c r="F1877" t="s">
        <v>1421</v>
      </c>
      <c r="I1877" t="s">
        <v>1324</v>
      </c>
    </row>
    <row r="1878" spans="1:9" x14ac:dyDescent="0.3">
      <c r="A1878" t="s">
        <v>3318</v>
      </c>
      <c r="B1878">
        <v>1999</v>
      </c>
      <c r="C1878" t="s">
        <v>1322</v>
      </c>
      <c r="E1878">
        <v>2</v>
      </c>
      <c r="F1878" t="s">
        <v>1421</v>
      </c>
      <c r="I1878" t="s">
        <v>1324</v>
      </c>
    </row>
    <row r="1879" spans="1:9" x14ac:dyDescent="0.3">
      <c r="A1879" t="s">
        <v>3319</v>
      </c>
      <c r="B1879">
        <v>2000</v>
      </c>
      <c r="C1879" t="s">
        <v>1322</v>
      </c>
      <c r="E1879">
        <v>4</v>
      </c>
      <c r="F1879" t="s">
        <v>1421</v>
      </c>
      <c r="I1879" t="s">
        <v>1324</v>
      </c>
    </row>
    <row r="1880" spans="1:9" x14ac:dyDescent="0.3">
      <c r="A1880" t="s">
        <v>3320</v>
      </c>
      <c r="B1880">
        <v>2001</v>
      </c>
      <c r="C1880" t="s">
        <v>1322</v>
      </c>
      <c r="E1880">
        <v>4</v>
      </c>
      <c r="F1880" t="s">
        <v>1421</v>
      </c>
      <c r="I1880" t="s">
        <v>1324</v>
      </c>
    </row>
    <row r="1881" spans="1:9" x14ac:dyDescent="0.3">
      <c r="A1881" t="s">
        <v>3321</v>
      </c>
      <c r="B1881">
        <v>2002</v>
      </c>
      <c r="C1881" t="s">
        <v>1322</v>
      </c>
      <c r="E1881">
        <v>4</v>
      </c>
      <c r="F1881" t="s">
        <v>1421</v>
      </c>
      <c r="I1881" t="s">
        <v>1324</v>
      </c>
    </row>
    <row r="1882" spans="1:9" x14ac:dyDescent="0.3">
      <c r="A1882" t="s">
        <v>3322</v>
      </c>
      <c r="B1882">
        <v>2003</v>
      </c>
      <c r="C1882" t="s">
        <v>1322</v>
      </c>
      <c r="E1882">
        <v>8</v>
      </c>
      <c r="F1882" t="s">
        <v>1421</v>
      </c>
      <c r="I1882" t="s">
        <v>1324</v>
      </c>
    </row>
    <row r="1883" spans="1:9" x14ac:dyDescent="0.3">
      <c r="A1883" t="s">
        <v>3323</v>
      </c>
      <c r="B1883">
        <v>2004</v>
      </c>
      <c r="C1883" t="s">
        <v>1322</v>
      </c>
      <c r="E1883">
        <v>2</v>
      </c>
      <c r="F1883" t="s">
        <v>1421</v>
      </c>
      <c r="I1883" t="s">
        <v>1324</v>
      </c>
    </row>
    <row r="1884" spans="1:9" x14ac:dyDescent="0.3">
      <c r="A1884" t="s">
        <v>3324</v>
      </c>
      <c r="B1884">
        <v>2005</v>
      </c>
      <c r="C1884" t="s">
        <v>1322</v>
      </c>
      <c r="E1884">
        <v>40</v>
      </c>
      <c r="F1884" t="s">
        <v>61</v>
      </c>
      <c r="I1884" t="s">
        <v>1324</v>
      </c>
    </row>
    <row r="1885" spans="1:9" x14ac:dyDescent="0.3">
      <c r="A1885" t="s">
        <v>3325</v>
      </c>
      <c r="B1885">
        <v>2006</v>
      </c>
      <c r="C1885" t="s">
        <v>1322</v>
      </c>
      <c r="E1885">
        <v>10</v>
      </c>
      <c r="F1885" t="s">
        <v>1317</v>
      </c>
      <c r="I1885" t="s">
        <v>1324</v>
      </c>
    </row>
    <row r="1886" spans="1:9" x14ac:dyDescent="0.3">
      <c r="A1886" t="s">
        <v>3326</v>
      </c>
      <c r="B1886">
        <v>2007</v>
      </c>
      <c r="C1886" t="s">
        <v>1322</v>
      </c>
      <c r="E1886">
        <v>10</v>
      </c>
      <c r="F1886" t="s">
        <v>1317</v>
      </c>
      <c r="I1886" t="s">
        <v>1324</v>
      </c>
    </row>
    <row r="1887" spans="1:9" x14ac:dyDescent="0.3">
      <c r="A1887" t="s">
        <v>3327</v>
      </c>
      <c r="B1887">
        <v>2008</v>
      </c>
      <c r="C1887" t="s">
        <v>1322</v>
      </c>
      <c r="E1887">
        <v>5</v>
      </c>
      <c r="F1887" t="s">
        <v>1421</v>
      </c>
      <c r="I1887" t="s">
        <v>1324</v>
      </c>
    </row>
    <row r="1888" spans="1:9" x14ac:dyDescent="0.3">
      <c r="A1888" t="s">
        <v>3328</v>
      </c>
      <c r="B1888">
        <v>2010</v>
      </c>
      <c r="C1888" t="s">
        <v>1322</v>
      </c>
      <c r="E1888">
        <v>403</v>
      </c>
      <c r="F1888" t="s">
        <v>1317</v>
      </c>
      <c r="I1888" t="s">
        <v>1324</v>
      </c>
    </row>
    <row r="1889" spans="1:9" x14ac:dyDescent="0.3">
      <c r="A1889" t="s">
        <v>3329</v>
      </c>
      <c r="B1889">
        <v>2011</v>
      </c>
      <c r="C1889" t="s">
        <v>1322</v>
      </c>
      <c r="E1889">
        <v>17</v>
      </c>
      <c r="F1889" t="s">
        <v>1317</v>
      </c>
      <c r="I1889" t="s">
        <v>1324</v>
      </c>
    </row>
    <row r="1890" spans="1:9" x14ac:dyDescent="0.3">
      <c r="A1890" t="s">
        <v>3330</v>
      </c>
      <c r="B1890">
        <v>2012</v>
      </c>
      <c r="C1890" t="s">
        <v>1331</v>
      </c>
      <c r="E1890">
        <v>312</v>
      </c>
      <c r="F1890" t="s">
        <v>1317</v>
      </c>
      <c r="I1890" t="s">
        <v>1332</v>
      </c>
    </row>
    <row r="1891" spans="1:9" x14ac:dyDescent="0.3">
      <c r="A1891" t="s">
        <v>3331</v>
      </c>
      <c r="B1891">
        <v>2013</v>
      </c>
      <c r="C1891" t="s">
        <v>1331</v>
      </c>
      <c r="E1891">
        <v>24</v>
      </c>
      <c r="F1891" t="s">
        <v>1317</v>
      </c>
      <c r="I1891" t="s">
        <v>1332</v>
      </c>
    </row>
    <row r="1892" spans="1:9" x14ac:dyDescent="0.3">
      <c r="A1892" t="s">
        <v>3332</v>
      </c>
      <c r="B1892">
        <v>2014</v>
      </c>
      <c r="C1892" t="s">
        <v>1331</v>
      </c>
      <c r="E1892">
        <v>336</v>
      </c>
      <c r="F1892" t="s">
        <v>1317</v>
      </c>
      <c r="I1892" t="s">
        <v>1332</v>
      </c>
    </row>
    <row r="1893" spans="1:9" x14ac:dyDescent="0.3">
      <c r="A1893" t="s">
        <v>3333</v>
      </c>
      <c r="B1893">
        <v>2015</v>
      </c>
      <c r="C1893" t="s">
        <v>1322</v>
      </c>
      <c r="E1893">
        <v>84</v>
      </c>
      <c r="F1893" t="s">
        <v>1317</v>
      </c>
      <c r="I1893" t="s">
        <v>1324</v>
      </c>
    </row>
    <row r="1894" spans="1:9" x14ac:dyDescent="0.3">
      <c r="A1894" t="s">
        <v>3334</v>
      </c>
      <c r="B1894">
        <v>2016</v>
      </c>
      <c r="C1894" t="s">
        <v>1322</v>
      </c>
      <c r="E1894">
        <v>147</v>
      </c>
      <c r="F1894" t="s">
        <v>1323</v>
      </c>
      <c r="I1894" t="s">
        <v>1324</v>
      </c>
    </row>
    <row r="1895" spans="1:9" x14ac:dyDescent="0.3">
      <c r="A1895" t="s">
        <v>3335</v>
      </c>
      <c r="B1895">
        <v>2017</v>
      </c>
      <c r="C1895" t="s">
        <v>1322</v>
      </c>
      <c r="E1895">
        <v>0.23</v>
      </c>
      <c r="F1895" t="s">
        <v>992</v>
      </c>
      <c r="I1895" t="s">
        <v>1324</v>
      </c>
    </row>
    <row r="1896" spans="1:9" x14ac:dyDescent="0.3">
      <c r="A1896" t="s">
        <v>3336</v>
      </c>
      <c r="B1896">
        <v>2018</v>
      </c>
      <c r="C1896" t="s">
        <v>1322</v>
      </c>
      <c r="E1896">
        <v>230</v>
      </c>
      <c r="F1896" t="s">
        <v>61</v>
      </c>
      <c r="I1896" t="s">
        <v>1324</v>
      </c>
    </row>
    <row r="1897" spans="1:9" x14ac:dyDescent="0.3">
      <c r="A1897" t="s">
        <v>3337</v>
      </c>
      <c r="B1897">
        <v>2019</v>
      </c>
      <c r="C1897" t="s">
        <v>1322</v>
      </c>
      <c r="E1897">
        <v>3.65</v>
      </c>
      <c r="F1897" t="s">
        <v>1317</v>
      </c>
      <c r="I1897" t="s">
        <v>1324</v>
      </c>
    </row>
    <row r="1898" spans="1:9" x14ac:dyDescent="0.3">
      <c r="A1898" t="s">
        <v>3338</v>
      </c>
      <c r="B1898">
        <v>2020</v>
      </c>
      <c r="C1898" t="s">
        <v>1322</v>
      </c>
      <c r="E1898">
        <v>19.77</v>
      </c>
      <c r="F1898" t="s">
        <v>1317</v>
      </c>
      <c r="I1898" t="s">
        <v>1324</v>
      </c>
    </row>
    <row r="1899" spans="1:9" x14ac:dyDescent="0.3">
      <c r="A1899" t="s">
        <v>3339</v>
      </c>
      <c r="B1899">
        <v>2021</v>
      </c>
      <c r="C1899" t="s">
        <v>1322</v>
      </c>
      <c r="E1899">
        <v>23.42</v>
      </c>
      <c r="F1899" t="s">
        <v>1317</v>
      </c>
      <c r="I1899" t="s">
        <v>1324</v>
      </c>
    </row>
    <row r="1900" spans="1:9" x14ac:dyDescent="0.3">
      <c r="A1900" t="s">
        <v>3340</v>
      </c>
      <c r="B1900">
        <v>2022</v>
      </c>
      <c r="C1900" t="s">
        <v>1322</v>
      </c>
      <c r="E1900">
        <v>19</v>
      </c>
      <c r="F1900" t="s">
        <v>1421</v>
      </c>
      <c r="I1900" t="s">
        <v>1324</v>
      </c>
    </row>
    <row r="1901" spans="1:9" x14ac:dyDescent="0.3">
      <c r="A1901" t="s">
        <v>3341</v>
      </c>
      <c r="B1901">
        <v>2023</v>
      </c>
      <c r="C1901" t="s">
        <v>1322</v>
      </c>
      <c r="E1901">
        <v>1</v>
      </c>
      <c r="F1901" t="s">
        <v>1421</v>
      </c>
      <c r="I1901" t="s">
        <v>1324</v>
      </c>
    </row>
    <row r="1902" spans="1:9" x14ac:dyDescent="0.3">
      <c r="A1902" t="s">
        <v>3342</v>
      </c>
      <c r="B1902">
        <v>2025</v>
      </c>
      <c r="C1902" t="s">
        <v>1322</v>
      </c>
      <c r="E1902">
        <v>4313</v>
      </c>
      <c r="F1902" t="s">
        <v>1317</v>
      </c>
      <c r="I1902" t="s">
        <v>1324</v>
      </c>
    </row>
    <row r="1903" spans="1:9" x14ac:dyDescent="0.3">
      <c r="A1903" t="s">
        <v>3343</v>
      </c>
      <c r="B1903">
        <v>2026</v>
      </c>
      <c r="C1903" t="s">
        <v>1322</v>
      </c>
      <c r="E1903">
        <v>4313</v>
      </c>
      <c r="F1903" t="s">
        <v>1317</v>
      </c>
      <c r="I1903" t="s">
        <v>1324</v>
      </c>
    </row>
    <row r="1904" spans="1:9" x14ac:dyDescent="0.3">
      <c r="A1904" t="s">
        <v>3344</v>
      </c>
      <c r="B1904">
        <v>2027</v>
      </c>
      <c r="C1904" t="s">
        <v>1316</v>
      </c>
      <c r="D1904">
        <v>8683</v>
      </c>
      <c r="E1904">
        <v>8683</v>
      </c>
      <c r="F1904" t="s">
        <v>1317</v>
      </c>
      <c r="G1904" t="s">
        <v>2240</v>
      </c>
      <c r="H1904" t="s">
        <v>3345</v>
      </c>
      <c r="I1904" t="s">
        <v>3346</v>
      </c>
    </row>
    <row r="1905" spans="1:9" x14ac:dyDescent="0.3">
      <c r="A1905" t="s">
        <v>3347</v>
      </c>
      <c r="B1905">
        <v>2028</v>
      </c>
      <c r="C1905" t="s">
        <v>1386</v>
      </c>
      <c r="D1905">
        <v>15195.25</v>
      </c>
      <c r="E1905">
        <v>15195.25</v>
      </c>
      <c r="F1905" t="s">
        <v>1323</v>
      </c>
      <c r="G1905" t="s">
        <v>1386</v>
      </c>
      <c r="I1905" t="s">
        <v>3348</v>
      </c>
    </row>
    <row r="1906" spans="1:9" x14ac:dyDescent="0.3">
      <c r="A1906" t="s">
        <v>3349</v>
      </c>
      <c r="B1906">
        <v>2029</v>
      </c>
      <c r="C1906" t="s">
        <v>1316</v>
      </c>
      <c r="D1906">
        <v>12996</v>
      </c>
      <c r="E1906">
        <v>12996</v>
      </c>
      <c r="F1906" t="s">
        <v>1317</v>
      </c>
      <c r="G1906" t="s">
        <v>2240</v>
      </c>
      <c r="H1906" t="s">
        <v>3350</v>
      </c>
      <c r="I1906" t="s">
        <v>3351</v>
      </c>
    </row>
    <row r="1907" spans="1:9" x14ac:dyDescent="0.3">
      <c r="A1907" t="s">
        <v>3352</v>
      </c>
      <c r="B1907">
        <v>2030</v>
      </c>
      <c r="C1907" t="s">
        <v>1316</v>
      </c>
      <c r="D1907">
        <v>12996</v>
      </c>
      <c r="E1907">
        <v>12996</v>
      </c>
      <c r="F1907" t="s">
        <v>1317</v>
      </c>
      <c r="G1907" t="s">
        <v>2240</v>
      </c>
      <c r="H1907" t="s">
        <v>3350</v>
      </c>
      <c r="I1907" t="s">
        <v>3351</v>
      </c>
    </row>
    <row r="1908" spans="1:9" x14ac:dyDescent="0.3">
      <c r="A1908" t="s">
        <v>3353</v>
      </c>
      <c r="B1908">
        <v>2031</v>
      </c>
      <c r="C1908" t="s">
        <v>1316</v>
      </c>
      <c r="D1908">
        <v>12996</v>
      </c>
      <c r="E1908">
        <v>12996</v>
      </c>
      <c r="F1908" t="s">
        <v>1317</v>
      </c>
      <c r="G1908" t="s">
        <v>2240</v>
      </c>
      <c r="H1908" t="s">
        <v>3350</v>
      </c>
      <c r="I1908" t="s">
        <v>3351</v>
      </c>
    </row>
    <row r="1909" spans="1:9" x14ac:dyDescent="0.3">
      <c r="A1909" t="s">
        <v>3354</v>
      </c>
      <c r="B1909">
        <v>2032</v>
      </c>
      <c r="C1909" t="s">
        <v>1316</v>
      </c>
      <c r="D1909">
        <v>12996</v>
      </c>
      <c r="E1909">
        <v>12996</v>
      </c>
      <c r="F1909" t="s">
        <v>1317</v>
      </c>
      <c r="G1909" t="s">
        <v>2240</v>
      </c>
      <c r="H1909" t="s">
        <v>3350</v>
      </c>
      <c r="I1909" t="s">
        <v>3351</v>
      </c>
    </row>
    <row r="1910" spans="1:9" x14ac:dyDescent="0.3">
      <c r="A1910" t="s">
        <v>3355</v>
      </c>
      <c r="B1910">
        <v>2033</v>
      </c>
      <c r="C1910" t="s">
        <v>1316</v>
      </c>
      <c r="D1910">
        <v>522</v>
      </c>
      <c r="E1910">
        <v>522</v>
      </c>
      <c r="F1910" t="s">
        <v>1317</v>
      </c>
      <c r="G1910" t="s">
        <v>1318</v>
      </c>
      <c r="H1910" t="s">
        <v>3356</v>
      </c>
      <c r="I1910" t="s">
        <v>3357</v>
      </c>
    </row>
    <row r="1911" spans="1:9" x14ac:dyDescent="0.3">
      <c r="A1911" t="s">
        <v>3358</v>
      </c>
      <c r="B1911">
        <v>2034</v>
      </c>
      <c r="C1911" t="s">
        <v>1386</v>
      </c>
      <c r="D1911">
        <v>626.4</v>
      </c>
      <c r="E1911">
        <v>626.4</v>
      </c>
      <c r="F1911" t="s">
        <v>1323</v>
      </c>
      <c r="G1911" t="s">
        <v>1386</v>
      </c>
      <c r="I1911" t="s">
        <v>3359</v>
      </c>
    </row>
    <row r="1912" spans="1:9" x14ac:dyDescent="0.3">
      <c r="A1912" t="s">
        <v>3360</v>
      </c>
      <c r="B1912">
        <v>2036</v>
      </c>
      <c r="C1912" t="s">
        <v>1322</v>
      </c>
      <c r="E1912">
        <v>96</v>
      </c>
      <c r="F1912" t="s">
        <v>1317</v>
      </c>
      <c r="I1912" t="s">
        <v>1324</v>
      </c>
    </row>
    <row r="1913" spans="1:9" x14ac:dyDescent="0.3">
      <c r="A1913" t="s">
        <v>3361</v>
      </c>
      <c r="B1913">
        <v>2037</v>
      </c>
      <c r="C1913" t="s">
        <v>1322</v>
      </c>
      <c r="E1913">
        <v>96</v>
      </c>
      <c r="F1913" t="s">
        <v>1317</v>
      </c>
      <c r="I1913" t="s">
        <v>1324</v>
      </c>
    </row>
    <row r="1914" spans="1:9" x14ac:dyDescent="0.3">
      <c r="A1914" t="s">
        <v>3362</v>
      </c>
      <c r="B1914">
        <v>2038</v>
      </c>
      <c r="C1914" t="s">
        <v>1316</v>
      </c>
      <c r="D1914">
        <v>599.70000000000005</v>
      </c>
      <c r="E1914">
        <v>383.7</v>
      </c>
      <c r="F1914" t="s">
        <v>1349</v>
      </c>
      <c r="G1914" t="s">
        <v>1318</v>
      </c>
      <c r="H1914" t="s">
        <v>3363</v>
      </c>
      <c r="I1914" t="s">
        <v>3364</v>
      </c>
    </row>
    <row r="1915" spans="1:9" x14ac:dyDescent="0.3">
      <c r="A1915" t="s">
        <v>3365</v>
      </c>
      <c r="B1915">
        <v>2039</v>
      </c>
      <c r="C1915" t="s">
        <v>1386</v>
      </c>
      <c r="D1915">
        <v>383.7</v>
      </c>
      <c r="E1915">
        <v>383.7</v>
      </c>
      <c r="F1915" t="s">
        <v>1349</v>
      </c>
      <c r="G1915" t="s">
        <v>1386</v>
      </c>
      <c r="I1915" t="s">
        <v>3366</v>
      </c>
    </row>
    <row r="1916" spans="1:9" x14ac:dyDescent="0.3">
      <c r="A1916" t="s">
        <v>3367</v>
      </c>
      <c r="B1916">
        <v>2040</v>
      </c>
      <c r="C1916" t="s">
        <v>1386</v>
      </c>
      <c r="D1916">
        <v>383.7</v>
      </c>
      <c r="E1916">
        <v>383.7</v>
      </c>
      <c r="F1916" t="s">
        <v>1349</v>
      </c>
      <c r="G1916" t="s">
        <v>1386</v>
      </c>
      <c r="I1916" t="s">
        <v>3368</v>
      </c>
    </row>
    <row r="1917" spans="1:9" x14ac:dyDescent="0.3">
      <c r="A1917" t="s">
        <v>3369</v>
      </c>
      <c r="B1917">
        <v>2041</v>
      </c>
      <c r="C1917" t="s">
        <v>1386</v>
      </c>
      <c r="D1917">
        <v>383.7</v>
      </c>
      <c r="E1917">
        <v>383.7</v>
      </c>
      <c r="F1917" t="s">
        <v>1349</v>
      </c>
      <c r="G1917" t="s">
        <v>1386</v>
      </c>
      <c r="I1917" t="s">
        <v>3370</v>
      </c>
    </row>
    <row r="1918" spans="1:9" x14ac:dyDescent="0.3">
      <c r="A1918" t="s">
        <v>3371</v>
      </c>
      <c r="B1918">
        <v>2042</v>
      </c>
      <c r="C1918" t="s">
        <v>1386</v>
      </c>
      <c r="D1918">
        <v>383.7</v>
      </c>
      <c r="E1918">
        <v>383.7</v>
      </c>
      <c r="F1918" t="s">
        <v>1349</v>
      </c>
      <c r="G1918" t="s">
        <v>1386</v>
      </c>
      <c r="I1918" t="s">
        <v>3372</v>
      </c>
    </row>
    <row r="1919" spans="1:9" x14ac:dyDescent="0.3">
      <c r="A1919" t="s">
        <v>3373</v>
      </c>
      <c r="B1919">
        <v>2043</v>
      </c>
      <c r="C1919" t="s">
        <v>1386</v>
      </c>
      <c r="D1919">
        <v>383.7</v>
      </c>
      <c r="E1919">
        <v>383.7</v>
      </c>
      <c r="F1919" t="s">
        <v>1349</v>
      </c>
      <c r="G1919" t="s">
        <v>1386</v>
      </c>
      <c r="I1919" t="s">
        <v>3374</v>
      </c>
    </row>
    <row r="1920" spans="1:9" x14ac:dyDescent="0.3">
      <c r="A1920" t="s">
        <v>3375</v>
      </c>
      <c r="B1920">
        <v>2044</v>
      </c>
      <c r="C1920" t="s">
        <v>1322</v>
      </c>
      <c r="E1920">
        <v>242</v>
      </c>
      <c r="F1920" t="s">
        <v>61</v>
      </c>
      <c r="I1920" t="s">
        <v>1324</v>
      </c>
    </row>
    <row r="1921" spans="1:9" x14ac:dyDescent="0.3">
      <c r="A1921" t="s">
        <v>3376</v>
      </c>
      <c r="B1921">
        <v>2046</v>
      </c>
      <c r="C1921" t="s">
        <v>1322</v>
      </c>
      <c r="E1921">
        <v>54</v>
      </c>
      <c r="F1921" t="s">
        <v>1317</v>
      </c>
      <c r="I1921" t="s">
        <v>1324</v>
      </c>
    </row>
    <row r="1922" spans="1:9" x14ac:dyDescent="0.3">
      <c r="A1922" t="s">
        <v>3377</v>
      </c>
      <c r="B1922">
        <v>2047</v>
      </c>
      <c r="C1922" t="s">
        <v>1322</v>
      </c>
      <c r="E1922">
        <v>54</v>
      </c>
      <c r="F1922" t="s">
        <v>1317</v>
      </c>
      <c r="I1922" t="s">
        <v>1324</v>
      </c>
    </row>
    <row r="1923" spans="1:9" x14ac:dyDescent="0.3">
      <c r="A1923" t="s">
        <v>3378</v>
      </c>
      <c r="B1923">
        <v>2048</v>
      </c>
      <c r="C1923" t="s">
        <v>1316</v>
      </c>
      <c r="D1923">
        <v>599.70000000000005</v>
      </c>
      <c r="E1923">
        <v>216</v>
      </c>
      <c r="F1923" t="s">
        <v>1349</v>
      </c>
      <c r="G1923" t="s">
        <v>1318</v>
      </c>
      <c r="H1923" t="s">
        <v>3363</v>
      </c>
      <c r="I1923" t="s">
        <v>3364</v>
      </c>
    </row>
    <row r="1924" spans="1:9" x14ac:dyDescent="0.3">
      <c r="A1924" t="s">
        <v>3379</v>
      </c>
      <c r="B1924">
        <v>2049</v>
      </c>
      <c r="C1924" t="s">
        <v>1405</v>
      </c>
      <c r="D1924">
        <v>216</v>
      </c>
      <c r="E1924">
        <v>216</v>
      </c>
      <c r="F1924" t="s">
        <v>1349</v>
      </c>
      <c r="G1924" t="s">
        <v>1318</v>
      </c>
      <c r="H1924" t="s">
        <v>3380</v>
      </c>
      <c r="I1924" t="s">
        <v>3381</v>
      </c>
    </row>
    <row r="1925" spans="1:9" x14ac:dyDescent="0.3">
      <c r="A1925" t="s">
        <v>3382</v>
      </c>
      <c r="B1925">
        <v>2050</v>
      </c>
      <c r="C1925" t="s">
        <v>1405</v>
      </c>
      <c r="D1925">
        <v>216</v>
      </c>
      <c r="E1925">
        <v>216</v>
      </c>
      <c r="F1925" t="s">
        <v>1349</v>
      </c>
      <c r="G1925" t="s">
        <v>1318</v>
      </c>
      <c r="H1925" t="s">
        <v>3380</v>
      </c>
      <c r="I1925" t="s">
        <v>3381</v>
      </c>
    </row>
    <row r="1926" spans="1:9" x14ac:dyDescent="0.3">
      <c r="A1926" t="s">
        <v>3383</v>
      </c>
      <c r="B1926">
        <v>2051</v>
      </c>
      <c r="C1926" t="s">
        <v>1405</v>
      </c>
      <c r="D1926">
        <v>216</v>
      </c>
      <c r="E1926">
        <v>216</v>
      </c>
      <c r="F1926" t="s">
        <v>1349</v>
      </c>
      <c r="G1926" t="s">
        <v>1318</v>
      </c>
      <c r="H1926" t="s">
        <v>3380</v>
      </c>
      <c r="I1926" t="s">
        <v>3381</v>
      </c>
    </row>
    <row r="1927" spans="1:9" x14ac:dyDescent="0.3">
      <c r="A1927" t="s">
        <v>3384</v>
      </c>
      <c r="B1927">
        <v>2052</v>
      </c>
      <c r="C1927" t="s">
        <v>1405</v>
      </c>
      <c r="D1927">
        <v>216</v>
      </c>
      <c r="E1927">
        <v>216</v>
      </c>
      <c r="F1927" t="s">
        <v>1349</v>
      </c>
      <c r="G1927" t="s">
        <v>1318</v>
      </c>
      <c r="H1927" t="s">
        <v>3380</v>
      </c>
      <c r="I1927" t="s">
        <v>3381</v>
      </c>
    </row>
    <row r="1928" spans="1:9" x14ac:dyDescent="0.3">
      <c r="A1928" t="s">
        <v>3385</v>
      </c>
      <c r="B1928">
        <v>2053</v>
      </c>
      <c r="C1928" t="s">
        <v>1405</v>
      </c>
      <c r="D1928">
        <v>216</v>
      </c>
      <c r="E1928">
        <v>216</v>
      </c>
      <c r="F1928" t="s">
        <v>1349</v>
      </c>
      <c r="G1928" t="s">
        <v>1318</v>
      </c>
      <c r="H1928" t="s">
        <v>3380</v>
      </c>
      <c r="I1928" t="s">
        <v>3381</v>
      </c>
    </row>
    <row r="1929" spans="1:9" x14ac:dyDescent="0.3">
      <c r="A1929" t="s">
        <v>3386</v>
      </c>
      <c r="B1929">
        <v>2054</v>
      </c>
      <c r="C1929" t="s">
        <v>1331</v>
      </c>
      <c r="E1929">
        <v>39</v>
      </c>
      <c r="F1929" t="s">
        <v>61</v>
      </c>
      <c r="I1929" t="s">
        <v>1332</v>
      </c>
    </row>
    <row r="1930" spans="1:9" x14ac:dyDescent="0.3">
      <c r="A1930" t="s">
        <v>3387</v>
      </c>
      <c r="B1930">
        <v>2056</v>
      </c>
      <c r="C1930" t="s">
        <v>1322</v>
      </c>
      <c r="E1930">
        <v>255.25</v>
      </c>
      <c r="F1930" t="s">
        <v>1317</v>
      </c>
      <c r="I1930" t="s">
        <v>1324</v>
      </c>
    </row>
    <row r="1931" spans="1:9" x14ac:dyDescent="0.3">
      <c r="A1931" t="s">
        <v>3388</v>
      </c>
      <c r="B1931">
        <v>2057</v>
      </c>
      <c r="C1931" t="s">
        <v>1322</v>
      </c>
      <c r="E1931">
        <v>255.25</v>
      </c>
      <c r="F1931" t="s">
        <v>1317</v>
      </c>
      <c r="I1931" t="s">
        <v>1324</v>
      </c>
    </row>
    <row r="1932" spans="1:9" x14ac:dyDescent="0.3">
      <c r="A1932" t="s">
        <v>3389</v>
      </c>
      <c r="B1932">
        <v>2058</v>
      </c>
      <c r="C1932" t="s">
        <v>1316</v>
      </c>
      <c r="D1932">
        <v>1021</v>
      </c>
      <c r="E1932">
        <v>1021</v>
      </c>
      <c r="F1932" t="s">
        <v>1349</v>
      </c>
      <c r="G1932" t="s">
        <v>1318</v>
      </c>
      <c r="H1932" t="s">
        <v>3390</v>
      </c>
      <c r="I1932" t="s">
        <v>3391</v>
      </c>
    </row>
    <row r="1933" spans="1:9" x14ac:dyDescent="0.3">
      <c r="A1933" t="s">
        <v>3392</v>
      </c>
      <c r="B1933">
        <v>2059</v>
      </c>
      <c r="C1933" t="s">
        <v>1316</v>
      </c>
      <c r="D1933">
        <v>1021</v>
      </c>
      <c r="E1933">
        <v>1021</v>
      </c>
      <c r="F1933" t="s">
        <v>1349</v>
      </c>
      <c r="G1933" t="s">
        <v>1318</v>
      </c>
      <c r="H1933" t="s">
        <v>3390</v>
      </c>
      <c r="I1933" t="s">
        <v>3391</v>
      </c>
    </row>
    <row r="1934" spans="1:9" x14ac:dyDescent="0.3">
      <c r="A1934" t="s">
        <v>3393</v>
      </c>
      <c r="B1934">
        <v>2060</v>
      </c>
      <c r="C1934" t="s">
        <v>1322</v>
      </c>
      <c r="E1934">
        <v>18.132999999999999</v>
      </c>
      <c r="F1934" t="s">
        <v>1323</v>
      </c>
      <c r="I1934" t="s">
        <v>1324</v>
      </c>
    </row>
    <row r="1935" spans="1:9" x14ac:dyDescent="0.3">
      <c r="A1935" t="s">
        <v>3394</v>
      </c>
      <c r="B1935">
        <v>2061</v>
      </c>
      <c r="C1935" t="s">
        <v>1322</v>
      </c>
      <c r="E1935">
        <v>18.132999999999999</v>
      </c>
      <c r="F1935" t="s">
        <v>1323</v>
      </c>
      <c r="I1935" t="s">
        <v>1324</v>
      </c>
    </row>
    <row r="1936" spans="1:9" x14ac:dyDescent="0.3">
      <c r="A1936" t="s">
        <v>3395</v>
      </c>
      <c r="B1936">
        <v>2062</v>
      </c>
      <c r="C1936" t="s">
        <v>1322</v>
      </c>
      <c r="E1936">
        <v>102.1</v>
      </c>
      <c r="F1936" t="s">
        <v>1317</v>
      </c>
      <c r="I1936" t="s">
        <v>1324</v>
      </c>
    </row>
    <row r="1937" spans="1:9" x14ac:dyDescent="0.3">
      <c r="A1937" t="s">
        <v>3396</v>
      </c>
      <c r="B1937">
        <v>2063</v>
      </c>
      <c r="C1937" t="s">
        <v>1316</v>
      </c>
      <c r="D1937">
        <v>1021</v>
      </c>
      <c r="E1937">
        <v>1021</v>
      </c>
      <c r="F1937" t="s">
        <v>1349</v>
      </c>
      <c r="G1937" t="s">
        <v>1318</v>
      </c>
      <c r="H1937" t="s">
        <v>3390</v>
      </c>
      <c r="I1937" t="s">
        <v>3391</v>
      </c>
    </row>
    <row r="1938" spans="1:9" x14ac:dyDescent="0.3">
      <c r="A1938" t="s">
        <v>3397</v>
      </c>
      <c r="B1938">
        <v>2064</v>
      </c>
      <c r="C1938" t="s">
        <v>1316</v>
      </c>
      <c r="D1938">
        <v>1021</v>
      </c>
      <c r="E1938">
        <v>1021</v>
      </c>
      <c r="F1938" t="s">
        <v>1349</v>
      </c>
      <c r="G1938" t="s">
        <v>1318</v>
      </c>
      <c r="H1938" t="s">
        <v>3390</v>
      </c>
      <c r="I1938" t="s">
        <v>3391</v>
      </c>
    </row>
    <row r="1939" spans="1:9" x14ac:dyDescent="0.3">
      <c r="A1939" t="s">
        <v>3398</v>
      </c>
      <c r="B1939">
        <v>2065</v>
      </c>
      <c r="C1939" t="s">
        <v>1316</v>
      </c>
      <c r="D1939">
        <v>1021</v>
      </c>
      <c r="E1939">
        <v>1021</v>
      </c>
      <c r="F1939" t="s">
        <v>1349</v>
      </c>
      <c r="G1939" t="s">
        <v>1318</v>
      </c>
      <c r="H1939" t="s">
        <v>3390</v>
      </c>
      <c r="I1939" t="s">
        <v>3391</v>
      </c>
    </row>
    <row r="1940" spans="1:9" x14ac:dyDescent="0.3">
      <c r="A1940" t="s">
        <v>3399</v>
      </c>
      <c r="B1940">
        <v>2066</v>
      </c>
      <c r="C1940" t="s">
        <v>1386</v>
      </c>
      <c r="D1940">
        <v>1021</v>
      </c>
      <c r="E1940">
        <v>1021</v>
      </c>
      <c r="F1940" t="s">
        <v>1349</v>
      </c>
      <c r="G1940" t="s">
        <v>1386</v>
      </c>
      <c r="I1940" t="s">
        <v>3400</v>
      </c>
    </row>
    <row r="1941" spans="1:9" x14ac:dyDescent="0.3">
      <c r="A1941" t="s">
        <v>3401</v>
      </c>
      <c r="B1941">
        <v>2068</v>
      </c>
      <c r="C1941" t="s">
        <v>1322</v>
      </c>
      <c r="E1941">
        <v>143.78</v>
      </c>
      <c r="F1941" t="s">
        <v>1317</v>
      </c>
      <c r="I1941" t="s">
        <v>1324</v>
      </c>
    </row>
    <row r="1942" spans="1:9" x14ac:dyDescent="0.3">
      <c r="A1942" t="s">
        <v>3402</v>
      </c>
      <c r="B1942">
        <v>2069</v>
      </c>
      <c r="C1942" t="s">
        <v>1322</v>
      </c>
      <c r="E1942">
        <v>143.78</v>
      </c>
      <c r="F1942" t="s">
        <v>1317</v>
      </c>
      <c r="I1942" t="s">
        <v>1324</v>
      </c>
    </row>
    <row r="1943" spans="1:9" x14ac:dyDescent="0.3">
      <c r="A1943" t="s">
        <v>3403</v>
      </c>
      <c r="B1943">
        <v>2070</v>
      </c>
      <c r="C1943" t="s">
        <v>1316</v>
      </c>
      <c r="D1943">
        <v>1437.8</v>
      </c>
      <c r="E1943">
        <v>1437.8</v>
      </c>
      <c r="F1943" t="s">
        <v>1349</v>
      </c>
      <c r="G1943" t="s">
        <v>1318</v>
      </c>
      <c r="H1943" t="s">
        <v>3404</v>
      </c>
      <c r="I1943" t="s">
        <v>3405</v>
      </c>
    </row>
    <row r="1944" spans="1:9" x14ac:dyDescent="0.3">
      <c r="A1944" t="s">
        <v>3406</v>
      </c>
      <c r="B1944">
        <v>2071</v>
      </c>
      <c r="C1944" t="s">
        <v>1316</v>
      </c>
      <c r="D1944">
        <v>1437.8</v>
      </c>
      <c r="E1944">
        <v>1437.8</v>
      </c>
      <c r="F1944" t="s">
        <v>1349</v>
      </c>
      <c r="G1944" t="s">
        <v>1318</v>
      </c>
      <c r="H1944" t="s">
        <v>3404</v>
      </c>
      <c r="I1944" t="s">
        <v>3405</v>
      </c>
    </row>
    <row r="1945" spans="1:9" x14ac:dyDescent="0.3">
      <c r="A1945" t="s">
        <v>3407</v>
      </c>
      <c r="B1945">
        <v>2072</v>
      </c>
      <c r="C1945" t="s">
        <v>1322</v>
      </c>
      <c r="E1945">
        <v>726</v>
      </c>
      <c r="F1945" t="s">
        <v>61</v>
      </c>
      <c r="I1945" t="s">
        <v>1324</v>
      </c>
    </row>
    <row r="1946" spans="1:9" x14ac:dyDescent="0.3">
      <c r="A1946" t="s">
        <v>3408</v>
      </c>
      <c r="B1946">
        <v>2074</v>
      </c>
      <c r="C1946" t="s">
        <v>1316</v>
      </c>
      <c r="D1946">
        <v>3482.3</v>
      </c>
      <c r="E1946">
        <v>3482.3</v>
      </c>
      <c r="F1946" t="s">
        <v>1349</v>
      </c>
      <c r="G1946" t="s">
        <v>1318</v>
      </c>
      <c r="H1946" t="s">
        <v>3409</v>
      </c>
      <c r="I1946" t="s">
        <v>3410</v>
      </c>
    </row>
    <row r="1947" spans="1:9" x14ac:dyDescent="0.3">
      <c r="A1947" t="s">
        <v>3411</v>
      </c>
      <c r="B1947">
        <v>2075</v>
      </c>
      <c r="C1947" t="s">
        <v>1316</v>
      </c>
      <c r="D1947">
        <v>3482.3</v>
      </c>
      <c r="E1947">
        <v>3482.3</v>
      </c>
      <c r="F1947" t="s">
        <v>1349</v>
      </c>
      <c r="G1947" t="s">
        <v>1318</v>
      </c>
      <c r="H1947" t="s">
        <v>3409</v>
      </c>
      <c r="I1947" t="s">
        <v>3410</v>
      </c>
    </row>
    <row r="1948" spans="1:9" x14ac:dyDescent="0.3">
      <c r="A1948" t="s">
        <v>3412</v>
      </c>
      <c r="B1948">
        <v>2076</v>
      </c>
      <c r="C1948" t="s">
        <v>1322</v>
      </c>
      <c r="E1948">
        <v>55</v>
      </c>
      <c r="F1948" t="s">
        <v>1421</v>
      </c>
      <c r="I1948" t="s">
        <v>1324</v>
      </c>
    </row>
    <row r="1949" spans="1:9" x14ac:dyDescent="0.3">
      <c r="A1949" t="s">
        <v>3413</v>
      </c>
      <c r="B1949">
        <v>2077</v>
      </c>
      <c r="C1949" t="s">
        <v>1322</v>
      </c>
      <c r="E1949">
        <v>55</v>
      </c>
      <c r="F1949" t="s">
        <v>1421</v>
      </c>
      <c r="I1949" t="s">
        <v>1324</v>
      </c>
    </row>
    <row r="1950" spans="1:9" x14ac:dyDescent="0.3">
      <c r="A1950" t="s">
        <v>3414</v>
      </c>
      <c r="B1950">
        <v>2078</v>
      </c>
      <c r="C1950" t="s">
        <v>1322</v>
      </c>
      <c r="E1950">
        <v>400</v>
      </c>
      <c r="F1950" t="s">
        <v>1421</v>
      </c>
      <c r="I1950" t="s">
        <v>1324</v>
      </c>
    </row>
    <row r="1951" spans="1:9" x14ac:dyDescent="0.3">
      <c r="A1951" t="s">
        <v>3415</v>
      </c>
      <c r="B1951">
        <v>2079</v>
      </c>
      <c r="C1951" t="s">
        <v>1322</v>
      </c>
      <c r="E1951">
        <v>400</v>
      </c>
      <c r="F1951" t="s">
        <v>1421</v>
      </c>
      <c r="I1951" t="s">
        <v>1324</v>
      </c>
    </row>
    <row r="1952" spans="1:9" x14ac:dyDescent="0.3">
      <c r="A1952" t="s">
        <v>3416</v>
      </c>
      <c r="B1952">
        <v>2080</v>
      </c>
      <c r="C1952" t="s">
        <v>1322</v>
      </c>
      <c r="E1952">
        <v>200</v>
      </c>
      <c r="F1952" t="s">
        <v>1349</v>
      </c>
      <c r="I1952" t="s">
        <v>1324</v>
      </c>
    </row>
    <row r="1953" spans="1:9" x14ac:dyDescent="0.3">
      <c r="A1953" t="s">
        <v>3417</v>
      </c>
      <c r="B1953">
        <v>2081</v>
      </c>
      <c r="C1953" t="s">
        <v>1322</v>
      </c>
      <c r="E1953">
        <v>200</v>
      </c>
      <c r="F1953" t="s">
        <v>1349</v>
      </c>
      <c r="I1953" t="s">
        <v>1324</v>
      </c>
    </row>
    <row r="1954" spans="1:9" x14ac:dyDescent="0.3">
      <c r="A1954" t="s">
        <v>3418</v>
      </c>
      <c r="B1954">
        <v>2083</v>
      </c>
      <c r="C1954" t="s">
        <v>1405</v>
      </c>
      <c r="D1954">
        <v>24</v>
      </c>
      <c r="E1954">
        <v>24</v>
      </c>
      <c r="F1954" t="s">
        <v>1317</v>
      </c>
      <c r="G1954" t="s">
        <v>1318</v>
      </c>
      <c r="H1954" t="s">
        <v>3380</v>
      </c>
      <c r="I1954" t="s">
        <v>3419</v>
      </c>
    </row>
    <row r="1955" spans="1:9" x14ac:dyDescent="0.3">
      <c r="A1955" t="s">
        <v>3420</v>
      </c>
      <c r="B1955">
        <v>2084</v>
      </c>
      <c r="C1955" t="s">
        <v>1405</v>
      </c>
      <c r="D1955">
        <v>46</v>
      </c>
      <c r="E1955">
        <v>46</v>
      </c>
      <c r="F1955" t="s">
        <v>1323</v>
      </c>
      <c r="G1955" t="s">
        <v>1318</v>
      </c>
      <c r="H1955" t="s">
        <v>3380</v>
      </c>
      <c r="I1955" t="s">
        <v>3421</v>
      </c>
    </row>
    <row r="1956" spans="1:9" x14ac:dyDescent="0.3">
      <c r="A1956" t="s">
        <v>3422</v>
      </c>
      <c r="B1956">
        <v>2085</v>
      </c>
      <c r="C1956" t="s">
        <v>1322</v>
      </c>
      <c r="E1956">
        <v>1</v>
      </c>
      <c r="F1956" t="s">
        <v>1317</v>
      </c>
      <c r="I1956" t="s">
        <v>1324</v>
      </c>
    </row>
    <row r="1957" spans="1:9" x14ac:dyDescent="0.3">
      <c r="A1957" t="s">
        <v>3423</v>
      </c>
      <c r="B1957">
        <v>2086</v>
      </c>
      <c r="C1957" t="s">
        <v>1405</v>
      </c>
      <c r="D1957">
        <v>0.7</v>
      </c>
      <c r="E1957">
        <v>0.7</v>
      </c>
      <c r="F1957" t="s">
        <v>1317</v>
      </c>
      <c r="G1957" t="s">
        <v>1318</v>
      </c>
      <c r="H1957" t="s">
        <v>3380</v>
      </c>
      <c r="I1957" t="s">
        <v>3424</v>
      </c>
    </row>
    <row r="1958" spans="1:9" x14ac:dyDescent="0.3">
      <c r="A1958" t="s">
        <v>3425</v>
      </c>
      <c r="B1958">
        <v>2087</v>
      </c>
      <c r="C1958" t="s">
        <v>1405</v>
      </c>
      <c r="D1958">
        <v>10.5</v>
      </c>
      <c r="E1958">
        <v>10.5</v>
      </c>
      <c r="F1958" t="s">
        <v>1349</v>
      </c>
      <c r="G1958" t="s">
        <v>1318</v>
      </c>
      <c r="H1958" t="s">
        <v>3380</v>
      </c>
      <c r="I1958" t="s">
        <v>3426</v>
      </c>
    </row>
    <row r="1959" spans="1:9" x14ac:dyDescent="0.3">
      <c r="A1959" t="s">
        <v>3427</v>
      </c>
      <c r="B1959">
        <v>2088</v>
      </c>
      <c r="C1959" t="s">
        <v>1405</v>
      </c>
      <c r="D1959">
        <v>26</v>
      </c>
      <c r="E1959">
        <v>26</v>
      </c>
      <c r="F1959" t="s">
        <v>1349</v>
      </c>
      <c r="G1959" t="s">
        <v>1318</v>
      </c>
      <c r="H1959" t="s">
        <v>3380</v>
      </c>
      <c r="I1959" t="s">
        <v>3428</v>
      </c>
    </row>
    <row r="1960" spans="1:9" x14ac:dyDescent="0.3">
      <c r="A1960" t="s">
        <v>3429</v>
      </c>
      <c r="B1960">
        <v>2089</v>
      </c>
      <c r="C1960" t="s">
        <v>1405</v>
      </c>
      <c r="D1960">
        <v>21</v>
      </c>
      <c r="E1960">
        <v>21</v>
      </c>
      <c r="F1960" t="s">
        <v>1349</v>
      </c>
      <c r="G1960" t="s">
        <v>1318</v>
      </c>
      <c r="H1960" t="s">
        <v>3380</v>
      </c>
      <c r="I1960" t="s">
        <v>3430</v>
      </c>
    </row>
    <row r="1961" spans="1:9" x14ac:dyDescent="0.3">
      <c r="A1961" t="s">
        <v>3431</v>
      </c>
      <c r="B1961">
        <v>2090</v>
      </c>
      <c r="C1961" t="s">
        <v>1386</v>
      </c>
      <c r="D1961">
        <v>21</v>
      </c>
      <c r="E1961">
        <v>21</v>
      </c>
      <c r="F1961" t="s">
        <v>1349</v>
      </c>
      <c r="G1961" t="s">
        <v>1386</v>
      </c>
      <c r="I1961" t="s">
        <v>3432</v>
      </c>
    </row>
    <row r="1962" spans="1:9" x14ac:dyDescent="0.3">
      <c r="A1962" t="s">
        <v>3433</v>
      </c>
      <c r="B1962">
        <v>2091</v>
      </c>
      <c r="C1962" t="s">
        <v>1322</v>
      </c>
      <c r="E1962">
        <v>0.378</v>
      </c>
      <c r="F1962" t="s">
        <v>1317</v>
      </c>
      <c r="I1962" t="s">
        <v>1324</v>
      </c>
    </row>
    <row r="1963" spans="1:9" x14ac:dyDescent="0.3">
      <c r="A1963" t="s">
        <v>3434</v>
      </c>
      <c r="B1963">
        <v>2092</v>
      </c>
      <c r="C1963" t="s">
        <v>1331</v>
      </c>
      <c r="E1963">
        <v>20</v>
      </c>
      <c r="F1963" t="s">
        <v>1317</v>
      </c>
      <c r="I1963" t="s">
        <v>1332</v>
      </c>
    </row>
    <row r="1964" spans="1:9" x14ac:dyDescent="0.3">
      <c r="A1964" t="s">
        <v>3435</v>
      </c>
      <c r="B1964">
        <v>2094</v>
      </c>
      <c r="C1964" t="s">
        <v>1322</v>
      </c>
      <c r="E1964">
        <v>1658</v>
      </c>
      <c r="F1964" t="s">
        <v>1317</v>
      </c>
      <c r="I1964" t="s">
        <v>1324</v>
      </c>
    </row>
    <row r="1965" spans="1:9" x14ac:dyDescent="0.3">
      <c r="A1965" t="s">
        <v>3436</v>
      </c>
      <c r="B1965">
        <v>2095</v>
      </c>
      <c r="C1965" t="s">
        <v>1322</v>
      </c>
      <c r="E1965">
        <v>51</v>
      </c>
      <c r="F1965" t="s">
        <v>1317</v>
      </c>
      <c r="I1965" t="s">
        <v>1324</v>
      </c>
    </row>
    <row r="1966" spans="1:9" x14ac:dyDescent="0.3">
      <c r="A1966" t="s">
        <v>3437</v>
      </c>
      <c r="B1966">
        <v>2096</v>
      </c>
      <c r="C1966" t="s">
        <v>1322</v>
      </c>
      <c r="E1966">
        <v>885</v>
      </c>
      <c r="F1966" t="s">
        <v>1317</v>
      </c>
      <c r="I1966" t="s">
        <v>1324</v>
      </c>
    </row>
    <row r="1967" spans="1:9" x14ac:dyDescent="0.3">
      <c r="A1967" t="s">
        <v>3438</v>
      </c>
      <c r="B1967">
        <v>2097</v>
      </c>
      <c r="C1967" t="s">
        <v>1322</v>
      </c>
      <c r="E1967">
        <v>885</v>
      </c>
      <c r="F1967" t="s">
        <v>1317</v>
      </c>
      <c r="I1967" t="s">
        <v>1324</v>
      </c>
    </row>
    <row r="1968" spans="1:9" x14ac:dyDescent="0.3">
      <c r="A1968" t="s">
        <v>3439</v>
      </c>
      <c r="B1968">
        <v>2098</v>
      </c>
      <c r="C1968" t="s">
        <v>1322</v>
      </c>
      <c r="E1968">
        <v>221</v>
      </c>
      <c r="F1968" t="s">
        <v>1317</v>
      </c>
      <c r="I1968" t="s">
        <v>1324</v>
      </c>
    </row>
    <row r="1969" spans="1:9" x14ac:dyDescent="0.3">
      <c r="A1969" t="s">
        <v>3440</v>
      </c>
      <c r="B1969">
        <v>2100</v>
      </c>
      <c r="C1969" t="s">
        <v>1322</v>
      </c>
      <c r="E1969">
        <v>5.44</v>
      </c>
      <c r="F1969" t="s">
        <v>1317</v>
      </c>
      <c r="I1969" t="s">
        <v>1324</v>
      </c>
    </row>
    <row r="1970" spans="1:9" x14ac:dyDescent="0.3">
      <c r="A1970" t="s">
        <v>3441</v>
      </c>
      <c r="B1970">
        <v>2101</v>
      </c>
      <c r="C1970" t="s">
        <v>1322</v>
      </c>
      <c r="E1970">
        <v>2.56</v>
      </c>
      <c r="F1970" t="s">
        <v>1317</v>
      </c>
      <c r="I1970" t="s">
        <v>1324</v>
      </c>
    </row>
    <row r="1971" spans="1:9" x14ac:dyDescent="0.3">
      <c r="A1971" t="s">
        <v>3442</v>
      </c>
      <c r="B1971">
        <v>2102</v>
      </c>
      <c r="C1971" t="s">
        <v>1322</v>
      </c>
      <c r="E1971">
        <v>14.4</v>
      </c>
      <c r="F1971" t="s">
        <v>1317</v>
      </c>
      <c r="I1971" t="s">
        <v>1324</v>
      </c>
    </row>
    <row r="1972" spans="1:9" x14ac:dyDescent="0.3">
      <c r="A1972" t="s">
        <v>3443</v>
      </c>
      <c r="B1972">
        <v>2103</v>
      </c>
      <c r="C1972" t="s">
        <v>1322</v>
      </c>
      <c r="E1972">
        <v>1.2689999999999999</v>
      </c>
      <c r="F1972" t="s">
        <v>1323</v>
      </c>
      <c r="I1972" t="s">
        <v>1324</v>
      </c>
    </row>
    <row r="1973" spans="1:9" x14ac:dyDescent="0.3">
      <c r="A1973" t="s">
        <v>3444</v>
      </c>
      <c r="B1973">
        <v>2104</v>
      </c>
      <c r="C1973" t="s">
        <v>1322</v>
      </c>
      <c r="E1973">
        <v>15.71</v>
      </c>
      <c r="F1973" t="s">
        <v>1317</v>
      </c>
      <c r="I1973" t="s">
        <v>1324</v>
      </c>
    </row>
    <row r="1974" spans="1:9" x14ac:dyDescent="0.3">
      <c r="A1974" t="s">
        <v>3445</v>
      </c>
      <c r="B1974">
        <v>2105</v>
      </c>
      <c r="C1974" t="s">
        <v>1322</v>
      </c>
      <c r="E1974">
        <v>3.9E-2</v>
      </c>
      <c r="F1974" t="s">
        <v>1323</v>
      </c>
      <c r="I1974" t="s">
        <v>1324</v>
      </c>
    </row>
    <row r="1975" spans="1:9" x14ac:dyDescent="0.3">
      <c r="A1975" t="s">
        <v>3446</v>
      </c>
      <c r="B1975">
        <v>2106</v>
      </c>
      <c r="C1975" t="s">
        <v>1322</v>
      </c>
      <c r="E1975">
        <v>1.736</v>
      </c>
      <c r="F1975" t="s">
        <v>1323</v>
      </c>
      <c r="I1975" t="s">
        <v>1324</v>
      </c>
    </row>
    <row r="1976" spans="1:9" x14ac:dyDescent="0.3">
      <c r="A1976" t="s">
        <v>3447</v>
      </c>
      <c r="B1976">
        <v>2108</v>
      </c>
      <c r="C1976" t="s">
        <v>1322</v>
      </c>
      <c r="E1976">
        <v>20.399999999999999</v>
      </c>
      <c r="F1976" t="s">
        <v>1317</v>
      </c>
      <c r="I1976" t="s">
        <v>1324</v>
      </c>
    </row>
    <row r="1977" spans="1:9" x14ac:dyDescent="0.3">
      <c r="A1977" t="s">
        <v>3448</v>
      </c>
      <c r="B1977">
        <v>2109</v>
      </c>
      <c r="C1977" t="s">
        <v>1322</v>
      </c>
      <c r="E1977">
        <v>9.6</v>
      </c>
      <c r="F1977" t="s">
        <v>1317</v>
      </c>
      <c r="I1977" t="s">
        <v>1324</v>
      </c>
    </row>
    <row r="1978" spans="1:9" x14ac:dyDescent="0.3">
      <c r="A1978" t="s">
        <v>3449</v>
      </c>
      <c r="B1978">
        <v>2110</v>
      </c>
      <c r="C1978" t="s">
        <v>1322</v>
      </c>
      <c r="E1978">
        <v>54</v>
      </c>
      <c r="F1978" t="s">
        <v>1317</v>
      </c>
      <c r="I1978" t="s">
        <v>1324</v>
      </c>
    </row>
    <row r="1979" spans="1:9" x14ac:dyDescent="0.3">
      <c r="A1979" t="s">
        <v>3450</v>
      </c>
      <c r="B1979">
        <v>2111</v>
      </c>
      <c r="C1979" t="s">
        <v>1322</v>
      </c>
      <c r="E1979">
        <v>4.8780000000000001</v>
      </c>
      <c r="F1979" t="s">
        <v>1323</v>
      </c>
      <c r="I1979" t="s">
        <v>1324</v>
      </c>
    </row>
    <row r="1980" spans="1:9" x14ac:dyDescent="0.3">
      <c r="A1980" t="s">
        <v>3451</v>
      </c>
      <c r="B1980">
        <v>2112</v>
      </c>
      <c r="C1980" t="s">
        <v>1322</v>
      </c>
      <c r="E1980">
        <v>67.5</v>
      </c>
      <c r="F1980" t="s">
        <v>1317</v>
      </c>
      <c r="I1980" t="s">
        <v>1324</v>
      </c>
    </row>
    <row r="1981" spans="1:9" x14ac:dyDescent="0.3">
      <c r="A1981" t="s">
        <v>3452</v>
      </c>
      <c r="B1981">
        <v>2113</v>
      </c>
      <c r="C1981" t="s">
        <v>1322</v>
      </c>
      <c r="E1981">
        <v>0.16800000000000001</v>
      </c>
      <c r="F1981" t="s">
        <v>1323</v>
      </c>
      <c r="I1981" t="s">
        <v>1324</v>
      </c>
    </row>
    <row r="1982" spans="1:9" x14ac:dyDescent="0.3">
      <c r="A1982" t="s">
        <v>3453</v>
      </c>
      <c r="B1982">
        <v>2114</v>
      </c>
      <c r="C1982" t="s">
        <v>1322</v>
      </c>
      <c r="E1982">
        <v>5.18</v>
      </c>
      <c r="F1982" t="s">
        <v>1323</v>
      </c>
      <c r="I1982" t="s">
        <v>1324</v>
      </c>
    </row>
    <row r="1983" spans="1:9" x14ac:dyDescent="0.3">
      <c r="A1983" t="s">
        <v>3454</v>
      </c>
      <c r="B1983">
        <v>2116</v>
      </c>
      <c r="C1983" t="s">
        <v>1322</v>
      </c>
      <c r="E1983">
        <v>10.199999999999999</v>
      </c>
      <c r="F1983" t="s">
        <v>1317</v>
      </c>
      <c r="I1983" t="s">
        <v>1324</v>
      </c>
    </row>
    <row r="1984" spans="1:9" x14ac:dyDescent="0.3">
      <c r="A1984" t="s">
        <v>3455</v>
      </c>
      <c r="B1984">
        <v>2117</v>
      </c>
      <c r="C1984" t="s">
        <v>1322</v>
      </c>
      <c r="E1984">
        <v>4.8</v>
      </c>
      <c r="F1984" t="s">
        <v>1317</v>
      </c>
      <c r="I1984" t="s">
        <v>1324</v>
      </c>
    </row>
    <row r="1985" spans="1:9" x14ac:dyDescent="0.3">
      <c r="A1985" t="s">
        <v>3456</v>
      </c>
      <c r="B1985">
        <v>2118</v>
      </c>
      <c r="C1985" t="s">
        <v>1322</v>
      </c>
      <c r="E1985">
        <v>26.4</v>
      </c>
      <c r="F1985" t="s">
        <v>1317</v>
      </c>
      <c r="I1985" t="s">
        <v>1324</v>
      </c>
    </row>
    <row r="1986" spans="1:9" x14ac:dyDescent="0.3">
      <c r="A1986" t="s">
        <v>3457</v>
      </c>
      <c r="B1986">
        <v>2119</v>
      </c>
      <c r="C1986" t="s">
        <v>1322</v>
      </c>
      <c r="E1986">
        <v>2.56</v>
      </c>
      <c r="F1986" t="s">
        <v>1323</v>
      </c>
      <c r="I1986" t="s">
        <v>1324</v>
      </c>
    </row>
    <row r="1987" spans="1:9" x14ac:dyDescent="0.3">
      <c r="A1987" t="s">
        <v>3458</v>
      </c>
      <c r="B1987">
        <v>2120</v>
      </c>
      <c r="C1987" t="s">
        <v>1322</v>
      </c>
      <c r="E1987">
        <v>30.38</v>
      </c>
      <c r="F1987" t="s">
        <v>1317</v>
      </c>
      <c r="I1987" t="s">
        <v>1324</v>
      </c>
    </row>
    <row r="1988" spans="1:9" x14ac:dyDescent="0.3">
      <c r="A1988" t="s">
        <v>3459</v>
      </c>
      <c r="B1988">
        <v>2121</v>
      </c>
      <c r="C1988" t="s">
        <v>1322</v>
      </c>
      <c r="E1988">
        <v>7.5999999999999998E-2</v>
      </c>
      <c r="F1988" t="s">
        <v>1323</v>
      </c>
      <c r="I1988" t="s">
        <v>1324</v>
      </c>
    </row>
    <row r="1989" spans="1:9" x14ac:dyDescent="0.3">
      <c r="A1989" t="s">
        <v>3460</v>
      </c>
      <c r="B1989">
        <v>2122</v>
      </c>
      <c r="C1989" t="s">
        <v>1322</v>
      </c>
      <c r="E1989">
        <v>3.5019999999999998</v>
      </c>
      <c r="F1989" t="s">
        <v>1323</v>
      </c>
      <c r="I1989" t="s">
        <v>1324</v>
      </c>
    </row>
    <row r="1990" spans="1:9" x14ac:dyDescent="0.3">
      <c r="A1990" t="s">
        <v>3461</v>
      </c>
      <c r="B1990">
        <v>2124</v>
      </c>
      <c r="C1990" t="s">
        <v>1322</v>
      </c>
      <c r="E1990">
        <v>10.641999999999999</v>
      </c>
      <c r="F1990" t="s">
        <v>1317</v>
      </c>
      <c r="I1990" t="s">
        <v>1324</v>
      </c>
    </row>
    <row r="1991" spans="1:9" x14ac:dyDescent="0.3">
      <c r="A1991" t="s">
        <v>3462</v>
      </c>
      <c r="B1991">
        <v>2125</v>
      </c>
      <c r="C1991" t="s">
        <v>1322</v>
      </c>
      <c r="E1991">
        <v>5.01</v>
      </c>
      <c r="F1991" t="s">
        <v>1317</v>
      </c>
      <c r="I1991" t="s">
        <v>1324</v>
      </c>
    </row>
    <row r="1992" spans="1:9" x14ac:dyDescent="0.3">
      <c r="A1992" t="s">
        <v>3463</v>
      </c>
      <c r="B1992">
        <v>2126</v>
      </c>
      <c r="C1992" t="s">
        <v>1322</v>
      </c>
      <c r="E1992">
        <v>29.25</v>
      </c>
      <c r="F1992" t="s">
        <v>1317</v>
      </c>
      <c r="I1992" t="s">
        <v>1324</v>
      </c>
    </row>
    <row r="1993" spans="1:9" x14ac:dyDescent="0.3">
      <c r="A1993" t="s">
        <v>3464</v>
      </c>
      <c r="B1993">
        <v>2127</v>
      </c>
      <c r="C1993" t="s">
        <v>1322</v>
      </c>
      <c r="E1993">
        <v>2.6829999999999998</v>
      </c>
      <c r="F1993" t="s">
        <v>1323</v>
      </c>
      <c r="I1993" t="s">
        <v>1324</v>
      </c>
    </row>
    <row r="1994" spans="1:9" x14ac:dyDescent="0.3">
      <c r="A1994" t="s">
        <v>3465</v>
      </c>
      <c r="B1994">
        <v>2128</v>
      </c>
      <c r="C1994" t="s">
        <v>1322</v>
      </c>
      <c r="E1994">
        <v>28.17</v>
      </c>
      <c r="F1994" t="s">
        <v>1317</v>
      </c>
      <c r="I1994" t="s">
        <v>1324</v>
      </c>
    </row>
    <row r="1995" spans="1:9" x14ac:dyDescent="0.3">
      <c r="A1995" t="s">
        <v>3466</v>
      </c>
      <c r="B1995">
        <v>2129</v>
      </c>
      <c r="C1995" t="s">
        <v>1322</v>
      </c>
      <c r="E1995">
        <v>7.0000000000000007E-2</v>
      </c>
      <c r="F1995" t="s">
        <v>1323</v>
      </c>
      <c r="I1995" t="s">
        <v>1324</v>
      </c>
    </row>
    <row r="1996" spans="1:9" x14ac:dyDescent="0.3">
      <c r="A1996" t="s">
        <v>3467</v>
      </c>
      <c r="B1996">
        <v>2130</v>
      </c>
      <c r="C1996" t="s">
        <v>1322</v>
      </c>
      <c r="E1996">
        <v>3.3079999999999998</v>
      </c>
      <c r="F1996" t="s">
        <v>1323</v>
      </c>
      <c r="I1996" t="s">
        <v>1324</v>
      </c>
    </row>
    <row r="1997" spans="1:9" x14ac:dyDescent="0.3">
      <c r="A1997" t="s">
        <v>3468</v>
      </c>
      <c r="B1997">
        <v>2132</v>
      </c>
      <c r="C1997" t="s">
        <v>1322</v>
      </c>
      <c r="E1997">
        <v>10.199999999999999</v>
      </c>
      <c r="F1997" t="s">
        <v>1317</v>
      </c>
      <c r="I1997" t="s">
        <v>1324</v>
      </c>
    </row>
    <row r="1998" spans="1:9" x14ac:dyDescent="0.3">
      <c r="A1998" t="s">
        <v>3469</v>
      </c>
      <c r="B1998">
        <v>2133</v>
      </c>
      <c r="C1998" t="s">
        <v>1322</v>
      </c>
      <c r="E1998">
        <v>4.8</v>
      </c>
      <c r="F1998" t="s">
        <v>1317</v>
      </c>
      <c r="I1998" t="s">
        <v>1324</v>
      </c>
    </row>
    <row r="1999" spans="1:9" x14ac:dyDescent="0.3">
      <c r="A1999" t="s">
        <v>3470</v>
      </c>
      <c r="B1999">
        <v>2134</v>
      </c>
      <c r="C1999" t="s">
        <v>1322</v>
      </c>
      <c r="E1999">
        <v>29.16</v>
      </c>
      <c r="F1999" t="s">
        <v>1317</v>
      </c>
      <c r="I1999" t="s">
        <v>1324</v>
      </c>
    </row>
    <row r="2000" spans="1:9" x14ac:dyDescent="0.3">
      <c r="A2000" t="s">
        <v>3471</v>
      </c>
      <c r="B2000">
        <v>2135</v>
      </c>
      <c r="C2000" t="s">
        <v>1322</v>
      </c>
      <c r="E2000">
        <v>2.5960000000000001</v>
      </c>
      <c r="F2000" t="s">
        <v>1323</v>
      </c>
      <c r="I2000" t="s">
        <v>1324</v>
      </c>
    </row>
    <row r="2001" spans="1:9" x14ac:dyDescent="0.3">
      <c r="A2001" t="s">
        <v>3472</v>
      </c>
      <c r="B2001">
        <v>2136</v>
      </c>
      <c r="C2001" t="s">
        <v>1322</v>
      </c>
      <c r="E2001">
        <v>31.32</v>
      </c>
      <c r="F2001" t="s">
        <v>1317</v>
      </c>
      <c r="I2001" t="s">
        <v>1324</v>
      </c>
    </row>
    <row r="2002" spans="1:9" x14ac:dyDescent="0.3">
      <c r="A2002" t="s">
        <v>3473</v>
      </c>
      <c r="B2002">
        <v>2137</v>
      </c>
      <c r="C2002" t="s">
        <v>1322</v>
      </c>
      <c r="E2002">
        <v>0.22</v>
      </c>
      <c r="F2002" t="s">
        <v>1323</v>
      </c>
      <c r="I2002" t="s">
        <v>1324</v>
      </c>
    </row>
    <row r="2003" spans="1:9" x14ac:dyDescent="0.3">
      <c r="A2003" t="s">
        <v>3474</v>
      </c>
      <c r="B2003">
        <v>2138</v>
      </c>
      <c r="C2003" t="s">
        <v>1322</v>
      </c>
      <c r="E2003">
        <v>3.3719999999999999</v>
      </c>
      <c r="F2003" t="s">
        <v>1323</v>
      </c>
      <c r="I2003" t="s">
        <v>1324</v>
      </c>
    </row>
    <row r="2004" spans="1:9" x14ac:dyDescent="0.3">
      <c r="A2004" t="s">
        <v>3475</v>
      </c>
      <c r="B2004">
        <v>2140</v>
      </c>
      <c r="C2004" t="s">
        <v>1322</v>
      </c>
      <c r="E2004">
        <v>11.3</v>
      </c>
      <c r="F2004" t="s">
        <v>1317</v>
      </c>
      <c r="I2004" t="s">
        <v>1324</v>
      </c>
    </row>
    <row r="2005" spans="1:9" x14ac:dyDescent="0.3">
      <c r="A2005" t="s">
        <v>3476</v>
      </c>
      <c r="B2005">
        <v>2141</v>
      </c>
      <c r="C2005" t="s">
        <v>1322</v>
      </c>
      <c r="E2005">
        <v>5.3</v>
      </c>
      <c r="F2005" t="s">
        <v>1317</v>
      </c>
      <c r="I2005" t="s">
        <v>1324</v>
      </c>
    </row>
    <row r="2006" spans="1:9" x14ac:dyDescent="0.3">
      <c r="A2006" t="s">
        <v>3477</v>
      </c>
      <c r="B2006">
        <v>2142</v>
      </c>
      <c r="C2006" t="s">
        <v>1322</v>
      </c>
      <c r="E2006">
        <v>51.84</v>
      </c>
      <c r="F2006" t="s">
        <v>1317</v>
      </c>
      <c r="I2006" t="s">
        <v>1324</v>
      </c>
    </row>
    <row r="2007" spans="1:9" x14ac:dyDescent="0.3">
      <c r="A2007" t="s">
        <v>3478</v>
      </c>
      <c r="B2007">
        <v>2143</v>
      </c>
      <c r="C2007" t="s">
        <v>1322</v>
      </c>
      <c r="E2007">
        <v>3.7130000000000001</v>
      </c>
      <c r="F2007" t="s">
        <v>1323</v>
      </c>
      <c r="I2007" t="s">
        <v>1324</v>
      </c>
    </row>
    <row r="2008" spans="1:9" x14ac:dyDescent="0.3">
      <c r="A2008" t="s">
        <v>3479</v>
      </c>
      <c r="B2008">
        <v>2144</v>
      </c>
      <c r="C2008" t="s">
        <v>1322</v>
      </c>
      <c r="E2008">
        <v>49.68</v>
      </c>
      <c r="F2008" t="s">
        <v>1317</v>
      </c>
      <c r="I2008" t="s">
        <v>1324</v>
      </c>
    </row>
    <row r="2009" spans="1:9" x14ac:dyDescent="0.3">
      <c r="A2009" t="s">
        <v>3480</v>
      </c>
      <c r="B2009">
        <v>2145</v>
      </c>
      <c r="C2009" t="s">
        <v>1322</v>
      </c>
      <c r="E2009">
        <v>0.11799999999999999</v>
      </c>
      <c r="F2009" t="s">
        <v>1323</v>
      </c>
      <c r="I2009" t="s">
        <v>1324</v>
      </c>
    </row>
    <row r="2010" spans="1:9" x14ac:dyDescent="0.3">
      <c r="A2010" t="s">
        <v>3481</v>
      </c>
      <c r="B2010">
        <v>2146</v>
      </c>
      <c r="C2010" t="s">
        <v>1322</v>
      </c>
      <c r="E2010">
        <v>3.992</v>
      </c>
      <c r="F2010" t="s">
        <v>1323</v>
      </c>
      <c r="I2010" t="s">
        <v>1324</v>
      </c>
    </row>
    <row r="2011" spans="1:9" x14ac:dyDescent="0.3">
      <c r="A2011" t="s">
        <v>3482</v>
      </c>
      <c r="B2011">
        <v>2148</v>
      </c>
      <c r="C2011" t="s">
        <v>1322</v>
      </c>
      <c r="E2011">
        <v>10.199999999999999</v>
      </c>
      <c r="F2011" t="s">
        <v>1317</v>
      </c>
      <c r="I2011" t="s">
        <v>1324</v>
      </c>
    </row>
    <row r="2012" spans="1:9" x14ac:dyDescent="0.3">
      <c r="A2012" t="s">
        <v>3483</v>
      </c>
      <c r="B2012">
        <v>2149</v>
      </c>
      <c r="C2012" t="s">
        <v>1322</v>
      </c>
      <c r="E2012">
        <v>4.8</v>
      </c>
      <c r="F2012" t="s">
        <v>1317</v>
      </c>
      <c r="I2012" t="s">
        <v>1324</v>
      </c>
    </row>
    <row r="2013" spans="1:9" x14ac:dyDescent="0.3">
      <c r="A2013" t="s">
        <v>3484</v>
      </c>
      <c r="B2013">
        <v>2150</v>
      </c>
      <c r="C2013" t="s">
        <v>1322</v>
      </c>
      <c r="E2013">
        <v>59.36</v>
      </c>
      <c r="F2013" t="s">
        <v>1317</v>
      </c>
      <c r="I2013" t="s">
        <v>1324</v>
      </c>
    </row>
    <row r="2014" spans="1:9" x14ac:dyDescent="0.3">
      <c r="A2014" t="s">
        <v>3485</v>
      </c>
      <c r="B2014">
        <v>2151</v>
      </c>
      <c r="C2014" t="s">
        <v>1322</v>
      </c>
      <c r="E2014">
        <v>2.44</v>
      </c>
      <c r="F2014" t="s">
        <v>1323</v>
      </c>
      <c r="I2014" t="s">
        <v>1324</v>
      </c>
    </row>
    <row r="2015" spans="1:9" x14ac:dyDescent="0.3">
      <c r="A2015" t="s">
        <v>3486</v>
      </c>
      <c r="B2015">
        <v>2152</v>
      </c>
      <c r="C2015" t="s">
        <v>1322</v>
      </c>
      <c r="E2015">
        <v>74.55</v>
      </c>
      <c r="F2015" t="s">
        <v>1317</v>
      </c>
      <c r="I2015" t="s">
        <v>1324</v>
      </c>
    </row>
    <row r="2016" spans="1:9" x14ac:dyDescent="0.3">
      <c r="A2016" t="s">
        <v>3487</v>
      </c>
      <c r="B2016">
        <v>2153</v>
      </c>
      <c r="C2016" t="s">
        <v>1322</v>
      </c>
      <c r="E2016">
        <v>0.17699999999999999</v>
      </c>
      <c r="F2016" t="s">
        <v>1323</v>
      </c>
      <c r="I2016" t="s">
        <v>1324</v>
      </c>
    </row>
    <row r="2017" spans="1:9" x14ac:dyDescent="0.3">
      <c r="A2017" t="s">
        <v>3488</v>
      </c>
      <c r="B2017">
        <v>2154</v>
      </c>
      <c r="C2017" t="s">
        <v>1322</v>
      </c>
      <c r="E2017">
        <v>5.9649999999999999</v>
      </c>
      <c r="F2017" t="s">
        <v>1323</v>
      </c>
      <c r="I2017" t="s">
        <v>1324</v>
      </c>
    </row>
    <row r="2018" spans="1:9" x14ac:dyDescent="0.3">
      <c r="A2018" t="s">
        <v>3489</v>
      </c>
      <c r="B2018">
        <v>2156</v>
      </c>
      <c r="C2018" t="s">
        <v>1322</v>
      </c>
      <c r="E2018">
        <v>30.6</v>
      </c>
      <c r="F2018" t="s">
        <v>1317</v>
      </c>
      <c r="I2018" t="s">
        <v>1324</v>
      </c>
    </row>
    <row r="2019" spans="1:9" x14ac:dyDescent="0.3">
      <c r="A2019" t="s">
        <v>3490</v>
      </c>
      <c r="B2019">
        <v>2157</v>
      </c>
      <c r="C2019" t="s">
        <v>1322</v>
      </c>
      <c r="E2019">
        <v>14.4</v>
      </c>
      <c r="F2019" t="s">
        <v>1317</v>
      </c>
      <c r="I2019" t="s">
        <v>1324</v>
      </c>
    </row>
    <row r="2020" spans="1:9" x14ac:dyDescent="0.3">
      <c r="A2020" t="s">
        <v>3491</v>
      </c>
      <c r="B2020">
        <v>2158</v>
      </c>
      <c r="C2020" t="s">
        <v>1322</v>
      </c>
      <c r="E2020">
        <v>144</v>
      </c>
      <c r="F2020" t="s">
        <v>1317</v>
      </c>
      <c r="I2020" t="s">
        <v>1324</v>
      </c>
    </row>
    <row r="2021" spans="1:9" x14ac:dyDescent="0.3">
      <c r="A2021" t="s">
        <v>3492</v>
      </c>
      <c r="B2021">
        <v>2159</v>
      </c>
      <c r="C2021" t="s">
        <v>1322</v>
      </c>
      <c r="E2021">
        <v>9.81</v>
      </c>
      <c r="F2021" t="s">
        <v>1323</v>
      </c>
      <c r="I2021" t="s">
        <v>1324</v>
      </c>
    </row>
    <row r="2022" spans="1:9" x14ac:dyDescent="0.3">
      <c r="A2022" t="s">
        <v>3493</v>
      </c>
      <c r="B2022">
        <v>2160</v>
      </c>
      <c r="C2022" t="s">
        <v>1322</v>
      </c>
      <c r="E2022">
        <v>189</v>
      </c>
      <c r="F2022" t="s">
        <v>1317</v>
      </c>
      <c r="I2022" t="s">
        <v>1324</v>
      </c>
    </row>
    <row r="2023" spans="1:9" x14ac:dyDescent="0.3">
      <c r="A2023" t="s">
        <v>3494</v>
      </c>
      <c r="B2023">
        <v>2161</v>
      </c>
      <c r="C2023" t="s">
        <v>1322</v>
      </c>
      <c r="E2023">
        <v>0.44800000000000001</v>
      </c>
      <c r="F2023" t="s">
        <v>1323</v>
      </c>
      <c r="I2023" t="s">
        <v>1324</v>
      </c>
    </row>
    <row r="2024" spans="1:9" x14ac:dyDescent="0.3">
      <c r="A2024" t="s">
        <v>3495</v>
      </c>
      <c r="B2024">
        <v>2162</v>
      </c>
      <c r="C2024" t="s">
        <v>1322</v>
      </c>
      <c r="E2024">
        <v>14.976000000000001</v>
      </c>
      <c r="F2024" t="s">
        <v>1323</v>
      </c>
      <c r="I2024" t="s">
        <v>1324</v>
      </c>
    </row>
    <row r="2025" spans="1:9" x14ac:dyDescent="0.3">
      <c r="A2025" t="s">
        <v>3496</v>
      </c>
      <c r="B2025">
        <v>2164</v>
      </c>
      <c r="C2025" t="s">
        <v>1322</v>
      </c>
      <c r="E2025">
        <v>10.199999999999999</v>
      </c>
      <c r="F2025" t="s">
        <v>1317</v>
      </c>
      <c r="I2025" t="s">
        <v>1324</v>
      </c>
    </row>
    <row r="2026" spans="1:9" x14ac:dyDescent="0.3">
      <c r="A2026" t="s">
        <v>3497</v>
      </c>
      <c r="B2026">
        <v>2165</v>
      </c>
      <c r="C2026" t="s">
        <v>1322</v>
      </c>
      <c r="E2026">
        <v>4.8</v>
      </c>
      <c r="F2026" t="s">
        <v>1317</v>
      </c>
      <c r="I2026" t="s">
        <v>1324</v>
      </c>
    </row>
    <row r="2027" spans="1:9" x14ac:dyDescent="0.3">
      <c r="A2027" t="s">
        <v>3498</v>
      </c>
      <c r="B2027">
        <v>2166</v>
      </c>
      <c r="C2027" t="s">
        <v>1322</v>
      </c>
      <c r="E2027">
        <v>50.56</v>
      </c>
      <c r="F2027" t="s">
        <v>1317</v>
      </c>
      <c r="I2027" t="s">
        <v>1324</v>
      </c>
    </row>
    <row r="2028" spans="1:9" x14ac:dyDescent="0.3">
      <c r="A2028" t="s">
        <v>3499</v>
      </c>
      <c r="B2028">
        <v>2167</v>
      </c>
      <c r="C2028" t="s">
        <v>1322</v>
      </c>
      <c r="E2028">
        <v>3.476</v>
      </c>
      <c r="F2028" t="s">
        <v>1323</v>
      </c>
      <c r="I2028" t="s">
        <v>1324</v>
      </c>
    </row>
    <row r="2029" spans="1:9" x14ac:dyDescent="0.3">
      <c r="A2029" t="s">
        <v>3500</v>
      </c>
      <c r="B2029">
        <v>2168</v>
      </c>
      <c r="C2029" t="s">
        <v>1322</v>
      </c>
      <c r="E2029">
        <v>63</v>
      </c>
      <c r="F2029" t="s">
        <v>1317</v>
      </c>
      <c r="I2029" t="s">
        <v>1324</v>
      </c>
    </row>
    <row r="2030" spans="1:9" x14ac:dyDescent="0.3">
      <c r="A2030" t="s">
        <v>3501</v>
      </c>
      <c r="B2030">
        <v>2169</v>
      </c>
      <c r="C2030" t="s">
        <v>1322</v>
      </c>
      <c r="E2030">
        <v>0.14899999999999999</v>
      </c>
      <c r="F2030" t="s">
        <v>1323</v>
      </c>
      <c r="I2030" t="s">
        <v>1324</v>
      </c>
    </row>
    <row r="2031" spans="1:9" x14ac:dyDescent="0.3">
      <c r="A2031" t="s">
        <v>3502</v>
      </c>
      <c r="B2031">
        <v>2170</v>
      </c>
      <c r="C2031" t="s">
        <v>1322</v>
      </c>
      <c r="E2031">
        <v>4.9720000000000004</v>
      </c>
      <c r="F2031" t="s">
        <v>1323</v>
      </c>
      <c r="I2031" t="s">
        <v>1324</v>
      </c>
    </row>
    <row r="2032" spans="1:9" x14ac:dyDescent="0.3">
      <c r="A2032" t="s">
        <v>3503</v>
      </c>
      <c r="B2032">
        <v>2172</v>
      </c>
      <c r="C2032" t="s">
        <v>1322</v>
      </c>
      <c r="E2032">
        <v>10.199999999999999</v>
      </c>
      <c r="F2032" t="s">
        <v>1317</v>
      </c>
      <c r="I2032" t="s">
        <v>1324</v>
      </c>
    </row>
    <row r="2033" spans="1:9" x14ac:dyDescent="0.3">
      <c r="A2033" t="s">
        <v>3504</v>
      </c>
      <c r="B2033">
        <v>2173</v>
      </c>
      <c r="C2033" t="s">
        <v>1322</v>
      </c>
      <c r="E2033">
        <v>4.8</v>
      </c>
      <c r="F2033" t="s">
        <v>1317</v>
      </c>
      <c r="I2033" t="s">
        <v>1324</v>
      </c>
    </row>
    <row r="2034" spans="1:9" x14ac:dyDescent="0.3">
      <c r="A2034" t="s">
        <v>3505</v>
      </c>
      <c r="B2034">
        <v>2174</v>
      </c>
      <c r="C2034" t="s">
        <v>1322</v>
      </c>
      <c r="E2034">
        <v>53.12</v>
      </c>
      <c r="F2034" t="s">
        <v>1317</v>
      </c>
      <c r="I2034" t="s">
        <v>1324</v>
      </c>
    </row>
    <row r="2035" spans="1:9" x14ac:dyDescent="0.3">
      <c r="A2035" t="s">
        <v>3506</v>
      </c>
      <c r="B2035">
        <v>2175</v>
      </c>
      <c r="C2035" t="s">
        <v>1322</v>
      </c>
      <c r="E2035">
        <v>3.6909999999999998</v>
      </c>
      <c r="F2035" t="s">
        <v>1323</v>
      </c>
      <c r="I2035" t="s">
        <v>1324</v>
      </c>
    </row>
    <row r="2036" spans="1:9" x14ac:dyDescent="0.3">
      <c r="A2036" t="s">
        <v>3507</v>
      </c>
      <c r="B2036">
        <v>2176</v>
      </c>
      <c r="C2036" t="s">
        <v>1322</v>
      </c>
      <c r="E2036">
        <v>63</v>
      </c>
      <c r="F2036" t="s">
        <v>1317</v>
      </c>
      <c r="I2036" t="s">
        <v>1324</v>
      </c>
    </row>
    <row r="2037" spans="1:9" x14ac:dyDescent="0.3">
      <c r="A2037" t="s">
        <v>3508</v>
      </c>
      <c r="B2037">
        <v>2177</v>
      </c>
      <c r="C2037" t="s">
        <v>1322</v>
      </c>
      <c r="E2037">
        <v>0.14899999999999999</v>
      </c>
      <c r="F2037" t="s">
        <v>1323</v>
      </c>
      <c r="I2037" t="s">
        <v>1324</v>
      </c>
    </row>
    <row r="2038" spans="1:9" x14ac:dyDescent="0.3">
      <c r="A2038" t="s">
        <v>3509</v>
      </c>
      <c r="B2038">
        <v>2178</v>
      </c>
      <c r="C2038" t="s">
        <v>1322</v>
      </c>
      <c r="E2038">
        <v>4.91</v>
      </c>
      <c r="F2038" t="s">
        <v>1323</v>
      </c>
      <c r="I2038" t="s">
        <v>1324</v>
      </c>
    </row>
    <row r="2039" spans="1:9" x14ac:dyDescent="0.3">
      <c r="A2039" t="s">
        <v>3510</v>
      </c>
      <c r="B2039">
        <v>2180</v>
      </c>
      <c r="C2039" t="s">
        <v>1322</v>
      </c>
      <c r="E2039">
        <v>5.3719999999999999</v>
      </c>
      <c r="F2039" t="s">
        <v>1317</v>
      </c>
      <c r="I2039" t="s">
        <v>1324</v>
      </c>
    </row>
    <row r="2040" spans="1:9" x14ac:dyDescent="0.3">
      <c r="A2040" t="s">
        <v>3511</v>
      </c>
      <c r="B2040">
        <v>2181</v>
      </c>
      <c r="C2040" t="s">
        <v>1322</v>
      </c>
      <c r="E2040">
        <v>2.528</v>
      </c>
      <c r="F2040" t="s">
        <v>1317</v>
      </c>
      <c r="I2040" t="s">
        <v>1324</v>
      </c>
    </row>
    <row r="2041" spans="1:9" x14ac:dyDescent="0.3">
      <c r="A2041" t="s">
        <v>3512</v>
      </c>
      <c r="B2041">
        <v>2182</v>
      </c>
      <c r="C2041" t="s">
        <v>1322</v>
      </c>
      <c r="E2041">
        <v>33.92</v>
      </c>
      <c r="F2041" t="s">
        <v>1317</v>
      </c>
      <c r="I2041" t="s">
        <v>1324</v>
      </c>
    </row>
    <row r="2042" spans="1:9" x14ac:dyDescent="0.3">
      <c r="A2042" t="s">
        <v>3513</v>
      </c>
      <c r="B2042">
        <v>2183</v>
      </c>
      <c r="C2042" t="s">
        <v>1322</v>
      </c>
      <c r="E2042">
        <v>2.2690000000000001</v>
      </c>
      <c r="F2042" t="s">
        <v>1323</v>
      </c>
      <c r="I2042" t="s">
        <v>1324</v>
      </c>
    </row>
    <row r="2043" spans="1:9" x14ac:dyDescent="0.3">
      <c r="A2043" t="s">
        <v>3514</v>
      </c>
      <c r="B2043">
        <v>2184</v>
      </c>
      <c r="C2043" t="s">
        <v>1322</v>
      </c>
      <c r="E2043">
        <v>44.52</v>
      </c>
      <c r="F2043" t="s">
        <v>1317</v>
      </c>
      <c r="I2043" t="s">
        <v>1324</v>
      </c>
    </row>
    <row r="2044" spans="1:9" x14ac:dyDescent="0.3">
      <c r="A2044" t="s">
        <v>3515</v>
      </c>
      <c r="B2044">
        <v>2185</v>
      </c>
      <c r="C2044" t="s">
        <v>1322</v>
      </c>
      <c r="E2044">
        <v>0.106</v>
      </c>
      <c r="F2044" t="s">
        <v>1323</v>
      </c>
      <c r="I2044" t="s">
        <v>1324</v>
      </c>
    </row>
    <row r="2045" spans="1:9" x14ac:dyDescent="0.3">
      <c r="A2045" t="s">
        <v>3516</v>
      </c>
      <c r="B2045">
        <v>2186</v>
      </c>
      <c r="C2045" t="s">
        <v>1322</v>
      </c>
      <c r="E2045">
        <v>3.5270000000000001</v>
      </c>
      <c r="F2045" t="s">
        <v>1323</v>
      </c>
      <c r="I2045" t="s">
        <v>1324</v>
      </c>
    </row>
    <row r="2046" spans="1:9" x14ac:dyDescent="0.3">
      <c r="A2046" t="s">
        <v>3517</v>
      </c>
      <c r="B2046">
        <v>2188</v>
      </c>
      <c r="C2046" t="s">
        <v>1322</v>
      </c>
      <c r="E2046">
        <v>12.036</v>
      </c>
      <c r="F2046" t="s">
        <v>1317</v>
      </c>
      <c r="I2046" t="s">
        <v>1324</v>
      </c>
    </row>
    <row r="2047" spans="1:9" x14ac:dyDescent="0.3">
      <c r="A2047" t="s">
        <v>3518</v>
      </c>
      <c r="B2047">
        <v>2189</v>
      </c>
      <c r="C2047" t="s">
        <v>1322</v>
      </c>
      <c r="E2047">
        <v>5.6639999999999997</v>
      </c>
      <c r="F2047" t="s">
        <v>1317</v>
      </c>
      <c r="I2047" t="s">
        <v>1324</v>
      </c>
    </row>
    <row r="2048" spans="1:9" x14ac:dyDescent="0.3">
      <c r="A2048" t="s">
        <v>3519</v>
      </c>
      <c r="B2048">
        <v>2190</v>
      </c>
      <c r="C2048" t="s">
        <v>1322</v>
      </c>
      <c r="E2048">
        <v>60.8</v>
      </c>
      <c r="F2048" t="s">
        <v>1317</v>
      </c>
      <c r="I2048" t="s">
        <v>1324</v>
      </c>
    </row>
    <row r="2049" spans="1:9" x14ac:dyDescent="0.3">
      <c r="A2049" t="s">
        <v>3520</v>
      </c>
      <c r="B2049">
        <v>2191</v>
      </c>
      <c r="C2049" t="s">
        <v>1322</v>
      </c>
      <c r="E2049">
        <v>4.4189999999999996</v>
      </c>
      <c r="F2049" t="s">
        <v>1323</v>
      </c>
      <c r="I2049" t="s">
        <v>1324</v>
      </c>
    </row>
    <row r="2050" spans="1:9" x14ac:dyDescent="0.3">
      <c r="A2050" t="s">
        <v>3521</v>
      </c>
      <c r="B2050">
        <v>2192</v>
      </c>
      <c r="C2050" t="s">
        <v>1322</v>
      </c>
      <c r="E2050">
        <v>59.4</v>
      </c>
      <c r="F2050" t="s">
        <v>1317</v>
      </c>
      <c r="I2050" t="s">
        <v>1324</v>
      </c>
    </row>
    <row r="2051" spans="1:9" x14ac:dyDescent="0.3">
      <c r="A2051" t="s">
        <v>3522</v>
      </c>
      <c r="B2051">
        <v>2193</v>
      </c>
      <c r="C2051" t="s">
        <v>1322</v>
      </c>
      <c r="E2051">
        <v>0.14099999999999999</v>
      </c>
      <c r="F2051" t="s">
        <v>1323</v>
      </c>
      <c r="I2051" t="s">
        <v>1324</v>
      </c>
    </row>
    <row r="2052" spans="1:9" x14ac:dyDescent="0.3">
      <c r="A2052" t="s">
        <v>3523</v>
      </c>
      <c r="B2052">
        <v>2194</v>
      </c>
      <c r="C2052" t="s">
        <v>1322</v>
      </c>
      <c r="E2052">
        <v>4.6520000000000001</v>
      </c>
      <c r="F2052" t="s">
        <v>1323</v>
      </c>
      <c r="I2052" t="s">
        <v>1324</v>
      </c>
    </row>
    <row r="2053" spans="1:9" x14ac:dyDescent="0.3">
      <c r="A2053" t="s">
        <v>3524</v>
      </c>
      <c r="B2053">
        <v>2196</v>
      </c>
      <c r="C2053" t="s">
        <v>1322</v>
      </c>
      <c r="E2053">
        <v>8.33</v>
      </c>
      <c r="F2053" t="s">
        <v>1317</v>
      </c>
      <c r="I2053" t="s">
        <v>1324</v>
      </c>
    </row>
    <row r="2054" spans="1:9" x14ac:dyDescent="0.3">
      <c r="A2054" t="s">
        <v>3525</v>
      </c>
      <c r="B2054">
        <v>2197</v>
      </c>
      <c r="C2054" t="s">
        <v>1322</v>
      </c>
      <c r="E2054">
        <v>3.92</v>
      </c>
      <c r="F2054" t="s">
        <v>1317</v>
      </c>
      <c r="I2054" t="s">
        <v>1324</v>
      </c>
    </row>
    <row r="2055" spans="1:9" x14ac:dyDescent="0.3">
      <c r="A2055" t="s">
        <v>3526</v>
      </c>
      <c r="B2055">
        <v>2198</v>
      </c>
      <c r="C2055" t="s">
        <v>1322</v>
      </c>
      <c r="E2055">
        <v>26.4</v>
      </c>
      <c r="F2055" t="s">
        <v>1317</v>
      </c>
      <c r="I2055" t="s">
        <v>1324</v>
      </c>
    </row>
    <row r="2056" spans="1:9" x14ac:dyDescent="0.3">
      <c r="A2056" t="s">
        <v>3527</v>
      </c>
      <c r="B2056">
        <v>2199</v>
      </c>
      <c r="C2056" t="s">
        <v>1322</v>
      </c>
      <c r="E2056">
        <v>2.5579999999999998</v>
      </c>
      <c r="F2056" t="s">
        <v>1323</v>
      </c>
      <c r="I2056" t="s">
        <v>1324</v>
      </c>
    </row>
    <row r="2057" spans="1:9" x14ac:dyDescent="0.3">
      <c r="A2057" t="s">
        <v>3528</v>
      </c>
      <c r="B2057">
        <v>2200</v>
      </c>
      <c r="C2057" t="s">
        <v>1322</v>
      </c>
      <c r="E2057">
        <v>25.23</v>
      </c>
      <c r="F2057" t="s">
        <v>1317</v>
      </c>
      <c r="I2057" t="s">
        <v>1324</v>
      </c>
    </row>
    <row r="2058" spans="1:9" x14ac:dyDescent="0.3">
      <c r="A2058" t="s">
        <v>3529</v>
      </c>
      <c r="B2058">
        <v>2201</v>
      </c>
      <c r="C2058" t="s">
        <v>1322</v>
      </c>
      <c r="E2058">
        <v>6.3E-2</v>
      </c>
      <c r="F2058" t="s">
        <v>1323</v>
      </c>
      <c r="I2058" t="s">
        <v>1324</v>
      </c>
    </row>
    <row r="2059" spans="1:9" x14ac:dyDescent="0.3">
      <c r="A2059" t="s">
        <v>3530</v>
      </c>
      <c r="B2059">
        <v>2202</v>
      </c>
      <c r="C2059" t="s">
        <v>1322</v>
      </c>
      <c r="E2059">
        <v>2.8420000000000001</v>
      </c>
      <c r="F2059" t="s">
        <v>1323</v>
      </c>
      <c r="I2059" t="s">
        <v>1324</v>
      </c>
    </row>
    <row r="2060" spans="1:9" x14ac:dyDescent="0.3">
      <c r="A2060" t="s">
        <v>3531</v>
      </c>
      <c r="B2060">
        <v>2204</v>
      </c>
      <c r="C2060" t="s">
        <v>1322</v>
      </c>
      <c r="E2060">
        <v>7.8719999999999999</v>
      </c>
      <c r="F2060" t="s">
        <v>1317</v>
      </c>
      <c r="I2060" t="s">
        <v>1324</v>
      </c>
    </row>
    <row r="2061" spans="1:9" x14ac:dyDescent="0.3">
      <c r="A2061" t="s">
        <v>3532</v>
      </c>
      <c r="B2061">
        <v>2205</v>
      </c>
      <c r="C2061" t="s">
        <v>1322</v>
      </c>
      <c r="E2061">
        <v>3.28</v>
      </c>
      <c r="F2061" t="s">
        <v>1317</v>
      </c>
      <c r="I2061" t="s">
        <v>1324</v>
      </c>
    </row>
    <row r="2062" spans="1:9" x14ac:dyDescent="0.3">
      <c r="A2062" t="s">
        <v>3533</v>
      </c>
      <c r="B2062">
        <v>2206</v>
      </c>
      <c r="C2062" t="s">
        <v>1322</v>
      </c>
      <c r="E2062">
        <v>10.5</v>
      </c>
      <c r="F2062" t="s">
        <v>1317</v>
      </c>
      <c r="I2062" t="s">
        <v>1324</v>
      </c>
    </row>
    <row r="2063" spans="1:9" x14ac:dyDescent="0.3">
      <c r="A2063" t="s">
        <v>3534</v>
      </c>
      <c r="B2063">
        <v>2207</v>
      </c>
      <c r="C2063" t="s">
        <v>1322</v>
      </c>
      <c r="E2063">
        <v>0.254</v>
      </c>
      <c r="F2063" t="s">
        <v>1323</v>
      </c>
      <c r="I2063" t="s">
        <v>1324</v>
      </c>
    </row>
    <row r="2064" spans="1:9" x14ac:dyDescent="0.3">
      <c r="A2064" t="s">
        <v>3535</v>
      </c>
      <c r="B2064">
        <v>2208</v>
      </c>
      <c r="C2064" t="s">
        <v>1322</v>
      </c>
      <c r="E2064">
        <v>0.435</v>
      </c>
      <c r="F2064" t="s">
        <v>1323</v>
      </c>
      <c r="I2064" t="s">
        <v>1324</v>
      </c>
    </row>
    <row r="2065" spans="1:9" x14ac:dyDescent="0.3">
      <c r="A2065" t="s">
        <v>3536</v>
      </c>
      <c r="B2065">
        <v>2209</v>
      </c>
      <c r="C2065" t="s">
        <v>1322</v>
      </c>
      <c r="E2065">
        <v>56.26</v>
      </c>
      <c r="F2065" t="s">
        <v>1349</v>
      </c>
      <c r="I2065" t="s">
        <v>1324</v>
      </c>
    </row>
    <row r="2066" spans="1:9" x14ac:dyDescent="0.3">
      <c r="A2066" t="s">
        <v>3537</v>
      </c>
      <c r="B2066">
        <v>2210</v>
      </c>
      <c r="C2066" t="s">
        <v>1322</v>
      </c>
      <c r="E2066">
        <v>92.6</v>
      </c>
      <c r="F2066" t="s">
        <v>1349</v>
      </c>
      <c r="I2066" t="s">
        <v>1324</v>
      </c>
    </row>
    <row r="2067" spans="1:9" x14ac:dyDescent="0.3">
      <c r="A2067" t="s">
        <v>3538</v>
      </c>
      <c r="B2067">
        <v>2211</v>
      </c>
      <c r="C2067" t="s">
        <v>1322</v>
      </c>
      <c r="E2067">
        <v>192.2</v>
      </c>
      <c r="F2067" t="s">
        <v>1349</v>
      </c>
      <c r="I2067" t="s">
        <v>1324</v>
      </c>
    </row>
    <row r="2068" spans="1:9" x14ac:dyDescent="0.3">
      <c r="A2068" t="s">
        <v>3539</v>
      </c>
      <c r="B2068">
        <v>2212</v>
      </c>
      <c r="C2068" t="s">
        <v>1322</v>
      </c>
      <c r="E2068">
        <v>7.31</v>
      </c>
      <c r="F2068" t="s">
        <v>1317</v>
      </c>
      <c r="I2068" t="s">
        <v>1324</v>
      </c>
    </row>
    <row r="2069" spans="1:9" x14ac:dyDescent="0.3">
      <c r="A2069" t="s">
        <v>3540</v>
      </c>
      <c r="B2069">
        <v>2213</v>
      </c>
      <c r="C2069" t="s">
        <v>1322</v>
      </c>
      <c r="E2069">
        <v>0.32500000000000001</v>
      </c>
      <c r="F2069" t="s">
        <v>1323</v>
      </c>
      <c r="I2069" t="s">
        <v>1324</v>
      </c>
    </row>
    <row r="2070" spans="1:9" x14ac:dyDescent="0.3">
      <c r="A2070" t="s">
        <v>3541</v>
      </c>
      <c r="B2070">
        <v>2214</v>
      </c>
      <c r="C2070" t="s">
        <v>1322</v>
      </c>
      <c r="E2070">
        <v>0.34300000000000003</v>
      </c>
      <c r="F2070" t="s">
        <v>1323</v>
      </c>
      <c r="I2070" t="s">
        <v>1324</v>
      </c>
    </row>
    <row r="2071" spans="1:9" x14ac:dyDescent="0.3">
      <c r="A2071" t="s">
        <v>3542</v>
      </c>
      <c r="B2071">
        <v>2215</v>
      </c>
      <c r="C2071" t="s">
        <v>1331</v>
      </c>
      <c r="E2071">
        <v>6.8</v>
      </c>
      <c r="F2071" t="s">
        <v>1317</v>
      </c>
      <c r="I2071" t="s">
        <v>1332</v>
      </c>
    </row>
    <row r="2072" spans="1:9" x14ac:dyDescent="0.3">
      <c r="A2072" t="s">
        <v>3543</v>
      </c>
      <c r="B2072">
        <v>2216</v>
      </c>
      <c r="C2072" t="s">
        <v>1322</v>
      </c>
      <c r="E2072">
        <v>0.182</v>
      </c>
      <c r="F2072" t="s">
        <v>1323</v>
      </c>
      <c r="I2072" t="s">
        <v>1324</v>
      </c>
    </row>
    <row r="2073" spans="1:9" x14ac:dyDescent="0.3">
      <c r="A2073" t="s">
        <v>3544</v>
      </c>
      <c r="B2073">
        <v>2217</v>
      </c>
      <c r="C2073" t="s">
        <v>1322</v>
      </c>
      <c r="E2073">
        <v>0.32</v>
      </c>
      <c r="F2073" t="s">
        <v>1323</v>
      </c>
      <c r="I2073" t="s">
        <v>1324</v>
      </c>
    </row>
    <row r="2074" spans="1:9" x14ac:dyDescent="0.3">
      <c r="A2074" t="s">
        <v>3545</v>
      </c>
      <c r="B2074">
        <v>2218</v>
      </c>
      <c r="C2074" t="s">
        <v>1322</v>
      </c>
      <c r="E2074">
        <v>41.2</v>
      </c>
      <c r="F2074" t="s">
        <v>1349</v>
      </c>
      <c r="I2074" t="s">
        <v>1324</v>
      </c>
    </row>
    <row r="2075" spans="1:9" x14ac:dyDescent="0.3">
      <c r="A2075" t="s">
        <v>3546</v>
      </c>
      <c r="B2075">
        <v>2219</v>
      </c>
      <c r="C2075" t="s">
        <v>1322</v>
      </c>
      <c r="E2075">
        <v>82.4</v>
      </c>
      <c r="F2075" t="s">
        <v>1349</v>
      </c>
      <c r="I2075" t="s">
        <v>1324</v>
      </c>
    </row>
    <row r="2076" spans="1:9" x14ac:dyDescent="0.3">
      <c r="A2076" t="s">
        <v>3547</v>
      </c>
      <c r="B2076">
        <v>2220</v>
      </c>
      <c r="C2076" t="s">
        <v>1322</v>
      </c>
      <c r="E2076">
        <v>142.69999999999999</v>
      </c>
      <c r="F2076" t="s">
        <v>1349</v>
      </c>
      <c r="I2076" t="s">
        <v>1324</v>
      </c>
    </row>
    <row r="2077" spans="1:9" x14ac:dyDescent="0.3">
      <c r="A2077" t="s">
        <v>3548</v>
      </c>
      <c r="B2077">
        <v>2222</v>
      </c>
      <c r="C2077" t="s">
        <v>1322</v>
      </c>
      <c r="E2077">
        <v>8.6999999999999993</v>
      </c>
      <c r="F2077" t="s">
        <v>1317</v>
      </c>
      <c r="I2077" t="s">
        <v>1324</v>
      </c>
    </row>
    <row r="2078" spans="1:9" x14ac:dyDescent="0.3">
      <c r="A2078" t="s">
        <v>3549</v>
      </c>
      <c r="B2078">
        <v>2223</v>
      </c>
      <c r="C2078" t="s">
        <v>1322</v>
      </c>
      <c r="E2078">
        <v>3.625</v>
      </c>
      <c r="F2078" t="s">
        <v>1317</v>
      </c>
      <c r="I2078" t="s">
        <v>1324</v>
      </c>
    </row>
    <row r="2079" spans="1:9" x14ac:dyDescent="0.3">
      <c r="A2079" t="s">
        <v>3550</v>
      </c>
      <c r="B2079">
        <v>2224</v>
      </c>
      <c r="C2079" t="s">
        <v>1322</v>
      </c>
      <c r="E2079">
        <v>11.6</v>
      </c>
      <c r="F2079" t="s">
        <v>1317</v>
      </c>
      <c r="I2079" t="s">
        <v>1324</v>
      </c>
    </row>
    <row r="2080" spans="1:9" x14ac:dyDescent="0.3">
      <c r="A2080" t="s">
        <v>3551</v>
      </c>
      <c r="B2080">
        <v>2225</v>
      </c>
      <c r="C2080" t="s">
        <v>1322</v>
      </c>
      <c r="E2080">
        <v>0.254</v>
      </c>
      <c r="F2080" t="s">
        <v>1323</v>
      </c>
      <c r="I2080" t="s">
        <v>1324</v>
      </c>
    </row>
    <row r="2081" spans="1:9" x14ac:dyDescent="0.3">
      <c r="A2081" t="s">
        <v>3552</v>
      </c>
      <c r="B2081">
        <v>2226</v>
      </c>
      <c r="C2081" t="s">
        <v>1322</v>
      </c>
      <c r="E2081">
        <v>0.435</v>
      </c>
      <c r="F2081" t="s">
        <v>1323</v>
      </c>
      <c r="I2081" t="s">
        <v>1324</v>
      </c>
    </row>
    <row r="2082" spans="1:9" x14ac:dyDescent="0.3">
      <c r="A2082" t="s">
        <v>3553</v>
      </c>
      <c r="B2082">
        <v>2227</v>
      </c>
      <c r="C2082" t="s">
        <v>1322</v>
      </c>
      <c r="E2082">
        <v>8.1999999999999993</v>
      </c>
      <c r="F2082" t="s">
        <v>1349</v>
      </c>
      <c r="I2082" t="s">
        <v>1324</v>
      </c>
    </row>
    <row r="2083" spans="1:9" x14ac:dyDescent="0.3">
      <c r="A2083" t="s">
        <v>3554</v>
      </c>
      <c r="B2083">
        <v>2228</v>
      </c>
      <c r="C2083" t="s">
        <v>1322</v>
      </c>
      <c r="E2083">
        <v>13.4</v>
      </c>
      <c r="F2083" t="s">
        <v>1349</v>
      </c>
      <c r="I2083" t="s">
        <v>1324</v>
      </c>
    </row>
    <row r="2084" spans="1:9" x14ac:dyDescent="0.3">
      <c r="A2084" t="s">
        <v>3555</v>
      </c>
      <c r="B2084">
        <v>2229</v>
      </c>
      <c r="C2084" t="s">
        <v>1322</v>
      </c>
      <c r="E2084">
        <v>51.6</v>
      </c>
      <c r="F2084" t="s">
        <v>1349</v>
      </c>
      <c r="I2084" t="s">
        <v>1324</v>
      </c>
    </row>
    <row r="2085" spans="1:9" x14ac:dyDescent="0.3">
      <c r="A2085" t="s">
        <v>3556</v>
      </c>
      <c r="B2085">
        <v>2230</v>
      </c>
      <c r="C2085" t="s">
        <v>1322</v>
      </c>
      <c r="E2085">
        <v>77.7</v>
      </c>
      <c r="F2085" t="s">
        <v>1349</v>
      </c>
      <c r="I2085" t="s">
        <v>1324</v>
      </c>
    </row>
    <row r="2086" spans="1:9" x14ac:dyDescent="0.3">
      <c r="A2086" t="s">
        <v>3557</v>
      </c>
      <c r="B2086">
        <v>2231</v>
      </c>
      <c r="C2086" t="s">
        <v>1322</v>
      </c>
      <c r="E2086">
        <v>9.34</v>
      </c>
      <c r="F2086" t="s">
        <v>1317</v>
      </c>
      <c r="I2086" t="s">
        <v>1324</v>
      </c>
    </row>
    <row r="2087" spans="1:9" x14ac:dyDescent="0.3">
      <c r="A2087" t="s">
        <v>3558</v>
      </c>
      <c r="B2087">
        <v>2232</v>
      </c>
      <c r="C2087" t="s">
        <v>1322</v>
      </c>
      <c r="E2087">
        <v>0.21199999999999999</v>
      </c>
      <c r="F2087" t="s">
        <v>1323</v>
      </c>
      <c r="I2087" t="s">
        <v>1324</v>
      </c>
    </row>
    <row r="2088" spans="1:9" x14ac:dyDescent="0.3">
      <c r="A2088" t="s">
        <v>3559</v>
      </c>
      <c r="B2088">
        <v>2233</v>
      </c>
      <c r="C2088" t="s">
        <v>1322</v>
      </c>
      <c r="E2088">
        <v>0.246</v>
      </c>
      <c r="F2088" t="s">
        <v>1323</v>
      </c>
      <c r="I2088" t="s">
        <v>1324</v>
      </c>
    </row>
    <row r="2089" spans="1:9" x14ac:dyDescent="0.3">
      <c r="A2089" t="s">
        <v>3560</v>
      </c>
      <c r="B2089">
        <v>2234</v>
      </c>
      <c r="C2089" t="s">
        <v>1322</v>
      </c>
      <c r="E2089">
        <v>3.13</v>
      </c>
      <c r="F2089" t="s">
        <v>1317</v>
      </c>
      <c r="I2089" t="s">
        <v>1324</v>
      </c>
    </row>
    <row r="2090" spans="1:9" x14ac:dyDescent="0.3">
      <c r="A2090" t="s">
        <v>3561</v>
      </c>
      <c r="B2090">
        <v>2235</v>
      </c>
      <c r="C2090" t="s">
        <v>1322</v>
      </c>
      <c r="E2090">
        <v>0.153</v>
      </c>
      <c r="F2090" t="s">
        <v>1323</v>
      </c>
      <c r="I2090" t="s">
        <v>1324</v>
      </c>
    </row>
    <row r="2091" spans="1:9" x14ac:dyDescent="0.3">
      <c r="A2091" t="s">
        <v>3562</v>
      </c>
      <c r="B2091">
        <v>2236</v>
      </c>
      <c r="C2091" t="s">
        <v>1322</v>
      </c>
      <c r="E2091">
        <v>0.17299999999999999</v>
      </c>
      <c r="F2091" t="s">
        <v>1323</v>
      </c>
      <c r="I2091" t="s">
        <v>1324</v>
      </c>
    </row>
    <row r="2092" spans="1:9" x14ac:dyDescent="0.3">
      <c r="A2092" t="s">
        <v>3563</v>
      </c>
      <c r="B2092">
        <v>2237</v>
      </c>
      <c r="C2092" t="s">
        <v>1322</v>
      </c>
      <c r="E2092">
        <v>64.099999999999994</v>
      </c>
      <c r="F2092" t="s">
        <v>1349</v>
      </c>
      <c r="I2092" t="s">
        <v>1324</v>
      </c>
    </row>
    <row r="2093" spans="1:9" x14ac:dyDescent="0.3">
      <c r="A2093" t="s">
        <v>3564</v>
      </c>
      <c r="B2093">
        <v>2238</v>
      </c>
      <c r="C2093" t="s">
        <v>1322</v>
      </c>
      <c r="E2093">
        <v>104.5</v>
      </c>
      <c r="F2093" t="s">
        <v>1349</v>
      </c>
      <c r="I2093" t="s">
        <v>1324</v>
      </c>
    </row>
    <row r="2094" spans="1:9" x14ac:dyDescent="0.3">
      <c r="A2094" t="s">
        <v>3565</v>
      </c>
      <c r="B2094">
        <v>2239</v>
      </c>
      <c r="C2094" t="s">
        <v>1322</v>
      </c>
      <c r="E2094">
        <v>171</v>
      </c>
      <c r="F2094" t="s">
        <v>1349</v>
      </c>
      <c r="I2094" t="s">
        <v>1324</v>
      </c>
    </row>
    <row r="2095" spans="1:9" x14ac:dyDescent="0.3">
      <c r="A2095" t="s">
        <v>3566</v>
      </c>
      <c r="B2095">
        <v>2241</v>
      </c>
      <c r="C2095" t="s">
        <v>1322</v>
      </c>
      <c r="E2095">
        <v>4.2</v>
      </c>
      <c r="F2095" t="s">
        <v>1317</v>
      </c>
      <c r="I2095" t="s">
        <v>1324</v>
      </c>
    </row>
    <row r="2096" spans="1:9" x14ac:dyDescent="0.3">
      <c r="A2096" t="s">
        <v>3567</v>
      </c>
      <c r="B2096">
        <v>2242</v>
      </c>
      <c r="C2096" t="s">
        <v>1322</v>
      </c>
      <c r="E2096">
        <v>2.1</v>
      </c>
      <c r="F2096" t="s">
        <v>1317</v>
      </c>
      <c r="I2096" t="s">
        <v>1324</v>
      </c>
    </row>
    <row r="2097" spans="1:9" x14ac:dyDescent="0.3">
      <c r="A2097" t="s">
        <v>3568</v>
      </c>
      <c r="B2097">
        <v>2243</v>
      </c>
      <c r="C2097" t="s">
        <v>1322</v>
      </c>
      <c r="E2097">
        <v>6.3</v>
      </c>
      <c r="F2097" t="s">
        <v>1317</v>
      </c>
      <c r="I2097" t="s">
        <v>1324</v>
      </c>
    </row>
    <row r="2098" spans="1:9" x14ac:dyDescent="0.3">
      <c r="A2098" t="s">
        <v>3569</v>
      </c>
      <c r="B2098">
        <v>2244</v>
      </c>
      <c r="C2098" t="s">
        <v>1322</v>
      </c>
      <c r="E2098">
        <v>0.10100000000000001</v>
      </c>
      <c r="F2098" t="s">
        <v>1323</v>
      </c>
      <c r="I2098" t="s">
        <v>1324</v>
      </c>
    </row>
    <row r="2099" spans="1:9" x14ac:dyDescent="0.3">
      <c r="A2099" t="s">
        <v>3570</v>
      </c>
      <c r="B2099">
        <v>2245</v>
      </c>
      <c r="C2099" t="s">
        <v>1322</v>
      </c>
      <c r="E2099">
        <v>0.21</v>
      </c>
      <c r="F2099" t="s">
        <v>1323</v>
      </c>
      <c r="I2099" t="s">
        <v>1324</v>
      </c>
    </row>
    <row r="2100" spans="1:9" x14ac:dyDescent="0.3">
      <c r="A2100" t="s">
        <v>3571</v>
      </c>
      <c r="B2100">
        <v>2246</v>
      </c>
      <c r="C2100" t="s">
        <v>1322</v>
      </c>
      <c r="E2100">
        <v>10.199999999999999</v>
      </c>
      <c r="F2100" t="s">
        <v>1349</v>
      </c>
      <c r="I2100" t="s">
        <v>1324</v>
      </c>
    </row>
    <row r="2101" spans="1:9" x14ac:dyDescent="0.3">
      <c r="A2101" t="s">
        <v>3572</v>
      </c>
      <c r="B2101">
        <v>2247</v>
      </c>
      <c r="C2101" t="s">
        <v>1322</v>
      </c>
      <c r="E2101">
        <v>20.399999999999999</v>
      </c>
      <c r="F2101" t="s">
        <v>1349</v>
      </c>
      <c r="I2101" t="s">
        <v>1324</v>
      </c>
    </row>
    <row r="2102" spans="1:9" x14ac:dyDescent="0.3">
      <c r="A2102" t="s">
        <v>3573</v>
      </c>
      <c r="B2102">
        <v>2248</v>
      </c>
      <c r="C2102" t="s">
        <v>1322</v>
      </c>
      <c r="E2102">
        <v>41.4</v>
      </c>
      <c r="F2102" t="s">
        <v>1349</v>
      </c>
      <c r="I2102" t="s">
        <v>1324</v>
      </c>
    </row>
    <row r="2103" spans="1:9" x14ac:dyDescent="0.3">
      <c r="A2103" t="s">
        <v>3574</v>
      </c>
      <c r="B2103">
        <v>2249</v>
      </c>
      <c r="C2103" t="s">
        <v>1322</v>
      </c>
      <c r="E2103">
        <v>3.6</v>
      </c>
      <c r="F2103" t="s">
        <v>1317</v>
      </c>
      <c r="I2103" t="s">
        <v>1324</v>
      </c>
    </row>
    <row r="2104" spans="1:9" x14ac:dyDescent="0.3">
      <c r="A2104" t="s">
        <v>3575</v>
      </c>
      <c r="B2104">
        <v>2250</v>
      </c>
      <c r="C2104" t="s">
        <v>1322</v>
      </c>
      <c r="E2104">
        <v>0.32500000000000001</v>
      </c>
      <c r="F2104" t="s">
        <v>1323</v>
      </c>
      <c r="I2104" t="s">
        <v>1324</v>
      </c>
    </row>
    <row r="2105" spans="1:9" x14ac:dyDescent="0.3">
      <c r="A2105" t="s">
        <v>3576</v>
      </c>
      <c r="B2105">
        <v>2251</v>
      </c>
      <c r="C2105" t="s">
        <v>1322</v>
      </c>
      <c r="E2105">
        <v>0.34300000000000003</v>
      </c>
      <c r="F2105" t="s">
        <v>1323</v>
      </c>
      <c r="I2105" t="s">
        <v>1324</v>
      </c>
    </row>
    <row r="2106" spans="1:9" x14ac:dyDescent="0.3">
      <c r="A2106" t="s">
        <v>3577</v>
      </c>
      <c r="B2106">
        <v>2252</v>
      </c>
      <c r="C2106" t="s">
        <v>1322</v>
      </c>
      <c r="E2106">
        <v>1.75</v>
      </c>
      <c r="F2106" t="s">
        <v>1317</v>
      </c>
      <c r="I2106" t="s">
        <v>1324</v>
      </c>
    </row>
    <row r="2107" spans="1:9" x14ac:dyDescent="0.3">
      <c r="A2107" t="s">
        <v>3578</v>
      </c>
      <c r="B2107">
        <v>2253</v>
      </c>
      <c r="C2107" t="s">
        <v>1322</v>
      </c>
      <c r="E2107">
        <v>5.1999999999999998E-2</v>
      </c>
      <c r="F2107" t="s">
        <v>1323</v>
      </c>
      <c r="I2107" t="s">
        <v>1324</v>
      </c>
    </row>
    <row r="2108" spans="1:9" x14ac:dyDescent="0.3">
      <c r="A2108" t="s">
        <v>3579</v>
      </c>
      <c r="B2108">
        <v>2254</v>
      </c>
      <c r="C2108" t="s">
        <v>1322</v>
      </c>
      <c r="E2108">
        <v>8.4000000000000005E-2</v>
      </c>
      <c r="F2108" t="s">
        <v>1323</v>
      </c>
      <c r="I2108" t="s">
        <v>1324</v>
      </c>
    </row>
    <row r="2109" spans="1:9" x14ac:dyDescent="0.3">
      <c r="A2109" t="s">
        <v>3580</v>
      </c>
      <c r="B2109">
        <v>2255</v>
      </c>
      <c r="C2109" t="s">
        <v>1322</v>
      </c>
      <c r="E2109">
        <v>46.7</v>
      </c>
      <c r="F2109" t="s">
        <v>1349</v>
      </c>
      <c r="I2109" t="s">
        <v>1324</v>
      </c>
    </row>
    <row r="2110" spans="1:9" x14ac:dyDescent="0.3">
      <c r="A2110" t="s">
        <v>3581</v>
      </c>
      <c r="B2110">
        <v>2256</v>
      </c>
      <c r="C2110" t="s">
        <v>1322</v>
      </c>
      <c r="E2110">
        <v>93.4</v>
      </c>
      <c r="F2110" t="s">
        <v>1349</v>
      </c>
      <c r="I2110" t="s">
        <v>1324</v>
      </c>
    </row>
    <row r="2111" spans="1:9" x14ac:dyDescent="0.3">
      <c r="A2111" t="s">
        <v>3582</v>
      </c>
      <c r="B2111">
        <v>2257</v>
      </c>
      <c r="C2111" t="s">
        <v>1322</v>
      </c>
      <c r="E2111">
        <v>136.30000000000001</v>
      </c>
      <c r="F2111" t="s">
        <v>1349</v>
      </c>
      <c r="I2111" t="s">
        <v>1324</v>
      </c>
    </row>
    <row r="2112" spans="1:9" x14ac:dyDescent="0.3">
      <c r="A2112" t="s">
        <v>3583</v>
      </c>
      <c r="B2112">
        <v>2259</v>
      </c>
      <c r="C2112" t="s">
        <v>1322</v>
      </c>
      <c r="E2112">
        <v>2</v>
      </c>
      <c r="F2112" t="s">
        <v>1659</v>
      </c>
      <c r="I2112" t="s">
        <v>1324</v>
      </c>
    </row>
    <row r="2113" spans="1:9" x14ac:dyDescent="0.3">
      <c r="A2113" t="s">
        <v>3584</v>
      </c>
      <c r="B2113">
        <v>2260</v>
      </c>
      <c r="C2113" t="s">
        <v>1322</v>
      </c>
      <c r="E2113">
        <v>2</v>
      </c>
      <c r="F2113" t="s">
        <v>1659</v>
      </c>
      <c r="I2113" t="s">
        <v>1324</v>
      </c>
    </row>
    <row r="2114" spans="1:9" x14ac:dyDescent="0.3">
      <c r="A2114" t="s">
        <v>3585</v>
      </c>
      <c r="B2114">
        <v>2262</v>
      </c>
      <c r="C2114" t="s">
        <v>1322</v>
      </c>
      <c r="E2114">
        <v>67</v>
      </c>
      <c r="F2114" t="s">
        <v>1317</v>
      </c>
      <c r="I2114" t="s">
        <v>1324</v>
      </c>
    </row>
    <row r="2115" spans="1:9" x14ac:dyDescent="0.3">
      <c r="A2115" t="s">
        <v>3586</v>
      </c>
      <c r="B2115">
        <v>2263</v>
      </c>
      <c r="C2115" t="s">
        <v>1322</v>
      </c>
      <c r="E2115">
        <v>2</v>
      </c>
      <c r="F2115" t="s">
        <v>1317</v>
      </c>
      <c r="I2115" t="s">
        <v>1324</v>
      </c>
    </row>
    <row r="2116" spans="1:9" x14ac:dyDescent="0.3">
      <c r="A2116" t="s">
        <v>3587</v>
      </c>
      <c r="B2116">
        <v>2264</v>
      </c>
      <c r="C2116" t="s">
        <v>1322</v>
      </c>
      <c r="E2116">
        <v>41</v>
      </c>
      <c r="F2116" t="s">
        <v>1317</v>
      </c>
      <c r="I2116" t="s">
        <v>1324</v>
      </c>
    </row>
    <row r="2117" spans="1:9" x14ac:dyDescent="0.3">
      <c r="A2117" t="s">
        <v>3588</v>
      </c>
      <c r="B2117">
        <v>2265</v>
      </c>
      <c r="C2117" t="s">
        <v>1322</v>
      </c>
      <c r="E2117">
        <v>41</v>
      </c>
      <c r="F2117" t="s">
        <v>1317</v>
      </c>
      <c r="I2117" t="s">
        <v>1324</v>
      </c>
    </row>
    <row r="2118" spans="1:9" x14ac:dyDescent="0.3">
      <c r="A2118" t="s">
        <v>3589</v>
      </c>
      <c r="B2118">
        <v>2266</v>
      </c>
      <c r="C2118" t="s">
        <v>1322</v>
      </c>
      <c r="E2118">
        <v>11</v>
      </c>
      <c r="F2118" t="s">
        <v>1317</v>
      </c>
      <c r="I2118" t="s">
        <v>1324</v>
      </c>
    </row>
    <row r="2119" spans="1:9" x14ac:dyDescent="0.3">
      <c r="A2119" t="s">
        <v>3590</v>
      </c>
      <c r="B2119">
        <v>2268</v>
      </c>
      <c r="C2119" t="s">
        <v>1322</v>
      </c>
      <c r="E2119">
        <v>1.31</v>
      </c>
      <c r="F2119" t="s">
        <v>1317</v>
      </c>
      <c r="I2119" t="s">
        <v>1324</v>
      </c>
    </row>
    <row r="2120" spans="1:9" x14ac:dyDescent="0.3">
      <c r="A2120" t="s">
        <v>3591</v>
      </c>
      <c r="B2120">
        <v>2269</v>
      </c>
      <c r="C2120" t="s">
        <v>1322</v>
      </c>
      <c r="E2120">
        <v>13.1</v>
      </c>
      <c r="F2120" t="s">
        <v>1349</v>
      </c>
      <c r="I2120" t="s">
        <v>1324</v>
      </c>
    </row>
    <row r="2121" spans="1:9" x14ac:dyDescent="0.3">
      <c r="A2121" t="s">
        <v>3592</v>
      </c>
      <c r="B2121">
        <v>2270</v>
      </c>
      <c r="C2121" t="s">
        <v>1322</v>
      </c>
      <c r="E2121">
        <v>13.1</v>
      </c>
      <c r="F2121" t="s">
        <v>1349</v>
      </c>
      <c r="I2121" t="s">
        <v>1324</v>
      </c>
    </row>
    <row r="2122" spans="1:9" x14ac:dyDescent="0.3">
      <c r="A2122" t="s">
        <v>3593</v>
      </c>
      <c r="B2122">
        <v>2271</v>
      </c>
      <c r="C2122" t="s">
        <v>1331</v>
      </c>
      <c r="E2122">
        <v>2.4</v>
      </c>
      <c r="F2122" t="s">
        <v>1317</v>
      </c>
      <c r="I2122" t="s">
        <v>1332</v>
      </c>
    </row>
    <row r="2123" spans="1:9" x14ac:dyDescent="0.3">
      <c r="A2123" t="s">
        <v>3594</v>
      </c>
      <c r="B2123">
        <v>2272</v>
      </c>
      <c r="C2123" t="s">
        <v>1322</v>
      </c>
      <c r="E2123">
        <v>7.5999999999999998E-2</v>
      </c>
      <c r="F2123" t="s">
        <v>1323</v>
      </c>
      <c r="I2123" t="s">
        <v>1324</v>
      </c>
    </row>
    <row r="2124" spans="1:9" x14ac:dyDescent="0.3">
      <c r="A2124" t="s">
        <v>3595</v>
      </c>
      <c r="B2124">
        <v>2273</v>
      </c>
      <c r="C2124" t="s">
        <v>1322</v>
      </c>
      <c r="E2124">
        <v>0.12</v>
      </c>
      <c r="F2124" t="s">
        <v>1323</v>
      </c>
      <c r="I2124" t="s">
        <v>1324</v>
      </c>
    </row>
    <row r="2125" spans="1:9" x14ac:dyDescent="0.3">
      <c r="A2125" t="s">
        <v>3596</v>
      </c>
      <c r="B2125">
        <v>2274</v>
      </c>
      <c r="C2125" t="s">
        <v>1331</v>
      </c>
      <c r="E2125">
        <v>3.3000000000000002E-2</v>
      </c>
      <c r="F2125" t="s">
        <v>1323</v>
      </c>
      <c r="I2125" t="s">
        <v>1332</v>
      </c>
    </row>
    <row r="2126" spans="1:9" x14ac:dyDescent="0.3">
      <c r="A2126" t="s">
        <v>3597</v>
      </c>
      <c r="B2126">
        <v>2275</v>
      </c>
      <c r="C2126" t="s">
        <v>1405</v>
      </c>
      <c r="D2126">
        <v>0.32</v>
      </c>
      <c r="E2126">
        <v>0.32</v>
      </c>
      <c r="F2126" t="s">
        <v>1317</v>
      </c>
      <c r="G2126" t="s">
        <v>1318</v>
      </c>
      <c r="H2126" t="s">
        <v>3598</v>
      </c>
      <c r="I2126" t="s">
        <v>3599</v>
      </c>
    </row>
    <row r="2127" spans="1:9" x14ac:dyDescent="0.3">
      <c r="A2127" t="s">
        <v>3600</v>
      </c>
      <c r="B2127">
        <v>2276</v>
      </c>
      <c r="C2127" t="s">
        <v>1322</v>
      </c>
      <c r="E2127">
        <v>2.5</v>
      </c>
      <c r="F2127" t="s">
        <v>1349</v>
      </c>
      <c r="I2127" t="s">
        <v>1324</v>
      </c>
    </row>
    <row r="2128" spans="1:9" x14ac:dyDescent="0.3">
      <c r="A2128" t="s">
        <v>3601</v>
      </c>
      <c r="B2128">
        <v>2277</v>
      </c>
      <c r="C2128" t="s">
        <v>1322</v>
      </c>
      <c r="E2128">
        <v>25</v>
      </c>
      <c r="F2128" t="s">
        <v>1349</v>
      </c>
      <c r="I2128" t="s">
        <v>1324</v>
      </c>
    </row>
    <row r="2129" spans="1:9" x14ac:dyDescent="0.3">
      <c r="A2129" t="s">
        <v>3602</v>
      </c>
      <c r="B2129">
        <v>2278</v>
      </c>
      <c r="C2129" t="s">
        <v>1322</v>
      </c>
      <c r="E2129">
        <v>25</v>
      </c>
      <c r="F2129" t="s">
        <v>1349</v>
      </c>
      <c r="I2129" t="s">
        <v>1324</v>
      </c>
    </row>
    <row r="2130" spans="1:9" x14ac:dyDescent="0.3">
      <c r="A2130" t="s">
        <v>3603</v>
      </c>
      <c r="B2130">
        <v>2279</v>
      </c>
      <c r="C2130" t="s">
        <v>1331</v>
      </c>
      <c r="E2130">
        <v>3</v>
      </c>
      <c r="F2130" t="s">
        <v>1317</v>
      </c>
      <c r="I2130" t="s">
        <v>1332</v>
      </c>
    </row>
    <row r="2131" spans="1:9" x14ac:dyDescent="0.3">
      <c r="A2131" t="s">
        <v>3604</v>
      </c>
      <c r="B2131">
        <v>2280</v>
      </c>
      <c r="C2131" t="s">
        <v>1322</v>
      </c>
      <c r="E2131">
        <v>0.11700000000000001</v>
      </c>
      <c r="F2131" t="s">
        <v>1323</v>
      </c>
      <c r="I2131" t="s">
        <v>1324</v>
      </c>
    </row>
    <row r="2132" spans="1:9" x14ac:dyDescent="0.3">
      <c r="A2132" t="s">
        <v>3605</v>
      </c>
      <c r="B2132">
        <v>2282</v>
      </c>
      <c r="C2132" t="s">
        <v>1322</v>
      </c>
      <c r="E2132">
        <v>0.38700000000000001</v>
      </c>
      <c r="F2132" t="s">
        <v>1323</v>
      </c>
      <c r="I2132" t="s">
        <v>1324</v>
      </c>
    </row>
    <row r="2133" spans="1:9" x14ac:dyDescent="0.3">
      <c r="A2133" t="s">
        <v>3606</v>
      </c>
      <c r="B2133">
        <v>2283</v>
      </c>
      <c r="C2133" t="s">
        <v>1322</v>
      </c>
      <c r="E2133">
        <v>0.158</v>
      </c>
      <c r="F2133" t="s">
        <v>1323</v>
      </c>
      <c r="I2133" t="s">
        <v>1324</v>
      </c>
    </row>
    <row r="2134" spans="1:9" x14ac:dyDescent="0.3">
      <c r="A2134" t="s">
        <v>3607</v>
      </c>
      <c r="B2134">
        <v>2284</v>
      </c>
      <c r="C2134" t="s">
        <v>1322</v>
      </c>
      <c r="E2134">
        <v>10.8</v>
      </c>
      <c r="F2134" t="s">
        <v>61</v>
      </c>
      <c r="I2134" t="s">
        <v>1324</v>
      </c>
    </row>
    <row r="2135" spans="1:9" x14ac:dyDescent="0.3">
      <c r="A2135" t="s">
        <v>3608</v>
      </c>
      <c r="B2135">
        <v>2285</v>
      </c>
      <c r="C2135" t="s">
        <v>1322</v>
      </c>
      <c r="E2135">
        <v>0.17100000000000001</v>
      </c>
      <c r="F2135" t="s">
        <v>1323</v>
      </c>
      <c r="I2135" t="s">
        <v>1324</v>
      </c>
    </row>
    <row r="2136" spans="1:9" x14ac:dyDescent="0.3">
      <c r="A2136" t="s">
        <v>3609</v>
      </c>
      <c r="B2136">
        <v>2286</v>
      </c>
      <c r="C2136" t="s">
        <v>1322</v>
      </c>
      <c r="E2136">
        <v>18</v>
      </c>
      <c r="F2136" t="s">
        <v>1349</v>
      </c>
      <c r="I2136" t="s">
        <v>1324</v>
      </c>
    </row>
    <row r="2137" spans="1:9" x14ac:dyDescent="0.3">
      <c r="A2137" t="s">
        <v>3610</v>
      </c>
      <c r="B2137">
        <v>2287</v>
      </c>
      <c r="C2137" t="s">
        <v>1322</v>
      </c>
      <c r="E2137">
        <v>8.6999999999999994E-2</v>
      </c>
      <c r="F2137" t="s">
        <v>1323</v>
      </c>
      <c r="I2137" t="s">
        <v>1324</v>
      </c>
    </row>
    <row r="2138" spans="1:9" x14ac:dyDescent="0.3">
      <c r="A2138" t="s">
        <v>3611</v>
      </c>
      <c r="B2138">
        <v>2288</v>
      </c>
      <c r="C2138" t="s">
        <v>1322</v>
      </c>
      <c r="E2138">
        <v>18</v>
      </c>
      <c r="F2138" t="s">
        <v>1349</v>
      </c>
      <c r="I2138" t="s">
        <v>1324</v>
      </c>
    </row>
    <row r="2139" spans="1:9" x14ac:dyDescent="0.3">
      <c r="A2139" t="s">
        <v>3612</v>
      </c>
      <c r="B2139">
        <v>2289</v>
      </c>
      <c r="C2139" t="s">
        <v>1322</v>
      </c>
      <c r="E2139">
        <v>18</v>
      </c>
      <c r="F2139" t="s">
        <v>1349</v>
      </c>
      <c r="I2139" t="s">
        <v>1324</v>
      </c>
    </row>
    <row r="2140" spans="1:9" x14ac:dyDescent="0.3">
      <c r="A2140" t="s">
        <v>3613</v>
      </c>
      <c r="B2140">
        <v>2291</v>
      </c>
      <c r="C2140" t="s">
        <v>1331</v>
      </c>
      <c r="E2140">
        <v>0.92800000000000005</v>
      </c>
      <c r="F2140" t="s">
        <v>1317</v>
      </c>
      <c r="I2140" t="s">
        <v>1332</v>
      </c>
    </row>
    <row r="2141" spans="1:9" x14ac:dyDescent="0.3">
      <c r="A2141" t="s">
        <v>3614</v>
      </c>
      <c r="B2141">
        <v>2292</v>
      </c>
      <c r="C2141" t="s">
        <v>1322</v>
      </c>
      <c r="E2141">
        <v>26.3</v>
      </c>
      <c r="F2141" t="s">
        <v>1349</v>
      </c>
      <c r="I2141" t="s">
        <v>1324</v>
      </c>
    </row>
    <row r="2142" spans="1:9" x14ac:dyDescent="0.3">
      <c r="A2142" t="s">
        <v>3615</v>
      </c>
      <c r="B2142">
        <v>2293</v>
      </c>
      <c r="C2142" t="s">
        <v>1322</v>
      </c>
      <c r="E2142">
        <v>26.3</v>
      </c>
      <c r="F2142" t="s">
        <v>1349</v>
      </c>
      <c r="I2142" t="s">
        <v>1324</v>
      </c>
    </row>
    <row r="2143" spans="1:9" x14ac:dyDescent="0.3">
      <c r="A2143" t="s">
        <v>3616</v>
      </c>
      <c r="B2143">
        <v>2294</v>
      </c>
      <c r="C2143" t="s">
        <v>1331</v>
      </c>
      <c r="E2143">
        <v>22</v>
      </c>
      <c r="F2143" t="s">
        <v>61</v>
      </c>
      <c r="I2143" t="s">
        <v>1332</v>
      </c>
    </row>
    <row r="2144" spans="1:9" x14ac:dyDescent="0.3">
      <c r="A2144" t="s">
        <v>3617</v>
      </c>
      <c r="B2144">
        <v>2295</v>
      </c>
      <c r="C2144" t="s">
        <v>1331</v>
      </c>
      <c r="E2144">
        <v>16</v>
      </c>
      <c r="F2144" t="s">
        <v>61</v>
      </c>
      <c r="I2144" t="s">
        <v>1332</v>
      </c>
    </row>
    <row r="2145" spans="1:9" x14ac:dyDescent="0.3">
      <c r="A2145" t="s">
        <v>3618</v>
      </c>
      <c r="B2145">
        <v>2296</v>
      </c>
      <c r="C2145" t="s">
        <v>1331</v>
      </c>
      <c r="E2145">
        <v>16</v>
      </c>
      <c r="F2145" t="s">
        <v>61</v>
      </c>
      <c r="I2145" t="s">
        <v>1332</v>
      </c>
    </row>
    <row r="2146" spans="1:9" x14ac:dyDescent="0.3">
      <c r="A2146" t="s">
        <v>3619</v>
      </c>
      <c r="B2146">
        <v>2297</v>
      </c>
      <c r="C2146" t="s">
        <v>1322</v>
      </c>
      <c r="E2146">
        <v>14</v>
      </c>
      <c r="F2146" t="s">
        <v>61</v>
      </c>
      <c r="I2146" t="s">
        <v>1324</v>
      </c>
    </row>
    <row r="2147" spans="1:9" x14ac:dyDescent="0.3">
      <c r="A2147" t="s">
        <v>3620</v>
      </c>
      <c r="B2147">
        <v>2298</v>
      </c>
      <c r="C2147" t="s">
        <v>1322</v>
      </c>
      <c r="E2147">
        <v>2</v>
      </c>
      <c r="F2147" t="s">
        <v>1421</v>
      </c>
      <c r="I2147" t="s">
        <v>1324</v>
      </c>
    </row>
    <row r="2148" spans="1:9" x14ac:dyDescent="0.3">
      <c r="A2148" t="s">
        <v>3621</v>
      </c>
      <c r="B2148">
        <v>2299</v>
      </c>
      <c r="C2148" t="s">
        <v>1322</v>
      </c>
      <c r="E2148">
        <v>2.4E-2</v>
      </c>
      <c r="F2148" t="s">
        <v>1323</v>
      </c>
      <c r="I2148" t="s">
        <v>1324</v>
      </c>
    </row>
    <row r="2149" spans="1:9" x14ac:dyDescent="0.3">
      <c r="A2149" t="s">
        <v>3622</v>
      </c>
      <c r="B2149">
        <v>2300</v>
      </c>
      <c r="C2149" t="s">
        <v>1322</v>
      </c>
      <c r="E2149">
        <v>3.1E-2</v>
      </c>
      <c r="F2149" t="s">
        <v>1323</v>
      </c>
      <c r="I2149" t="s">
        <v>1324</v>
      </c>
    </row>
    <row r="2150" spans="1:9" x14ac:dyDescent="0.3">
      <c r="A2150" t="s">
        <v>3623</v>
      </c>
      <c r="B2150">
        <v>2301</v>
      </c>
      <c r="C2150" t="s">
        <v>1322</v>
      </c>
      <c r="E2150">
        <v>14.75</v>
      </c>
      <c r="F2150" t="s">
        <v>1349</v>
      </c>
      <c r="I2150" t="s">
        <v>1324</v>
      </c>
    </row>
    <row r="2151" spans="1:9" x14ac:dyDescent="0.3">
      <c r="A2151" t="s">
        <v>3624</v>
      </c>
      <c r="B2151">
        <v>2303</v>
      </c>
      <c r="C2151" t="s">
        <v>1322</v>
      </c>
      <c r="E2151">
        <v>0.23799999999999999</v>
      </c>
      <c r="F2151" t="s">
        <v>1317</v>
      </c>
      <c r="I2151" t="s">
        <v>1324</v>
      </c>
    </row>
    <row r="2152" spans="1:9" x14ac:dyDescent="0.3">
      <c r="A2152" t="s">
        <v>3625</v>
      </c>
      <c r="B2152">
        <v>2304</v>
      </c>
      <c r="C2152" t="s">
        <v>1322</v>
      </c>
      <c r="E2152">
        <v>18</v>
      </c>
      <c r="F2152" t="s">
        <v>1349</v>
      </c>
      <c r="I2152" t="s">
        <v>1324</v>
      </c>
    </row>
    <row r="2153" spans="1:9" x14ac:dyDescent="0.3">
      <c r="A2153" t="s">
        <v>3626</v>
      </c>
      <c r="B2153">
        <v>2306</v>
      </c>
      <c r="C2153" t="s">
        <v>1405</v>
      </c>
      <c r="D2153">
        <v>17.66</v>
      </c>
      <c r="E2153">
        <v>17.66</v>
      </c>
      <c r="F2153" t="s">
        <v>1349</v>
      </c>
      <c r="G2153" t="s">
        <v>1318</v>
      </c>
      <c r="H2153" t="s">
        <v>3598</v>
      </c>
      <c r="I2153" t="s">
        <v>3627</v>
      </c>
    </row>
    <row r="2154" spans="1:9" x14ac:dyDescent="0.3">
      <c r="A2154" t="s">
        <v>3628</v>
      </c>
      <c r="B2154">
        <v>2307</v>
      </c>
      <c r="C2154" t="s">
        <v>1405</v>
      </c>
      <c r="D2154">
        <v>17.66</v>
      </c>
      <c r="E2154">
        <v>17.66</v>
      </c>
      <c r="F2154" t="s">
        <v>1349</v>
      </c>
      <c r="G2154" t="s">
        <v>1318</v>
      </c>
      <c r="H2154" t="s">
        <v>3598</v>
      </c>
      <c r="I2154" t="s">
        <v>3627</v>
      </c>
    </row>
    <row r="2155" spans="1:9" x14ac:dyDescent="0.3">
      <c r="A2155" t="s">
        <v>3629</v>
      </c>
      <c r="B2155">
        <v>2308</v>
      </c>
      <c r="C2155" t="s">
        <v>1405</v>
      </c>
      <c r="D2155">
        <v>17.66</v>
      </c>
      <c r="E2155">
        <v>17.66</v>
      </c>
      <c r="F2155" t="s">
        <v>1349</v>
      </c>
      <c r="G2155" t="s">
        <v>1318</v>
      </c>
      <c r="H2155" t="s">
        <v>3598</v>
      </c>
      <c r="I2155" t="s">
        <v>3627</v>
      </c>
    </row>
    <row r="2156" spans="1:9" x14ac:dyDescent="0.3">
      <c r="A2156" t="s">
        <v>3630</v>
      </c>
      <c r="B2156">
        <v>2310</v>
      </c>
      <c r="C2156" t="s">
        <v>1322</v>
      </c>
      <c r="E2156">
        <v>0.57599999999999996</v>
      </c>
      <c r="F2156" t="s">
        <v>1323</v>
      </c>
      <c r="I2156" t="s">
        <v>1324</v>
      </c>
    </row>
    <row r="2157" spans="1:9" x14ac:dyDescent="0.3">
      <c r="A2157" t="s">
        <v>3631</v>
      </c>
      <c r="B2157">
        <v>2311</v>
      </c>
      <c r="C2157" t="s">
        <v>1322</v>
      </c>
      <c r="E2157">
        <v>0.8</v>
      </c>
      <c r="F2157" t="s">
        <v>1317</v>
      </c>
      <c r="I2157" t="s">
        <v>1324</v>
      </c>
    </row>
    <row r="2158" spans="1:9" x14ac:dyDescent="0.3">
      <c r="A2158" t="s">
        <v>3632</v>
      </c>
      <c r="B2158">
        <v>2312</v>
      </c>
      <c r="C2158" t="s">
        <v>1322</v>
      </c>
      <c r="E2158">
        <v>3.6999999999999998E-2</v>
      </c>
      <c r="F2158" t="s">
        <v>1323</v>
      </c>
      <c r="I2158" t="s">
        <v>1324</v>
      </c>
    </row>
    <row r="2159" spans="1:9" x14ac:dyDescent="0.3">
      <c r="A2159" t="s">
        <v>3633</v>
      </c>
      <c r="B2159">
        <v>2313</v>
      </c>
      <c r="C2159" t="s">
        <v>1322</v>
      </c>
      <c r="E2159">
        <v>8</v>
      </c>
      <c r="F2159" t="s">
        <v>1421</v>
      </c>
      <c r="I2159" t="s">
        <v>1324</v>
      </c>
    </row>
    <row r="2160" spans="1:9" x14ac:dyDescent="0.3">
      <c r="A2160" t="s">
        <v>3634</v>
      </c>
      <c r="B2160">
        <v>2314</v>
      </c>
      <c r="C2160" t="s">
        <v>1322</v>
      </c>
      <c r="E2160">
        <v>8</v>
      </c>
      <c r="F2160" t="s">
        <v>1421</v>
      </c>
      <c r="I2160" t="s">
        <v>1324</v>
      </c>
    </row>
    <row r="2161" spans="1:9" x14ac:dyDescent="0.3">
      <c r="A2161" t="s">
        <v>3635</v>
      </c>
      <c r="B2161">
        <v>2315</v>
      </c>
      <c r="C2161" t="s">
        <v>1322</v>
      </c>
      <c r="E2161">
        <v>8</v>
      </c>
      <c r="F2161" t="s">
        <v>1421</v>
      </c>
      <c r="I2161" t="s">
        <v>1324</v>
      </c>
    </row>
    <row r="2162" spans="1:9" x14ac:dyDescent="0.3">
      <c r="A2162" t="s">
        <v>3636</v>
      </c>
      <c r="B2162">
        <v>2316</v>
      </c>
      <c r="C2162" t="s">
        <v>1322</v>
      </c>
      <c r="E2162">
        <v>8</v>
      </c>
      <c r="F2162" t="s">
        <v>1421</v>
      </c>
      <c r="I2162" t="s">
        <v>1324</v>
      </c>
    </row>
    <row r="2163" spans="1:9" x14ac:dyDescent="0.3">
      <c r="A2163" t="s">
        <v>3637</v>
      </c>
      <c r="B2163">
        <v>2317</v>
      </c>
      <c r="C2163" t="s">
        <v>1331</v>
      </c>
      <c r="E2163">
        <v>24</v>
      </c>
      <c r="F2163" t="s">
        <v>1421</v>
      </c>
      <c r="I2163" t="s">
        <v>1332</v>
      </c>
    </row>
    <row r="2164" spans="1:9" x14ac:dyDescent="0.3">
      <c r="A2164" t="s">
        <v>3638</v>
      </c>
      <c r="B2164">
        <v>2318</v>
      </c>
      <c r="C2164" t="s">
        <v>1322</v>
      </c>
      <c r="E2164">
        <v>80</v>
      </c>
      <c r="F2164" t="s">
        <v>61</v>
      </c>
      <c r="I2164" t="s">
        <v>1324</v>
      </c>
    </row>
    <row r="2165" spans="1:9" x14ac:dyDescent="0.3">
      <c r="A2165" t="s">
        <v>3639</v>
      </c>
      <c r="B2165">
        <v>2319</v>
      </c>
      <c r="C2165" t="s">
        <v>1322</v>
      </c>
      <c r="E2165">
        <v>80</v>
      </c>
      <c r="F2165" t="s">
        <v>61</v>
      </c>
      <c r="I2165" t="s">
        <v>1324</v>
      </c>
    </row>
    <row r="2166" spans="1:9" x14ac:dyDescent="0.3">
      <c r="A2166" t="s">
        <v>3640</v>
      </c>
      <c r="B2166">
        <v>2320</v>
      </c>
      <c r="C2166" t="s">
        <v>1322</v>
      </c>
      <c r="E2166">
        <v>270</v>
      </c>
      <c r="F2166" t="s">
        <v>61</v>
      </c>
      <c r="I2166" t="s">
        <v>1324</v>
      </c>
    </row>
    <row r="2167" spans="1:9" x14ac:dyDescent="0.3">
      <c r="A2167" t="s">
        <v>3641</v>
      </c>
      <c r="B2167">
        <v>2321</v>
      </c>
      <c r="C2167" t="s">
        <v>1322</v>
      </c>
      <c r="E2167">
        <v>270</v>
      </c>
      <c r="F2167" t="s">
        <v>61</v>
      </c>
      <c r="I2167" t="s">
        <v>1324</v>
      </c>
    </row>
    <row r="2168" spans="1:9" x14ac:dyDescent="0.3">
      <c r="A2168" t="s">
        <v>3642</v>
      </c>
      <c r="B2168">
        <v>2322</v>
      </c>
      <c r="C2168" t="s">
        <v>1322</v>
      </c>
      <c r="E2168">
        <v>170</v>
      </c>
      <c r="F2168" t="s">
        <v>61</v>
      </c>
      <c r="I2168" t="s">
        <v>1324</v>
      </c>
    </row>
    <row r="2169" spans="1:9" x14ac:dyDescent="0.3">
      <c r="A2169" t="s">
        <v>3643</v>
      </c>
      <c r="B2169">
        <v>2323</v>
      </c>
      <c r="C2169" t="s">
        <v>1331</v>
      </c>
      <c r="E2169">
        <v>35</v>
      </c>
      <c r="F2169" t="s">
        <v>61</v>
      </c>
      <c r="I2169" t="s">
        <v>1332</v>
      </c>
    </row>
    <row r="2170" spans="1:9" x14ac:dyDescent="0.3">
      <c r="A2170" t="s">
        <v>3644</v>
      </c>
      <c r="B2170">
        <v>2324</v>
      </c>
      <c r="C2170" t="s">
        <v>1322</v>
      </c>
      <c r="E2170">
        <v>65</v>
      </c>
      <c r="F2170" t="s">
        <v>61</v>
      </c>
      <c r="I2170" t="s">
        <v>1324</v>
      </c>
    </row>
    <row r="2171" spans="1:9" x14ac:dyDescent="0.3">
      <c r="A2171" t="s">
        <v>3645</v>
      </c>
      <c r="B2171">
        <v>2325</v>
      </c>
      <c r="C2171" t="s">
        <v>1322</v>
      </c>
      <c r="E2171">
        <v>270</v>
      </c>
      <c r="F2171" t="s">
        <v>61</v>
      </c>
      <c r="I2171" t="s">
        <v>1324</v>
      </c>
    </row>
    <row r="2172" spans="1:9" x14ac:dyDescent="0.3">
      <c r="A2172" t="s">
        <v>3646</v>
      </c>
      <c r="B2172">
        <v>2326</v>
      </c>
      <c r="C2172" t="s">
        <v>1322</v>
      </c>
      <c r="E2172">
        <v>87</v>
      </c>
      <c r="F2172" t="s">
        <v>1317</v>
      </c>
      <c r="I2172" t="s">
        <v>1324</v>
      </c>
    </row>
    <row r="2173" spans="1:9" x14ac:dyDescent="0.3">
      <c r="A2173" t="s">
        <v>3647</v>
      </c>
      <c r="B2173">
        <v>2327</v>
      </c>
      <c r="C2173" t="s">
        <v>1322</v>
      </c>
      <c r="E2173">
        <v>7</v>
      </c>
      <c r="F2173" t="s">
        <v>1317</v>
      </c>
      <c r="I2173" t="s">
        <v>1324</v>
      </c>
    </row>
    <row r="2174" spans="1:9" x14ac:dyDescent="0.3">
      <c r="A2174" t="s">
        <v>3648</v>
      </c>
      <c r="B2174">
        <v>2328</v>
      </c>
      <c r="C2174" t="s">
        <v>1322</v>
      </c>
      <c r="E2174">
        <v>71</v>
      </c>
      <c r="F2174" t="s">
        <v>1317</v>
      </c>
      <c r="I2174" t="s">
        <v>1324</v>
      </c>
    </row>
    <row r="2175" spans="1:9" x14ac:dyDescent="0.3">
      <c r="A2175" t="s">
        <v>3649</v>
      </c>
      <c r="B2175">
        <v>2329</v>
      </c>
      <c r="C2175" t="s">
        <v>1322</v>
      </c>
      <c r="E2175">
        <v>23</v>
      </c>
      <c r="F2175" t="s">
        <v>1317</v>
      </c>
      <c r="I2175" t="s">
        <v>1324</v>
      </c>
    </row>
    <row r="2176" spans="1:9" x14ac:dyDescent="0.3">
      <c r="A2176" t="s">
        <v>3650</v>
      </c>
      <c r="B2176">
        <v>2330</v>
      </c>
      <c r="C2176" t="s">
        <v>1322</v>
      </c>
      <c r="E2176">
        <v>71</v>
      </c>
      <c r="F2176" t="s">
        <v>1298</v>
      </c>
      <c r="I2176" t="s">
        <v>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BOQ</vt:lpstr>
      <vt:lpstr>Evidence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Nemet Shamoyev</dc:creator>
  <cp:lastModifiedBy>Mustafa Subhani</cp:lastModifiedBy>
  <dcterms:created xsi:type="dcterms:W3CDTF">2026-10-02T09:58:05Z</dcterms:created>
  <dcterms:modified xsi:type="dcterms:W3CDTF">2026-10-29T10:22:56Z</dcterms:modified>
</cp:coreProperties>
</file>